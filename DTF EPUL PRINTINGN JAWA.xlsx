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asukan" sheetId="1" r:id="rId4"/>
    <sheet state="visible" name="pengeluaran sawojajar" sheetId="2" r:id="rId5"/>
    <sheet state="visible" name="Pengeluaran" sheetId="3" r:id="rId6"/>
    <sheet state="visible" name="ATK" sheetId="4" r:id="rId7"/>
    <sheet state="visible" name="Bon SS" sheetId="5" r:id="rId8"/>
    <sheet state="visible" name="NIA" sheetId="6" r:id="rId9"/>
    <sheet state="visible" name="Bon AMR" sheetId="7" r:id="rId10"/>
    <sheet state="visible" name="BOS OGI" sheetId="8" r:id="rId11"/>
    <sheet state="visible" name="Laba Rugi" sheetId="9" r:id="rId12"/>
    <sheet state="visible" name="Pivot Table 3" sheetId="10" r:id="rId13"/>
    <sheet state="visible" name="Template Bon" sheetId="11" r:id="rId14"/>
    <sheet state="visible" name="CLOSING" sheetId="12" r:id="rId15"/>
    <sheet state="visible" name="Detail11-bayaran epull" sheetId="13" r:id="rId16"/>
    <sheet state="visible" name="Detail10" sheetId="14" r:id="rId17"/>
    <sheet state="visible" name="Detail9" sheetId="15" r:id="rId18"/>
  </sheets>
  <definedNames>
    <definedName hidden="1" localSheetId="0" name="_xlnm._FilterDatabase">Pemasukan!$B$1:$B$900</definedName>
  </definedNames>
  <calcPr/>
  <pivotCaches>
    <pivotCache cacheId="0" r:id="rId19"/>
    <pivotCache cacheId="1" r:id="rId20"/>
    <pivotCache cacheId="2" r:id="rId21"/>
  </pivotCaches>
  <extLst>
    <ext uri="GoogleSheetsCustomDataVersion2">
      <go:sheetsCustomData xmlns:go="http://customooxmlschemas.google.com/" r:id="rId22" roundtripDataChecksum="mpXYVc4OGu3neq1+Rj3IQVqYlb0dUiTxH/R+RVBP5wA="/>
    </ext>
  </extLst>
</workbook>
</file>

<file path=xl/sharedStrings.xml><?xml version="1.0" encoding="utf-8"?>
<sst xmlns="http://schemas.openxmlformats.org/spreadsheetml/2006/main" count="6164" uniqueCount="522">
  <si>
    <t>NO 2</t>
  </si>
  <si>
    <t>Tanggal</t>
  </si>
  <si>
    <t>Nama Pelanggan</t>
  </si>
  <si>
    <t>Produk</t>
  </si>
  <si>
    <t>Qty/m</t>
  </si>
  <si>
    <t>Harga Satuan</t>
  </si>
  <si>
    <t>Total</t>
  </si>
  <si>
    <t>Ketereangan</t>
  </si>
  <si>
    <t>SS</t>
  </si>
  <si>
    <t>dirgahayu</t>
  </si>
  <si>
    <t>Diambil</t>
  </si>
  <si>
    <t>tarik tambang</t>
  </si>
  <si>
    <t>kicau merah</t>
  </si>
  <si>
    <t>mbg kmd</t>
  </si>
  <si>
    <t>france</t>
  </si>
  <si>
    <t>marun 67</t>
  </si>
  <si>
    <t>nama</t>
  </si>
  <si>
    <t>BOS Ogi</t>
  </si>
  <si>
    <t xml:space="preserve">kicau  </t>
  </si>
  <si>
    <t>astro</t>
  </si>
  <si>
    <t>tom and jery</t>
  </si>
  <si>
    <t>kmd cewe cowo</t>
  </si>
  <si>
    <t xml:space="preserve">mbg  </t>
  </si>
  <si>
    <t>snopy</t>
  </si>
  <si>
    <t>hip hop</t>
  </si>
  <si>
    <t>kicau cewe</t>
  </si>
  <si>
    <t>kmd spedah</t>
  </si>
  <si>
    <t xml:space="preserve">AMR </t>
  </si>
  <si>
    <t>cewe tas</t>
  </si>
  <si>
    <t>miow</t>
  </si>
  <si>
    <t>portugal</t>
  </si>
  <si>
    <t>bang dodo</t>
  </si>
  <si>
    <t>italy</t>
  </si>
  <si>
    <t>buny</t>
  </si>
  <si>
    <t>brazil</t>
  </si>
  <si>
    <t>balap karung</t>
  </si>
  <si>
    <t>NIA</t>
  </si>
  <si>
    <t>england</t>
  </si>
  <si>
    <t>kicau45</t>
  </si>
  <si>
    <t>tambang</t>
  </si>
  <si>
    <t>dino</t>
  </si>
  <si>
    <t>toy story</t>
  </si>
  <si>
    <t>obh</t>
  </si>
  <si>
    <t>sw oceans</t>
  </si>
  <si>
    <t>sw turkis</t>
  </si>
  <si>
    <t>kidlatic hitam</t>
  </si>
  <si>
    <t>bahlil45</t>
  </si>
  <si>
    <t>mobil gta</t>
  </si>
  <si>
    <t>kuda</t>
  </si>
  <si>
    <t>mobil vintage</t>
  </si>
  <si>
    <t>kicau merdeka</t>
  </si>
  <si>
    <t>goku</t>
  </si>
  <si>
    <t>minuman caramel</t>
  </si>
  <si>
    <t>naruto</t>
  </si>
  <si>
    <t>kicau gajah</t>
  </si>
  <si>
    <t>at</t>
  </si>
  <si>
    <t>cute</t>
  </si>
  <si>
    <t>caw</t>
  </si>
  <si>
    <t>simario</t>
  </si>
  <si>
    <t>messi</t>
  </si>
  <si>
    <t>kicau cw</t>
  </si>
  <si>
    <t>marvel</t>
  </si>
  <si>
    <t>kicau</t>
  </si>
  <si>
    <t>kicau kmd1</t>
  </si>
  <si>
    <t>kicau kmd 2</t>
  </si>
  <si>
    <t>meow</t>
  </si>
  <si>
    <t>rbl 07</t>
  </si>
  <si>
    <t>mbg</t>
  </si>
  <si>
    <t>mcqueen</t>
  </si>
  <si>
    <t xml:space="preserve">owl </t>
  </si>
  <si>
    <t>rb 88</t>
  </si>
  <si>
    <t>gjl</t>
  </si>
  <si>
    <t>cewe rjt</t>
  </si>
  <si>
    <t>kicau 45</t>
  </si>
  <si>
    <t>u smile</t>
  </si>
  <si>
    <t>AT</t>
  </si>
  <si>
    <t>elephand</t>
  </si>
  <si>
    <t>mbg45</t>
  </si>
  <si>
    <t>blue star putih</t>
  </si>
  <si>
    <t>kicau geng</t>
  </si>
  <si>
    <t>NO BON</t>
  </si>
  <si>
    <t>Jenis Pengeluaran</t>
  </si>
  <si>
    <t>Rincian</t>
  </si>
  <si>
    <t>Qty</t>
  </si>
  <si>
    <t>Keterangan</t>
  </si>
  <si>
    <t>Lain-lain</t>
  </si>
  <si>
    <t xml:space="preserve">donggle </t>
  </si>
  <si>
    <t>Toba Unit Sawojajar</t>
  </si>
  <si>
    <t>1 set keyboard</t>
  </si>
  <si>
    <t>ongkos supir</t>
  </si>
  <si>
    <t>KS</t>
  </si>
  <si>
    <t>makan supir+teknisi</t>
  </si>
  <si>
    <t>Wrg Rizky</t>
  </si>
  <si>
    <t>steker broco</t>
  </si>
  <si>
    <t>dunia elektrik</t>
  </si>
  <si>
    <t xml:space="preserve"> stop kontak</t>
  </si>
  <si>
    <t>benerin mcb+ongkos</t>
  </si>
  <si>
    <t>Dufan electric</t>
  </si>
  <si>
    <t>blower</t>
  </si>
  <si>
    <t>shoppe</t>
  </si>
  <si>
    <t>makan teknisi</t>
  </si>
  <si>
    <t>lalapan CJ</t>
  </si>
  <si>
    <t xml:space="preserve"> </t>
  </si>
  <si>
    <t>Bahan Baku</t>
  </si>
  <si>
    <t>pet</t>
  </si>
  <si>
    <t>ino lite</t>
  </si>
  <si>
    <t>powder</t>
  </si>
  <si>
    <t>tinta cmyk</t>
  </si>
  <si>
    <t>tinta putih</t>
  </si>
  <si>
    <t>kable flexible</t>
  </si>
  <si>
    <t xml:space="preserve">jasa kunjungan </t>
  </si>
  <si>
    <t>PLN</t>
  </si>
  <si>
    <t>Listrik</t>
  </si>
  <si>
    <t>pet+ongkir</t>
  </si>
  <si>
    <t>wujud unggul</t>
  </si>
  <si>
    <t>atk</t>
  </si>
  <si>
    <t>bca</t>
  </si>
  <si>
    <t>Listrik gede</t>
  </si>
  <si>
    <t>masang kipas</t>
  </si>
  <si>
    <t>mas spek</t>
  </si>
  <si>
    <t>lakban,hekter,kater</t>
  </si>
  <si>
    <t>Photocopy</t>
  </si>
  <si>
    <t>Atk</t>
  </si>
  <si>
    <t>bensin</t>
  </si>
  <si>
    <t>POM</t>
  </si>
  <si>
    <t>Pengeluaran</t>
  </si>
  <si>
    <t>Sisa</t>
  </si>
  <si>
    <t>tisu</t>
  </si>
  <si>
    <t>alfa/warung</t>
  </si>
  <si>
    <t>ongkir bahan baku</t>
  </si>
  <si>
    <t>ongikr bahan baku</t>
  </si>
  <si>
    <t>Tisu</t>
  </si>
  <si>
    <t>Gunting</t>
  </si>
  <si>
    <t>wujud unggal</t>
  </si>
  <si>
    <t>gosend</t>
  </si>
  <si>
    <t>ongkir gosend</t>
  </si>
  <si>
    <t>SPBU</t>
  </si>
  <si>
    <t>kidlatics hitam</t>
  </si>
  <si>
    <t>kidlatics navy</t>
  </si>
  <si>
    <t>kicau cute</t>
  </si>
  <si>
    <t>kicau mania</t>
  </si>
  <si>
    <t>neoply hitam</t>
  </si>
  <si>
    <t>TOTAL</t>
  </si>
  <si>
    <t>neoply navy</t>
  </si>
  <si>
    <t>neoply ocean</t>
  </si>
  <si>
    <t>suply cream</t>
  </si>
  <si>
    <t>neoply hitam jotol</t>
  </si>
  <si>
    <t>neoply cream</t>
  </si>
  <si>
    <t>KICAU CUTE</t>
  </si>
  <si>
    <t>gajah</t>
  </si>
  <si>
    <t>tmb</t>
  </si>
  <si>
    <t>kmd</t>
  </si>
  <si>
    <t>kidlatics oceans</t>
  </si>
  <si>
    <t>gajah laki</t>
  </si>
  <si>
    <t>neoply kuning jotol</t>
  </si>
  <si>
    <t>argentina</t>
  </si>
  <si>
    <t>dirgahayu mbg</t>
  </si>
  <si>
    <t>dirgahayu 1945</t>
  </si>
  <si>
    <t>TMB</t>
  </si>
  <si>
    <t>kicau kmd</t>
  </si>
  <si>
    <t>spain</t>
  </si>
  <si>
    <t>jerman</t>
  </si>
  <si>
    <t>sw</t>
  </si>
  <si>
    <t>buble putih</t>
  </si>
  <si>
    <t>mbg kemerdekaan</t>
  </si>
  <si>
    <t>gn</t>
  </si>
  <si>
    <t>dirgahyu</t>
  </si>
  <si>
    <t>mbg 45</t>
  </si>
  <si>
    <t>sw hitam</t>
  </si>
  <si>
    <t>kidletic hitam</t>
  </si>
  <si>
    <t>kidletic navy</t>
  </si>
  <si>
    <t xml:space="preserve">rb 22 </t>
  </si>
  <si>
    <t>merah cabe pk 2</t>
  </si>
  <si>
    <t>full galactus</t>
  </si>
  <si>
    <t>kty 03</t>
  </si>
  <si>
    <t>full rb war</t>
  </si>
  <si>
    <t>full dino astro</t>
  </si>
  <si>
    <t>putih 67</t>
  </si>
  <si>
    <t>d blue pk 04</t>
  </si>
  <si>
    <t>full op lufy</t>
  </si>
  <si>
    <t xml:space="preserve">mint tentara </t>
  </si>
  <si>
    <t>ok sage 01</t>
  </si>
  <si>
    <t>full rb 06</t>
  </si>
  <si>
    <t>suply ocean</t>
  </si>
  <si>
    <t>full dead pool</t>
  </si>
  <si>
    <t>pk 03</t>
  </si>
  <si>
    <t>neoply kn jotol</t>
  </si>
  <si>
    <t>full iron man</t>
  </si>
  <si>
    <t>full astro</t>
  </si>
  <si>
    <t>m cabe pk 02</t>
  </si>
  <si>
    <t>d blue kelinci</t>
  </si>
  <si>
    <t>suply putih</t>
  </si>
  <si>
    <t>pk 04</t>
  </si>
  <si>
    <t>pk 02</t>
  </si>
  <si>
    <t>mneoply hitam</t>
  </si>
  <si>
    <t>rb 22</t>
  </si>
  <si>
    <t>kidletic hitan</t>
  </si>
  <si>
    <t>sage gajah</t>
  </si>
  <si>
    <t>mint tentara</t>
  </si>
  <si>
    <t>nama nia</t>
  </si>
  <si>
    <t xml:space="preserve">kicau mania </t>
  </si>
  <si>
    <t>kerut hitam love</t>
  </si>
  <si>
    <t>sage pk 01</t>
  </si>
  <si>
    <t>hitam syal 67</t>
  </si>
  <si>
    <t>full zoro</t>
  </si>
  <si>
    <t>full batman</t>
  </si>
  <si>
    <t>cream rjt</t>
  </si>
  <si>
    <t>fanta apple</t>
  </si>
  <si>
    <t>full rb 69</t>
  </si>
  <si>
    <t>full op luffy</t>
  </si>
  <si>
    <t>full rb astro</t>
  </si>
  <si>
    <t>full army rb king</t>
  </si>
  <si>
    <t>full dino rich</t>
  </si>
  <si>
    <t>krt bunny love</t>
  </si>
  <si>
    <t>hitam love</t>
  </si>
  <si>
    <t>hitam pk</t>
  </si>
  <si>
    <t>full deadpool</t>
  </si>
  <si>
    <t>full rb 22</t>
  </si>
  <si>
    <t>crop kicau</t>
  </si>
  <si>
    <t>telor</t>
  </si>
  <si>
    <t>neoply htam</t>
  </si>
  <si>
    <t>kicau cute pink</t>
  </si>
  <si>
    <t>neoplay cream</t>
  </si>
  <si>
    <t>cewe</t>
  </si>
  <si>
    <t>mbg bordir</t>
  </si>
  <si>
    <t>gajah cwo</t>
  </si>
  <si>
    <t>puldun rajut</t>
  </si>
  <si>
    <t>maskot</t>
  </si>
  <si>
    <t xml:space="preserve">mbg </t>
  </si>
  <si>
    <t>germany</t>
  </si>
  <si>
    <t xml:space="preserve">kicau </t>
  </si>
  <si>
    <t>GN</t>
  </si>
  <si>
    <t>tini</t>
  </si>
  <si>
    <t>rb 93</t>
  </si>
  <si>
    <t>rb 06</t>
  </si>
  <si>
    <t>gajah merdeka</t>
  </si>
  <si>
    <t>rb 99</t>
  </si>
  <si>
    <t>rb 69</t>
  </si>
  <si>
    <t>13/06/2026</t>
  </si>
  <si>
    <t>1</t>
  </si>
  <si>
    <t>Rp25,000</t>
  </si>
  <si>
    <t>Nama</t>
  </si>
  <si>
    <t>rb 00</t>
  </si>
  <si>
    <t>caw cute</t>
  </si>
  <si>
    <t>rb 96</t>
  </si>
  <si>
    <t>cing</t>
  </si>
  <si>
    <t>boy</t>
  </si>
  <si>
    <t>fin</t>
  </si>
  <si>
    <t>sbob</t>
  </si>
  <si>
    <t>waknk</t>
  </si>
  <si>
    <t>cewe baru</t>
  </si>
  <si>
    <t>late</t>
  </si>
  <si>
    <t>stitch</t>
  </si>
  <si>
    <t>kicau hiphop</t>
  </si>
  <si>
    <t>kidways putih</t>
  </si>
  <si>
    <t xml:space="preserve">kicau garis tangan </t>
  </si>
  <si>
    <t>super mario</t>
  </si>
  <si>
    <t>gen alpha club</t>
  </si>
  <si>
    <t>dtf mbg</t>
  </si>
  <si>
    <t>snoopy</t>
  </si>
  <si>
    <t>kidways hitam</t>
  </si>
  <si>
    <t>KICAU gang</t>
  </si>
  <si>
    <t>pokemon 05 oke</t>
  </si>
  <si>
    <t>miau time</t>
  </si>
  <si>
    <t>KICAU MANIA</t>
  </si>
  <si>
    <t xml:space="preserve">marvel </t>
  </si>
  <si>
    <t>tom and jerry</t>
  </si>
  <si>
    <t>taze new</t>
  </si>
  <si>
    <t>astronot</t>
  </si>
  <si>
    <t>gen alpha</t>
  </si>
  <si>
    <t>kicau cwe</t>
  </si>
  <si>
    <t>astoronot</t>
  </si>
  <si>
    <t>mbg baru</t>
  </si>
  <si>
    <t>tom &amp; jerri</t>
  </si>
  <si>
    <t>hiphop</t>
  </si>
  <si>
    <t>coolclub</t>
  </si>
  <si>
    <t>antronot</t>
  </si>
  <si>
    <t>kicaw cw</t>
  </si>
  <si>
    <t>kicaw geng</t>
  </si>
  <si>
    <t>truk putih</t>
  </si>
  <si>
    <t>truk hitam</t>
  </si>
  <si>
    <t>pokemon</t>
  </si>
  <si>
    <t>kicau gjh</t>
  </si>
  <si>
    <t>iced caramel</t>
  </si>
  <si>
    <t>milk tea</t>
  </si>
  <si>
    <t>marvel 5</t>
  </si>
  <si>
    <t>marvel 1</t>
  </si>
  <si>
    <t>cw baru</t>
  </si>
  <si>
    <t>garfil</t>
  </si>
  <si>
    <t>layout kemerdekaan</t>
  </si>
  <si>
    <t>karung</t>
  </si>
  <si>
    <t>geng</t>
  </si>
  <si>
    <t>kemerdekaan</t>
  </si>
  <si>
    <t>Hiphop</t>
  </si>
  <si>
    <t>astro roket</t>
  </si>
  <si>
    <t>astro bintang</t>
  </si>
  <si>
    <t>gajah kicau</t>
  </si>
  <si>
    <t>layout kemerdekaan A</t>
  </si>
  <si>
    <t>layout kemerdekaan B</t>
  </si>
  <si>
    <t>bus mbg</t>
  </si>
  <si>
    <t>kicau merdeka 2</t>
  </si>
  <si>
    <t>kicau merdeka 3</t>
  </si>
  <si>
    <t>borntwill</t>
  </si>
  <si>
    <t>go skate</t>
  </si>
  <si>
    <t>super mario 3d</t>
  </si>
  <si>
    <t>pokemon 4</t>
  </si>
  <si>
    <t>kicau mania gajah</t>
  </si>
  <si>
    <t>hip hop page 3</t>
  </si>
  <si>
    <t>kucing garis tangan</t>
  </si>
  <si>
    <t>kinder joy</t>
  </si>
  <si>
    <t xml:space="preserve">tom and jery </t>
  </si>
  <si>
    <t>kicau gang</t>
  </si>
  <si>
    <t>kicau swag</t>
  </si>
  <si>
    <t>kicau garis tangan</t>
  </si>
  <si>
    <t>kicau mania gang</t>
  </si>
  <si>
    <t xml:space="preserve">kicau gajah </t>
  </si>
  <si>
    <t>oreo salem</t>
  </si>
  <si>
    <t>naga pokemon</t>
  </si>
  <si>
    <t>hotwhlweels hitam</t>
  </si>
  <si>
    <t>worldcup</t>
  </si>
  <si>
    <t>minuman</t>
  </si>
  <si>
    <t>kicau mania pink</t>
  </si>
  <si>
    <t>NO 3</t>
  </si>
  <si>
    <t>Total Pemasukan</t>
  </si>
  <si>
    <t>Total Pengeluaran</t>
  </si>
  <si>
    <t>Laba/Rugi Bersih (Pemasukan - Pengeluaran)</t>
  </si>
  <si>
    <t>NOTE KEBANYAKAN STOK BAHAN BAKU BLAY</t>
  </si>
  <si>
    <t>STOK BAHAN BAKU</t>
  </si>
  <si>
    <t>SATUAN</t>
  </si>
  <si>
    <t>HARGA</t>
  </si>
  <si>
    <t>POWDER SOFT</t>
  </si>
  <si>
    <t>POWDER CRISTAL</t>
  </si>
  <si>
    <t>TINTA PUTIH</t>
  </si>
  <si>
    <t>TINTA CMYK</t>
  </si>
  <si>
    <t>PET FILM</t>
  </si>
  <si>
    <t>CLEANER</t>
  </si>
  <si>
    <t>SALDO TAHANAN</t>
  </si>
  <si>
    <t>TOTAL PEMASUKAN</t>
  </si>
  <si>
    <t>TOTAL PENGELUARAN</t>
  </si>
  <si>
    <t>SISA SALDO</t>
  </si>
  <si>
    <t>SALDO REALTIME</t>
  </si>
  <si>
    <t>SELISIH</t>
  </si>
  <si>
    <t>SISA BON 08 des - 14 des 2025</t>
  </si>
  <si>
    <t>SISA BON 1-6 NOV</t>
  </si>
  <si>
    <t>tokyo under 3</t>
  </si>
  <si>
    <t>pokemon 2</t>
  </si>
  <si>
    <t>pokemon 5</t>
  </si>
  <si>
    <t xml:space="preserve">go skate </t>
  </si>
  <si>
    <t>monster inc</t>
  </si>
  <si>
    <t>koko krunch</t>
  </si>
  <si>
    <t>rjt 04</t>
  </si>
  <si>
    <t>cabe pk 02</t>
  </si>
  <si>
    <t xml:space="preserve">hitam mt </t>
  </si>
  <si>
    <t>BOS Andris</t>
  </si>
  <si>
    <t>5m</t>
  </si>
  <si>
    <t>2m</t>
  </si>
  <si>
    <t>eqn</t>
  </si>
  <si>
    <t>htx</t>
  </si>
  <si>
    <t>sprh</t>
  </si>
  <si>
    <t>crp</t>
  </si>
  <si>
    <t>logo htx</t>
  </si>
  <si>
    <t>rename</t>
  </si>
  <si>
    <t>full navy galactus</t>
  </si>
  <si>
    <t>sage pk</t>
  </si>
  <si>
    <t>sull rb king</t>
  </si>
  <si>
    <t>army digatron</t>
  </si>
  <si>
    <t>merah cabe pk</t>
  </si>
  <si>
    <t>full rb cewek</t>
  </si>
  <si>
    <t>76 rb</t>
  </si>
  <si>
    <t>rb 60</t>
  </si>
  <si>
    <t>88 rb</t>
  </si>
  <si>
    <t>nailong</t>
  </si>
  <si>
    <t>salem ultra</t>
  </si>
  <si>
    <t>ultra milk</t>
  </si>
  <si>
    <t>surf city</t>
  </si>
  <si>
    <t>stich</t>
  </si>
  <si>
    <t>milo</t>
  </si>
  <si>
    <t>tokyo under 2</t>
  </si>
  <si>
    <t>skate stars</t>
  </si>
  <si>
    <t>chips ahoy</t>
  </si>
  <si>
    <t>salem oreo</t>
  </si>
  <si>
    <t>koinder joy</t>
  </si>
  <si>
    <t>hot wheels hitam</t>
  </si>
  <si>
    <t>pokemon 1</t>
  </si>
  <si>
    <t>born will</t>
  </si>
  <si>
    <t>full op zoro</t>
  </si>
  <si>
    <t>m cabe kongguan</t>
  </si>
  <si>
    <t>capyfun</t>
  </si>
  <si>
    <t>almond  wall</t>
  </si>
  <si>
    <t>full ironman</t>
  </si>
  <si>
    <t>full rb mint tentara</t>
  </si>
  <si>
    <t>D blue pk 4</t>
  </si>
  <si>
    <t>doraemon</t>
  </si>
  <si>
    <t>pita wangki</t>
  </si>
  <si>
    <t>nasa</t>
  </si>
  <si>
    <t>name</t>
  </si>
  <si>
    <t>NAVY BOY</t>
  </si>
  <si>
    <t>rbx smile</t>
  </si>
  <si>
    <t>car</t>
  </si>
  <si>
    <t>spider</t>
  </si>
  <si>
    <t>htx logo</t>
  </si>
  <si>
    <t>beko</t>
  </si>
  <si>
    <t>AMR 1</t>
  </si>
  <si>
    <t>hitam syal</t>
  </si>
  <si>
    <t>sage 67</t>
  </si>
  <si>
    <t>d blu mj</t>
  </si>
  <si>
    <t>ocean hot mt</t>
  </si>
  <si>
    <t>hitam pk 03</t>
  </si>
  <si>
    <t>hitam geprek</t>
  </si>
  <si>
    <t>kicau mania baru</t>
  </si>
  <si>
    <t>tokyo 3 under</t>
  </si>
  <si>
    <t>bunga</t>
  </si>
  <si>
    <t>mobil</t>
  </si>
  <si>
    <t>merah cabe pk 02</t>
  </si>
  <si>
    <t>d blu 67</t>
  </si>
  <si>
    <t>opc</t>
  </si>
  <si>
    <t>mint star mt</t>
  </si>
  <si>
    <t>merah cabe mc</t>
  </si>
  <si>
    <t>mint 88 rb</t>
  </si>
  <si>
    <t>pk hitam</t>
  </si>
  <si>
    <t>kucing kicau belang</t>
  </si>
  <si>
    <t>kucing kicau garis tangan</t>
  </si>
  <si>
    <t>kongguan</t>
  </si>
  <si>
    <t>spongebob friends</t>
  </si>
  <si>
    <t>hotwheels hitam</t>
  </si>
  <si>
    <t>hotwheels putih</t>
  </si>
  <si>
    <t>kicau mania 3</t>
  </si>
  <si>
    <t>bg 2</t>
  </si>
  <si>
    <t>oreo biru</t>
  </si>
  <si>
    <t>kicau mania garis tangan</t>
  </si>
  <si>
    <t>23 pink</t>
  </si>
  <si>
    <t>SUM of Total</t>
  </si>
  <si>
    <t>SUM of Qty</t>
  </si>
  <si>
    <t>anugrah indo print</t>
  </si>
  <si>
    <t>kabel,steker,colokan</t>
  </si>
  <si>
    <t>Tinta cmyk</t>
  </si>
  <si>
    <t>BCA</t>
  </si>
  <si>
    <t>kipas angin</t>
  </si>
  <si>
    <t>pet single</t>
  </si>
  <si>
    <t>Operasional</t>
  </si>
  <si>
    <t>cahaya terang</t>
  </si>
  <si>
    <t xml:space="preserve">ongkir dtf </t>
  </si>
  <si>
    <t>Ino Lite</t>
  </si>
  <si>
    <t>pdam listrik sawojajar</t>
  </si>
  <si>
    <t>Grand Total</t>
  </si>
  <si>
    <t>si mas</t>
  </si>
  <si>
    <t>Bahan Baku Total</t>
  </si>
  <si>
    <t>pak eko</t>
  </si>
  <si>
    <t>stop kontak</t>
  </si>
  <si>
    <t>PDAM,Listrik,DLL</t>
  </si>
  <si>
    <t>tagihan sawojajar</t>
  </si>
  <si>
    <t>Sawo Jajar</t>
  </si>
  <si>
    <t>CCTV</t>
  </si>
  <si>
    <t>SawoJajar eletronic</t>
  </si>
  <si>
    <t>SUM of 1</t>
  </si>
  <si>
    <t>SUM of Rp150.000</t>
  </si>
  <si>
    <t>SHOPPE</t>
  </si>
  <si>
    <t>bayaran epull</t>
  </si>
  <si>
    <t>teknisi</t>
  </si>
  <si>
    <t>bayaran reyza + admin</t>
  </si>
  <si>
    <t xml:space="preserve">print dtf luar </t>
  </si>
  <si>
    <t>Lain-lain Total</t>
  </si>
  <si>
    <t>Operasional Total</t>
  </si>
  <si>
    <t>PLN Total</t>
  </si>
  <si>
    <t>2026-07-06</t>
  </si>
  <si>
    <t>2026-05-15</t>
  </si>
  <si>
    <t>No. Bon</t>
  </si>
  <si>
    <t>DTF-20260706-001</t>
  </si>
  <si>
    <t>DTF-2026010511001</t>
  </si>
  <si>
    <t>Pelanggan</t>
  </si>
  <si>
    <t>SS+Nia</t>
  </si>
  <si>
    <t>deden</t>
  </si>
  <si>
    <t>Rincian Barang:</t>
  </si>
  <si>
    <t>No</t>
  </si>
  <si>
    <t>Print dtf</t>
  </si>
  <si>
    <t>dtf Nia</t>
  </si>
  <si>
    <t>2</t>
  </si>
  <si>
    <t>Dtf SS</t>
  </si>
  <si>
    <t>84.32</t>
  </si>
  <si>
    <t>No Rek : 3372278711 (BCA)</t>
  </si>
  <si>
    <t>Saepul Maulana</t>
  </si>
  <si>
    <t>Terima kasih atas pesanan Anda.</t>
  </si>
  <si>
    <t>Awe Print</t>
  </si>
  <si>
    <t>Bos Ogi</t>
  </si>
  <si>
    <t>print dtf</t>
  </si>
  <si>
    <t>AMR</t>
  </si>
  <si>
    <t>2026-06-29</t>
  </si>
  <si>
    <t>DTF-20260629-001</t>
  </si>
  <si>
    <t>Print Dtf</t>
  </si>
  <si>
    <t>listrik</t>
  </si>
  <si>
    <t>TOTAL BAYARAN 2 ORANG</t>
  </si>
  <si>
    <t>REYZA</t>
  </si>
  <si>
    <t>CUSTOM</t>
  </si>
  <si>
    <t xml:space="preserve"> Total</t>
  </si>
  <si>
    <t>Jenis Pengeluaran Total</t>
  </si>
  <si>
    <t>Nama komponen</t>
  </si>
  <si>
    <t>Stock Awal</t>
  </si>
  <si>
    <t>Harga Komponen</t>
  </si>
  <si>
    <t>Pembelian</t>
  </si>
  <si>
    <t>Stock akhir</t>
  </si>
  <si>
    <t>Pet film</t>
  </si>
  <si>
    <t>Tinta White</t>
  </si>
  <si>
    <t>Tinta CMYK</t>
  </si>
  <si>
    <t>Cleaner</t>
  </si>
  <si>
    <t>Gaji Karyawan</t>
  </si>
  <si>
    <t>Lain lain</t>
  </si>
  <si>
    <t>Teknisi Mesin</t>
  </si>
  <si>
    <t>Komponen</t>
  </si>
  <si>
    <t>Pemakaian</t>
  </si>
  <si>
    <t>Total Harga</t>
  </si>
  <si>
    <t>Rp/Meter</t>
  </si>
  <si>
    <t>KEMARIN</t>
  </si>
  <si>
    <t>Film PET</t>
  </si>
  <si>
    <t>Powder</t>
  </si>
  <si>
    <t>BAHAN BAKU</t>
  </si>
  <si>
    <t>GAJI + OPERASIONAL</t>
  </si>
  <si>
    <t>Hasil Cetak</t>
  </si>
  <si>
    <t>MANG CUN</t>
  </si>
  <si>
    <t>COST0M</t>
  </si>
  <si>
    <t>RIDWAN</t>
  </si>
  <si>
    <t>RONI</t>
  </si>
  <si>
    <t>COSTOM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</si>
</sst>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Rp-421]#,##0"/>
    <numFmt numFmtId="166" formatCode="[$Rp]#,##0"/>
    <numFmt numFmtId="167" formatCode="&quot;$&quot;#,##0.00"/>
    <numFmt numFmtId="168" formatCode="dd mm"/>
    <numFmt numFmtId="169" formatCode="yyyy-mm-dd"/>
    <numFmt numFmtId="170" formatCode="&quot;Rp&quot;#,##0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u/>
      <sz val="11.0"/>
      <color theme="1"/>
      <name val="Calibri"/>
    </font>
    <font>
      <b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b/>
      <sz val="13.0"/>
      <color theme="1"/>
      <name val="Calibri"/>
      <scheme val="minor"/>
    </font>
    <font>
      <b/>
      <sz val="14.0"/>
      <color theme="1"/>
      <name val="Calibri"/>
    </font>
    <font>
      <sz val="11.0"/>
      <color rgb="FF000000"/>
      <name val="Calibri"/>
    </font>
    <font>
      <b/>
      <color theme="1"/>
      <name val="Arial"/>
    </font>
    <font>
      <b/>
      <u/>
      <sz val="11.0"/>
      <color theme="1"/>
      <name val="Calibri"/>
    </font>
    <font>
      <b/>
      <color rgb="FFFFFFFF"/>
      <name val="Calibri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rgb="FFE8F0FE"/>
        <bgColor rgb="FFE8F0FE"/>
      </patternFill>
    </fill>
    <fill>
      <patternFill patternType="solid">
        <fgColor rgb="FFFFE6DD"/>
        <bgColor rgb="FFFFE6DD"/>
      </patternFill>
    </fill>
    <fill>
      <patternFill patternType="solid">
        <fgColor rgb="FFD9EAD3"/>
        <bgColor rgb="FFD9EAD3"/>
      </patternFill>
    </fill>
    <fill>
      <patternFill patternType="solid">
        <fgColor rgb="FF78909C"/>
        <bgColor rgb="FF78909C"/>
      </patternFill>
    </fill>
    <fill>
      <patternFill patternType="solid">
        <fgColor rgb="FFBBC8CE"/>
        <bgColor rgb="FFBBC8CE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EBEFF1"/>
        <bgColor rgb="FFEBEFF1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8BC34A"/>
        <bgColor rgb="FF8BC34A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C4E2A0"/>
        <bgColor rgb="FFC4E2A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164" xfId="0" applyAlignment="1" applyFill="1" applyFont="1" applyNumberFormat="1">
      <alignment horizontal="center" readingOrder="0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4" fontId="3" numFmtId="165" xfId="0" applyAlignment="1" applyFont="1" applyNumberFormat="1">
      <alignment horizontal="center" vertical="bottom"/>
    </xf>
    <xf borderId="0" fillId="4" fontId="4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2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3" numFmtId="165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4" fontId="2" numFmtId="0" xfId="0" applyAlignment="1" applyFont="1">
      <alignment horizontal="center"/>
    </xf>
    <xf borderId="0" fillId="2" fontId="3" numFmtId="164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top"/>
    </xf>
    <xf borderId="0" fillId="2" fontId="1" numFmtId="166" xfId="0" applyAlignment="1" applyFont="1" applyNumberFormat="1">
      <alignment horizontal="center" vertical="top"/>
    </xf>
    <xf borderId="0" fillId="2" fontId="1" numFmtId="0" xfId="0" applyAlignment="1" applyFont="1">
      <alignment horizontal="center" vertical="top"/>
    </xf>
    <xf borderId="0" fillId="5" fontId="1" numFmtId="0" xfId="0" applyAlignment="1" applyFill="1" applyFont="1">
      <alignment horizontal="center" readingOrder="0" vertical="top"/>
    </xf>
    <xf borderId="0" fillId="5" fontId="1" numFmtId="0" xfId="0" applyAlignment="1" applyFont="1">
      <alignment horizontal="center" vertical="top"/>
    </xf>
    <xf borderId="0" fillId="5" fontId="4" numFmtId="0" xfId="0" applyAlignment="1" applyFont="1">
      <alignment horizontal="center"/>
    </xf>
    <xf borderId="0" fillId="6" fontId="6" numFmtId="0" xfId="0" applyAlignment="1" applyFill="1" applyFont="1">
      <alignment horizontal="center" vertical="center"/>
    </xf>
    <xf borderId="0" fillId="5" fontId="4" numFmtId="0" xfId="0" applyAlignment="1" applyFont="1">
      <alignment horizontal="center"/>
    </xf>
    <xf borderId="1" fillId="7" fontId="1" numFmtId="0" xfId="0" applyAlignment="1" applyBorder="1" applyFill="1" applyFont="1">
      <alignment horizontal="center" vertical="top"/>
    </xf>
    <xf borderId="1" fillId="7" fontId="1" numFmtId="166" xfId="0" applyAlignment="1" applyBorder="1" applyFont="1" applyNumberFormat="1">
      <alignment horizontal="center" vertical="top"/>
    </xf>
    <xf borderId="1" fillId="7" fontId="1" numFmtId="165" xfId="0" applyAlignment="1" applyBorder="1" applyFont="1" applyNumberFormat="1">
      <alignment horizontal="center" vertical="top"/>
    </xf>
    <xf borderId="0" fillId="7" fontId="1" numFmtId="166" xfId="0" applyAlignment="1" applyFont="1" applyNumberFormat="1">
      <alignment horizontal="center" vertical="top"/>
    </xf>
    <xf borderId="0" fillId="7" fontId="1" numFmtId="164" xfId="0" applyAlignment="1" applyFont="1" applyNumberFormat="1">
      <alignment horizontal="center" readingOrder="0" vertical="top"/>
    </xf>
    <xf borderId="0" fillId="7" fontId="1" numFmtId="0" xfId="0" applyAlignment="1" applyFont="1">
      <alignment horizontal="center" readingOrder="0" vertical="top"/>
    </xf>
    <xf borderId="0" fillId="7" fontId="3" numFmtId="0" xfId="0" applyAlignment="1" applyFont="1">
      <alignment horizontal="center" readingOrder="0" vertical="bottom"/>
    </xf>
    <xf borderId="0" fillId="7" fontId="1" numFmtId="166" xfId="0" applyAlignment="1" applyFont="1" applyNumberFormat="1">
      <alignment horizontal="center" readingOrder="0" vertical="top"/>
    </xf>
    <xf borderId="0" fillId="7" fontId="3" numFmtId="165" xfId="0" applyAlignment="1" applyFont="1" applyNumberFormat="1">
      <alignment horizontal="center" vertical="bottom"/>
    </xf>
    <xf borderId="0" fillId="7" fontId="1" numFmtId="0" xfId="0" applyAlignment="1" applyFont="1">
      <alignment horizontal="center" vertical="top"/>
    </xf>
    <xf borderId="0" fillId="2" fontId="1" numFmtId="0" xfId="0" applyAlignment="1" applyFont="1">
      <alignment horizontal="center" vertical="top"/>
    </xf>
    <xf borderId="0" fillId="5" fontId="1" numFmtId="0" xfId="0" applyAlignment="1" applyFont="1">
      <alignment horizontal="center" vertical="top"/>
    </xf>
    <xf borderId="0" fillId="7" fontId="1" numFmtId="165" xfId="0" applyAlignment="1" applyFont="1" applyNumberFormat="1">
      <alignment horizontal="center" vertical="top"/>
    </xf>
    <xf borderId="0" fillId="7" fontId="1" numFmtId="165" xfId="0" applyAlignment="1" applyFont="1" applyNumberFormat="1">
      <alignment horizontal="center" readingOrder="0" vertical="bottom"/>
    </xf>
    <xf borderId="0" fillId="7" fontId="1" numFmtId="166" xfId="0" applyAlignment="1" applyFont="1" applyNumberFormat="1">
      <alignment horizontal="center" readingOrder="0" vertical="bottom"/>
    </xf>
    <xf borderId="0" fillId="7" fontId="7" numFmtId="0" xfId="0" applyAlignment="1" applyFon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7" fontId="2" numFmtId="0" xfId="0" applyFont="1"/>
    <xf borderId="0" fillId="8" fontId="3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166" xfId="0" applyAlignment="1" applyFont="1" applyNumberFormat="1">
      <alignment horizontal="center"/>
    </xf>
    <xf borderId="0" fillId="8" fontId="3" numFmtId="165" xfId="0" applyAlignment="1" applyFont="1" applyNumberFormat="1">
      <alignment horizontal="center" vertical="bottom"/>
    </xf>
    <xf borderId="0" fillId="0" fontId="7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1" numFmtId="164" xfId="0" applyAlignment="1" applyFont="1" applyNumberFormat="1">
      <alignment horizontal="center" readingOrder="0" vertical="top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9" fontId="4" numFmtId="166" xfId="0" applyAlignment="1" applyFill="1" applyFont="1" applyNumberFormat="1">
      <alignment horizontal="center"/>
    </xf>
    <xf borderId="0" fillId="8" fontId="3" numFmtId="166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2" fontId="3" numFmtId="166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8" fontId="1" numFmtId="0" xfId="0" applyAlignment="1" applyFont="1">
      <alignment horizontal="center" readingOrder="0" vertical="bottom"/>
    </xf>
    <xf borderId="0" fillId="8" fontId="3" numFmtId="166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/>
    </xf>
    <xf borderId="0" fillId="5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 vertical="center"/>
    </xf>
    <xf borderId="0" fillId="8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2" fontId="4" numFmtId="166" xfId="0" applyAlignment="1" applyFont="1" applyNumberFormat="1">
      <alignment horizontal="center"/>
    </xf>
    <xf borderId="0" fillId="2" fontId="4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8" numFmtId="0" xfId="0" applyAlignment="1" applyFon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10" numFmtId="166" xfId="0" applyAlignment="1" applyBorder="1" applyFont="1" applyNumberFormat="1">
      <alignment horizontal="center" readingOrder="0" vertical="center"/>
    </xf>
    <xf borderId="1" fillId="0" fontId="7" numFmtId="166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/>
    </xf>
    <xf borderId="1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1" fillId="10" fontId="1" numFmtId="165" xfId="0" applyAlignment="1" applyBorder="1" applyFont="1" applyNumberFormat="1">
      <alignment horizontal="center" vertical="center"/>
    </xf>
    <xf borderId="1" fillId="10" fontId="1" numFmtId="166" xfId="0" applyAlignment="1" applyBorder="1" applyFont="1" applyNumberFormat="1">
      <alignment horizontal="center" vertical="center"/>
    </xf>
    <xf borderId="0" fillId="0" fontId="2" numFmtId="0" xfId="0" applyFont="1"/>
    <xf borderId="0" fillId="2" fontId="2" numFmtId="0" xfId="0" applyFont="1"/>
    <xf borderId="0" fillId="2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 vertical="bottom"/>
    </xf>
    <xf borderId="0" fillId="4" fontId="3" numFmtId="164" xfId="0" applyAlignment="1" applyFont="1" applyNumberFormat="1">
      <alignment horizontal="center" readingOrder="0" vertical="bottom"/>
    </xf>
    <xf borderId="0" fillId="4" fontId="3" numFmtId="0" xfId="0" applyAlignment="1" applyFont="1">
      <alignment horizontal="center" readingOrder="0"/>
    </xf>
    <xf borderId="0" fillId="11" fontId="6" numFmtId="0" xfId="0" applyAlignment="1" applyFill="1" applyFont="1">
      <alignment horizontal="center" vertical="center"/>
    </xf>
    <xf borderId="0" fillId="11" fontId="6" numFmtId="0" xfId="0" applyAlignment="1" applyFont="1">
      <alignment vertical="center"/>
    </xf>
    <xf borderId="0" fillId="11" fontId="6" numFmtId="0" xfId="0" applyAlignment="1" applyFont="1">
      <alignment horizontal="center" vertical="center"/>
    </xf>
    <xf borderId="0" fillId="11" fontId="6" numFmtId="165" xfId="0" applyAlignment="1" applyFont="1" applyNumberFormat="1">
      <alignment horizontal="center" vertical="center"/>
    </xf>
    <xf borderId="0" fillId="11" fontId="6" numFmtId="166" xfId="0" applyAlignment="1" applyFont="1" applyNumberForma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6" numFmtId="0" xfId="0" applyAlignment="1" applyFont="1">
      <alignment vertical="center"/>
    </xf>
    <xf borderId="0" fillId="12" fontId="6" numFmtId="0" xfId="0" applyAlignment="1" applyFill="1" applyFont="1">
      <alignment horizontal="center" vertical="center"/>
    </xf>
    <xf borderId="0" fillId="12" fontId="6" numFmtId="165" xfId="0" applyAlignment="1" applyFont="1" applyNumberFormat="1">
      <alignment horizontal="center" vertical="center"/>
    </xf>
    <xf borderId="0" fillId="2" fontId="6" numFmtId="0" xfId="0" applyAlignment="1" applyFont="1">
      <alignment horizontal="center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6" numFmtId="166" xfId="0" applyAlignment="1" applyFont="1" applyNumberFormat="1">
      <alignment horizontal="center" vertical="center"/>
    </xf>
    <xf borderId="0" fillId="0" fontId="2" numFmtId="167" xfId="0" applyFont="1" applyNumberFormat="1"/>
    <xf borderId="0" fillId="3" fontId="6" numFmtId="0" xfId="0" applyAlignment="1" applyFont="1">
      <alignment horizontal="center" vertical="center"/>
    </xf>
    <xf borderId="0" fillId="3" fontId="6" numFmtId="0" xfId="0" applyAlignment="1" applyFont="1">
      <alignment vertical="center"/>
    </xf>
    <xf borderId="0" fillId="3" fontId="6" numFmtId="0" xfId="0" applyAlignment="1" applyFont="1">
      <alignment horizontal="center" vertical="center"/>
    </xf>
    <xf borderId="0" fillId="3" fontId="6" numFmtId="166" xfId="0" applyAlignment="1" applyFont="1" applyNumberFormat="1">
      <alignment horizontal="center" vertical="center"/>
    </xf>
    <xf borderId="0" fillId="2" fontId="6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3" numFmtId="164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4" fontId="2" numFmtId="0" xfId="0" applyFont="1"/>
    <xf borderId="0" fillId="2" fontId="3" numFmtId="164" xfId="0" applyAlignment="1" applyFont="1" applyNumberFormat="1">
      <alignment horizontal="center" readingOrder="0"/>
    </xf>
    <xf borderId="0" fillId="2" fontId="2" numFmtId="0" xfId="0" applyFont="1"/>
    <xf borderId="0" fillId="2" fontId="3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/>
    </xf>
    <xf borderId="0" fillId="3" fontId="3" numFmtId="164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3" fontId="3" numFmtId="165" xfId="0" applyAlignment="1" applyFont="1" applyNumberFormat="1">
      <alignment horizontal="center" vertical="bottom"/>
    </xf>
    <xf borderId="0" fillId="3" fontId="4" numFmtId="0" xfId="0" applyAlignment="1" applyFont="1">
      <alignment horizontal="center" shrinkToFit="0" vertical="center" wrapText="1"/>
    </xf>
    <xf borderId="0" fillId="0" fontId="2" numFmtId="165" xfId="0" applyFont="1" applyNumberFormat="1"/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/>
    </xf>
    <xf borderId="0" fillId="4" fontId="3" numFmtId="164" xfId="0" applyAlignment="1" applyFont="1" applyNumberFormat="1">
      <alignment horizontal="center" readingOrder="0" vertical="bottom"/>
    </xf>
    <xf borderId="0" fillId="2" fontId="3" numFmtId="165" xfId="0" applyAlignment="1" applyFont="1" applyNumberFormat="1">
      <alignment horizontal="center" readingOrder="0" vertical="bottom"/>
    </xf>
    <xf borderId="0" fillId="2" fontId="6" numFmtId="49" xfId="0" applyAlignment="1" applyFont="1" applyNumberFormat="1">
      <alignment horizontal="center" vertical="center"/>
    </xf>
    <xf borderId="0" fillId="2" fontId="6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0" fillId="13" fontId="3" numFmtId="164" xfId="0" applyAlignment="1" applyFill="1" applyFont="1" applyNumberFormat="1">
      <alignment horizontal="center" readingOrder="0" vertical="bottom"/>
    </xf>
    <xf borderId="0" fillId="13" fontId="3" numFmtId="0" xfId="0" applyAlignment="1" applyFont="1">
      <alignment horizontal="center" readingOrder="0" vertical="bottom"/>
    </xf>
    <xf borderId="0" fillId="13" fontId="3" numFmtId="0" xfId="0" applyAlignment="1" applyFont="1">
      <alignment horizontal="center" readingOrder="0"/>
    </xf>
    <xf borderId="0" fillId="13" fontId="3" numFmtId="165" xfId="0" applyAlignment="1" applyFont="1" applyNumberFormat="1">
      <alignment horizontal="center" vertical="bottom"/>
    </xf>
    <xf borderId="0" fillId="13" fontId="4" numFmtId="0" xfId="0" applyAlignment="1" applyFont="1">
      <alignment horizontal="center" vertical="center"/>
    </xf>
    <xf borderId="0" fillId="14" fontId="3" numFmtId="164" xfId="0" applyAlignment="1" applyFill="1" applyFont="1" applyNumberFormat="1">
      <alignment horizontal="center" readingOrder="0" vertical="bottom"/>
    </xf>
    <xf borderId="0" fillId="14" fontId="3" numFmtId="0" xfId="0" applyAlignment="1" applyFont="1">
      <alignment horizontal="center" readingOrder="0" vertical="bottom"/>
    </xf>
    <xf borderId="0" fillId="14" fontId="3" numFmtId="0" xfId="0" applyAlignment="1" applyFont="1">
      <alignment horizontal="center" readingOrder="0"/>
    </xf>
    <xf borderId="0" fillId="14" fontId="3" numFmtId="165" xfId="0" applyAlignment="1" applyFont="1" applyNumberFormat="1">
      <alignment horizontal="center" vertical="bottom"/>
    </xf>
    <xf borderId="0" fillId="14" fontId="4" numFmtId="0" xfId="0" applyAlignment="1" applyFont="1">
      <alignment horizontal="center" vertical="center"/>
    </xf>
    <xf borderId="0" fillId="14" fontId="3" numFmtId="164" xfId="0" applyAlignment="1" applyFont="1" applyNumberFormat="1">
      <alignment horizontal="center" vertical="bottom"/>
    </xf>
    <xf borderId="0" fillId="14" fontId="3" numFmtId="0" xfId="0" applyAlignment="1" applyFont="1">
      <alignment horizontal="center" vertical="bottom"/>
    </xf>
    <xf borderId="0" fillId="14" fontId="3" numFmtId="0" xfId="0" applyAlignment="1" applyFont="1">
      <alignment horizontal="center" vertical="bottom"/>
    </xf>
    <xf borderId="0" fillId="14" fontId="3" numFmtId="165" xfId="0" applyAlignment="1" applyFont="1" applyNumberFormat="1">
      <alignment horizontal="center"/>
    </xf>
    <xf borderId="0" fillId="2" fontId="3" numFmtId="165" xfId="0" applyAlignment="1" applyFont="1" applyNumberFormat="1">
      <alignment horizontal="center"/>
    </xf>
    <xf borderId="0" fillId="4" fontId="3" numFmtId="0" xfId="0" applyAlignment="1" applyFont="1">
      <alignment horizontal="center" vertical="bottom"/>
    </xf>
    <xf borderId="0" fillId="4" fontId="3" numFmtId="165" xfId="0" applyAlignment="1" applyFont="1" applyNumberFormat="1">
      <alignment horizontal="center"/>
    </xf>
    <xf borderId="0" fillId="4" fontId="4" numFmtId="164" xfId="0" applyAlignment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4" numFmtId="165" xfId="0" applyAlignment="1" applyFont="1" applyNumberFormat="1">
      <alignment horizontal="center" vertical="center"/>
    </xf>
    <xf borderId="0" fillId="4" fontId="4" numFmtId="166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bottom"/>
    </xf>
    <xf borderId="0" fillId="2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center"/>
    </xf>
    <xf borderId="0" fillId="4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4" fontId="1" numFmtId="0" xfId="0" applyAlignment="1" applyFont="1">
      <alignment horizontal="center" vertical="center"/>
    </xf>
    <xf borderId="0" fillId="2" fontId="2" numFmtId="0" xfId="0" applyAlignment="1" applyFont="1">
      <alignment readingOrder="0"/>
    </xf>
    <xf borderId="0" fillId="11" fontId="6" numFmtId="49" xfId="0" applyAlignment="1" applyFont="1" applyNumberFormat="1">
      <alignment horizontal="center" vertical="center"/>
    </xf>
    <xf borderId="0" fillId="2" fontId="2" numFmtId="166" xfId="0" applyFont="1" applyNumberFormat="1"/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165" xfId="0" applyAlignment="1" applyFont="1" applyNumberFormat="1">
      <alignment horizontal="center" vertical="bottom"/>
    </xf>
    <xf borderId="0" fillId="4" fontId="3" numFmtId="166" xfId="0" applyAlignment="1" applyFont="1" applyNumberFormat="1">
      <alignment horizontal="center" vertical="bottom"/>
    </xf>
    <xf borderId="0" fillId="4" fontId="3" numFmtId="0" xfId="0" applyAlignment="1" applyFont="1">
      <alignment horizontal="center"/>
    </xf>
    <xf borderId="0" fillId="10" fontId="3" numFmtId="164" xfId="0" applyAlignment="1" applyFont="1" applyNumberFormat="1">
      <alignment horizontal="center" readingOrder="0" vertical="bottom"/>
    </xf>
    <xf borderId="0" fillId="10" fontId="3" numFmtId="0" xfId="0" applyAlignment="1" applyFont="1">
      <alignment horizontal="center" readingOrder="0" vertical="bottom"/>
    </xf>
    <xf borderId="0" fillId="10" fontId="3" numFmtId="0" xfId="0" applyAlignment="1" applyFont="1">
      <alignment horizontal="center" readingOrder="0"/>
    </xf>
    <xf borderId="0" fillId="10" fontId="3" numFmtId="165" xfId="0" applyAlignment="1" applyFont="1" applyNumberFormat="1">
      <alignment horizontal="center" vertical="bottom"/>
    </xf>
    <xf borderId="0" fillId="10" fontId="3" numFmtId="166" xfId="0" applyAlignment="1" applyFont="1" applyNumberFormat="1">
      <alignment horizontal="center" vertical="bottom"/>
    </xf>
    <xf borderId="0" fillId="10" fontId="4" numFmtId="0" xfId="0" applyAlignment="1" applyFont="1">
      <alignment horizontal="center" vertical="center"/>
    </xf>
    <xf borderId="0" fillId="14" fontId="3" numFmtId="166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center"/>
    </xf>
    <xf borderId="0" fillId="2" fontId="3" numFmtId="0" xfId="0" applyAlignment="1" applyFont="1">
      <alignment horizontal="center"/>
    </xf>
    <xf borderId="0" fillId="2" fontId="4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/>
    </xf>
    <xf borderId="0" fillId="14" fontId="3" numFmtId="0" xfId="0" applyAlignment="1" applyFont="1">
      <alignment horizontal="center"/>
    </xf>
    <xf borderId="0" fillId="14" fontId="3" numFmtId="0" xfId="0" applyAlignment="1" applyFont="1">
      <alignment horizontal="center"/>
    </xf>
    <xf borderId="0" fillId="2" fontId="6" numFmtId="0" xfId="0" applyAlignment="1" applyFont="1">
      <alignment vertical="center"/>
    </xf>
    <xf borderId="0" fillId="2" fontId="6" numFmtId="165" xfId="0" applyAlignment="1" applyFont="1" applyNumberFormat="1">
      <alignment horizontal="center" vertical="center"/>
    </xf>
    <xf borderId="0" fillId="14" fontId="6" numFmtId="0" xfId="0" applyAlignment="1" applyFont="1">
      <alignment horizontal="center" vertical="center"/>
    </xf>
    <xf borderId="0" fillId="2" fontId="4" numFmtId="0" xfId="0" applyFont="1"/>
    <xf borderId="0" fillId="2" fontId="3" numFmtId="0" xfId="0" applyFont="1"/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0" fontId="2" numFmtId="0" xfId="0" applyFont="1"/>
    <xf borderId="0" fillId="0" fontId="4" numFmtId="0" xfId="0" applyFont="1"/>
    <xf borderId="0" fillId="10" fontId="1" numFmtId="0" xfId="0" applyAlignment="1" applyFont="1">
      <alignment horizontal="center" vertical="center"/>
    </xf>
    <xf borderId="0" fillId="2" fontId="4" numFmtId="0" xfId="0" applyFont="1"/>
    <xf borderId="0" fillId="2" fontId="3" numFmtId="164" xfId="0" applyAlignment="1" applyFont="1" applyNumberFormat="1">
      <alignment horizontal="center"/>
    </xf>
    <xf borderId="0" fillId="2" fontId="4" numFmtId="165" xfId="0" applyFont="1" applyNumberFormat="1"/>
    <xf borderId="0" fillId="2" fontId="4" numFmtId="0" xfId="0" applyAlignment="1" applyFont="1">
      <alignment horizontal="center" vertical="center"/>
    </xf>
    <xf borderId="0" fillId="2" fontId="4" numFmtId="166" xfId="0" applyAlignment="1" applyFont="1" applyNumberFormat="1">
      <alignment horizontal="center" vertical="center"/>
    </xf>
    <xf borderId="0" fillId="2" fontId="4" numFmtId="164" xfId="0" applyFont="1" applyNumberFormat="1"/>
    <xf borderId="0" fillId="2" fontId="3" numFmtId="164" xfId="0" applyAlignment="1" applyFont="1" applyNumberFormat="1">
      <alignment horizontal="right" vertical="bottom"/>
    </xf>
    <xf borderId="0" fillId="2" fontId="4" numFmtId="164" xfId="0" applyAlignment="1" applyFont="1" applyNumberFormat="1">
      <alignment horizontal="center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1" numFmtId="166" xfId="0" applyAlignment="1" applyFont="1" applyNumberFormat="1">
      <alignment horizontal="center"/>
    </xf>
    <xf borderId="0" fillId="2" fontId="3" numFmtId="0" xfId="0" applyAlignment="1" applyFont="1">
      <alignment horizontal="center" vertical="center"/>
    </xf>
    <xf borderId="0" fillId="2" fontId="4" numFmtId="168" xfId="0" applyAlignment="1" applyFont="1" applyNumberFormat="1">
      <alignment horizontal="center" vertical="center"/>
    </xf>
    <xf borderId="0" fillId="12" fontId="4" numFmtId="0" xfId="0" applyAlignment="1" applyFont="1">
      <alignment horizontal="center" vertical="center"/>
    </xf>
    <xf borderId="0" fillId="12" fontId="4" numFmtId="165" xfId="0" applyAlignment="1" applyFont="1" applyNumberFormat="1">
      <alignment horizontal="center" vertical="center"/>
    </xf>
    <xf borderId="0" fillId="12" fontId="3" numFmtId="165" xfId="0" applyAlignment="1" applyFont="1" applyNumberFormat="1">
      <alignment horizontal="center" readingOrder="0"/>
    </xf>
    <xf borderId="0" fillId="3" fontId="4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15" fontId="6" numFmtId="0" xfId="0" applyAlignment="1" applyFill="1" applyFont="1">
      <alignment horizontal="center" vertical="center"/>
    </xf>
    <xf borderId="1" fillId="10" fontId="1" numFmtId="0" xfId="0" applyAlignment="1" applyBorder="1" applyFont="1">
      <alignment horizontal="center"/>
    </xf>
    <xf borderId="1" fillId="10" fontId="1" numFmtId="165" xfId="0" applyAlignment="1" applyBorder="1" applyFont="1" applyNumberFormat="1">
      <alignment horizontal="center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3" numFmtId="166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2" fontId="3" numFmtId="0" xfId="0" applyFont="1"/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Font="1"/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4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0" xfId="0" applyFont="1"/>
    <xf borderId="0" fillId="15" fontId="2" numFmtId="0" xfId="0" applyAlignment="1" applyFont="1">
      <alignment horizontal="center"/>
    </xf>
    <xf borderId="0" fillId="15" fontId="2" numFmtId="0" xfId="0" applyFont="1"/>
    <xf borderId="0" fillId="16" fontId="6" numFmtId="169" xfId="0" applyAlignment="1" applyFill="1" applyFont="1" applyNumberFormat="1">
      <alignment horizontal="center"/>
    </xf>
    <xf borderId="0" fillId="17" fontId="1" numFmtId="169" xfId="0" applyAlignment="1" applyFill="1" applyFont="1" applyNumberFormat="1">
      <alignment horizontal="center" readingOrder="0" vertical="bottom"/>
    </xf>
    <xf borderId="0" fillId="16" fontId="6" numFmtId="169" xfId="0" applyAlignment="1" applyFont="1" applyNumberFormat="1">
      <alignment horizontal="center" readingOrder="0"/>
    </xf>
    <xf borderId="0" fillId="0" fontId="11" numFmtId="0" xfId="0" applyAlignment="1" applyFont="1">
      <alignment horizontal="center" shrinkToFit="0" wrapText="0"/>
    </xf>
    <xf borderId="0" fillId="0" fontId="4" numFmtId="0" xfId="0" applyFont="1"/>
    <xf borderId="0" fillId="0" fontId="3" numFmtId="0" xfId="0" applyAlignment="1" applyFont="1">
      <alignment horizontal="center" readingOrder="0" vertical="bottom"/>
    </xf>
    <xf borderId="0" fillId="0" fontId="12" numFmtId="0" xfId="0" applyAlignment="1" applyFont="1">
      <alignment horizontal="center" shrinkToFit="0" wrapText="0"/>
    </xf>
    <xf borderId="0" fillId="0" fontId="12" numFmtId="0" xfId="0" applyAlignment="1" applyFont="1">
      <alignment shrinkToFit="0" vertical="bottom" wrapText="0"/>
    </xf>
    <xf borderId="1" fillId="16" fontId="6" numFmtId="0" xfId="0" applyAlignment="1" applyBorder="1" applyFont="1">
      <alignment horizontal="center"/>
    </xf>
    <xf borderId="1" fillId="18" fontId="4" numFmtId="0" xfId="0" applyAlignment="1" applyBorder="1" applyFill="1" applyFont="1">
      <alignment horizontal="center"/>
    </xf>
    <xf borderId="0" fillId="19" fontId="6" numFmtId="0" xfId="0" applyAlignment="1" applyFill="1" applyFont="1">
      <alignment horizontal="center" readingOrder="0" vertical="center"/>
    </xf>
    <xf borderId="1" fillId="18" fontId="4" numFmtId="170" xfId="0" applyAlignment="1" applyBorder="1" applyFont="1" applyNumberFormat="1">
      <alignment horizontal="center"/>
    </xf>
    <xf borderId="1" fillId="18" fontId="4" numFmtId="170" xfId="0" applyBorder="1" applyFont="1" applyNumberFormat="1"/>
    <xf borderId="1" fillId="18" fontId="4" numFmtId="0" xfId="0" applyAlignment="1" applyBorder="1" applyFont="1">
      <alignment horizontal="center" readingOrder="0"/>
    </xf>
    <xf borderId="1" fillId="18" fontId="4" numFmtId="0" xfId="0" applyBorder="1" applyFont="1"/>
    <xf borderId="1" fillId="17" fontId="4" numFmtId="0" xfId="0" applyBorder="1" applyFont="1"/>
    <xf borderId="1" fillId="17" fontId="6" numFmtId="0" xfId="0" applyAlignment="1" applyBorder="1" applyFont="1">
      <alignment horizontal="center"/>
    </xf>
    <xf borderId="1" fillId="17" fontId="6" numFmtId="170" xfId="0" applyBorder="1" applyFont="1" applyNumberFormat="1"/>
    <xf borderId="1" fillId="17" fontId="13" numFmtId="170" xfId="0" applyAlignment="1" applyBorder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17" fontId="1" numFmtId="169" xfId="0" applyAlignment="1" applyFont="1" applyNumberFormat="1">
      <alignment horizontal="center" vertical="bottom"/>
    </xf>
    <xf borderId="0" fillId="0" fontId="1" numFmtId="0" xfId="0" applyAlignment="1" applyFont="1">
      <alignment horizontal="right" shrinkToFit="0" wrapText="0"/>
    </xf>
    <xf borderId="0" fillId="0" fontId="12" numFmtId="0" xfId="0" applyAlignment="1" applyFont="1">
      <alignment horizontal="right" shrinkToFit="0" vertical="bottom" wrapText="0"/>
    </xf>
    <xf borderId="0" fillId="0" fontId="2" numFmtId="170" xfId="0" applyFont="1" applyNumberFormat="1"/>
    <xf borderId="1" fillId="17" fontId="1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170" xfId="0" applyAlignment="1" applyBorder="1" applyFont="1" applyNumberFormat="1">
      <alignment horizontal="center" vertical="bottom"/>
    </xf>
    <xf borderId="1" fillId="20" fontId="3" numFmtId="0" xfId="0" applyAlignment="1" applyBorder="1" applyFill="1" applyFont="1">
      <alignment vertical="bottom"/>
    </xf>
    <xf borderId="1" fillId="20" fontId="3" numFmtId="0" xfId="0" applyAlignment="1" applyBorder="1" applyFont="1">
      <alignment horizontal="center" vertical="bottom"/>
    </xf>
    <xf borderId="1" fillId="17" fontId="3" numFmtId="0" xfId="0" applyAlignment="1" applyBorder="1" applyFont="1">
      <alignment vertical="bottom"/>
    </xf>
    <xf borderId="1" fillId="17" fontId="1" numFmtId="0" xfId="0" applyAlignment="1" applyBorder="1" applyFont="1">
      <alignment horizontal="center" vertical="bottom"/>
    </xf>
    <xf borderId="1" fillId="17" fontId="6" numFmtId="170" xfId="0" applyAlignment="1" applyBorder="1" applyFont="1" applyNumberFormat="1">
      <alignment horizontal="center"/>
    </xf>
    <xf borderId="0" fillId="0" fontId="3" numFmtId="3" xfId="0" applyAlignment="1" applyFont="1" applyNumberFormat="1">
      <alignment vertical="bottom"/>
    </xf>
    <xf borderId="1" fillId="2" fontId="3" numFmtId="0" xfId="0" applyAlignment="1" applyBorder="1" applyFont="1">
      <alignment readingOrder="0" vertical="bottom"/>
    </xf>
    <xf borderId="0" fillId="2" fontId="1" numFmtId="169" xfId="0" applyAlignment="1" applyFont="1" applyNumberFormat="1">
      <alignment horizontal="center" vertical="bottom"/>
    </xf>
    <xf borderId="0" fillId="2" fontId="6" numFmtId="169" xfId="0" applyAlignment="1" applyFont="1" applyNumberFormat="1">
      <alignment horizontal="center" readingOrder="0"/>
    </xf>
    <xf borderId="1" fillId="2" fontId="1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170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readingOrder="0" vertical="bottom"/>
    </xf>
    <xf borderId="1" fillId="2" fontId="3" numFmtId="170" xfId="0" applyAlignment="1" applyBorder="1" applyFont="1" applyNumberFormat="1">
      <alignment horizontal="center" readingOrder="0" vertical="bottom"/>
    </xf>
    <xf borderId="1" fillId="2" fontId="6" numFmtId="170" xfId="0" applyAlignment="1" applyBorder="1" applyFont="1" applyNumberFormat="1">
      <alignment horizontal="center"/>
    </xf>
    <xf borderId="0" fillId="0" fontId="4" numFmtId="165" xfId="0" applyFont="1" applyNumberFormat="1"/>
    <xf borderId="1" fillId="3" fontId="1" numFmtId="0" xfId="0" applyAlignment="1" applyBorder="1" applyFon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0"/>
    </xf>
    <xf borderId="0" fillId="4" fontId="4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9" fontId="3" numFmtId="166" xfId="0" applyAlignment="1" applyFont="1" applyNumberFormat="1">
      <alignment horizontal="center" vertical="bottom"/>
    </xf>
    <xf borderId="0" fillId="0" fontId="6" numFmtId="0" xfId="0" applyFont="1"/>
    <xf borderId="0" fillId="0" fontId="6" numFmtId="165" xfId="0" applyFont="1" applyNumberFormat="1"/>
    <xf borderId="1" fillId="0" fontId="6" numFmtId="0" xfId="0" applyBorder="1" applyFont="1"/>
    <xf borderId="0" fillId="8" fontId="3" numFmtId="166" xfId="0" applyAlignment="1" applyFont="1" applyNumberFormat="1">
      <alignment horizontal="center" readingOrder="0"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165" xfId="0" applyBorder="1" applyFont="1" applyNumberFormat="1"/>
    <xf borderId="0" fillId="5" fontId="3" numFmtId="0" xfId="0" applyAlignment="1" applyFont="1">
      <alignment horizontal="center" vertical="bottom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0" xfId="0" applyAlignment="1" applyFont="1">
      <alignment horizontal="center" readingOrder="0" vertical="center"/>
    </xf>
    <xf borderId="0" fillId="21" fontId="14" numFmtId="0" xfId="0" applyAlignment="1" applyFill="1" applyFont="1">
      <alignment horizontal="center"/>
    </xf>
    <xf borderId="0" fillId="21" fontId="3" numFmtId="0" xfId="0" applyFont="1"/>
    <xf borderId="0" fillId="21" fontId="3" numFmtId="165" xfId="0" applyFont="1" applyNumberFormat="1"/>
    <xf borderId="0" fillId="21" fontId="1" numFmtId="165" xfId="0" applyAlignment="1" applyFont="1" applyNumberFormat="1">
      <alignment horizontal="center"/>
    </xf>
    <xf borderId="0" fillId="21" fontId="3" numFmtId="0" xfId="0" applyAlignment="1" applyFont="1">
      <alignment vertical="top"/>
    </xf>
    <xf borderId="0" fillId="21" fontId="3" numFmtId="166" xfId="0" applyAlignment="1" applyFont="1" applyNumberFormat="1">
      <alignment vertical="top"/>
    </xf>
    <xf borderId="0" fillId="2" fontId="3" numFmtId="0" xfId="0" applyAlignment="1" applyFont="1">
      <alignment vertical="top"/>
    </xf>
    <xf borderId="1" fillId="2" fontId="1" numFmtId="0" xfId="0" applyAlignment="1" applyBorder="1" applyFont="1">
      <alignment horizontal="center" vertical="top"/>
    </xf>
    <xf borderId="1" fillId="2" fontId="1" numFmtId="165" xfId="0" applyAlignment="1" applyBorder="1" applyFont="1" applyNumberFormat="1">
      <alignment horizontal="center" vertical="top"/>
    </xf>
    <xf borderId="0" fillId="2" fontId="3" numFmtId="166" xfId="0" applyAlignment="1" applyFont="1" applyNumberFormat="1">
      <alignment vertical="top"/>
    </xf>
    <xf borderId="0" fillId="2" fontId="3" numFmtId="0" xfId="0" applyAlignment="1" applyFont="1">
      <alignment vertical="top"/>
    </xf>
    <xf borderId="0" fillId="2" fontId="1" numFmtId="0" xfId="0" applyAlignment="1" applyFont="1">
      <alignment horizontal="center" vertical="top"/>
    </xf>
    <xf borderId="0" fillId="2" fontId="3" numFmtId="166" xfId="0" applyAlignment="1" applyFont="1" applyNumberFormat="1">
      <alignment horizontal="center" readingOrder="0" vertical="bottom"/>
    </xf>
    <xf borderId="0" fillId="9" fontId="4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9" fontId="4" numFmtId="165" xfId="0" applyAlignment="1" applyFont="1" applyNumberFormat="1">
      <alignment horizontal="center"/>
    </xf>
    <xf borderId="0" fillId="5" fontId="4" numFmtId="0" xfId="0" applyAlignment="1" applyFont="1">
      <alignment horizontal="center"/>
    </xf>
    <xf borderId="0" fillId="22" fontId="3" numFmtId="164" xfId="0" applyAlignment="1" applyFill="1" applyFont="1" applyNumberFormat="1">
      <alignment horizontal="center" readingOrder="0" vertical="bottom"/>
    </xf>
    <xf borderId="0" fillId="22" fontId="3" numFmtId="0" xfId="0" applyAlignment="1" applyFont="1">
      <alignment horizontal="center" readingOrder="0" vertical="bottom"/>
    </xf>
    <xf borderId="0" fillId="22" fontId="3" numFmtId="0" xfId="0" applyAlignment="1" applyFont="1">
      <alignment horizontal="center" readingOrder="0"/>
    </xf>
    <xf borderId="0" fillId="22" fontId="3" numFmtId="165" xfId="0" applyAlignment="1" applyFont="1" applyNumberFormat="1">
      <alignment horizontal="center" vertical="bottom"/>
    </xf>
    <xf borderId="0" fillId="22" fontId="4" numFmtId="0" xfId="0" applyAlignment="1" applyFont="1">
      <alignment horizontal="center" vertical="center"/>
    </xf>
    <xf borderId="0" fillId="22" fontId="4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0" fillId="0" fontId="2" numFmtId="0" xfId="0" applyFont="1"/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/>
    </xf>
    <xf borderId="1" fillId="0" fontId="3" numFmtId="170" xfId="0" applyAlignment="1" applyBorder="1" applyFont="1" applyNumberFormat="1">
      <alignment horizontal="center" vertical="bottom"/>
    </xf>
    <xf borderId="0" fillId="0" fontId="2" numFmtId="166" xfId="0" applyFont="1" applyNumberFormat="1"/>
    <xf borderId="1" fillId="0" fontId="3" numFmtId="165" xfId="0" applyAlignment="1" applyBorder="1" applyFont="1" applyNumberFormat="1">
      <alignment horizontal="center" vertical="bottom"/>
    </xf>
    <xf borderId="0" fillId="23" fontId="2" numFmtId="166" xfId="0" applyFill="1" applyFont="1" applyNumberFormat="1"/>
    <xf borderId="0" fillId="23" fontId="2" numFmtId="0" xfId="0" applyAlignment="1" applyFont="1">
      <alignment readingOrder="0"/>
    </xf>
    <xf borderId="1" fillId="0" fontId="7" numFmtId="0" xfId="0" applyAlignment="1" applyBorder="1" applyFont="1">
      <alignment horizontal="center"/>
    </xf>
    <xf borderId="1" fillId="0" fontId="1" numFmtId="170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/>
    </xf>
    <xf borderId="0" fillId="16" fontId="2" numFmtId="166" xfId="0" applyFont="1" applyNumberFormat="1"/>
    <xf borderId="1" fillId="0" fontId="2" numFmtId="170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1" xfId="0" applyFont="1" applyNumberFormat="1"/>
    <xf borderId="0" fillId="24" fontId="3" numFmtId="164" xfId="0" applyAlignment="1" applyFill="1" applyFont="1" applyNumberFormat="1">
      <alignment horizontal="center" readingOrder="0" vertical="bottom"/>
    </xf>
    <xf borderId="0" fillId="24" fontId="3" numFmtId="0" xfId="0" applyAlignment="1" applyFont="1">
      <alignment horizontal="center" readingOrder="0" vertical="bottom"/>
    </xf>
    <xf borderId="0" fillId="24" fontId="3" numFmtId="0" xfId="0" applyAlignment="1" applyFont="1">
      <alignment horizontal="center" readingOrder="0"/>
    </xf>
    <xf borderId="0" fillId="24" fontId="3" numFmtId="165" xfId="0" applyAlignment="1" applyFont="1" applyNumberFormat="1">
      <alignment horizontal="center" vertical="bottom"/>
    </xf>
    <xf borderId="0" fillId="24" fontId="4" numFmtId="0" xfId="0" applyAlignment="1" applyFont="1">
      <alignment horizontal="center" vertical="center"/>
    </xf>
    <xf borderId="0" fillId="24" fontId="4" numFmtId="0" xfId="0" applyAlignment="1" applyFont="1">
      <alignment horizontal="center" vertical="center"/>
    </xf>
    <xf borderId="0" fillId="24" fontId="3" numFmtId="0" xfId="0" applyAlignment="1" applyFont="1">
      <alignment horizontal="center" readingOrder="0" vertical="center"/>
    </xf>
    <xf borderId="0" fillId="25" fontId="3" numFmtId="164" xfId="0" applyAlignment="1" applyFill="1" applyFont="1" applyNumberFormat="1">
      <alignment horizontal="center" readingOrder="0" vertical="bottom"/>
    </xf>
    <xf borderId="0" fillId="25" fontId="3" numFmtId="0" xfId="0" applyAlignment="1" applyFont="1">
      <alignment horizontal="center" readingOrder="0" vertical="bottom"/>
    </xf>
    <xf borderId="0" fillId="25" fontId="3" numFmtId="0" xfId="0" applyAlignment="1" applyFont="1">
      <alignment horizontal="center" readingOrder="0"/>
    </xf>
    <xf borderId="0" fillId="25" fontId="3" numFmtId="165" xfId="0" applyAlignment="1" applyFont="1" applyNumberFormat="1">
      <alignment horizontal="center" vertical="bottom"/>
    </xf>
    <xf borderId="0" fillId="25" fontId="4" numFmtId="0" xfId="0" applyAlignment="1" applyFont="1">
      <alignment horizontal="center" vertical="center"/>
    </xf>
    <xf borderId="2" fillId="0" fontId="15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/>
    </xf>
    <xf borderId="3" fillId="0" fontId="15" numFmtId="165" xfId="0" applyAlignment="1" applyBorder="1" applyFont="1" applyNumberFormat="1">
      <alignment horizontal="center" readingOrder="0"/>
    </xf>
    <xf borderId="3" fillId="0" fontId="15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6" fillId="0" fontId="2" numFmtId="165" xfId="0" applyAlignment="1" applyBorder="1" applyFont="1" applyNumberFormat="1">
      <alignment readingOrder="0"/>
    </xf>
    <xf borderId="6" fillId="0" fontId="2" numFmtId="0" xfId="0" applyBorder="1" applyFont="1"/>
    <xf borderId="7" fillId="0" fontId="2" numFmtId="0" xfId="0" applyBorder="1" applyFont="1"/>
    <xf borderId="6" fillId="0" fontId="2" numFmtId="166" xfId="0" applyAlignment="1" applyBorder="1" applyFont="1" applyNumberFormat="1">
      <alignment readingOrder="0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BC8CE"/>
          <bgColor rgb="FFBBC8CE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</dxfs>
  <tableStyles count="146">
    <tableStyle count="3" pivot="0" name="pengeluaran sawojajar-style">
      <tableStyleElement dxfId="2" type="headerRow"/>
      <tableStyleElement dxfId="3" type="firstRowStripe"/>
      <tableStyleElement dxfId="4" type="secondRowStripe"/>
    </tableStyle>
    <tableStyle count="3" pivot="0" name="Pengeluaran-style">
      <tableStyleElement dxfId="2" type="headerRow"/>
      <tableStyleElement dxfId="3" type="firstRowStripe"/>
      <tableStyleElement dxfId="4" type="secondRowStripe"/>
    </tableStyle>
    <tableStyle count="3" pivot="0" name="ATK-style">
      <tableStyleElement dxfId="5" type="headerRow"/>
      <tableStyleElement dxfId="3" type="firstRowStripe"/>
      <tableStyleElement dxfId="6" type="secondRowStripe"/>
    </tableStyle>
    <tableStyle count="3" pivot="0" name="Bon SS-style">
      <tableStyleElement dxfId="7" type="headerRow"/>
      <tableStyleElement dxfId="3" type="firstRowStripe"/>
      <tableStyleElement dxfId="8" type="secondRowStripe"/>
    </tableStyle>
    <tableStyle count="3" pivot="0" name="Bon SS-style 2">
      <tableStyleElement dxfId="7" type="headerRow"/>
      <tableStyleElement dxfId="3" type="firstRowStripe"/>
      <tableStyleElement dxfId="8" type="secondRowStripe"/>
    </tableStyle>
    <tableStyle count="2" pivot="0" name="Bon SS-style 3">
      <tableStyleElement dxfId="9" type="firstRowStripe"/>
      <tableStyleElement dxfId="3" type="secondRowStripe"/>
    </tableStyle>
    <tableStyle count="2" pivot="0" name="Bon SS-style 4">
      <tableStyleElement dxfId="3" type="firstRowStripe"/>
      <tableStyleElement dxfId="9" type="secondRowStripe"/>
    </tableStyle>
    <tableStyle count="2" pivot="0" name="Bon SS-style 5">
      <tableStyleElement dxfId="9" type="firstRowStripe"/>
      <tableStyleElement dxfId="3" type="secondRowStripe"/>
    </tableStyle>
    <tableStyle count="2" pivot="0" name="Bon SS-style 6">
      <tableStyleElement dxfId="9" type="firstRowStripe"/>
      <tableStyleElement dxfId="3" type="secondRowStripe"/>
    </tableStyle>
    <tableStyle count="2" pivot="0" name="Bon SS-style 7">
      <tableStyleElement dxfId="3" type="firstRowStripe"/>
      <tableStyleElement dxfId="9" type="secondRowStripe"/>
    </tableStyle>
    <tableStyle count="2" pivot="0" name="Bon SS-style 8">
      <tableStyleElement dxfId="9" type="firstRowStripe"/>
      <tableStyleElement dxfId="3" type="secondRowStripe"/>
    </tableStyle>
    <tableStyle count="2" pivot="0" name="Bon SS-style 9">
      <tableStyleElement dxfId="9" type="firstRowStripe"/>
      <tableStyleElement dxfId="3" type="secondRowStripe"/>
    </tableStyle>
    <tableStyle count="2" pivot="0" name="Bon SS-style 10">
      <tableStyleElement dxfId="3" type="firstRowStripe"/>
      <tableStyleElement dxfId="9" type="secondRowStripe"/>
    </tableStyle>
    <tableStyle count="2" pivot="0" name="Bon SS-style 11">
      <tableStyleElement dxfId="9" type="firstRowStripe"/>
      <tableStyleElement dxfId="3" type="secondRowStripe"/>
    </tableStyle>
    <tableStyle count="2" pivot="0" name="Bon SS-style 12">
      <tableStyleElement dxfId="3" type="firstRowStripe"/>
      <tableStyleElement dxfId="9" type="secondRowStripe"/>
    </tableStyle>
    <tableStyle count="2" pivot="0" name="Bon SS-style 13">
      <tableStyleElement dxfId="9" type="firstRowStripe"/>
      <tableStyleElement dxfId="3" type="secondRowStripe"/>
    </tableStyle>
    <tableStyle count="2" pivot="0" name="Bon SS-style 14">
      <tableStyleElement dxfId="9" type="firstRowStripe"/>
      <tableStyleElement dxfId="3" type="secondRowStripe"/>
    </tableStyle>
    <tableStyle count="2" pivot="0" name="NIA-style">
      <tableStyleElement dxfId="9" type="firstRowStripe"/>
      <tableStyleElement dxfId="3" type="secondRowStripe"/>
    </tableStyle>
    <tableStyle count="2" pivot="0" name="NIA-style 2">
      <tableStyleElement dxfId="9" type="firstRowStripe"/>
      <tableStyleElement dxfId="3" type="secondRowStripe"/>
    </tableStyle>
    <tableStyle count="2" pivot="0" name="NIA-style 3">
      <tableStyleElement dxfId="3" type="firstRowStripe"/>
      <tableStyleElement dxfId="9" type="secondRowStripe"/>
    </tableStyle>
    <tableStyle count="4" pivot="0" name="Bon AMR-style">
      <tableStyleElement dxfId="7" type="headerRow"/>
      <tableStyleElement dxfId="3" type="firstRowStripe"/>
      <tableStyleElement dxfId="8" type="secondRowStripe"/>
      <tableStyleElement dxfId="10" type="totalRow"/>
    </tableStyle>
    <tableStyle count="2" pivot="0" name="Bon AMR-style 2">
      <tableStyleElement dxfId="3" type="firstRowStripe"/>
      <tableStyleElement dxfId="9" type="secondRowStripe"/>
    </tableStyle>
    <tableStyle count="3" pivot="0" name="Bon AMR-style 3">
      <tableStyleElement dxfId="11" type="headerRow"/>
      <tableStyleElement dxfId="3" type="firstRowStripe"/>
      <tableStyleElement dxfId="12" type="secondRowStripe"/>
    </tableStyle>
    <tableStyle count="2" pivot="0" name="Bon AMR-style 4">
      <tableStyleElement dxfId="9" type="firstRowStripe"/>
      <tableStyleElement dxfId="3" type="secondRowStripe"/>
    </tableStyle>
    <tableStyle count="2" pivot="0" name="Bon AMR-style 5">
      <tableStyleElement dxfId="3" type="firstRowStripe"/>
      <tableStyleElement dxfId="9" type="secondRowStripe"/>
    </tableStyle>
    <tableStyle count="3" pivot="0" name="Bon AMR-style 6">
      <tableStyleElement dxfId="7" type="headerRow"/>
      <tableStyleElement dxfId="3" type="firstRowStripe"/>
      <tableStyleElement dxfId="8" type="secondRowStripe"/>
    </tableStyle>
    <tableStyle count="2" pivot="0" name="Bon AMR-style 7">
      <tableStyleElement dxfId="3" type="firstRowStripe"/>
      <tableStyleElement dxfId="9" type="secondRowStripe"/>
    </tableStyle>
    <tableStyle count="3" pivot="0" name="Bon AMR-style 8">
      <tableStyleElement dxfId="7" type="headerRow"/>
      <tableStyleElement dxfId="3" type="firstRowStripe"/>
      <tableStyleElement dxfId="8" type="secondRowStripe"/>
    </tableStyle>
    <tableStyle count="2" pivot="0" name="Bon AMR-style 9">
      <tableStyleElement dxfId="8" type="firstRowStripe"/>
      <tableStyleElement dxfId="3" type="secondRowStripe"/>
    </tableStyle>
    <tableStyle count="3" pivot="0" name="Bon AMR-style 10">
      <tableStyleElement dxfId="7" type="headerRow"/>
      <tableStyleElement dxfId="3" type="firstRowStripe"/>
      <tableStyleElement dxfId="8" type="secondRowStripe"/>
    </tableStyle>
    <tableStyle count="2" pivot="0" name="Bon AMR-style 11">
      <tableStyleElement dxfId="3" type="firstRowStripe"/>
      <tableStyleElement dxfId="8" type="secondRowStripe"/>
    </tableStyle>
    <tableStyle count="2" pivot="0" name="Bon AMR-style 12">
      <tableStyleElement dxfId="3" type="firstRowStripe"/>
      <tableStyleElement dxfId="8" type="secondRowStripe"/>
    </tableStyle>
    <tableStyle count="2" pivot="0" name="Bon AMR-style 13">
      <tableStyleElement dxfId="3" type="firstRowStripe"/>
      <tableStyleElement dxfId="8" type="secondRowStripe"/>
    </tableStyle>
    <tableStyle count="2" pivot="0" name="Bon AMR-style 14">
      <tableStyleElement dxfId="3" type="firstRowStripe"/>
      <tableStyleElement dxfId="8" type="secondRowStripe"/>
    </tableStyle>
    <tableStyle count="2" pivot="0" name="Bon AMR-style 15">
      <tableStyleElement dxfId="8" type="firstRowStripe"/>
      <tableStyleElement dxfId="3" type="secondRowStripe"/>
    </tableStyle>
    <tableStyle count="2" pivot="0" name="Bon AMR-style 16">
      <tableStyleElement dxfId="3" type="firstRowStripe"/>
      <tableStyleElement dxfId="8" type="secondRowStripe"/>
    </tableStyle>
    <tableStyle count="2" pivot="0" name="Bon AMR-style 17">
      <tableStyleElement dxfId="3" type="firstRowStripe"/>
      <tableStyleElement dxfId="8" type="secondRowStripe"/>
    </tableStyle>
    <tableStyle count="2" pivot="0" name="Bon AMR-style 18">
      <tableStyleElement dxfId="3" type="firstRowStripe"/>
      <tableStyleElement dxfId="8" type="secondRowStripe"/>
    </tableStyle>
    <tableStyle count="2" pivot="0" name="Bon AMR-style 19">
      <tableStyleElement dxfId="8" type="firstRowStripe"/>
      <tableStyleElement dxfId="3" type="secondRowStripe"/>
    </tableStyle>
    <tableStyle count="2" pivot="0" name="Bon AMR-style 20">
      <tableStyleElement dxfId="8" type="firstRowStripe"/>
      <tableStyleElement dxfId="3" type="secondRowStripe"/>
    </tableStyle>
    <tableStyle count="2" pivot="0" name="Bon AMR-style 21">
      <tableStyleElement dxfId="3" type="firstRowStripe"/>
      <tableStyleElement dxfId="8" type="secondRowStripe"/>
    </tableStyle>
    <tableStyle count="3" pivot="0" name="Bon AMR-style 22">
      <tableStyleElement dxfId="7" type="headerRow"/>
      <tableStyleElement dxfId="3" type="firstRowStripe"/>
      <tableStyleElement dxfId="8" type="secondRowStripe"/>
    </tableStyle>
    <tableStyle count="2" pivot="0" name="Bon AMR-style 23">
      <tableStyleElement dxfId="3" type="firstRowStripe"/>
      <tableStyleElement dxfId="8" type="secondRowStripe"/>
    </tableStyle>
    <tableStyle count="2" pivot="0" name="Bon AMR-style 24">
      <tableStyleElement dxfId="3" type="firstRowStripe"/>
      <tableStyleElement dxfId="8" type="secondRowStripe"/>
    </tableStyle>
    <tableStyle count="3" pivot="0" name="Bon AMR-style 25">
      <tableStyleElement dxfId="7" type="headerRow"/>
      <tableStyleElement dxfId="3" type="firstRowStripe"/>
      <tableStyleElement dxfId="8" type="secondRowStripe"/>
    </tableStyle>
    <tableStyle count="2" pivot="0" name="Bon AMR-style 26">
      <tableStyleElement dxfId="3" type="firstRowStripe"/>
      <tableStyleElement dxfId="8" type="secondRowStripe"/>
    </tableStyle>
    <tableStyle count="2" pivot="0" name="Bon AMR-style 27">
      <tableStyleElement dxfId="3" type="firstRowStripe"/>
      <tableStyleElement dxfId="8" type="secondRowStripe"/>
    </tableStyle>
    <tableStyle count="2" pivot="0" name="Bon AMR-style 28">
      <tableStyleElement dxfId="3" type="firstRowStripe"/>
      <tableStyleElement dxfId="8" type="secondRowStripe"/>
    </tableStyle>
    <tableStyle count="2" pivot="0" name="Bon AMR-style 29">
      <tableStyleElement dxfId="3" type="firstRowStripe"/>
      <tableStyleElement dxfId="8" type="secondRowStripe"/>
    </tableStyle>
    <tableStyle count="2" pivot="0" name="Bon AMR-style 30">
      <tableStyleElement dxfId="3" type="firstRowStripe"/>
      <tableStyleElement dxfId="8" type="secondRowStripe"/>
    </tableStyle>
    <tableStyle count="2" pivot="0" name="Bon AMR-style 31">
      <tableStyleElement dxfId="3" type="firstRowStripe"/>
      <tableStyleElement dxfId="8" type="secondRowStripe"/>
    </tableStyle>
    <tableStyle count="2" pivot="0" name="Bon AMR-style 32">
      <tableStyleElement dxfId="3" type="firstRowStripe"/>
      <tableStyleElement dxfId="8" type="secondRowStripe"/>
    </tableStyle>
    <tableStyle count="2" pivot="0" name="Bon AMR-style 33">
      <tableStyleElement dxfId="3" type="firstRowStripe"/>
      <tableStyleElement dxfId="8" type="secondRowStripe"/>
    </tableStyle>
    <tableStyle count="2" pivot="0" name="Bon AMR-style 34">
      <tableStyleElement dxfId="8" type="firstRowStripe"/>
      <tableStyleElement dxfId="3" type="secondRowStripe"/>
    </tableStyle>
    <tableStyle count="2" pivot="0" name="Bon AMR-style 35">
      <tableStyleElement dxfId="8" type="firstRowStripe"/>
      <tableStyleElement dxfId="3" type="secondRowStripe"/>
    </tableStyle>
    <tableStyle count="2" pivot="0" name="Bon AMR-style 36">
      <tableStyleElement dxfId="3" type="firstRowStripe"/>
      <tableStyleElement dxfId="8" type="secondRowStripe"/>
    </tableStyle>
    <tableStyle count="2" pivot="0" name="Bon AMR-style 37">
      <tableStyleElement dxfId="3" type="firstRowStripe"/>
      <tableStyleElement dxfId="8" type="secondRowStripe"/>
    </tableStyle>
    <tableStyle count="2" pivot="0" name="Bon AMR-style 38">
      <tableStyleElement dxfId="3" type="firstRowStripe"/>
      <tableStyleElement dxfId="8" type="secondRowStripe"/>
    </tableStyle>
    <tableStyle count="2" pivot="0" name="Bon AMR-style 39">
      <tableStyleElement dxfId="3" type="firstRowStripe"/>
      <tableStyleElement dxfId="8" type="secondRowStripe"/>
    </tableStyle>
    <tableStyle count="2" pivot="0" name="Bon AMR-style 40">
      <tableStyleElement dxfId="3" type="firstRowStripe"/>
      <tableStyleElement dxfId="8" type="secondRowStripe"/>
    </tableStyle>
    <tableStyle count="2" pivot="0" name="Bon AMR-style 41">
      <tableStyleElement dxfId="9" type="firstRowStripe"/>
      <tableStyleElement dxfId="3" type="secondRowStripe"/>
    </tableStyle>
    <tableStyle count="2" pivot="0" name="Bon AMR-style 42">
      <tableStyleElement dxfId="8" type="firstRowStripe"/>
      <tableStyleElement dxfId="3" type="secondRowStripe"/>
    </tableStyle>
    <tableStyle count="2" pivot="0" name="Bon AMR-style 43">
      <tableStyleElement dxfId="3" type="firstRowStripe"/>
      <tableStyleElement dxfId="8" type="secondRowStripe"/>
    </tableStyle>
    <tableStyle count="2" pivot="0" name="Bon AMR-style 44">
      <tableStyleElement dxfId="8" type="firstRowStripe"/>
      <tableStyleElement dxfId="3" type="secondRowStripe"/>
    </tableStyle>
    <tableStyle count="2" pivot="0" name="Bon AMR-style 45">
      <tableStyleElement dxfId="8" type="firstRowStripe"/>
      <tableStyleElement dxfId="3" type="secondRowStripe"/>
    </tableStyle>
    <tableStyle count="2" pivot="0" name="Bon AMR-style 46">
      <tableStyleElement dxfId="3" type="firstRowStripe"/>
      <tableStyleElement dxfId="9" type="secondRowStripe"/>
    </tableStyle>
    <tableStyle count="2" pivot="0" name="Bon AMR-style 47">
      <tableStyleElement dxfId="3" type="firstRowStripe"/>
      <tableStyleElement dxfId="9" type="secondRowStripe"/>
    </tableStyle>
    <tableStyle count="2" pivot="0" name="Bon AMR-style 48">
      <tableStyleElement dxfId="3" type="firstRowStripe"/>
      <tableStyleElement dxfId="8" type="secondRowStripe"/>
    </tableStyle>
    <tableStyle count="2" pivot="0" name="Bon AMR-style 49">
      <tableStyleElement dxfId="8" type="firstRowStripe"/>
      <tableStyleElement dxfId="3" type="secondRowStripe"/>
    </tableStyle>
    <tableStyle count="2" pivot="0" name="Bon AMR-style 50">
      <tableStyleElement dxfId="3" type="firstRowStripe"/>
      <tableStyleElement dxfId="8" type="secondRowStripe"/>
    </tableStyle>
    <tableStyle count="2" pivot="0" name="Bon AMR-style 51">
      <tableStyleElement dxfId="8" type="firstRowStripe"/>
      <tableStyleElement dxfId="3" type="secondRowStripe"/>
    </tableStyle>
    <tableStyle count="2" pivot="0" name="Bon AMR-style 52">
      <tableStyleElement dxfId="3" type="firstRowStripe"/>
      <tableStyleElement dxfId="8" type="secondRowStripe"/>
    </tableStyle>
    <tableStyle count="2" pivot="0" name="Bon AMR-style 53">
      <tableStyleElement dxfId="8" type="firstRowStripe"/>
      <tableStyleElement dxfId="3" type="secondRowStripe"/>
    </tableStyle>
    <tableStyle count="2" pivot="0" name="Bon AMR-style 54">
      <tableStyleElement dxfId="3" type="firstRowStripe"/>
      <tableStyleElement dxfId="8" type="secondRowStripe"/>
    </tableStyle>
    <tableStyle count="2" pivot="0" name="Bon AMR-style 55">
      <tableStyleElement dxfId="8" type="firstRowStripe"/>
      <tableStyleElement dxfId="3" type="secondRowStripe"/>
    </tableStyle>
    <tableStyle count="2" pivot="0" name="Bon AMR-style 56">
      <tableStyleElement dxfId="9" type="firstRowStripe"/>
      <tableStyleElement dxfId="3" type="secondRowStripe"/>
    </tableStyle>
    <tableStyle count="2" pivot="0" name="Bon AMR-style 57">
      <tableStyleElement dxfId="3" type="firstRowStripe"/>
      <tableStyleElement dxfId="9" type="secondRowStripe"/>
    </tableStyle>
    <tableStyle count="2" pivot="0" name="Bon AMR-style 58">
      <tableStyleElement dxfId="3" type="firstRowStripe"/>
      <tableStyleElement dxfId="9" type="secondRowStripe"/>
    </tableStyle>
    <tableStyle count="2" pivot="0" name="Bon AMR-style 59">
      <tableStyleElement dxfId="3" type="firstRowStripe"/>
      <tableStyleElement dxfId="8" type="secondRowStripe"/>
    </tableStyle>
    <tableStyle count="2" pivot="0" name="Bon AMR-style 60">
      <tableStyleElement dxfId="3" type="firstRowStripe"/>
      <tableStyleElement dxfId="8" type="secondRowStripe"/>
    </tableStyle>
    <tableStyle count="2" pivot="0" name="Bon AMR-style 61">
      <tableStyleElement dxfId="3" type="firstRowStripe"/>
      <tableStyleElement dxfId="8" type="secondRowStripe"/>
    </tableStyle>
    <tableStyle count="2" pivot="0" name="Bon AMR-style 62">
      <tableStyleElement dxfId="3" type="firstRowStripe"/>
      <tableStyleElement dxfId="9" type="secondRowStripe"/>
    </tableStyle>
    <tableStyle count="2" pivot="0" name="Bon AMR-style 63">
      <tableStyleElement dxfId="3" type="firstRowStripe"/>
      <tableStyleElement dxfId="8" type="secondRowStripe"/>
    </tableStyle>
    <tableStyle count="2" pivot="0" name="Bon AMR-style 64">
      <tableStyleElement dxfId="3" type="firstRowStripe"/>
      <tableStyleElement dxfId="8" type="secondRowStripe"/>
    </tableStyle>
    <tableStyle count="2" pivot="0" name="Bon AMR-style 65">
      <tableStyleElement dxfId="3" type="firstRowStripe"/>
      <tableStyleElement dxfId="8" type="secondRowStripe"/>
    </tableStyle>
    <tableStyle count="2" pivot="0" name="Bon AMR-style 66">
      <tableStyleElement dxfId="3" type="firstRowStripe"/>
      <tableStyleElement dxfId="8" type="secondRowStripe"/>
    </tableStyle>
    <tableStyle count="2" pivot="0" name="Bon AMR-style 67">
      <tableStyleElement dxfId="3" type="firstRowStripe"/>
      <tableStyleElement dxfId="8" type="secondRowStripe"/>
    </tableStyle>
    <tableStyle count="2" pivot="0" name="Bon AMR-style 68">
      <tableStyleElement dxfId="3" type="firstRowStripe"/>
      <tableStyleElement dxfId="8" type="secondRowStripe"/>
    </tableStyle>
    <tableStyle count="2" pivot="0" name="Bon AMR-style 69">
      <tableStyleElement dxfId="3" type="firstRowStripe"/>
      <tableStyleElement dxfId="8" type="secondRowStripe"/>
    </tableStyle>
    <tableStyle count="2" pivot="0" name="Bon AMR-style 70">
      <tableStyleElement dxfId="3" type="firstRowStripe"/>
      <tableStyleElement dxfId="8" type="secondRowStripe"/>
    </tableStyle>
    <tableStyle count="2" pivot="0" name="Bon AMR-style 71">
      <tableStyleElement dxfId="3" type="firstRowStripe"/>
      <tableStyleElement dxfId="8" type="secondRowStripe"/>
    </tableStyle>
    <tableStyle count="2" pivot="0" name="Bon AMR-style 72">
      <tableStyleElement dxfId="3" type="firstRowStripe"/>
      <tableStyleElement dxfId="8" type="secondRowStripe"/>
    </tableStyle>
    <tableStyle count="2" pivot="0" name="Bon AMR-style 73">
      <tableStyleElement dxfId="3" type="firstRowStripe"/>
      <tableStyleElement dxfId="8" type="secondRowStripe"/>
    </tableStyle>
    <tableStyle count="2" pivot="0" name="Bon AMR-style 74">
      <tableStyleElement dxfId="3" type="firstRowStripe"/>
      <tableStyleElement dxfId="8" type="secondRowStripe"/>
    </tableStyle>
    <tableStyle count="2" pivot="0" name="Bon AMR-style 75">
      <tableStyleElement dxfId="3" type="firstRowStripe"/>
      <tableStyleElement dxfId="8" type="secondRowStripe"/>
    </tableStyle>
    <tableStyle count="2" pivot="0" name="Bon AMR-style 76">
      <tableStyleElement dxfId="3" type="firstRowStripe"/>
      <tableStyleElement dxfId="8" type="secondRowStripe"/>
    </tableStyle>
    <tableStyle count="2" pivot="0" name="Bon AMR-style 77">
      <tableStyleElement dxfId="3" type="firstRowStripe"/>
      <tableStyleElement dxfId="8" type="secondRowStripe"/>
    </tableStyle>
    <tableStyle count="2" pivot="0" name="Bon AMR-style 78">
      <tableStyleElement dxfId="3" type="firstRowStripe"/>
      <tableStyleElement dxfId="8" type="secondRowStripe"/>
    </tableStyle>
    <tableStyle count="2" pivot="0" name="Bon AMR-style 79">
      <tableStyleElement dxfId="3" type="firstRowStripe"/>
      <tableStyleElement dxfId="8" type="secondRowStripe"/>
    </tableStyle>
    <tableStyle count="2" pivot="0" name="Bon AMR-style 80">
      <tableStyleElement dxfId="3" type="firstRowStripe"/>
      <tableStyleElement dxfId="8" type="secondRowStripe"/>
    </tableStyle>
    <tableStyle count="2" pivot="0" name="Bon AMR-style 81">
      <tableStyleElement dxfId="3" type="firstRowStripe"/>
      <tableStyleElement dxfId="8" type="secondRowStripe"/>
    </tableStyle>
    <tableStyle count="2" pivot="0" name="Bon AMR-style 82">
      <tableStyleElement dxfId="3" type="firstRowStripe"/>
      <tableStyleElement dxfId="8" type="secondRowStripe"/>
    </tableStyle>
    <tableStyle count="2" pivot="0" name="Bon AMR-style 83">
      <tableStyleElement dxfId="3" type="firstRowStripe"/>
      <tableStyleElement dxfId="8" type="secondRowStripe"/>
    </tableStyle>
    <tableStyle count="2" pivot="0" name="Bon AMR-style 84">
      <tableStyleElement dxfId="8" type="firstRowStripe"/>
      <tableStyleElement dxfId="3" type="secondRowStripe"/>
    </tableStyle>
    <tableStyle count="2" pivot="0" name="Bon AMR-style 85">
      <tableStyleElement dxfId="3" type="firstRowStripe"/>
      <tableStyleElement dxfId="8" type="secondRowStripe"/>
    </tableStyle>
    <tableStyle count="2" pivot="0" name="Bon AMR-style 86">
      <tableStyleElement dxfId="3" type="firstRowStripe"/>
      <tableStyleElement dxfId="8" type="secondRowStripe"/>
    </tableStyle>
    <tableStyle count="2" pivot="0" name="Bon AMR-style 87">
      <tableStyleElement dxfId="3" type="firstRowStripe"/>
      <tableStyleElement dxfId="8" type="secondRowStripe"/>
    </tableStyle>
    <tableStyle count="2" pivot="0" name="Bon AMR-style 88">
      <tableStyleElement dxfId="3" type="firstRowStripe"/>
      <tableStyleElement dxfId="8" type="secondRowStripe"/>
    </tableStyle>
    <tableStyle count="2" pivot="0" name="Bon AMR-style 89">
      <tableStyleElement dxfId="3" type="firstRowStripe"/>
      <tableStyleElement dxfId="8" type="secondRowStripe"/>
    </tableStyle>
    <tableStyle count="2" pivot="0" name="Bon AMR-style 90">
      <tableStyleElement dxfId="3" type="firstRowStripe"/>
      <tableStyleElement dxfId="8" type="secondRowStripe"/>
    </tableStyle>
    <tableStyle count="2" pivot="0" name="Bon AMR-style 91">
      <tableStyleElement dxfId="3" type="firstRowStripe"/>
      <tableStyleElement dxfId="8" type="secondRowStripe"/>
    </tableStyle>
    <tableStyle count="2" pivot="0" name="Bon AMR-style 92">
      <tableStyleElement dxfId="3" type="firstRowStripe"/>
      <tableStyleElement dxfId="8" type="secondRowStripe"/>
    </tableStyle>
    <tableStyle count="2" pivot="0" name="Bon AMR-style 93">
      <tableStyleElement dxfId="8" type="firstRowStripe"/>
      <tableStyleElement dxfId="3" type="secondRowStripe"/>
    </tableStyle>
    <tableStyle count="2" pivot="0" name="Bon AMR-style 94">
      <tableStyleElement dxfId="3" type="firstRowStripe"/>
      <tableStyleElement dxfId="8" type="secondRowStripe"/>
    </tableStyle>
    <tableStyle count="2" pivot="0" name="Bon AMR-style 95">
      <tableStyleElement dxfId="3" type="firstRowStripe"/>
      <tableStyleElement dxfId="8" type="secondRowStripe"/>
    </tableStyle>
    <tableStyle count="2" pivot="0" name="Bon AMR-style 96">
      <tableStyleElement dxfId="3" type="firstRowStripe"/>
      <tableStyleElement dxfId="8" type="secondRowStripe"/>
    </tableStyle>
    <tableStyle count="2" pivot="0" name="Bon AMR-style 97">
      <tableStyleElement dxfId="3" type="firstRowStripe"/>
      <tableStyleElement dxfId="8" type="secondRowStripe"/>
    </tableStyle>
    <tableStyle count="2" pivot="0" name="Bon AMR-style 98">
      <tableStyleElement dxfId="3" type="firstRowStripe"/>
      <tableStyleElement dxfId="8" type="secondRowStripe"/>
    </tableStyle>
    <tableStyle count="3" pivot="0" name="BOS OGI-style">
      <tableStyleElement dxfId="7" type="headerRow"/>
      <tableStyleElement dxfId="3" type="firstRowStripe"/>
      <tableStyleElement dxfId="8" type="secondRowStripe"/>
    </tableStyle>
    <tableStyle count="2" pivot="0" name="BOS OGI-style 2">
      <tableStyleElement dxfId="3" type="firstRowStripe"/>
      <tableStyleElement dxfId="9" type="secondRowStripe"/>
    </tableStyle>
    <tableStyle count="2" pivot="0" name="BOS OGI-style 3">
      <tableStyleElement dxfId="9" type="firstRowStripe"/>
      <tableStyleElement dxfId="3" type="secondRowStripe"/>
    </tableStyle>
    <tableStyle count="3" pivot="0" name="BOS OGI-style 4">
      <tableStyleElement dxfId="13" type="headerRow"/>
      <tableStyleElement dxfId="3" type="firstRowStripe"/>
      <tableStyleElement dxfId="9" type="secondRowStripe"/>
    </tableStyle>
    <tableStyle count="2" pivot="0" name="BOS OGI-style 5">
      <tableStyleElement dxfId="9" type="firstRowStripe"/>
      <tableStyleElement dxfId="3" type="secondRowStripe"/>
    </tableStyle>
    <tableStyle count="2" pivot="0" name="BOS OGI-style 6">
      <tableStyleElement dxfId="9" type="firstRowStripe"/>
      <tableStyleElement dxfId="3" type="secondRowStripe"/>
    </tableStyle>
    <tableStyle count="2" pivot="0" name="BOS OGI-style 7">
      <tableStyleElement dxfId="9" type="firstRowStripe"/>
      <tableStyleElement dxfId="3" type="secondRowStripe"/>
    </tableStyle>
    <tableStyle count="2" pivot="0" name="BOS OGI-style 8">
      <tableStyleElement dxfId="9" type="firstRowStripe"/>
      <tableStyleElement dxfId="3" type="secondRowStripe"/>
    </tableStyle>
    <tableStyle count="2" pivot="0" name="BOS OGI-style 9">
      <tableStyleElement dxfId="9" type="firstRowStripe"/>
      <tableStyleElement dxfId="3" type="secondRowStripe"/>
    </tableStyle>
    <tableStyle count="4" pivot="0" name="Template Bon-style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2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3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4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5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6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7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8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9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10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11">
      <tableStyleElement dxfId="14" type="headerRow"/>
      <tableStyleElement dxfId="3" type="firstRowStripe"/>
      <tableStyleElement dxfId="15" type="secondRowStripe"/>
      <tableStyleElement dxfId="16" type="totalRow"/>
    </tableStyle>
    <tableStyle count="4" pivot="0" name="Template Bon-style 12">
      <tableStyleElement dxfId="14" type="headerRow"/>
      <tableStyleElement dxfId="3" type="firstRowStripe"/>
      <tableStyleElement dxfId="15" type="secondRowStripe"/>
      <tableStyleElement dxfId="16" type="totalRow"/>
    </tableStyle>
    <tableStyle count="3" pivot="0" name="CLOSING-style">
      <tableStyleElement dxfId="2" type="headerRow"/>
      <tableStyleElement dxfId="3" type="firstRowStripe"/>
      <tableStyleElement dxfId="4" type="secondRowStripe"/>
    </tableStyle>
    <tableStyle count="3" pivot="0" name="CLOSING-style 2">
      <tableStyleElement dxfId="13" type="headerRow"/>
      <tableStyleElement dxfId="3" type="firstRowStripe"/>
      <tableStyleElement dxfId="9" type="secondRowStripe"/>
    </tableStyle>
    <tableStyle count="3" pivot="0" name="CLOSING-style 3">
      <tableStyleElement dxfId="13" type="headerRow"/>
      <tableStyleElement dxfId="3" type="firstRowStripe"/>
      <tableStyleElement dxfId="9" type="secondRowStripe"/>
    </tableStyle>
    <tableStyle count="3" pivot="0" name="CLOSING-style 4">
      <tableStyleElement dxfId="9" type="headerRow"/>
      <tableStyleElement dxfId="3" type="firstRowStripe"/>
      <tableStyleElement dxfId="9" type="secondRowStripe"/>
    </tableStyle>
    <tableStyle count="3" pivot="0" name="Detail11-bayaran epull-style">
      <tableStyleElement dxfId="18" type="headerRow"/>
      <tableStyleElement dxfId="8" type="firstRowStripe"/>
      <tableStyleElement dxfId="3" type="secondRowStripe"/>
    </tableStyle>
    <tableStyle count="3" pivot="0" name="Detail10-style">
      <tableStyleElement dxfId="18" type="headerRow"/>
      <tableStyleElement dxfId="8" type="firstRowStripe"/>
      <tableStyleElement dxfId="3" type="secondRowStripe"/>
    </tableStyle>
    <tableStyle count="3" pivot="0" name="Detail9-style">
      <tableStyleElement dxfId="18" type="headerRow"/>
      <tableStyleElement dxfId="8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22" Type="http://customschemas.google.com/relationships/workbookmetadata" Target="metadata"/><Relationship Id="rId21" Type="http://schemas.openxmlformats.org/officeDocument/2006/relationships/pivotCacheDefinition" Target="pivotCache/pivotCacheDefinition3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2:Q44" sheet="CLOSING"/>
  </cacheSource>
  <cacheFields>
    <cacheField name="Tanggal" numFmtId="164">
      <sharedItems containsSemiMixedTypes="0" containsDate="1" containsString="0"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5T00:00:00Z"/>
        <d v="2026-06-26T00:00:00Z"/>
        <d v="2026-06-29T00:00:00Z"/>
        <d v="2026-06-30T00:00:00Z"/>
        <d v="2026-07-02T00:00:00Z"/>
        <d v="2026-07-03T00:00:00Z"/>
        <d v="2026-07-04T00:00:00Z"/>
        <d v="2026-07-05T00:00:00Z"/>
      </sharedItems>
    </cacheField>
    <cacheField name="NO BON" numFmtId="0">
      <sharedItems containsString="0" containsBlank="1" containsNumber="1" containsInteger="1">
        <n v="1.0"/>
        <m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</sharedItems>
    </cacheField>
    <cacheField name="Jenis Pengeluaran" numFmtId="0">
      <sharedItems>
        <s v="Bahan Baku"/>
        <s v="PLN"/>
        <s v="Lain-lain"/>
        <s v="Operasional"/>
      </sharedItems>
    </cacheField>
    <cacheField name="Rincian" numFmtId="0">
      <sharedItems>
        <s v="tinta putih"/>
        <s v="Tinta cmyk"/>
        <s v="pet single"/>
        <s v="powder"/>
        <s v="Listrik"/>
        <s v="print dtf luar "/>
        <s v="ongkir dtf "/>
        <s v="bayaran reyza + admin"/>
        <s v="bayaran epull"/>
        <s v="atk"/>
        <s v="kabel,steker,colokan"/>
        <s v="CCTV"/>
        <s v="ongkir bahan baku"/>
        <s v="tagihan sawojajar"/>
        <s v="pdam listrik sawojajar"/>
        <s v="si mas"/>
        <s v="stop kontak"/>
        <s v="kipas angin"/>
      </sharedItems>
    </cacheField>
    <cacheField name="Qty" numFmtId="0">
      <sharedItems containsSemiMixedTypes="0" containsString="0" containsNumber="1" containsInteger="1">
        <n v="20.0"/>
        <n v="7.0"/>
        <n v="6.0"/>
        <n v="1.0"/>
        <n v="46.0"/>
        <n v="2.0"/>
        <n v="5.0"/>
        <n v="4.0"/>
      </sharedItems>
    </cacheField>
    <cacheField name="Harga Satuan" numFmtId="165">
      <sharedItems containsSemiMixedTypes="0" containsString="0" containsNumber="1" containsInteger="1">
        <n v="225000.0"/>
        <n v="210000.0"/>
        <n v="550000.0"/>
        <n v="80000.0"/>
        <n v="201900.0"/>
        <n v="30000.0"/>
        <n v="1278000.0"/>
        <n v="702500.0"/>
        <n v="750000.0"/>
        <n v="100000.0"/>
        <n v="115000.0"/>
        <n v="526500.0"/>
        <n v="255000.0"/>
        <n v="60000.0"/>
        <n v="326347.0"/>
        <n v="39000.0"/>
        <n v="899882.0"/>
        <n v="200000.0"/>
        <n v="43000.0"/>
        <n v="367900.0"/>
      </sharedItems>
    </cacheField>
    <cacheField name="Total" numFmtId="165">
      <sharedItems containsSemiMixedTypes="0" containsString="0" containsNumber="1" containsInteger="1">
        <n v="4500000.0"/>
        <n v="1470000.0"/>
        <n v="3300000.0"/>
        <n v="1600000.0"/>
        <n v="201900.0"/>
        <n v="1380000.0"/>
        <n v="30000.0"/>
        <n v="1278000.0"/>
        <n v="702500.0"/>
        <n v="750000.0"/>
        <n v="100000.0"/>
        <n v="115000.0"/>
        <n v="1053000.0"/>
        <n v="1275000.0"/>
        <n v="2200000.0"/>
        <n v="60000.0"/>
        <n v="326347.0"/>
        <n v="403800.0"/>
        <n v="39000.0"/>
        <n v="899882.0"/>
        <n v="200000.0"/>
        <n v="43000.0"/>
        <n v="367900.0"/>
      </sharedItems>
    </cacheField>
    <cacheField name="Keterangan" numFmtId="0">
      <sharedItems>
        <s v="Ino Lite"/>
        <s v="PLN"/>
        <s v="anugrah indo print"/>
        <s v="pak eko"/>
        <s v="BCA"/>
        <s v="SawoJajar eletronic"/>
        <s v="SHOPPE"/>
        <s v="KS"/>
        <s v="PDAM,Listrik,DLL"/>
        <s v="Sawo Jajar"/>
        <s v="teknisi"/>
        <s v="cahaya tera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52:Q66" sheet="CLOSING"/>
  </cacheSource>
  <cacheFields>
    <cacheField name="08/06/2026" numFmtId="164">
      <sharedItems containsDate="1" containsString="0" containsBlank="1">
        <d v="2026-06-08T00:00:00Z"/>
        <d v="2026-06-09T00:00:00Z"/>
        <d v="2026-06-10T00:00:00Z"/>
        <m/>
      </sharedItems>
    </cacheField>
    <cacheField name="2" numFmtId="0">
      <sharedItems containsString="0" containsBlank="1" containsNumber="1" containsInteger="1">
        <n v="3.0"/>
        <n v="4.0"/>
        <n v="5.0"/>
        <n v="6.0"/>
        <n v="7.0"/>
        <n v="8.0"/>
        <m/>
      </sharedItems>
    </cacheField>
    <cacheField name="Lain-lain" numFmtId="0">
      <sharedItems containsBlank="1">
        <s v="Lain-lain"/>
        <m/>
      </sharedItems>
    </cacheField>
    <cacheField name="ongkos supir" numFmtId="0">
      <sharedItems containsBlank="1">
        <s v="makan supir+teknisi"/>
        <s v="steker broco"/>
        <s v=" stop kontak"/>
        <s v="benerin mcb+ongkos"/>
        <s v="blower"/>
        <s v="makan teknisi"/>
        <m/>
      </sharedItems>
    </cacheField>
    <cacheField name="1" numFmtId="0">
      <sharedItems containsString="0" containsBlank="1" containsNumber="1" containsInteger="1">
        <n v="3.0"/>
        <n v="2.0"/>
        <n v="1.0"/>
        <m/>
      </sharedItems>
    </cacheField>
    <cacheField name="Rp150,000" numFmtId="165">
      <sharedItems containsString="0" containsBlank="1" containsNumber="1" containsInteger="1">
        <n v="18000.0"/>
        <n v="12000.0"/>
        <n v="24000.0"/>
        <n v="470000.0"/>
        <n v="668309.0"/>
        <n v="30000.0"/>
        <m/>
      </sharedItems>
    </cacheField>
    <cacheField name="rp150,0002" numFmtId="165">
      <sharedItems containsString="0" containsBlank="1" containsNumber="1" containsInteger="1">
        <n v="54000.0"/>
        <n v="24000.0"/>
        <n v="470000.0"/>
        <n v="668309.0"/>
        <n v="30000.0"/>
        <m/>
      </sharedItems>
    </cacheField>
    <cacheField name="KS" numFmtId="0">
      <sharedItems containsBlank="1">
        <s v="Wrg Rizky"/>
        <s v="dunia elektrik"/>
        <s v="Dufan electric"/>
        <s v="shoppe"/>
        <s v="lalapan CJ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2:Q49" sheet="CLOSING"/>
  </cacheSource>
  <cacheFields>
    <cacheField name="Tanggal">
      <sharedItems containsDate="1" containsBlank="1" containsMixedTypes="1"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5T00:00:00Z"/>
        <d v="2026-06-26T00:00:00Z"/>
        <d v="2026-06-29T00:00:00Z"/>
        <d v="2026-06-30T00:00:00Z"/>
        <d v="2026-07-02T00:00:00Z"/>
        <d v="2026-07-03T00:00:00Z"/>
        <d v="2026-07-04T00:00:00Z"/>
        <d v="2026-07-05T00:00:00Z"/>
        <m/>
        <b v="1"/>
        <s v="Tanggal"/>
      </sharedItems>
    </cacheField>
    <cacheField name="NO BON">
      <sharedItems containsBlank="1" containsMixedTypes="1" containsNumber="1" containsInteger="1">
        <n v="1.0"/>
        <m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s v="NO BON"/>
      </sharedItems>
    </cacheField>
    <cacheField name="Jenis Pengeluaran" numFmtId="0">
      <sharedItems containsBlank="1">
        <s v="Bahan Baku"/>
        <s v="PLN"/>
        <s v="Lain-lain"/>
        <s v="Operasional"/>
        <m/>
        <s v="Jenis Pengeluaran"/>
      </sharedItems>
    </cacheField>
    <cacheField name="Rincian" numFmtId="0">
      <sharedItems containsBlank="1">
        <s v="tinta putih"/>
        <s v="Tinta cmyk"/>
        <s v="pet single"/>
        <s v="powder"/>
        <s v="Listrik"/>
        <s v="print dtf luar "/>
        <s v="ongkir dtf "/>
        <s v="bayaran reyza + admin"/>
        <s v="bayaran epull"/>
        <s v="atk"/>
        <s v="kabel,steker,colokan"/>
        <s v="CCTV"/>
        <s v="ongkir bahan baku"/>
        <s v="tagihan sawojajar"/>
        <s v="pdam listrik sawojajar"/>
        <s v="si mas"/>
        <s v="stop kontak"/>
        <s v="kipas angin"/>
        <m/>
        <s v="Rincian"/>
      </sharedItems>
    </cacheField>
    <cacheField name="Qty">
      <sharedItems containsBlank="1" containsMixedTypes="1" containsNumber="1" containsInteger="1">
        <n v="20.0"/>
        <n v="7.0"/>
        <n v="6.0"/>
        <n v="1.0"/>
        <n v="46.0"/>
        <n v="2.0"/>
        <n v="5.0"/>
        <n v="4.0"/>
        <m/>
        <s v="Qty"/>
      </sharedItems>
    </cacheField>
    <cacheField name="Harga Satuan">
      <sharedItems containsBlank="1" containsMixedTypes="1" containsNumber="1" containsInteger="1">
        <n v="225000.0"/>
        <n v="210000.0"/>
        <n v="550000.0"/>
        <n v="80000.0"/>
        <n v="201900.0"/>
        <n v="30000.0"/>
        <n v="1278000.0"/>
        <n v="702500.0"/>
        <n v="750000.0"/>
        <n v="100000.0"/>
        <n v="115000.0"/>
        <n v="526500.0"/>
        <n v="255000.0"/>
        <n v="60000.0"/>
        <n v="326347.0"/>
        <n v="39000.0"/>
        <n v="899882.0"/>
        <n v="200000.0"/>
        <n v="43000.0"/>
        <n v="367900.0"/>
        <m/>
        <s v="Harga Satuan"/>
      </sharedItems>
    </cacheField>
    <cacheField name="Total">
      <sharedItems containsBlank="1" containsMixedTypes="1" containsNumber="1" containsInteger="1">
        <n v="4500000.0"/>
        <n v="1470000.0"/>
        <n v="3300000.0"/>
        <n v="1600000.0"/>
        <n v="201900.0"/>
        <n v="1380000.0"/>
        <n v="30000.0"/>
        <n v="1278000.0"/>
        <n v="702500.0"/>
        <n v="750000.0"/>
        <n v="100000.0"/>
        <n v="115000.0"/>
        <n v="1053000.0"/>
        <n v="1275000.0"/>
        <n v="2200000.0"/>
        <n v="60000.0"/>
        <n v="326347.0"/>
        <n v="403800.0"/>
        <n v="39000.0"/>
        <n v="899882.0"/>
        <n v="200000.0"/>
        <n v="43000.0"/>
        <n v="367900.0"/>
        <m/>
        <n v="1711309.0"/>
        <s v="Total"/>
      </sharedItems>
    </cacheField>
    <cacheField name="Keterangan" numFmtId="0">
      <sharedItems containsBlank="1">
        <s v="Ino Lite"/>
        <s v="PLN"/>
        <s v="anugrah indo print"/>
        <s v="pak eko"/>
        <s v="BCA"/>
        <s v="SawoJajar eletronic"/>
        <s v="SHOPPE"/>
        <s v="KS"/>
        <s v="PDAM,Listrik,DLL"/>
        <s v="Sawo Jajar"/>
        <s v="teknisi"/>
        <s v="cahaya terang"/>
        <m/>
        <s v="Keterang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dataFields>
    <dataField name="SUM of Total" fld="6" baseField="0"/>
  </dataFields>
</pivotTableDefinition>
</file>

<file path=xl/pivotTables/pivotTable2.xml><?xml version="1.0" encoding="utf-8"?>
<pivotTableDefinition xmlns="http://schemas.openxmlformats.org/spreadsheetml/2006/main" name="Pivot Table 3 2" cacheId="0" dataCaption="" compact="0" compactData="0">
  <location ref="D1:E14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axis="axisRow" compact="0" outline="0" multipleItemSelectionAllowed="1" showAll="0" sortType="ascending">
      <items>
        <item x="2"/>
        <item x="4"/>
        <item x="11"/>
        <item x="0"/>
        <item x="7"/>
        <item x="3"/>
        <item x="8"/>
        <item x="1"/>
        <item x="9"/>
        <item x="5"/>
        <item x="6"/>
        <item x="10"/>
        <item t="default"/>
      </items>
    </pivotField>
  </pivotFields>
  <rowFields>
    <field x="7"/>
  </rowFields>
  <dataFields>
    <dataField name="SUM of Total" fld="6" baseField="0"/>
  </dataFields>
</pivotTableDefinition>
</file>

<file path=xl/pivotTables/pivotTable3.xml><?xml version="1.0" encoding="utf-8"?>
<pivotTableDefinition xmlns="http://schemas.openxmlformats.org/spreadsheetml/2006/main" name="Pivot Table 3 3" cacheId="0" dataCaption="" compact="0" compactData="0">
  <location ref="G1:H22" firstHeaderRow="0" firstDataRow="1" firstDataCol="0"/>
  <pivotFields>
    <pivotField name="Tanggal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Total" fld="6" baseField="0"/>
  </dataFields>
</pivotTableDefinition>
</file>

<file path=xl/pivotTables/pivotTable4.xml><?xml version="1.0" encoding="utf-8"?>
<pivotTableDefinition xmlns="http://schemas.openxmlformats.org/spreadsheetml/2006/main" name="Pivot Table 3 4" cacheId="0" dataCaption="" compact="0" compactData="0">
  <location ref="J1:K20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Qty" fld="4" baseField="0"/>
  </dataFields>
</pivotTableDefinition>
</file>

<file path=xl/pivotTables/pivotTable5.xml><?xml version="1.0" encoding="utf-8"?>
<pivotTableDefinition xmlns="http://schemas.openxmlformats.org/spreadsheetml/2006/main" name="Pivot Table 3 5" cacheId="0" dataCaption="" compact="0" compactData="0">
  <location ref="M1:P24" firstHeaderRow="0" firstDataRow="3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Rinci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  <field x="3"/>
  </rowFields>
  <colFields>
    <field x="-2"/>
  </colFields>
  <dataFields>
    <dataField name="SUM of Qty" fld="4" baseField="0"/>
    <dataField name="SUM of Total" fld="6" baseField="0"/>
  </dataFields>
</pivotTableDefinition>
</file>

<file path=xl/pivotTables/pivotTable6.xml><?xml version="1.0" encoding="utf-8"?>
<pivotTableDefinition xmlns="http://schemas.openxmlformats.org/spreadsheetml/2006/main" name="Pivot Table 3 6" cacheId="1" dataCaption="" compact="0" compactData="0">
  <location ref="A12:C20" firstHeaderRow="0" firstDataRow="2" firstDataCol="0"/>
  <pivotFields>
    <pivotField name="08/06/2026" compact="0" numFmtId="164" outline="0" multipleItemSelectionAllowed="1" showAll="0">
      <items>
        <item x="0"/>
        <item x="1"/>
        <item x="2"/>
        <item x="3"/>
        <item t="default"/>
      </items>
    </pivotField>
    <pivotField name="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in-lain" compact="0" outline="0" multipleItemSelectionAllowed="1" showAll="0">
      <items>
        <item x="0"/>
        <item x="1"/>
        <item t="default"/>
      </items>
    </pivotField>
    <pivotField name="ongkos supir" axis="axisRow" compact="0" outline="0" multipleItemSelectionAllowed="1" showAll="0" sortType="ascending">
      <items>
        <item x="6"/>
        <item x="2"/>
        <item x="3"/>
        <item x="4"/>
        <item x="0"/>
        <item x="5"/>
        <item x="1"/>
        <item t="default"/>
      </items>
    </pivotField>
    <pivotField name="1" dataField="1" compact="0" outline="0" multipleItemSelectionAllowed="1" showAll="0">
      <items>
        <item x="0"/>
        <item x="1"/>
        <item x="2"/>
        <item x="3"/>
        <item t="default"/>
      </items>
    </pivotField>
    <pivotField name="Rp150,000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p150,0002" dataField="1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-2"/>
  </colFields>
  <dataFields>
    <dataField name="SUM of 1" fld="4" baseField="0"/>
    <dataField name="SUM of rp150,0002" fld="6" baseField="0"/>
  </dataFields>
</pivotTableDefinition>
</file>

<file path=xl/pivotTables/pivotTable7.xml><?xml version="1.0" encoding="utf-8"?>
<pivotTableDefinition xmlns="http://schemas.openxmlformats.org/spreadsheetml/2006/main" name="Pivot Table 3 7" cacheId="1" dataCaption="" compact="0" compactData="0">
  <location ref="A22:C29" firstHeaderRow="0" firstDataRow="2" firstDataCol="0"/>
  <pivotFields>
    <pivotField name="08/06/2026" compact="0" numFmtId="164" outline="0" multipleItemSelectionAllowed="1" showAll="0">
      <items>
        <item x="0"/>
        <item x="1"/>
        <item x="2"/>
        <item x="3"/>
        <item t="default"/>
      </items>
    </pivotField>
    <pivotField name="2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ain-lain" compact="0" outline="0" multipleItemSelectionAllowed="1" showAll="0">
      <items>
        <item x="0"/>
        <item x="1"/>
        <item t="default"/>
      </items>
    </pivotField>
    <pivotField name="ongkos supi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1" dataField="1" compact="0" outline="0" multipleItemSelectionAllowed="1" showAll="0">
      <items>
        <item x="0"/>
        <item x="1"/>
        <item x="2"/>
        <item x="3"/>
        <item t="default"/>
      </items>
    </pivotField>
    <pivotField name="Rp150,000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p150,0002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S" axis="axisRow" compact="0" outline="0" multipleItemSelectionAllowed="1" showAll="0" sortType="ascending">
      <items>
        <item x="5"/>
        <item x="2"/>
        <item x="1"/>
        <item x="4"/>
        <item x="3"/>
        <item x="0"/>
        <item t="default"/>
      </items>
    </pivotField>
  </pivotFields>
  <rowFields>
    <field x="7"/>
  </rowFields>
  <colFields>
    <field x="-2"/>
  </colFields>
  <dataFields>
    <dataField name="SUM of 1" fld="4" baseField="0"/>
    <dataField name="SUM of Rp150,000" fld="5" baseField="0"/>
  </dataFields>
</pivotTableDefinition>
</file>

<file path=xl/pivotTables/pivotTable8.xml><?xml version="1.0" encoding="utf-8"?>
<pivotTableDefinition xmlns="http://schemas.openxmlformats.org/spreadsheetml/2006/main" name="CLOSING" cacheId="0" dataCaption="" compact="0" compactData="0">
  <location ref="J72:K77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dataFields>
    <dataField name="SUM of Total" fld="6" baseField="0"/>
  </dataFields>
</pivotTableDefinition>
</file>

<file path=xl/pivotTables/pivotTable9.xml><?xml version="1.0" encoding="utf-8"?>
<pivotTableDefinition xmlns="http://schemas.openxmlformats.org/spreadsheetml/2006/main" name="CLOSING 2" cacheId="0" dataCaption="" compact="0" compactData="0">
  <location ref="M72:N88" firstHeaderRow="0" firstDataRow="1" firstDataCol="0"/>
  <pivotFields>
    <pivotField name="Tanggal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dataFields>
    <dataField name="SUM of Total" fld="6" baseField="0"/>
  </dataFields>
</pivotTableDefinition>
</file>

<file path=xl/pivotTables/pivotTable10.xml><?xml version="1.0" encoding="utf-8"?>
<pivotTableDefinition xmlns="http://schemas.openxmlformats.org/spreadsheetml/2006/main" name="CLOSING 3" cacheId="0" dataCaption="" compact="0" compactData="0">
  <location ref="P72:Q91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Qty" fld="4" baseField="0"/>
  </dataFields>
</pivotTableDefinition>
</file>

<file path=xl/pivotTables/pivotTable11.xml><?xml version="1.0" encoding="utf-8"?>
<pivotTableDefinition xmlns="http://schemas.openxmlformats.org/spreadsheetml/2006/main" name="CLOSING 4" cacheId="0" dataCaption="" compact="0" compactData="0">
  <location ref="J78:K89" firstHeaderRow="0" firstDataRow="1" firstDataCol="0"/>
  <pivotFields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Jenis Pengeluaran" compact="0" outline="0" multipleItemSelectionAllowed="1" showAll="0">
      <items>
        <item x="0"/>
        <item x="1"/>
        <item x="2"/>
        <item x="3"/>
        <item t="default"/>
      </items>
    </pivotField>
    <pivotField name="Rinc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ga Satu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Keteranga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7"/>
  </rowFields>
  <dataFields>
    <dataField name="SUM of Total" fld="6" baseField="0"/>
  </dataFields>
</pivotTableDefinition>
</file>

<file path=xl/pivotTables/pivotTable12.xml><?xml version="1.0" encoding="utf-8"?>
<pivotTableDefinition xmlns="http://schemas.openxmlformats.org/spreadsheetml/2006/main" name="CLOSING 5" cacheId="2" dataCaption="" compact="0" compactData="0">
  <location ref="K89:N116" firstHeaderRow="0" firstDataRow="3" firstDataCol="0"/>
  <pivotFields>
    <pivotField name="Tangg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O B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Jenis Pengeluaran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incian" axis="axisRow" compact="0" outline="0" multipleItemSelectionAllowed="1" showAll="0" sortType="ascending">
      <items>
        <item x="18"/>
        <item x="9"/>
        <item x="8"/>
        <item x="7"/>
        <item x="11"/>
        <item x="10"/>
        <item x="17"/>
        <item x="4"/>
        <item x="12"/>
        <item x="6"/>
        <item x="14"/>
        <item x="2"/>
        <item x="3"/>
        <item x="5"/>
        <item x="19"/>
        <item x="15"/>
        <item x="16"/>
        <item x="13"/>
        <item x="1"/>
        <item x="0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arga Satu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2"/>
    <field x="3"/>
  </rowFields>
  <colFields>
    <field x="-2"/>
  </colFields>
  <dataFields>
    <dataField name="SUM of Qty" fld="4" baseField="0"/>
    <dataField name="SUM of Total" fld="6" baseField="0"/>
  </dataFields>
</pivotTableDefinition>
</file>

<file path=xl/tables/table1.xml><?xml version="1.0" encoding="utf-8"?>
<table xmlns="http://schemas.openxmlformats.org/spreadsheetml/2006/main" headerRowCount="0" ref="A1:L8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engeluaran sawojaj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L1007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engeluar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G100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T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J1:P1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J23:P23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3" showColumnStripes="0" showFirstColumn="1" showLastColumn="1" showRowStripes="1"/>
</table>
</file>

<file path=xl/tables/table7.xml><?xml version="1.0" encoding="utf-8"?>
<table xmlns="http://schemas.openxmlformats.org/spreadsheetml/2006/main" headerRowCount="0" ref="J27:P27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4" showColumnStripes="0" showFirstColumn="1" showLastColumn="1" showRowStripes="1"/>
</table>
</file>

<file path=xl/tables/table8.xml><?xml version="1.0" encoding="utf-8"?>
<table xmlns="http://schemas.openxmlformats.org/spreadsheetml/2006/main" headerRowCount="0" ref="K90:Q224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5" showColumnStripes="0" showFirstColumn="1" showLastColumn="1" showRowStripes="1"/>
</table>
</file>

<file path=xl/tables/table9.xml><?xml version="1.0" encoding="utf-8"?>
<table xmlns="http://schemas.openxmlformats.org/spreadsheetml/2006/main" headerRowCount="0" ref="K253:Q253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6" showColumnStripes="0" showFirstColumn="1" showLastColumn="1" showRowStripes="1"/>
</table>
</file>

<file path=xl/tables/table10.xml><?xml version="1.0" encoding="utf-8"?>
<table xmlns="http://schemas.openxmlformats.org/spreadsheetml/2006/main" headerRowCount="0" ref="K256:Q256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7" showColumnStripes="0" showFirstColumn="1" showLastColumn="1" showRowStripes="1"/>
</table>
</file>

<file path=xl/tables/table11.xml><?xml version="1.0" encoding="utf-8"?>
<table xmlns="http://schemas.openxmlformats.org/spreadsheetml/2006/main" headerRowCount="0" ref="K299:Q299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8" showColumnStripes="0" showFirstColumn="1" showLastColumn="1" showRowStripes="1"/>
</table>
</file>

<file path=xl/tables/table12.xml><?xml version="1.0" encoding="utf-8"?>
<table xmlns="http://schemas.openxmlformats.org/spreadsheetml/2006/main" headerRowCount="0" ref="K308:Q308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9" showColumnStripes="0" showFirstColumn="1" showLastColumn="1" showRowStripes="1"/>
</table>
</file>

<file path=xl/tables/table13.xml><?xml version="1.0" encoding="utf-8"?>
<table xmlns="http://schemas.openxmlformats.org/spreadsheetml/2006/main" headerRowCount="0" ref="K310:Q310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10" showColumnStripes="0" showFirstColumn="1" showLastColumn="1" showRowStripes="1"/>
</table>
</file>

<file path=xl/tables/table14.xml><?xml version="1.0" encoding="utf-8"?>
<table xmlns="http://schemas.openxmlformats.org/spreadsheetml/2006/main" headerRowCount="0" ref="K328:Q328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11" showColumnStripes="0" showFirstColumn="1" showLastColumn="1" showRowStripes="1"/>
</table>
</file>

<file path=xl/tables/table15.xml><?xml version="1.0" encoding="utf-8"?>
<table xmlns="http://schemas.openxmlformats.org/spreadsheetml/2006/main" headerRowCount="0" ref="K330:Q330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12" showColumnStripes="0" showFirstColumn="1" showLastColumn="1" showRowStripes="1"/>
</table>
</file>

<file path=xl/tables/table16.xml><?xml version="1.0" encoding="utf-8"?>
<table xmlns="http://schemas.openxmlformats.org/spreadsheetml/2006/main" headerRowCount="0" ref="K349:Q349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13" showColumnStripes="0" showFirstColumn="1" showLastColumn="1" showRowStripes="1"/>
</table>
</file>

<file path=xl/tables/table17.xml><?xml version="1.0" encoding="utf-8"?>
<table xmlns="http://schemas.openxmlformats.org/spreadsheetml/2006/main" headerRowCount="0" ref="K357:Q358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SS-style 14" showColumnStripes="0" showFirstColumn="1" showLastColumn="1" showRowStripes="1"/>
</table>
</file>

<file path=xl/tables/table18.xml><?xml version="1.0" encoding="utf-8"?>
<table xmlns="http://schemas.openxmlformats.org/spreadsheetml/2006/main" headerRowCount="0" ref="A1:G1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A-style" showColumnStripes="0" showFirstColumn="1" showLastColumn="1" showRowStripes="1"/>
</table>
</file>

<file path=xl/tables/table19.xml><?xml version="1.0" encoding="utf-8"?>
<table xmlns="http://schemas.openxmlformats.org/spreadsheetml/2006/main" headerRowCount="0" ref="I18:O18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A-style 2" showColumnStripes="0" showFirstColumn="1" showLastColumn="1" showRowStripes="1"/>
</table>
</file>

<file path=xl/tables/table20.xml><?xml version="1.0" encoding="utf-8"?>
<table xmlns="http://schemas.openxmlformats.org/spreadsheetml/2006/main" headerRowCount="0" ref="A49:G49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NIA-style 3" showColumnStripes="0" showFirstColumn="1" showLastColumn="1" showRowStripes="1"/>
</table>
</file>

<file path=xl/tables/table21.xml><?xml version="1.0" encoding="utf-8"?>
<table xmlns="http://schemas.openxmlformats.org/spreadsheetml/2006/main" totalsRowCount="1" ref="A1:G21" displayName="Table_21" name="Table_21" id="21">
  <tableColumns count="7">
    <tableColumn totalsRowLabel="13/06/2026" name="Tanggal" id="1"/>
    <tableColumn totalsRowLabel="AMR " name="Nama Pelanggan" id="2"/>
    <tableColumn totalsRowLabel="gajah cwo" name="Produk" id="3"/>
    <tableColumn totalsRowLabel="1" name="Qty/m" id="4"/>
    <tableColumn totalsRowLabel="Rp25,000" name="Harga Satuan" id="5"/>
    <tableColumn totalsRowFunction="custom" name="Total" id="6"/>
    <tableColumn totalsRowLabel="Diambil" name="Keterangan" id="7"/>
  </tableColumns>
  <tableStyleInfo name="Bon AMR-style" showColumnStripes="0" showFirstColumn="1" showLastColumn="1" showRowStripes="1"/>
</table>
</file>

<file path=xl/tables/table22.xml><?xml version="1.0" encoding="utf-8"?>
<table xmlns="http://schemas.openxmlformats.org/spreadsheetml/2006/main" headerRowCount="0" ref="A90:G90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" showColumnStripes="0" showFirstColumn="1" showLastColumn="1" showRowStripes="1"/>
</table>
</file>

<file path=xl/tables/table23.xml><?xml version="1.0" encoding="utf-8"?>
<table xmlns="http://schemas.openxmlformats.org/spreadsheetml/2006/main" headerRowCount="0" ref="I113:K119" displayName="Table_23" name="Table_23" id="23">
  <tableColumns count="3">
    <tableColumn name="Column1" id="1"/>
    <tableColumn name="Column2" id="2"/>
    <tableColumn name="Column3" id="3"/>
  </tableColumns>
  <tableStyleInfo name="Bon AM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59:G159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4" showColumnStripes="0" showFirstColumn="1" showLastColumn="1" showRowStripes="1"/>
</table>
</file>

<file path=xl/tables/table25.xml><?xml version="1.0" encoding="utf-8"?>
<table xmlns="http://schemas.openxmlformats.org/spreadsheetml/2006/main" headerRowCount="0" ref="J159:P159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5" showColumnStripes="0" showFirstColumn="1" showLastColumn="1" showRowStripes="1"/>
</table>
</file>

<file path=xl/tables/table26.xml><?xml version="1.0" encoding="utf-8"?>
<table xmlns="http://schemas.openxmlformats.org/spreadsheetml/2006/main" headerRowCount="0" ref="A161:G161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164:G164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" showColumnStripes="0" showFirstColumn="1" showLastColumn="1" showRowStripes="1"/>
</table>
</file>

<file path=xl/tables/table28.xml><?xml version="1.0" encoding="utf-8"?>
<table xmlns="http://schemas.openxmlformats.org/spreadsheetml/2006/main" headerRowCount="0" ref="A217:F217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218:F218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9" showColumnStripes="0" showFirstColumn="1" showLastColumn="1" showRowStripes="1"/>
</table>
</file>

<file path=xl/tables/table30.xml><?xml version="1.0" encoding="utf-8"?>
<table xmlns="http://schemas.openxmlformats.org/spreadsheetml/2006/main" headerRowCount="0" ref="A222:F240" displayName="Table_30" name="Table_30" id="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241:G293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1" showColumnStripes="0" showFirstColumn="1" showLastColumn="1" showRowStripes="1"/>
</table>
</file>

<file path=xl/tables/table32.xml><?xml version="1.0" encoding="utf-8"?>
<table xmlns="http://schemas.openxmlformats.org/spreadsheetml/2006/main" headerRowCount="0" ref="A294:G294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2" showColumnStripes="0" showFirstColumn="1" showLastColumn="1" showRowStripes="1"/>
</table>
</file>

<file path=xl/tables/table33.xml><?xml version="1.0" encoding="utf-8"?>
<table xmlns="http://schemas.openxmlformats.org/spreadsheetml/2006/main" headerRowCount="0" ref="A295:G299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3" showColumnStripes="0" showFirstColumn="1" showLastColumn="1" showRowStripes="1"/>
</table>
</file>

<file path=xl/tables/table34.xml><?xml version="1.0" encoding="utf-8"?>
<table xmlns="http://schemas.openxmlformats.org/spreadsheetml/2006/main" headerRowCount="0" ref="A301:G343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4" showColumnStripes="0" showFirstColumn="1" showLastColumn="1" showRowStripes="1"/>
</table>
</file>

<file path=xl/tables/table35.xml><?xml version="1.0" encoding="utf-8"?>
<table xmlns="http://schemas.openxmlformats.org/spreadsheetml/2006/main" headerRowCount="0" ref="A346:G354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5" showColumnStripes="0" showFirstColumn="1" showLastColumn="1" showRowStripes="1"/>
</table>
</file>

<file path=xl/tables/table36.xml><?xml version="1.0" encoding="utf-8"?>
<table xmlns="http://schemas.openxmlformats.org/spreadsheetml/2006/main" headerRowCount="0" ref="A356:G397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6" showColumnStripes="0" showFirstColumn="1" showLastColumn="1" showRowStripes="1"/>
</table>
</file>

<file path=xl/tables/table37.xml><?xml version="1.0" encoding="utf-8"?>
<table xmlns="http://schemas.openxmlformats.org/spreadsheetml/2006/main" headerRowCount="0" ref="A400:G403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7" showColumnStripes="0" showFirstColumn="1" showLastColumn="1" showRowStripes="1"/>
</table>
</file>

<file path=xl/tables/table38.xml><?xml version="1.0" encoding="utf-8"?>
<table xmlns="http://schemas.openxmlformats.org/spreadsheetml/2006/main" headerRowCount="0" ref="A406:G458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8" showColumnStripes="0" showFirstColumn="1" showLastColumn="1" showRowStripes="1"/>
</table>
</file>

<file path=xl/tables/table39.xml><?xml version="1.0" encoding="utf-8"?>
<table xmlns="http://schemas.openxmlformats.org/spreadsheetml/2006/main" headerRowCount="0" ref="A459:G464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19" showColumnStripes="0" showFirstColumn="1" showLastColumn="1" showRowStripes="1"/>
</table>
</file>

<file path=xl/tables/table40.xml><?xml version="1.0" encoding="utf-8"?>
<table xmlns="http://schemas.openxmlformats.org/spreadsheetml/2006/main" headerRowCount="0" ref="A465:G493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0" showColumnStripes="0" showFirstColumn="1" showLastColumn="1" showRowStripes="1"/>
</table>
</file>

<file path=xl/tables/table41.xml><?xml version="1.0" encoding="utf-8"?>
<table xmlns="http://schemas.openxmlformats.org/spreadsheetml/2006/main" headerRowCount="0" ref="A497:G501" displayName="Table_41" name="Table_41" id="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1" showColumnStripes="0" showFirstColumn="1" showLastColumn="1" showRowStripes="1"/>
</table>
</file>

<file path=xl/tables/table42.xml><?xml version="1.0" encoding="utf-8"?>
<table xmlns="http://schemas.openxmlformats.org/spreadsheetml/2006/main" headerRowCount="0" ref="A504:F544" displayName="Table_42" name="Table_42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547:F549" displayName="Table_43" name="Table_43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23" showColumnStripes="0" showFirstColumn="1" showLastColumn="1" showRowStripes="1"/>
</table>
</file>

<file path=xl/tables/table44.xml><?xml version="1.0" encoding="utf-8"?>
<table xmlns="http://schemas.openxmlformats.org/spreadsheetml/2006/main" headerRowCount="0" ref="A550:F553" displayName="Table_44" name="Table_44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24" showColumnStripes="0" showFirstColumn="1" showLastColumn="1" showRowStripes="1"/>
</table>
</file>

<file path=xl/tables/table45.xml><?xml version="1.0" encoding="utf-8"?>
<table xmlns="http://schemas.openxmlformats.org/spreadsheetml/2006/main" headerRowCount="0" ref="A555:F599" displayName="Table_45" name="Table_45" id="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606:F607" displayName="Table_46" name="Table_46" id="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n AMR-style 26" showColumnStripes="0" showFirstColumn="1" showLastColumn="1" showRowStripes="1"/>
</table>
</file>

<file path=xl/tables/table47.xml><?xml version="1.0" encoding="utf-8"?>
<table xmlns="http://schemas.openxmlformats.org/spreadsheetml/2006/main" headerRowCount="0" ref="A610:G664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7" showColumnStripes="0" showFirstColumn="1" showLastColumn="1" showRowStripes="1"/>
</table>
</file>

<file path=xl/tables/table48.xml><?xml version="1.0" encoding="utf-8"?>
<table xmlns="http://schemas.openxmlformats.org/spreadsheetml/2006/main" headerRowCount="0" ref="A674:G675" displayName="Table_48" name="Table_48" id="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8" showColumnStripes="0" showFirstColumn="1" showLastColumn="1" showRowStripes="1"/>
</table>
</file>

<file path=xl/tables/table49.xml><?xml version="1.0" encoding="utf-8"?>
<table xmlns="http://schemas.openxmlformats.org/spreadsheetml/2006/main" headerRowCount="0" ref="A678:G721" displayName="Table_49" name="Table_49" id="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29" showColumnStripes="0" showFirstColumn="1" showLastColumn="1" showRowStripes="1"/>
</table>
</file>

<file path=xl/tables/table50.xml><?xml version="1.0" encoding="utf-8"?>
<table xmlns="http://schemas.openxmlformats.org/spreadsheetml/2006/main" headerRowCount="0" ref="A727:G728" displayName="Table_50" name="Table_50" id="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30" showColumnStripes="0" showFirstColumn="1" showLastColumn="1" showRowStripes="1"/>
</table>
</file>

<file path=xl/tables/table51.xml><?xml version="1.0" encoding="utf-8"?>
<table xmlns="http://schemas.openxmlformats.org/spreadsheetml/2006/main" headerRowCount="0" ref="A730:V775" displayName="Table_51" name="Table_51" id="5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1" showColumnStripes="0" showFirstColumn="1" showLastColumn="1" showRowStripes="1"/>
</table>
</file>

<file path=xl/tables/table52.xml><?xml version="1.0" encoding="utf-8"?>
<table xmlns="http://schemas.openxmlformats.org/spreadsheetml/2006/main" headerRowCount="0" ref="A778:V811" displayName="Table_52" name="Table_52" id="5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2" showColumnStripes="0" showFirstColumn="1" showLastColumn="1" showRowStripes="1"/>
</table>
</file>

<file path=xl/tables/table53.xml><?xml version="1.0" encoding="utf-8"?>
<table xmlns="http://schemas.openxmlformats.org/spreadsheetml/2006/main" headerRowCount="0" ref="A812:V812" displayName="Table_53" name="Table_53" id="5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3" showColumnStripes="0" showFirstColumn="1" showLastColumn="1" showRowStripes="1"/>
</table>
</file>

<file path=xl/tables/table54.xml><?xml version="1.0" encoding="utf-8"?>
<table xmlns="http://schemas.openxmlformats.org/spreadsheetml/2006/main" headerRowCount="0" ref="A815:V815" displayName="Table_54" name="Table_54" id="5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4" showColumnStripes="0" showFirstColumn="1" showLastColumn="1" showRowStripes="1"/>
</table>
</file>

<file path=xl/tables/table55.xml><?xml version="1.0" encoding="utf-8"?>
<table xmlns="http://schemas.openxmlformats.org/spreadsheetml/2006/main" headerRowCount="0" ref="A816:V816" displayName="Table_55" name="Table_55" id="5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5" showColumnStripes="0" showFirstColumn="1" showLastColumn="1" showRowStripes="1"/>
</table>
</file>

<file path=xl/tables/table56.xml><?xml version="1.0" encoding="utf-8"?>
<table xmlns="http://schemas.openxmlformats.org/spreadsheetml/2006/main" headerRowCount="0" ref="A817:V818" displayName="Table_56" name="Table_56" id="5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6" showColumnStripes="0" showFirstColumn="1" showLastColumn="1" showRowStripes="1"/>
</table>
</file>

<file path=xl/tables/table57.xml><?xml version="1.0" encoding="utf-8"?>
<table xmlns="http://schemas.openxmlformats.org/spreadsheetml/2006/main" headerRowCount="0" ref="A821:GN861" displayName="Table_57" name="Table_57" id="57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37" showColumnStripes="0" showFirstColumn="1" showLastColumn="1" showRowStripes="1"/>
</table>
</file>

<file path=xl/tables/table58.xml><?xml version="1.0" encoding="utf-8"?>
<table xmlns="http://schemas.openxmlformats.org/spreadsheetml/2006/main" headerRowCount="0" ref="A880:V881" displayName="Table_58" name="Table_58" id="5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38" showColumnStripes="0" showFirstColumn="1" showLastColumn="1" showRowStripes="1"/>
</table>
</file>

<file path=xl/tables/table59.xml><?xml version="1.0" encoding="utf-8"?>
<table xmlns="http://schemas.openxmlformats.org/spreadsheetml/2006/main" headerRowCount="0" ref="A884:GN926" displayName="Table_59" name="Table_59" id="59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39" showColumnStripes="0" showFirstColumn="1" showLastColumn="1" showRowStripes="1"/>
</table>
</file>

<file path=xl/tables/table60.xml><?xml version="1.0" encoding="utf-8"?>
<table xmlns="http://schemas.openxmlformats.org/spreadsheetml/2006/main" headerRowCount="0" ref="A927:GN929" displayName="Table_60" name="Table_60" id="60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40" showColumnStripes="0" showFirstColumn="1" showLastColumn="1" showRowStripes="1"/>
</table>
</file>

<file path=xl/tables/table61.xml><?xml version="1.0" encoding="utf-8"?>
<table xmlns="http://schemas.openxmlformats.org/spreadsheetml/2006/main" headerRowCount="0" ref="I936:O951" displayName="Table_61" name="Table_61" id="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41" showColumnStripes="0" showFirstColumn="1" showLastColumn="1" showRowStripes="1"/>
</table>
</file>

<file path=xl/tables/table62.xml><?xml version="1.0" encoding="utf-8"?>
<table xmlns="http://schemas.openxmlformats.org/spreadsheetml/2006/main" headerRowCount="0" ref="A940:G940" displayName="Table_62" name="Table_62" id="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42" showColumnStripes="0" showFirstColumn="1" showLastColumn="1" showRowStripes="1"/>
</table>
</file>

<file path=xl/tables/table63.xml><?xml version="1.0" encoding="utf-8"?>
<table xmlns="http://schemas.openxmlformats.org/spreadsheetml/2006/main" headerRowCount="0" ref="A957:GN995" displayName="Table_63" name="Table_63" id="63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43" showColumnStripes="0" showFirstColumn="1" showLastColumn="1" showRowStripes="1"/>
</table>
</file>

<file path=xl/tables/table64.xml><?xml version="1.0" encoding="utf-8"?>
<table xmlns="http://schemas.openxmlformats.org/spreadsheetml/2006/main" headerRowCount="0" ref="A996:GN996" displayName="Table_64" name="Table_64" id="64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44" showColumnStripes="0" showFirstColumn="1" showLastColumn="1" showRowStripes="1"/>
</table>
</file>

<file path=xl/tables/table65.xml><?xml version="1.0" encoding="utf-8"?>
<table xmlns="http://schemas.openxmlformats.org/spreadsheetml/2006/main" headerRowCount="0" ref="A997:G1019" displayName="Table_65" name="Table_65" id="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45" showColumnStripes="0" showFirstColumn="1" showLastColumn="1" showRowStripes="1"/>
</table>
</file>

<file path=xl/tables/table66.xml><?xml version="1.0" encoding="utf-8"?>
<table xmlns="http://schemas.openxmlformats.org/spreadsheetml/2006/main" headerRowCount="0" ref="J1006:K1006" displayName="Table_66" name="Table_66" id="66">
  <tableColumns count="2">
    <tableColumn name="Column1" id="1"/>
    <tableColumn name="Column2" id="2"/>
  </tableColumns>
  <tableStyleInfo name="Bon AMR-style 46" showColumnStripes="0" showFirstColumn="1" showLastColumn="1" showRowStripes="1"/>
</table>
</file>

<file path=xl/tables/table67.xml><?xml version="1.0" encoding="utf-8"?>
<table xmlns="http://schemas.openxmlformats.org/spreadsheetml/2006/main" headerRowCount="0" ref="M1006" displayName="Table_67" name="Table_67" id="67">
  <tableColumns count="1">
    <tableColumn name="Column1" id="1"/>
  </tableColumns>
  <tableStyleInfo name="Bon AMR-style 47" showColumnStripes="0" showFirstColumn="1" showLastColumn="1" showRowStripes="1"/>
</table>
</file>

<file path=xl/tables/table68.xml><?xml version="1.0" encoding="utf-8"?>
<table xmlns="http://schemas.openxmlformats.org/spreadsheetml/2006/main" headerRowCount="0" ref="A1023:G1050" displayName="Table_68" name="Table_68" id="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48" showColumnStripes="0" showFirstColumn="1" showLastColumn="1" showRowStripes="1"/>
</table>
</file>

<file path=xl/tables/table69.xml><?xml version="1.0" encoding="utf-8"?>
<table xmlns="http://schemas.openxmlformats.org/spreadsheetml/2006/main" headerRowCount="0" ref="A1051:GN1055" displayName="Table_69" name="Table_69" id="69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49" showColumnStripes="0" showFirstColumn="1" showLastColumn="1" showRowStripes="1"/>
</table>
</file>

<file path=xl/tables/table70.xml><?xml version="1.0" encoding="utf-8"?>
<table xmlns="http://schemas.openxmlformats.org/spreadsheetml/2006/main" headerRowCount="0" ref="A1058:G1071" displayName="Table_70" name="Table_70" id="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50" showColumnStripes="0" showFirstColumn="1" showLastColumn="1" showRowStripes="1"/>
</table>
</file>

<file path=xl/tables/table71.xml><?xml version="1.0" encoding="utf-8"?>
<table xmlns="http://schemas.openxmlformats.org/spreadsheetml/2006/main" headerRowCount="0" ref="A1072:GN1076" displayName="Table_71" name="Table_71" id="71">
  <tableColumns count="19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</tableColumns>
  <tableStyleInfo name="Bon AMR-style 51" showColumnStripes="0" showFirstColumn="1" showLastColumn="1" showRowStripes="1"/>
</table>
</file>

<file path=xl/tables/table72.xml><?xml version="1.0" encoding="utf-8"?>
<table xmlns="http://schemas.openxmlformats.org/spreadsheetml/2006/main" headerRowCount="0" ref="A1079:V1127" displayName="Table_72" name="Table_72" id="7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52" showColumnStripes="0" showFirstColumn="1" showLastColumn="1" showRowStripes="1"/>
</table>
</file>

<file path=xl/tables/table73.xml><?xml version="1.0" encoding="utf-8"?>
<table xmlns="http://schemas.openxmlformats.org/spreadsheetml/2006/main" headerRowCount="0" ref="A1131:G1167" displayName="Table_73" name="Table_73" id="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53" showColumnStripes="0" showFirstColumn="1" showLastColumn="1" showRowStripes="1"/>
</table>
</file>

<file path=xl/tables/table74.xml><?xml version="1.0" encoding="utf-8"?>
<table xmlns="http://schemas.openxmlformats.org/spreadsheetml/2006/main" headerRowCount="0" ref="A1169:V1211" displayName="Table_74" name="Table_74" id="7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54" showColumnStripes="0" showFirstColumn="1" showLastColumn="1" showRowStripes="1"/>
</table>
</file>

<file path=xl/tables/table75.xml><?xml version="1.0" encoding="utf-8"?>
<table xmlns="http://schemas.openxmlformats.org/spreadsheetml/2006/main" headerRowCount="0" ref="A1212:V1242" displayName="Table_75" name="Table_75" id="7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55" showColumnStripes="0" showFirstColumn="1" showLastColumn="1" showRowStripes="1"/>
</table>
</file>

<file path=xl/tables/table76.xml><?xml version="1.0" encoding="utf-8"?>
<table xmlns="http://schemas.openxmlformats.org/spreadsheetml/2006/main" headerRowCount="0" ref="A1243:G1243" displayName="Table_76" name="Table_76" id="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56" showColumnStripes="0" showFirstColumn="1" showLastColumn="1" showRowStripes="1"/>
</table>
</file>

<file path=xl/tables/table77.xml><?xml version="1.0" encoding="utf-8"?>
<table xmlns="http://schemas.openxmlformats.org/spreadsheetml/2006/main" headerRowCount="0" ref="J1243" displayName="Table_77" name="Table_77" id="77">
  <tableColumns count="1">
    <tableColumn name="Column1" id="1"/>
  </tableColumns>
  <tableStyleInfo name="Bon AMR-style 57" showColumnStripes="0" showFirstColumn="1" showLastColumn="1" showRowStripes="1"/>
</table>
</file>

<file path=xl/tables/table78.xml><?xml version="1.0" encoding="utf-8"?>
<table xmlns="http://schemas.openxmlformats.org/spreadsheetml/2006/main" headerRowCount="0" ref="M1243" displayName="Table_78" name="Table_78" id="78">
  <tableColumns count="1">
    <tableColumn name="Column1" id="1"/>
  </tableColumns>
  <tableStyleInfo name="Bon AMR-style 58" showColumnStripes="0" showFirstColumn="1" showLastColumn="1" showRowStripes="1"/>
</table>
</file>

<file path=xl/tables/table79.xml><?xml version="1.0" encoding="utf-8"?>
<table xmlns="http://schemas.openxmlformats.org/spreadsheetml/2006/main" headerRowCount="0" ref="A1244:G1245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59" showColumnStripes="0" showFirstColumn="1" showLastColumn="1" showRowStripes="1"/>
</table>
</file>

<file path=xl/tables/table80.xml><?xml version="1.0" encoding="utf-8"?>
<table xmlns="http://schemas.openxmlformats.org/spreadsheetml/2006/main" headerRowCount="0" ref="A1248:V1285" displayName="Table_80" name="Table_80" id="8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60" showColumnStripes="0" showFirstColumn="1" showLastColumn="1" showRowStripes="1"/>
</table>
</file>

<file path=xl/tables/table81.xml><?xml version="1.0" encoding="utf-8"?>
<table xmlns="http://schemas.openxmlformats.org/spreadsheetml/2006/main" headerRowCount="0" ref="A1286:G1303" displayName="Table_81" name="Table_81" id="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1" showColumnStripes="0" showFirstColumn="1" showLastColumn="1" showRowStripes="1"/>
</table>
</file>

<file path=xl/tables/table82.xml><?xml version="1.0" encoding="utf-8"?>
<table xmlns="http://schemas.openxmlformats.org/spreadsheetml/2006/main" headerRowCount="0" ref="M1289" displayName="Table_82" name="Table_82" id="82">
  <tableColumns count="1">
    <tableColumn name="Column1" id="1"/>
  </tableColumns>
  <tableStyleInfo name="Bon AMR-style 62" showColumnStripes="0" showFirstColumn="1" showLastColumn="1" showRowStripes="1"/>
</table>
</file>

<file path=xl/tables/table83.xml><?xml version="1.0" encoding="utf-8"?>
<table xmlns="http://schemas.openxmlformats.org/spreadsheetml/2006/main" headerRowCount="0" ref="A1304:G1305" displayName="Table_83" name="Table_83" id="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3" showColumnStripes="0" showFirstColumn="1" showLastColumn="1" showRowStripes="1"/>
</table>
</file>

<file path=xl/tables/table84.xml><?xml version="1.0" encoding="utf-8"?>
<table xmlns="http://schemas.openxmlformats.org/spreadsheetml/2006/main" headerRowCount="0" ref="A1307:V1350" displayName="Table_84" name="Table_84" id="8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64" showColumnStripes="0" showFirstColumn="1" showLastColumn="1" showRowStripes="1"/>
</table>
</file>

<file path=xl/tables/table85.xml><?xml version="1.0" encoding="utf-8"?>
<table xmlns="http://schemas.openxmlformats.org/spreadsheetml/2006/main" headerRowCount="0" ref="A1351:G1351" displayName="Table_85" name="Table_85" id="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5" showColumnStripes="0" showFirstColumn="1" showLastColumn="1" showRowStripes="1"/>
</table>
</file>

<file path=xl/tables/table86.xml><?xml version="1.0" encoding="utf-8"?>
<table xmlns="http://schemas.openxmlformats.org/spreadsheetml/2006/main" headerRowCount="0" ref="A1353:G1379" displayName="Table_86" name="Table_86" id="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6" showColumnStripes="0" showFirstColumn="1" showLastColumn="1" showRowStripes="1"/>
</table>
</file>

<file path=xl/tables/table87.xml><?xml version="1.0" encoding="utf-8"?>
<table xmlns="http://schemas.openxmlformats.org/spreadsheetml/2006/main" headerRowCount="0" ref="A1380:G1381" displayName="Table_87" name="Table_87" id="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7" showColumnStripes="0" showFirstColumn="1" showLastColumn="1" showRowStripes="1"/>
</table>
</file>

<file path=xl/tables/table88.xml><?xml version="1.0" encoding="utf-8"?>
<table xmlns="http://schemas.openxmlformats.org/spreadsheetml/2006/main" headerRowCount="0" ref="A1384:V1435" displayName="Table_88" name="Table_88" id="8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68" showColumnStripes="0" showFirstColumn="1" showLastColumn="1" showRowStripes="1"/>
</table>
</file>

<file path=xl/tables/table89.xml><?xml version="1.0" encoding="utf-8"?>
<table xmlns="http://schemas.openxmlformats.org/spreadsheetml/2006/main" headerRowCount="0" ref="A1436:G1436" displayName="Table_89" name="Table_89" id="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69" showColumnStripes="0" showFirstColumn="1" showLastColumn="1" showRowStripes="1"/>
</table>
</file>

<file path=xl/tables/table90.xml><?xml version="1.0" encoding="utf-8"?>
<table xmlns="http://schemas.openxmlformats.org/spreadsheetml/2006/main" headerRowCount="0" ref="A1438:V1463" displayName="Table_90" name="Table_90" id="9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70" showColumnStripes="0" showFirstColumn="1" showLastColumn="1" showRowStripes="1"/>
</table>
</file>

<file path=xl/tables/table91.xml><?xml version="1.0" encoding="utf-8"?>
<table xmlns="http://schemas.openxmlformats.org/spreadsheetml/2006/main" headerRowCount="0" ref="A1464:G1465" displayName="Table_91" name="Table_91" id="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1" showColumnStripes="0" showFirstColumn="1" showLastColumn="1" showRowStripes="1"/>
</table>
</file>

<file path=xl/tables/table92.xml><?xml version="1.0" encoding="utf-8"?>
<table xmlns="http://schemas.openxmlformats.org/spreadsheetml/2006/main" headerRowCount="0" ref="A1468:V1500" displayName="Table_92" name="Table_92" id="9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72" showColumnStripes="0" showFirstColumn="1" showLastColumn="1" showRowStripes="1"/>
</table>
</file>

<file path=xl/tables/table93.xml><?xml version="1.0" encoding="utf-8"?>
<table xmlns="http://schemas.openxmlformats.org/spreadsheetml/2006/main" headerRowCount="0" ref="A1501:G1501" displayName="Table_93" name="Table_93" id="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3" showColumnStripes="0" showFirstColumn="1" showLastColumn="1" showRowStripes="1"/>
</table>
</file>

<file path=xl/tables/table94.xml><?xml version="1.0" encoding="utf-8"?>
<table xmlns="http://schemas.openxmlformats.org/spreadsheetml/2006/main" headerRowCount="0" ref="A1503:G1519" displayName="Table_94" name="Table_94" id="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4" showColumnStripes="0" showFirstColumn="1" showLastColumn="1" showRowStripes="1"/>
</table>
</file>

<file path=xl/tables/table95.xml><?xml version="1.0" encoding="utf-8"?>
<table xmlns="http://schemas.openxmlformats.org/spreadsheetml/2006/main" headerRowCount="0" ref="A1520:G1521" displayName="Table_95" name="Table_95" id="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5" showColumnStripes="0" showFirstColumn="1" showLastColumn="1" showRowStripes="1"/>
</table>
</file>

<file path=xl/tables/table96.xml><?xml version="1.0" encoding="utf-8"?>
<table xmlns="http://schemas.openxmlformats.org/spreadsheetml/2006/main" headerRowCount="0" ref="A1524:V1552" displayName="Table_96" name="Table_96" id="9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76" showColumnStripes="0" showFirstColumn="1" showLastColumn="1" showRowStripes="1"/>
</table>
</file>

<file path=xl/tables/table97.xml><?xml version="1.0" encoding="utf-8"?>
<table xmlns="http://schemas.openxmlformats.org/spreadsheetml/2006/main" headerRowCount="0" ref="A1553:G1553" displayName="Table_97" name="Table_97" id="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7" showColumnStripes="0" showFirstColumn="1" showLastColumn="1" showRowStripes="1"/>
</table>
</file>

<file path=xl/tables/table98.xml><?xml version="1.0" encoding="utf-8"?>
<table xmlns="http://schemas.openxmlformats.org/spreadsheetml/2006/main" headerRowCount="0" ref="A1556:V1567" displayName="Table_98" name="Table_98" id="9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78" showColumnStripes="0" showFirstColumn="1" showLastColumn="1" showRowStripes="1"/>
</table>
</file>

<file path=xl/tables/table99.xml><?xml version="1.0" encoding="utf-8"?>
<table xmlns="http://schemas.openxmlformats.org/spreadsheetml/2006/main" headerRowCount="0" ref="A1568:G1569" displayName="Table_99" name="Table_99" id="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79" showColumnStripes="0" showFirstColumn="1" showLastColumn="1" showRowStripes="1"/>
</table>
</file>

<file path=xl/tables/table100.xml><?xml version="1.0" encoding="utf-8"?>
<table xmlns="http://schemas.openxmlformats.org/spreadsheetml/2006/main" headerRowCount="0" ref="A1572:Z1611" displayName="Table_100" name="Table_100" id="10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80" showColumnStripes="0" showFirstColumn="1" showLastColumn="1" showRowStripes="1"/>
</table>
</file>

<file path=xl/tables/table101.xml><?xml version="1.0" encoding="utf-8"?>
<table xmlns="http://schemas.openxmlformats.org/spreadsheetml/2006/main" headerRowCount="0" ref="A1612:G1612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81" showColumnStripes="0" showFirstColumn="1" showLastColumn="1" showRowStripes="1"/>
</table>
</file>

<file path=xl/tables/table102.xml><?xml version="1.0" encoding="utf-8"?>
<table xmlns="http://schemas.openxmlformats.org/spreadsheetml/2006/main" headerRowCount="0" ref="A1614:V1633" displayName="Table_102" name="Table_102" id="10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82" showColumnStripes="0" showFirstColumn="1" showLastColumn="1" showRowStripes="1"/>
</table>
</file>

<file path=xl/tables/table103.xml><?xml version="1.0" encoding="utf-8"?>
<table xmlns="http://schemas.openxmlformats.org/spreadsheetml/2006/main" headerRowCount="0" ref="A1634:G1634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83" showColumnStripes="0" showFirstColumn="1" showLastColumn="1" showRowStripes="1"/>
</table>
</file>

<file path=xl/tables/table104.xml><?xml version="1.0" encoding="utf-8"?>
<table xmlns="http://schemas.openxmlformats.org/spreadsheetml/2006/main" headerRowCount="0" ref="A1635:G1635" displayName="Table_104" name="Table_104" id="1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84" showColumnStripes="0" showFirstColumn="1" showLastColumn="1" showRowStripes="1"/>
</table>
</file>

<file path=xl/tables/table105.xml><?xml version="1.0" encoding="utf-8"?>
<table xmlns="http://schemas.openxmlformats.org/spreadsheetml/2006/main" headerRowCount="0" ref="A1637:V1675" displayName="Table_105" name="Table_105" id="10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Bon AMR-style 85" showColumnStripes="0" showFirstColumn="1" showLastColumn="1" showRowStripes="1"/>
</table>
</file>

<file path=xl/tables/table106.xml><?xml version="1.0" encoding="utf-8"?>
<table xmlns="http://schemas.openxmlformats.org/spreadsheetml/2006/main" headerRowCount="0" ref="A1676:G1676" displayName="Table_106" name="Table_106" id="1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86" showColumnStripes="0" showFirstColumn="1" showLastColumn="1" showRowStripes="1"/>
</table>
</file>

<file path=xl/tables/table107.xml><?xml version="1.0" encoding="utf-8"?>
<table xmlns="http://schemas.openxmlformats.org/spreadsheetml/2006/main" headerRowCount="0" ref="A1677:Z1705" displayName="Table_107" name="Table_107" id="10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87" showColumnStripes="0" showFirstColumn="1" showLastColumn="1" showRowStripes="1"/>
</table>
</file>

<file path=xl/tables/table108.xml><?xml version="1.0" encoding="utf-8"?>
<table xmlns="http://schemas.openxmlformats.org/spreadsheetml/2006/main" headerRowCount="0" ref="A1706:G1707" displayName="Table_108" name="Table_108" id="1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88" showColumnStripes="0" showFirstColumn="1" showLastColumn="1" showRowStripes="1"/>
</table>
</file>

<file path=xl/tables/table109.xml><?xml version="1.0" encoding="utf-8"?>
<table xmlns="http://schemas.openxmlformats.org/spreadsheetml/2006/main" headerRowCount="0" ref="A1710:Z1740" displayName="Table_109" name="Table_109" id="109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89" showColumnStripes="0" showFirstColumn="1" showLastColumn="1" showRowStripes="1"/>
</table>
</file>

<file path=xl/tables/table110.xml><?xml version="1.0" encoding="utf-8"?>
<table xmlns="http://schemas.openxmlformats.org/spreadsheetml/2006/main" headerRowCount="0" ref="A1741:G1741" displayName="Table_110" name="Table_110" id="1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0" showColumnStripes="0" showFirstColumn="1" showLastColumn="1" showRowStripes="1"/>
</table>
</file>

<file path=xl/tables/table111.xml><?xml version="1.0" encoding="utf-8"?>
<table xmlns="http://schemas.openxmlformats.org/spreadsheetml/2006/main" headerRowCount="0" ref="A1743:G1765" displayName="Table_111" name="Table_111" id="1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1" showColumnStripes="0" showFirstColumn="1" showLastColumn="1" showRowStripes="1"/>
</table>
</file>

<file path=xl/tables/table112.xml><?xml version="1.0" encoding="utf-8"?>
<table xmlns="http://schemas.openxmlformats.org/spreadsheetml/2006/main" headerRowCount="0" ref="A1766:G1766" displayName="Table_112" name="Table_112" id="1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2" showColumnStripes="0" showFirstColumn="1" showLastColumn="1" showRowStripes="1"/>
</table>
</file>

<file path=xl/tables/table113.xml><?xml version="1.0" encoding="utf-8"?>
<table xmlns="http://schemas.openxmlformats.org/spreadsheetml/2006/main" headerRowCount="0" ref="A1767:G1767" displayName="Table_113" name="Table_113" id="1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3" showColumnStripes="0" showFirstColumn="1" showLastColumn="1" showRowStripes="1"/>
</table>
</file>

<file path=xl/tables/table114.xml><?xml version="1.0" encoding="utf-8"?>
<table xmlns="http://schemas.openxmlformats.org/spreadsheetml/2006/main" headerRowCount="0" ref="A1770:Z1804" displayName="Table_114" name="Table_114" id="11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94" showColumnStripes="0" showFirstColumn="1" showLastColumn="1" showRowStripes="1"/>
</table>
</file>

<file path=xl/tables/table115.xml><?xml version="1.0" encoding="utf-8"?>
<table xmlns="http://schemas.openxmlformats.org/spreadsheetml/2006/main" headerRowCount="0" ref="A1805:G1830" displayName="Table_115" name="Table_115" id="1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5" showColumnStripes="0" showFirstColumn="1" showLastColumn="1" showRowStripes="1"/>
</table>
</file>

<file path=xl/tables/table116.xml><?xml version="1.0" encoding="utf-8"?>
<table xmlns="http://schemas.openxmlformats.org/spreadsheetml/2006/main" headerRowCount="0" ref="A1831:G1832" displayName="Table_116" name="Table_116" id="1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n AMR-style 96" showColumnStripes="0" showFirstColumn="1" showLastColumn="1" showRowStripes="1"/>
</table>
</file>

<file path=xl/tables/table117.xml><?xml version="1.0" encoding="utf-8"?>
<table xmlns="http://schemas.openxmlformats.org/spreadsheetml/2006/main" headerRowCount="0" ref="A1835:Z1880" displayName="Table_117" name="Table_117" id="11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97" showColumnStripes="0" showFirstColumn="1" showLastColumn="1" showRowStripes="1"/>
</table>
</file>

<file path=xl/tables/table118.xml><?xml version="1.0" encoding="utf-8"?>
<table xmlns="http://schemas.openxmlformats.org/spreadsheetml/2006/main" headerRowCount="0" ref="A1881:Z2934" displayName="Table_118" name="Table_118" id="11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on AMR-style 98" showColumnStripes="0" showFirstColumn="1" showLastColumn="1" showRowStripes="1"/>
</table>
</file>

<file path=xl/tables/table119.xml><?xml version="1.0" encoding="utf-8"?>
<table xmlns="http://schemas.openxmlformats.org/spreadsheetml/2006/main" headerRowCount="0" ref="A1:G1" displayName="Table_119" name="Table_119" id="1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A2:G2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2" showColumnStripes="0" showFirstColumn="1" showLastColumn="1" showRowStripes="1"/>
</table>
</file>

<file path=xl/tables/table121.xml><?xml version="1.0" encoding="utf-8"?>
<table xmlns="http://schemas.openxmlformats.org/spreadsheetml/2006/main" headerRowCount="0" ref="A3:G20" displayName="Table_121" name="Table_121" id="1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3" showColumnStripes="0" showFirstColumn="1" showLastColumn="1" showRowStripes="1"/>
</table>
</file>

<file path=xl/tables/table122.xml><?xml version="1.0" encoding="utf-8"?>
<table xmlns="http://schemas.openxmlformats.org/spreadsheetml/2006/main" headerRowCount="0" ref="I3:P4" displayName="Table_122" name="Table_122" id="1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OS OGI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3.xml><?xml version="1.0" encoding="utf-8"?>
<table xmlns="http://schemas.openxmlformats.org/spreadsheetml/2006/main" headerRowCount="0" ref="A65:G66" displayName="Table_123" name="Table_123" id="1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5" showColumnStripes="0" showFirstColumn="1" showLastColumn="1" showRowStripes="1"/>
</table>
</file>

<file path=xl/tables/table124.xml><?xml version="1.0" encoding="utf-8"?>
<table xmlns="http://schemas.openxmlformats.org/spreadsheetml/2006/main" headerRowCount="0" ref="I173:O173" displayName="Table_124" name="Table_124" id="1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6" showColumnStripes="0" showFirstColumn="1" showLastColumn="1" showRowStripes="1"/>
</table>
</file>

<file path=xl/tables/table125.xml><?xml version="1.0" encoding="utf-8"?>
<table xmlns="http://schemas.openxmlformats.org/spreadsheetml/2006/main" headerRowCount="0" ref="I220:O220" displayName="Table_125" name="Table_125" id="1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7" showColumnStripes="0" showFirstColumn="1" showLastColumn="1" showRowStripes="1"/>
</table>
</file>

<file path=xl/tables/table126.xml><?xml version="1.0" encoding="utf-8"?>
<table xmlns="http://schemas.openxmlformats.org/spreadsheetml/2006/main" headerRowCount="0" ref="I257:O258" displayName="Table_126" name="Table_126" id="1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8" showColumnStripes="0" showFirstColumn="1" showLastColumn="1" showRowStripes="1"/>
</table>
</file>

<file path=xl/tables/table127.xml><?xml version="1.0" encoding="utf-8"?>
<table xmlns="http://schemas.openxmlformats.org/spreadsheetml/2006/main" headerRowCount="0" ref="I289:O289" displayName="Table_127" name="Table_127" id="1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OS OGI-style 9" showColumnStripes="0" showFirstColumn="1" showLastColumn="1" showRowStripes="1"/>
</table>
</file>

<file path=xl/tables/table128.xml><?xml version="1.0" encoding="utf-8"?>
<table xmlns="http://schemas.openxmlformats.org/spreadsheetml/2006/main" totalsRowCount="1" headerRowCount="0" ref="A1:B1" displayName="Table_128" name="Table_128" id="128">
  <tableColumns count="2">
    <tableColumn name="Column1" id="1"/>
    <tableColumn totalsRowLabel="2026-07-06" name="Column2" id="2"/>
  </tableColumns>
  <tableStyleInfo name="Template B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9.xml><?xml version="1.0" encoding="utf-8"?>
<table xmlns="http://schemas.openxmlformats.org/spreadsheetml/2006/main" totalsRowCount="1" headerRowCount="0" ref="H1:I1" displayName="Table_129" name="Table_129" id="129">
  <tableColumns count="2">
    <tableColumn totalsRowLabel="Tanggal" name="Column1" id="1"/>
    <tableColumn totalsRowLabel="2026-05-15" name="Column2" id="2"/>
  </tableColumns>
  <tableStyleInfo name="Template B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0.xml><?xml version="1.0" encoding="utf-8"?>
<table xmlns="http://schemas.openxmlformats.org/spreadsheetml/2006/main" totalsRowCount="1" ref="H5:L7" displayName="Table_130" name="Table_130" id="130">
  <tableColumns count="5">
    <tableColumn name="No" id="1"/>
    <tableColumn name="Produk" id="2"/>
    <tableColumn name="Qty" id="3"/>
    <tableColumn name="Harga Satuan" id="4"/>
    <tableColumn name="Total" id="5"/>
  </tableColumns>
  <tableStyleInfo name="Template Bon-style 3" showColumnStripes="0" showFirstColumn="1" showLastColumn="1" showRowStripes="1"/>
</table>
</file>

<file path=xl/tables/table131.xml><?xml version="1.0" encoding="utf-8"?>
<table xmlns="http://schemas.openxmlformats.org/spreadsheetml/2006/main" totalsRowCount="1" ref="A6:E8" displayName="Table_131" name="Table_131" id="131">
  <tableColumns count="5">
    <tableColumn totalsRowLabel="2" name="No" id="1"/>
    <tableColumn totalsRowLabel="Dtf SS" name="Produk" id="2"/>
    <tableColumn totalsRowLabel="84.32" name="Qty" id="3"/>
    <tableColumn totalsRowLabel="Rp25,000" name="Harga Satuan" id="4"/>
    <tableColumn totalsRowFunction="custom" name="Total" id="5"/>
  </tableColumns>
  <tableStyleInfo name="Template Bon-style 4" showColumnStripes="0" showFirstColumn="1" showLastColumn="1" showRowStripes="1"/>
</table>
</file>

<file path=xl/tables/table132.xml><?xml version="1.0" encoding="utf-8"?>
<table xmlns="http://schemas.openxmlformats.org/spreadsheetml/2006/main" totalsRowCount="1" headerRowCount="0" ref="A19:B19" displayName="Table_132" name="Table_132" id="132">
  <tableColumns count="2">
    <tableColumn totalsRowLabel="Tanggal" name="Column1" id="1"/>
    <tableColumn totalsRowLabel="2026-07-06" name="Column2" id="2"/>
  </tableColumns>
  <tableStyleInfo name="Template Bo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totalsRowCount="1" ref="A24:E26" displayName="Table_133" name="Table_133" id="133">
  <tableColumns count="5">
    <tableColumn name="No" id="1"/>
    <tableColumn name="Produk" id="2"/>
    <tableColumn name="Qty" id="3"/>
    <tableColumn name="Harga Satuan" id="4"/>
    <tableColumn name="Total" id="5"/>
  </tableColumns>
  <tableStyleInfo name="Template Bon-style 6" showColumnStripes="0" showFirstColumn="1" showLastColumn="1" showRowStripes="1"/>
</table>
</file>

<file path=xl/tables/table134.xml><?xml version="1.0" encoding="utf-8"?>
<table xmlns="http://schemas.openxmlformats.org/spreadsheetml/2006/main" totalsRowCount="1" headerRowCount="0" ref="A35:E35" displayName="Table_134" name="Table_134" id="134">
  <tableColumns count="5">
    <tableColumn totalsRowLabel="Tanggal" name="Column1" id="1"/>
    <tableColumn totalsRowLabel="2026-07-06" name="Column2" id="2"/>
    <tableColumn name="Column3" id="3"/>
    <tableColumn name="Column4" id="4"/>
    <tableColumn name="Column5" id="5"/>
  </tableColumns>
  <tableStyleInfo name="Template Bo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5.xml><?xml version="1.0" encoding="utf-8"?>
<table xmlns="http://schemas.openxmlformats.org/spreadsheetml/2006/main" totalsRowCount="1" ref="A40:E44" displayName="Table_135" name="Table_135" id="135">
  <tableColumns count="5">
    <tableColumn name="No" id="1"/>
    <tableColumn name="Produk" id="2"/>
    <tableColumn name="Qty" id="3"/>
    <tableColumn name="Harga Satuan" id="4"/>
    <tableColumn name="Total" id="5"/>
  </tableColumns>
  <tableStyleInfo name="Template Bon-style 8" showColumnStripes="0" showFirstColumn="1" showLastColumn="1" showRowStripes="1"/>
</table>
</file>

<file path=xl/tables/table136.xml><?xml version="1.0" encoding="utf-8"?>
<table xmlns="http://schemas.openxmlformats.org/spreadsheetml/2006/main" totalsRowCount="1" headerRowCount="0" ref="A53:B53" displayName="Table_136" name="Table_136" id="136">
  <tableColumns count="2">
    <tableColumn totalsRowLabel="Tanggal" name="Column1" id="1"/>
    <tableColumn totalsRowLabel="2026-06-29" name="Column2" id="2"/>
  </tableColumns>
  <tableStyleInfo name="Template Bo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totalsRowCount="1" ref="A58:E60" displayName="Table_137" name="Table_137" id="137">
  <tableColumns count="5">
    <tableColumn name="No" id="1"/>
    <tableColumn name="Produk" id="2"/>
    <tableColumn name="Qty" id="3"/>
    <tableColumn name="Harga Satuan" id="4"/>
    <tableColumn totalsRowFunction="custom" name="Total" id="5"/>
  </tableColumns>
  <tableStyleInfo name="Template Bon-style 10" showColumnStripes="0" showFirstColumn="1" showLastColumn="1" showRowStripes="1"/>
</table>
</file>

<file path=xl/tables/table138.xml><?xml version="1.0" encoding="utf-8"?>
<table xmlns="http://schemas.openxmlformats.org/spreadsheetml/2006/main" totalsRowCount="1" headerRowCount="0" ref="A70:B70" displayName="Table_138" name="Table_138" id="138">
  <tableColumns count="2">
    <tableColumn name="Column1" id="1"/>
    <tableColumn name="Column2" id="2"/>
  </tableColumns>
  <tableStyleInfo name="Template Bo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totalsRowCount="1" headerRowCount="0" ref="A75:E77" displayName="Table_139" name="Table_139" id="139">
  <tableColumns count="5">
    <tableColumn name="Column1" id="1"/>
    <tableColumn name="Column2" id="2"/>
    <tableColumn name="Column3" id="3"/>
    <tableColumn name="Column4" id="4"/>
    <tableColumn name="Column5" id="5"/>
  </tableColumns>
  <tableStyleInfo name="Template Bo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0.xml><?xml version="1.0" encoding="utf-8"?>
<table xmlns="http://schemas.openxmlformats.org/spreadsheetml/2006/main" headerRowCount="0" ref="J1:S68" displayName="Table_140" name="Table_140" id="14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LOS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1.xml><?xml version="1.0" encoding="utf-8"?>
<table xmlns="http://schemas.openxmlformats.org/spreadsheetml/2006/main" headerRowCount="0" ref="A2:G2" displayName="Table_141" name="Table_141" id="1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LOSING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2.xml><?xml version="1.0" encoding="utf-8"?>
<table xmlns="http://schemas.openxmlformats.org/spreadsheetml/2006/main" headerRowCount="0" ref="A3:H386" displayName="Table_142" name="Table_142" id="14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LOSI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3.xml><?xml version="1.0" encoding="utf-8"?>
<table xmlns="http://schemas.openxmlformats.org/spreadsheetml/2006/main" headerRowCount="0" ref="A387:G525" displayName="Table_143" name="Table_143" id="1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LOSING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A1:J5" displayName="Table_144" name="Table_144" id="14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etail11-bayaran epul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5.xml><?xml version="1.0" encoding="utf-8"?>
<table xmlns="http://schemas.openxmlformats.org/spreadsheetml/2006/main" headerRowCount="0" ref="A1:J44" displayName="Table_145" name="Table_145" id="14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etail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6.xml><?xml version="1.0" encoding="utf-8"?>
<table xmlns="http://schemas.openxmlformats.org/spreadsheetml/2006/main" headerRowCount="0" ref="A1:J44" displayName="Table_146" name="Table_146" id="14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etail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FD96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24" Type="http://schemas.openxmlformats.org/officeDocument/2006/relationships/table" Target="../tables/table12.xml"/><Relationship Id="rId23" Type="http://schemas.openxmlformats.org/officeDocument/2006/relationships/table" Target="../tables/table11.xml"/><Relationship Id="rId1" Type="http://schemas.openxmlformats.org/officeDocument/2006/relationships/drawing" Target="../drawings/drawing5.xml"/><Relationship Id="rId26" Type="http://schemas.openxmlformats.org/officeDocument/2006/relationships/table" Target="../tables/table14.xml"/><Relationship Id="rId25" Type="http://schemas.openxmlformats.org/officeDocument/2006/relationships/table" Target="../tables/table13.xml"/><Relationship Id="rId17" Type="http://schemas.openxmlformats.org/officeDocument/2006/relationships/table" Target="../tables/table5.xml"/><Relationship Id="rId28" Type="http://schemas.openxmlformats.org/officeDocument/2006/relationships/table" Target="../tables/table16.xml"/><Relationship Id="rId16" Type="http://schemas.openxmlformats.org/officeDocument/2006/relationships/table" Target="../tables/table4.xml"/><Relationship Id="rId27" Type="http://schemas.openxmlformats.org/officeDocument/2006/relationships/table" Target="../tables/table15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Relationship Id="rId29" Type="http://schemas.openxmlformats.org/officeDocument/2006/relationships/table" Target="../tables/table1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111.xml"/><Relationship Id="rId194" Type="http://schemas.openxmlformats.org/officeDocument/2006/relationships/table" Target="../tables/table115.xml"/><Relationship Id="rId193" Type="http://schemas.openxmlformats.org/officeDocument/2006/relationships/table" Target="../tables/table114.xml"/><Relationship Id="rId192" Type="http://schemas.openxmlformats.org/officeDocument/2006/relationships/table" Target="../tables/table113.xml"/><Relationship Id="rId191" Type="http://schemas.openxmlformats.org/officeDocument/2006/relationships/table" Target="../tables/table112.xml"/><Relationship Id="rId107" Type="http://schemas.openxmlformats.org/officeDocument/2006/relationships/table" Target="../tables/table28.xml"/><Relationship Id="rId106" Type="http://schemas.openxmlformats.org/officeDocument/2006/relationships/table" Target="../tables/table27.xml"/><Relationship Id="rId105" Type="http://schemas.openxmlformats.org/officeDocument/2006/relationships/table" Target="../tables/table26.xml"/><Relationship Id="rId104" Type="http://schemas.openxmlformats.org/officeDocument/2006/relationships/table" Target="../tables/table25.xml"/><Relationship Id="rId109" Type="http://schemas.openxmlformats.org/officeDocument/2006/relationships/table" Target="../tables/table30.xml"/><Relationship Id="rId108" Type="http://schemas.openxmlformats.org/officeDocument/2006/relationships/table" Target="../tables/table29.xml"/><Relationship Id="rId187" Type="http://schemas.openxmlformats.org/officeDocument/2006/relationships/table" Target="../tables/table108.xml"/><Relationship Id="rId186" Type="http://schemas.openxmlformats.org/officeDocument/2006/relationships/table" Target="../tables/table107.xml"/><Relationship Id="rId185" Type="http://schemas.openxmlformats.org/officeDocument/2006/relationships/table" Target="../tables/table106.xml"/><Relationship Id="rId184" Type="http://schemas.openxmlformats.org/officeDocument/2006/relationships/table" Target="../tables/table105.xml"/><Relationship Id="rId103" Type="http://schemas.openxmlformats.org/officeDocument/2006/relationships/table" Target="../tables/table24.xml"/><Relationship Id="rId102" Type="http://schemas.openxmlformats.org/officeDocument/2006/relationships/table" Target="../tables/table23.xml"/><Relationship Id="rId101" Type="http://schemas.openxmlformats.org/officeDocument/2006/relationships/table" Target="../tables/table22.xml"/><Relationship Id="rId189" Type="http://schemas.openxmlformats.org/officeDocument/2006/relationships/table" Target="../tables/table110.xml"/><Relationship Id="rId100" Type="http://schemas.openxmlformats.org/officeDocument/2006/relationships/table" Target="../tables/table21.xml"/><Relationship Id="rId188" Type="http://schemas.openxmlformats.org/officeDocument/2006/relationships/table" Target="../tables/table109.xml"/><Relationship Id="rId183" Type="http://schemas.openxmlformats.org/officeDocument/2006/relationships/table" Target="../tables/table104.xml"/><Relationship Id="rId182" Type="http://schemas.openxmlformats.org/officeDocument/2006/relationships/table" Target="../tables/table103.xml"/><Relationship Id="rId181" Type="http://schemas.openxmlformats.org/officeDocument/2006/relationships/table" Target="../tables/table102.xml"/><Relationship Id="rId180" Type="http://schemas.openxmlformats.org/officeDocument/2006/relationships/table" Target="../tables/table101.xml"/><Relationship Id="rId176" Type="http://schemas.openxmlformats.org/officeDocument/2006/relationships/table" Target="../tables/table97.xml"/><Relationship Id="rId175" Type="http://schemas.openxmlformats.org/officeDocument/2006/relationships/table" Target="../tables/table96.xml"/><Relationship Id="rId174" Type="http://schemas.openxmlformats.org/officeDocument/2006/relationships/table" Target="../tables/table95.xml"/><Relationship Id="rId173" Type="http://schemas.openxmlformats.org/officeDocument/2006/relationships/table" Target="../tables/table94.xml"/><Relationship Id="rId179" Type="http://schemas.openxmlformats.org/officeDocument/2006/relationships/table" Target="../tables/table100.xml"/><Relationship Id="rId178" Type="http://schemas.openxmlformats.org/officeDocument/2006/relationships/table" Target="../tables/table99.xml"/><Relationship Id="rId177" Type="http://schemas.openxmlformats.org/officeDocument/2006/relationships/table" Target="../tables/table98.xml"/><Relationship Id="rId129" Type="http://schemas.openxmlformats.org/officeDocument/2006/relationships/table" Target="../tables/table50.xml"/><Relationship Id="rId128" Type="http://schemas.openxmlformats.org/officeDocument/2006/relationships/table" Target="../tables/table49.xml"/><Relationship Id="rId127" Type="http://schemas.openxmlformats.org/officeDocument/2006/relationships/table" Target="../tables/table48.xml"/><Relationship Id="rId126" Type="http://schemas.openxmlformats.org/officeDocument/2006/relationships/table" Target="../tables/table47.xml"/><Relationship Id="rId121" Type="http://schemas.openxmlformats.org/officeDocument/2006/relationships/table" Target="../tables/table42.xml"/><Relationship Id="rId120" Type="http://schemas.openxmlformats.org/officeDocument/2006/relationships/table" Target="../tables/table41.xml"/><Relationship Id="rId125" Type="http://schemas.openxmlformats.org/officeDocument/2006/relationships/table" Target="../tables/table46.xml"/><Relationship Id="rId124" Type="http://schemas.openxmlformats.org/officeDocument/2006/relationships/table" Target="../tables/table45.xml"/><Relationship Id="rId123" Type="http://schemas.openxmlformats.org/officeDocument/2006/relationships/table" Target="../tables/table44.xml"/><Relationship Id="rId122" Type="http://schemas.openxmlformats.org/officeDocument/2006/relationships/table" Target="../tables/table43.xml"/><Relationship Id="rId118" Type="http://schemas.openxmlformats.org/officeDocument/2006/relationships/table" Target="../tables/table39.xml"/><Relationship Id="rId117" Type="http://schemas.openxmlformats.org/officeDocument/2006/relationships/table" Target="../tables/table38.xml"/><Relationship Id="rId116" Type="http://schemas.openxmlformats.org/officeDocument/2006/relationships/table" Target="../tables/table37.xml"/><Relationship Id="rId115" Type="http://schemas.openxmlformats.org/officeDocument/2006/relationships/table" Target="../tables/table36.xml"/><Relationship Id="rId119" Type="http://schemas.openxmlformats.org/officeDocument/2006/relationships/table" Target="../tables/table40.xml"/><Relationship Id="rId110" Type="http://schemas.openxmlformats.org/officeDocument/2006/relationships/table" Target="../tables/table31.xml"/><Relationship Id="rId197" Type="http://schemas.openxmlformats.org/officeDocument/2006/relationships/table" Target="../tables/table118.xml"/><Relationship Id="rId196" Type="http://schemas.openxmlformats.org/officeDocument/2006/relationships/table" Target="../tables/table117.xml"/><Relationship Id="rId195" Type="http://schemas.openxmlformats.org/officeDocument/2006/relationships/table" Target="../tables/table116.xml"/><Relationship Id="rId114" Type="http://schemas.openxmlformats.org/officeDocument/2006/relationships/table" Target="../tables/table35.xml"/><Relationship Id="rId113" Type="http://schemas.openxmlformats.org/officeDocument/2006/relationships/table" Target="../tables/table34.xml"/><Relationship Id="rId112" Type="http://schemas.openxmlformats.org/officeDocument/2006/relationships/table" Target="../tables/table33.xml"/><Relationship Id="rId111" Type="http://schemas.openxmlformats.org/officeDocument/2006/relationships/table" Target="../tables/table32.xml"/><Relationship Id="rId150" Type="http://schemas.openxmlformats.org/officeDocument/2006/relationships/table" Target="../tables/table71.xml"/><Relationship Id="rId1" Type="http://schemas.openxmlformats.org/officeDocument/2006/relationships/drawing" Target="../drawings/drawing7.xml"/><Relationship Id="rId149" Type="http://schemas.openxmlformats.org/officeDocument/2006/relationships/table" Target="../tables/table70.xml"/><Relationship Id="rId148" Type="http://schemas.openxmlformats.org/officeDocument/2006/relationships/table" Target="../tables/table69.xml"/><Relationship Id="rId143" Type="http://schemas.openxmlformats.org/officeDocument/2006/relationships/table" Target="../tables/table64.xml"/><Relationship Id="rId142" Type="http://schemas.openxmlformats.org/officeDocument/2006/relationships/table" Target="../tables/table63.xml"/><Relationship Id="rId141" Type="http://schemas.openxmlformats.org/officeDocument/2006/relationships/table" Target="../tables/table62.xml"/><Relationship Id="rId140" Type="http://schemas.openxmlformats.org/officeDocument/2006/relationships/table" Target="../tables/table61.xml"/><Relationship Id="rId147" Type="http://schemas.openxmlformats.org/officeDocument/2006/relationships/table" Target="../tables/table68.xml"/><Relationship Id="rId146" Type="http://schemas.openxmlformats.org/officeDocument/2006/relationships/table" Target="../tables/table67.xml"/><Relationship Id="rId145" Type="http://schemas.openxmlformats.org/officeDocument/2006/relationships/table" Target="../tables/table66.xml"/><Relationship Id="rId144" Type="http://schemas.openxmlformats.org/officeDocument/2006/relationships/table" Target="../tables/table65.xml"/><Relationship Id="rId139" Type="http://schemas.openxmlformats.org/officeDocument/2006/relationships/table" Target="../tables/table60.xml"/><Relationship Id="rId138" Type="http://schemas.openxmlformats.org/officeDocument/2006/relationships/table" Target="../tables/table59.xml"/><Relationship Id="rId137" Type="http://schemas.openxmlformats.org/officeDocument/2006/relationships/table" Target="../tables/table58.xml"/><Relationship Id="rId132" Type="http://schemas.openxmlformats.org/officeDocument/2006/relationships/table" Target="../tables/table53.xml"/><Relationship Id="rId131" Type="http://schemas.openxmlformats.org/officeDocument/2006/relationships/table" Target="../tables/table52.xml"/><Relationship Id="rId130" Type="http://schemas.openxmlformats.org/officeDocument/2006/relationships/table" Target="../tables/table51.xml"/><Relationship Id="rId136" Type="http://schemas.openxmlformats.org/officeDocument/2006/relationships/table" Target="../tables/table57.xml"/><Relationship Id="rId135" Type="http://schemas.openxmlformats.org/officeDocument/2006/relationships/table" Target="../tables/table56.xml"/><Relationship Id="rId134" Type="http://schemas.openxmlformats.org/officeDocument/2006/relationships/table" Target="../tables/table55.xml"/><Relationship Id="rId133" Type="http://schemas.openxmlformats.org/officeDocument/2006/relationships/table" Target="../tables/table54.xml"/><Relationship Id="rId172" Type="http://schemas.openxmlformats.org/officeDocument/2006/relationships/table" Target="../tables/table93.xml"/><Relationship Id="rId171" Type="http://schemas.openxmlformats.org/officeDocument/2006/relationships/table" Target="../tables/table92.xml"/><Relationship Id="rId170" Type="http://schemas.openxmlformats.org/officeDocument/2006/relationships/table" Target="../tables/table91.xml"/><Relationship Id="rId165" Type="http://schemas.openxmlformats.org/officeDocument/2006/relationships/table" Target="../tables/table86.xml"/><Relationship Id="rId164" Type="http://schemas.openxmlformats.org/officeDocument/2006/relationships/table" Target="../tables/table85.xml"/><Relationship Id="rId163" Type="http://schemas.openxmlformats.org/officeDocument/2006/relationships/table" Target="../tables/table84.xml"/><Relationship Id="rId162" Type="http://schemas.openxmlformats.org/officeDocument/2006/relationships/table" Target="../tables/table83.xml"/><Relationship Id="rId169" Type="http://schemas.openxmlformats.org/officeDocument/2006/relationships/table" Target="../tables/table90.xml"/><Relationship Id="rId168" Type="http://schemas.openxmlformats.org/officeDocument/2006/relationships/table" Target="../tables/table89.xml"/><Relationship Id="rId167" Type="http://schemas.openxmlformats.org/officeDocument/2006/relationships/table" Target="../tables/table88.xml"/><Relationship Id="rId166" Type="http://schemas.openxmlformats.org/officeDocument/2006/relationships/table" Target="../tables/table87.xml"/><Relationship Id="rId161" Type="http://schemas.openxmlformats.org/officeDocument/2006/relationships/table" Target="../tables/table82.xml"/><Relationship Id="rId160" Type="http://schemas.openxmlformats.org/officeDocument/2006/relationships/table" Target="../tables/table81.xml"/><Relationship Id="rId159" Type="http://schemas.openxmlformats.org/officeDocument/2006/relationships/table" Target="../tables/table80.xml"/><Relationship Id="rId154" Type="http://schemas.openxmlformats.org/officeDocument/2006/relationships/table" Target="../tables/table75.xml"/><Relationship Id="rId153" Type="http://schemas.openxmlformats.org/officeDocument/2006/relationships/table" Target="../tables/table74.xml"/><Relationship Id="rId152" Type="http://schemas.openxmlformats.org/officeDocument/2006/relationships/table" Target="../tables/table73.xml"/><Relationship Id="rId151" Type="http://schemas.openxmlformats.org/officeDocument/2006/relationships/table" Target="../tables/table72.xml"/><Relationship Id="rId158" Type="http://schemas.openxmlformats.org/officeDocument/2006/relationships/table" Target="../tables/table79.xml"/><Relationship Id="rId157" Type="http://schemas.openxmlformats.org/officeDocument/2006/relationships/table" Target="../tables/table78.xml"/><Relationship Id="rId156" Type="http://schemas.openxmlformats.org/officeDocument/2006/relationships/table" Target="../tables/table77.xml"/><Relationship Id="rId155" Type="http://schemas.openxmlformats.org/officeDocument/2006/relationships/table" Target="../tables/table76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19.xml"/><Relationship Id="rId13" Type="http://schemas.openxmlformats.org/officeDocument/2006/relationships/table" Target="../tables/table121.xml"/><Relationship Id="rId12" Type="http://schemas.openxmlformats.org/officeDocument/2006/relationships/table" Target="../tables/table120.xml"/><Relationship Id="rId15" Type="http://schemas.openxmlformats.org/officeDocument/2006/relationships/table" Target="../tables/table123.xml"/><Relationship Id="rId14" Type="http://schemas.openxmlformats.org/officeDocument/2006/relationships/table" Target="../tables/table122.xml"/><Relationship Id="rId17" Type="http://schemas.openxmlformats.org/officeDocument/2006/relationships/table" Target="../tables/table125.xml"/><Relationship Id="rId16" Type="http://schemas.openxmlformats.org/officeDocument/2006/relationships/table" Target="../tables/table124.xml"/><Relationship Id="rId19" Type="http://schemas.openxmlformats.org/officeDocument/2006/relationships/table" Target="../tables/table127.xml"/><Relationship Id="rId18" Type="http://schemas.openxmlformats.org/officeDocument/2006/relationships/table" Target="../tables/table126.xml"/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4.xml"/><Relationship Id="rId22" Type="http://schemas.openxmlformats.org/officeDocument/2006/relationships/table" Target="../tables/table136.xml"/><Relationship Id="rId21" Type="http://schemas.openxmlformats.org/officeDocument/2006/relationships/table" Target="../tables/table135.xml"/><Relationship Id="rId24" Type="http://schemas.openxmlformats.org/officeDocument/2006/relationships/table" Target="../tables/table138.xml"/><Relationship Id="rId23" Type="http://schemas.openxmlformats.org/officeDocument/2006/relationships/table" Target="../tables/table137.xml"/><Relationship Id="rId25" Type="http://schemas.openxmlformats.org/officeDocument/2006/relationships/table" Target="../tables/table139.xml"/><Relationship Id="rId15" Type="http://schemas.openxmlformats.org/officeDocument/2006/relationships/table" Target="../tables/table129.xml"/><Relationship Id="rId14" Type="http://schemas.openxmlformats.org/officeDocument/2006/relationships/table" Target="../tables/table128.xml"/><Relationship Id="rId17" Type="http://schemas.openxmlformats.org/officeDocument/2006/relationships/table" Target="../tables/table131.xml"/><Relationship Id="rId16" Type="http://schemas.openxmlformats.org/officeDocument/2006/relationships/table" Target="../tables/table130.xml"/><Relationship Id="rId19" Type="http://schemas.openxmlformats.org/officeDocument/2006/relationships/table" Target="../tables/table133.xml"/><Relationship Id="rId18" Type="http://schemas.openxmlformats.org/officeDocument/2006/relationships/table" Target="../tables/table13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0.xml"/><Relationship Id="rId13" Type="http://schemas.openxmlformats.org/officeDocument/2006/relationships/table" Target="../tables/table142.xml"/><Relationship Id="rId12" Type="http://schemas.openxmlformats.org/officeDocument/2006/relationships/table" Target="../tables/table141.xml"/><Relationship Id="rId14" Type="http://schemas.openxmlformats.org/officeDocument/2006/relationships/table" Target="../tables/table143.xml"/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1.xml"/><Relationship Id="rId5" Type="http://schemas.openxmlformats.org/officeDocument/2006/relationships/pivotTable" Target="../pivotTables/pivotTable12.xm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4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15.71"/>
    <col customWidth="1" min="3" max="3" width="25.43"/>
    <col customWidth="1" min="4" max="4" width="8.0"/>
    <col customWidth="1" min="5" max="5" width="12.71"/>
    <col customWidth="1" min="6" max="6" width="16.71"/>
    <col customWidth="1" min="7" max="7" width="12.14"/>
    <col customWidth="1" min="8" max="8" width="9.57"/>
    <col customWidth="1" min="9" max="9" width="16.29"/>
    <col customWidth="1" min="10" max="10" width="8.71"/>
    <col customWidth="1" min="11" max="11" width="11.0"/>
    <col customWidth="1" min="12" max="12" width="10.57"/>
    <col customWidth="1" min="13" max="15" width="8.71"/>
    <col customWidth="1" min="16" max="16" width="9.57"/>
    <col customWidth="1" min="17" max="30" width="8.71"/>
  </cols>
  <sheetData>
    <row r="1" ht="30.75" customHeight="1">
      <c r="A1" s="1" t="s">
        <v>0</v>
      </c>
      <c r="B1" s="2"/>
      <c r="C1" s="2"/>
      <c r="D1" s="2">
        <f>SUM(D3:D900)</f>
        <v>531.53</v>
      </c>
      <c r="E1" s="2"/>
      <c r="F1" s="3">
        <f>SUM(F3:F900)</f>
        <v>13288250</v>
      </c>
      <c r="G1" s="2"/>
      <c r="H1" s="4"/>
      <c r="I1" s="4"/>
      <c r="J1" s="5"/>
      <c r="K1" s="5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30.75" customHeight="1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9"/>
      <c r="I2" s="4"/>
      <c r="J2" s="10"/>
      <c r="K2" s="10"/>
      <c r="L2" s="10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>
      <c r="A3" s="11">
        <v>46209.0</v>
      </c>
      <c r="B3" s="12" t="s">
        <v>8</v>
      </c>
      <c r="C3" s="13" t="s">
        <v>9</v>
      </c>
      <c r="D3" s="13">
        <v>40.0</v>
      </c>
      <c r="E3" s="14">
        <v>25000.0</v>
      </c>
      <c r="F3" s="14">
        <f t="shared" ref="F3:F239" si="1">D3*E3</f>
        <v>1000000</v>
      </c>
      <c r="G3" s="15" t="s">
        <v>10</v>
      </c>
      <c r="H3" s="16"/>
      <c r="I3" s="16"/>
      <c r="J3" s="5"/>
      <c r="K3" s="5"/>
      <c r="L3" s="5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5.75" customHeight="1">
      <c r="A4" s="17">
        <v>46209.0</v>
      </c>
      <c r="B4" s="18" t="s">
        <v>8</v>
      </c>
      <c r="C4" s="19" t="s">
        <v>11</v>
      </c>
      <c r="D4" s="19">
        <v>20.0</v>
      </c>
      <c r="E4" s="20">
        <v>25000.0</v>
      </c>
      <c r="F4" s="20">
        <f t="shared" si="1"/>
        <v>500000</v>
      </c>
      <c r="G4" s="21" t="s">
        <v>10</v>
      </c>
      <c r="H4" s="16"/>
      <c r="I4" s="16"/>
      <c r="J4" s="5"/>
      <c r="K4" s="5"/>
      <c r="L4" s="5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ht="15.75" customHeight="1">
      <c r="A5" s="11">
        <v>46209.0</v>
      </c>
      <c r="B5" s="12" t="s">
        <v>8</v>
      </c>
      <c r="C5" s="13" t="s">
        <v>12</v>
      </c>
      <c r="D5" s="13">
        <v>5.0</v>
      </c>
      <c r="E5" s="14">
        <v>25000.0</v>
      </c>
      <c r="F5" s="14">
        <f t="shared" si="1"/>
        <v>125000</v>
      </c>
      <c r="G5" s="15" t="s">
        <v>10</v>
      </c>
      <c r="H5" s="16"/>
      <c r="I5" s="16"/>
      <c r="J5" s="5"/>
      <c r="K5" s="5"/>
      <c r="L5" s="5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ht="15.75" customHeight="1">
      <c r="A6" s="17">
        <v>46209.0</v>
      </c>
      <c r="B6" s="18" t="s">
        <v>8</v>
      </c>
      <c r="C6" s="19" t="s">
        <v>13</v>
      </c>
      <c r="D6" s="19">
        <v>5.0</v>
      </c>
      <c r="E6" s="20">
        <v>25000.0</v>
      </c>
      <c r="F6" s="20">
        <f t="shared" si="1"/>
        <v>125000</v>
      </c>
      <c r="G6" s="21" t="s">
        <v>10</v>
      </c>
      <c r="H6" s="16"/>
      <c r="I6" s="16"/>
      <c r="J6" s="5"/>
      <c r="K6" s="5"/>
      <c r="L6" s="5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5.75" customHeight="1">
      <c r="A7" s="11">
        <v>46209.0</v>
      </c>
      <c r="B7" s="12" t="s">
        <v>8</v>
      </c>
      <c r="C7" s="13" t="s">
        <v>14</v>
      </c>
      <c r="D7" s="13">
        <v>1.0</v>
      </c>
      <c r="E7" s="14">
        <v>25000.0</v>
      </c>
      <c r="F7" s="14">
        <f t="shared" si="1"/>
        <v>25000</v>
      </c>
      <c r="G7" s="15" t="s">
        <v>10</v>
      </c>
      <c r="H7" s="16"/>
      <c r="I7" s="16"/>
      <c r="J7" s="5"/>
      <c r="K7" s="5"/>
      <c r="L7" s="5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5.75" customHeight="1">
      <c r="A8" s="17">
        <v>46209.0</v>
      </c>
      <c r="B8" s="18" t="s">
        <v>8</v>
      </c>
      <c r="C8" s="19" t="s">
        <v>15</v>
      </c>
      <c r="D8" s="19">
        <v>1.0</v>
      </c>
      <c r="E8" s="20">
        <v>25000.0</v>
      </c>
      <c r="F8" s="20">
        <f t="shared" si="1"/>
        <v>25000</v>
      </c>
      <c r="G8" s="21" t="s">
        <v>10</v>
      </c>
      <c r="H8" s="16"/>
      <c r="I8" s="16"/>
      <c r="J8" s="5"/>
      <c r="K8" s="5"/>
      <c r="L8" s="5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5.75" customHeight="1">
      <c r="A9" s="11">
        <v>46209.0</v>
      </c>
      <c r="B9" s="12" t="s">
        <v>8</v>
      </c>
      <c r="C9" s="13" t="s">
        <v>16</v>
      </c>
      <c r="D9" s="13">
        <v>2.1</v>
      </c>
      <c r="E9" s="14">
        <v>25000.0</v>
      </c>
      <c r="F9" s="14">
        <f t="shared" si="1"/>
        <v>52500</v>
      </c>
      <c r="G9" s="15" t="s">
        <v>10</v>
      </c>
      <c r="H9" s="16"/>
      <c r="I9" s="16"/>
      <c r="J9" s="5"/>
      <c r="K9" s="5"/>
      <c r="L9" s="5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5.75" customHeight="1">
      <c r="A10" s="17">
        <v>46209.0</v>
      </c>
      <c r="B10" s="18" t="s">
        <v>17</v>
      </c>
      <c r="C10" s="19" t="s">
        <v>18</v>
      </c>
      <c r="D10" s="19">
        <v>5.0</v>
      </c>
      <c r="E10" s="20">
        <v>25000.0</v>
      </c>
      <c r="F10" s="20">
        <f t="shared" si="1"/>
        <v>125000</v>
      </c>
      <c r="G10" s="21" t="s">
        <v>10</v>
      </c>
      <c r="H10" s="16"/>
      <c r="I10" s="16"/>
      <c r="J10" s="5"/>
      <c r="K10" s="5"/>
      <c r="L10" s="5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5.75" customHeight="1">
      <c r="A11" s="11">
        <v>46209.0</v>
      </c>
      <c r="B11" s="12" t="s">
        <v>17</v>
      </c>
      <c r="C11" s="13" t="s">
        <v>19</v>
      </c>
      <c r="D11" s="13">
        <v>1.0</v>
      </c>
      <c r="E11" s="14">
        <v>25000.0</v>
      </c>
      <c r="F11" s="14">
        <f t="shared" si="1"/>
        <v>25000</v>
      </c>
      <c r="G11" s="15" t="s">
        <v>10</v>
      </c>
      <c r="H11" s="16"/>
      <c r="I11" s="16"/>
      <c r="J11" s="5"/>
      <c r="K11" s="5"/>
      <c r="L11" s="5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5.75" customHeight="1">
      <c r="A12" s="17">
        <v>46209.0</v>
      </c>
      <c r="B12" s="18" t="s">
        <v>17</v>
      </c>
      <c r="C12" s="19" t="s">
        <v>20</v>
      </c>
      <c r="D12" s="19">
        <v>2.0</v>
      </c>
      <c r="E12" s="20">
        <v>25000.0</v>
      </c>
      <c r="F12" s="20">
        <f t="shared" si="1"/>
        <v>50000</v>
      </c>
      <c r="G12" s="21" t="s">
        <v>10</v>
      </c>
      <c r="H12" s="16"/>
      <c r="I12" s="16"/>
      <c r="J12" s="5"/>
      <c r="K12" s="5"/>
      <c r="L12" s="5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5.75" customHeight="1">
      <c r="A13" s="11">
        <v>46209.0</v>
      </c>
      <c r="B13" s="12" t="s">
        <v>17</v>
      </c>
      <c r="C13" s="13" t="s">
        <v>21</v>
      </c>
      <c r="D13" s="13">
        <v>1.0</v>
      </c>
      <c r="E13" s="14">
        <v>25000.0</v>
      </c>
      <c r="F13" s="14">
        <f t="shared" si="1"/>
        <v>25000</v>
      </c>
      <c r="G13" s="15" t="s">
        <v>10</v>
      </c>
      <c r="H13" s="16"/>
      <c r="I13" s="16"/>
      <c r="J13" s="5"/>
      <c r="K13" s="5"/>
      <c r="L13" s="5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5.75" customHeight="1">
      <c r="A14" s="17">
        <v>46209.0</v>
      </c>
      <c r="B14" s="18" t="s">
        <v>17</v>
      </c>
      <c r="C14" s="19" t="s">
        <v>22</v>
      </c>
      <c r="D14" s="19">
        <v>1.0</v>
      </c>
      <c r="E14" s="20">
        <v>25000.0</v>
      </c>
      <c r="F14" s="20">
        <f t="shared" si="1"/>
        <v>25000</v>
      </c>
      <c r="G14" s="21" t="s">
        <v>10</v>
      </c>
      <c r="H14" s="16"/>
      <c r="I14" s="16"/>
      <c r="J14" s="5"/>
      <c r="K14" s="5"/>
      <c r="L14" s="5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5.75" customHeight="1">
      <c r="A15" s="11">
        <v>46209.0</v>
      </c>
      <c r="B15" s="12" t="s">
        <v>17</v>
      </c>
      <c r="C15" s="13" t="s">
        <v>23</v>
      </c>
      <c r="D15" s="13">
        <v>10.0</v>
      </c>
      <c r="E15" s="14">
        <v>25000.0</v>
      </c>
      <c r="F15" s="14">
        <f t="shared" si="1"/>
        <v>250000</v>
      </c>
      <c r="G15" s="15" t="s">
        <v>10</v>
      </c>
      <c r="H15" s="16"/>
      <c r="I15" s="16"/>
      <c r="J15" s="5"/>
      <c r="K15" s="5"/>
      <c r="L15" s="5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5.75" customHeight="1">
      <c r="A16" s="17">
        <v>46209.0</v>
      </c>
      <c r="B16" s="18" t="s">
        <v>17</v>
      </c>
      <c r="C16" s="19" t="s">
        <v>24</v>
      </c>
      <c r="D16" s="19">
        <v>7.0</v>
      </c>
      <c r="E16" s="20">
        <v>25000.0</v>
      </c>
      <c r="F16" s="20">
        <f t="shared" si="1"/>
        <v>175000</v>
      </c>
      <c r="G16" s="21" t="s">
        <v>10</v>
      </c>
      <c r="H16" s="16"/>
      <c r="I16" s="16"/>
      <c r="J16" s="5"/>
      <c r="K16" s="5"/>
      <c r="L16" s="5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5.75" customHeight="1">
      <c r="A17" s="11">
        <v>46209.0</v>
      </c>
      <c r="B17" s="12" t="s">
        <v>17</v>
      </c>
      <c r="C17" s="13" t="s">
        <v>25</v>
      </c>
      <c r="D17" s="13">
        <v>3.0</v>
      </c>
      <c r="E17" s="14">
        <v>25000.0</v>
      </c>
      <c r="F17" s="14">
        <f t="shared" si="1"/>
        <v>75000</v>
      </c>
      <c r="G17" s="15" t="s">
        <v>10</v>
      </c>
      <c r="H17" s="16"/>
      <c r="I17" s="16"/>
      <c r="J17" s="5"/>
      <c r="K17" s="5"/>
      <c r="L17" s="5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5.75" customHeight="1">
      <c r="A18" s="17">
        <v>46209.0</v>
      </c>
      <c r="B18" s="18" t="s">
        <v>17</v>
      </c>
      <c r="C18" s="19" t="s">
        <v>26</v>
      </c>
      <c r="D18" s="19">
        <v>1.0</v>
      </c>
      <c r="E18" s="20">
        <v>25000.0</v>
      </c>
      <c r="F18" s="20">
        <f t="shared" si="1"/>
        <v>25000</v>
      </c>
      <c r="G18" s="21" t="s">
        <v>10</v>
      </c>
      <c r="H18" s="16"/>
      <c r="I18" s="16"/>
      <c r="J18" s="5"/>
      <c r="K18" s="5"/>
      <c r="L18" s="5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5.75" customHeight="1">
      <c r="A19" s="11">
        <v>46209.0</v>
      </c>
      <c r="B19" s="12" t="s">
        <v>17</v>
      </c>
      <c r="C19" s="13" t="s">
        <v>16</v>
      </c>
      <c r="D19" s="13">
        <v>1.2</v>
      </c>
      <c r="E19" s="14">
        <v>25000.0</v>
      </c>
      <c r="F19" s="14">
        <f t="shared" si="1"/>
        <v>30000</v>
      </c>
      <c r="G19" s="15" t="s">
        <v>10</v>
      </c>
      <c r="H19" s="16"/>
      <c r="I19" s="16"/>
      <c r="J19" s="5"/>
      <c r="K19" s="5"/>
      <c r="L19" s="5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5.75" customHeight="1">
      <c r="A20" s="17">
        <v>46209.0</v>
      </c>
      <c r="B20" s="18" t="s">
        <v>27</v>
      </c>
      <c r="C20" s="19" t="s">
        <v>28</v>
      </c>
      <c r="D20" s="19">
        <v>35.0</v>
      </c>
      <c r="E20" s="20">
        <v>25000.0</v>
      </c>
      <c r="F20" s="20">
        <f t="shared" si="1"/>
        <v>875000</v>
      </c>
      <c r="G20" s="21" t="s">
        <v>10</v>
      </c>
      <c r="H20" s="16"/>
      <c r="I20" s="16"/>
      <c r="J20" s="5"/>
      <c r="K20" s="5"/>
      <c r="L20" s="5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5.75" customHeight="1">
      <c r="A21" s="11">
        <v>46209.0</v>
      </c>
      <c r="B21" s="12" t="s">
        <v>27</v>
      </c>
      <c r="C21" s="13" t="s">
        <v>29</v>
      </c>
      <c r="D21" s="13">
        <v>3.0</v>
      </c>
      <c r="E21" s="14">
        <v>25000.0</v>
      </c>
      <c r="F21" s="14">
        <f t="shared" si="1"/>
        <v>75000</v>
      </c>
      <c r="G21" s="15" t="s">
        <v>10</v>
      </c>
      <c r="H21" s="16"/>
      <c r="I21" s="16"/>
      <c r="J21" s="5"/>
      <c r="K21" s="5"/>
      <c r="L21" s="5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17">
        <v>46209.0</v>
      </c>
      <c r="B22" s="18" t="s">
        <v>27</v>
      </c>
      <c r="C22" s="19" t="s">
        <v>30</v>
      </c>
      <c r="D22" s="19">
        <v>1.0</v>
      </c>
      <c r="E22" s="20">
        <v>25000.0</v>
      </c>
      <c r="F22" s="20">
        <f t="shared" si="1"/>
        <v>25000</v>
      </c>
      <c r="G22" s="21" t="s">
        <v>10</v>
      </c>
      <c r="H22" s="16"/>
      <c r="I22" s="16"/>
      <c r="J22" s="5"/>
      <c r="K22" s="5"/>
      <c r="L22" s="5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11">
        <v>46209.0</v>
      </c>
      <c r="B23" s="12" t="s">
        <v>27</v>
      </c>
      <c r="C23" s="13" t="s">
        <v>31</v>
      </c>
      <c r="D23" s="13">
        <v>1.0</v>
      </c>
      <c r="E23" s="14">
        <v>25000.0</v>
      </c>
      <c r="F23" s="14">
        <f t="shared" si="1"/>
        <v>25000</v>
      </c>
      <c r="G23" s="15" t="s">
        <v>10</v>
      </c>
      <c r="H23" s="16"/>
      <c r="I23" s="16"/>
      <c r="J23" s="5"/>
      <c r="K23" s="5"/>
      <c r="L23" s="5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17">
        <v>46209.0</v>
      </c>
      <c r="B24" s="18" t="s">
        <v>27</v>
      </c>
      <c r="C24" s="19" t="s">
        <v>32</v>
      </c>
      <c r="D24" s="19">
        <v>1.0</v>
      </c>
      <c r="E24" s="20">
        <v>25000.0</v>
      </c>
      <c r="F24" s="20">
        <f t="shared" si="1"/>
        <v>25000</v>
      </c>
      <c r="G24" s="21" t="s">
        <v>10</v>
      </c>
      <c r="H24" s="16"/>
      <c r="I24" s="16"/>
      <c r="J24" s="5"/>
      <c r="K24" s="5"/>
      <c r="L24" s="5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11">
        <v>46209.0</v>
      </c>
      <c r="B25" s="12" t="s">
        <v>27</v>
      </c>
      <c r="C25" s="13" t="s">
        <v>33</v>
      </c>
      <c r="D25" s="13">
        <v>1.0</v>
      </c>
      <c r="E25" s="14">
        <v>25000.0</v>
      </c>
      <c r="F25" s="14">
        <f t="shared" si="1"/>
        <v>25000</v>
      </c>
      <c r="G25" s="15" t="s">
        <v>10</v>
      </c>
      <c r="H25" s="16"/>
      <c r="I25" s="16"/>
      <c r="J25" s="5"/>
      <c r="K25" s="5"/>
      <c r="L25" s="5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17">
        <v>46209.0</v>
      </c>
      <c r="B26" s="18" t="s">
        <v>27</v>
      </c>
      <c r="C26" s="19" t="s">
        <v>34</v>
      </c>
      <c r="D26" s="19">
        <v>1.0</v>
      </c>
      <c r="E26" s="20">
        <v>25000.0</v>
      </c>
      <c r="F26" s="20">
        <f t="shared" si="1"/>
        <v>25000</v>
      </c>
      <c r="G26" s="21" t="s">
        <v>10</v>
      </c>
      <c r="H26" s="16"/>
      <c r="I26" s="16"/>
      <c r="J26" s="5"/>
      <c r="K26" s="5"/>
      <c r="L26" s="5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11">
        <v>46209.0</v>
      </c>
      <c r="B27" s="12" t="s">
        <v>27</v>
      </c>
      <c r="C27" s="13" t="s">
        <v>35</v>
      </c>
      <c r="D27" s="13">
        <v>1.0</v>
      </c>
      <c r="E27" s="14">
        <v>25000.0</v>
      </c>
      <c r="F27" s="14">
        <f t="shared" si="1"/>
        <v>25000</v>
      </c>
      <c r="G27" s="15" t="s">
        <v>10</v>
      </c>
      <c r="H27" s="16"/>
      <c r="I27" s="16"/>
      <c r="J27" s="5"/>
      <c r="K27" s="5"/>
      <c r="L27" s="5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5.75" customHeight="1">
      <c r="A28" s="17">
        <v>46209.0</v>
      </c>
      <c r="B28" s="18" t="s">
        <v>27</v>
      </c>
      <c r="C28" s="19" t="s">
        <v>16</v>
      </c>
      <c r="D28" s="19">
        <v>2.26</v>
      </c>
      <c r="E28" s="20">
        <v>25000.0</v>
      </c>
      <c r="F28" s="20">
        <f t="shared" si="1"/>
        <v>56500</v>
      </c>
      <c r="G28" s="21" t="s">
        <v>10</v>
      </c>
      <c r="H28" s="16"/>
      <c r="I28" s="16"/>
      <c r="J28" s="5"/>
      <c r="K28" s="5"/>
      <c r="L28" s="5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5.75" customHeight="1">
      <c r="A29" s="11">
        <v>46209.0</v>
      </c>
      <c r="B29" s="12" t="s">
        <v>36</v>
      </c>
      <c r="C29" s="13" t="s">
        <v>28</v>
      </c>
      <c r="D29" s="13">
        <v>5.0</v>
      </c>
      <c r="E29" s="14">
        <v>25000.0</v>
      </c>
      <c r="F29" s="14">
        <f t="shared" si="1"/>
        <v>125000</v>
      </c>
      <c r="G29" s="15" t="s">
        <v>10</v>
      </c>
      <c r="H29" s="16"/>
      <c r="I29" s="16"/>
      <c r="J29" s="5"/>
      <c r="K29" s="5"/>
      <c r="L29" s="5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5.75" customHeight="1">
      <c r="A30" s="17">
        <v>46209.0</v>
      </c>
      <c r="B30" s="18" t="s">
        <v>36</v>
      </c>
      <c r="C30" s="19" t="s">
        <v>37</v>
      </c>
      <c r="D30" s="19">
        <v>1.0</v>
      </c>
      <c r="E30" s="20">
        <v>25000.0</v>
      </c>
      <c r="F30" s="20">
        <f t="shared" si="1"/>
        <v>25000</v>
      </c>
      <c r="G30" s="21" t="s">
        <v>10</v>
      </c>
      <c r="H30" s="16"/>
      <c r="I30" s="16"/>
      <c r="J30" s="5"/>
      <c r="K30" s="5"/>
      <c r="L30" s="5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5.75" customHeight="1">
      <c r="A31" s="11">
        <v>46209.0</v>
      </c>
      <c r="B31" s="12" t="s">
        <v>36</v>
      </c>
      <c r="C31" s="13" t="s">
        <v>16</v>
      </c>
      <c r="D31" s="13">
        <v>0.42</v>
      </c>
      <c r="E31" s="14">
        <v>25000.0</v>
      </c>
      <c r="F31" s="14">
        <f t="shared" si="1"/>
        <v>10500</v>
      </c>
      <c r="G31" s="15" t="s">
        <v>10</v>
      </c>
      <c r="H31" s="16"/>
      <c r="I31" s="16"/>
      <c r="J31" s="5"/>
      <c r="K31" s="5"/>
      <c r="L31" s="5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5.75" customHeight="1">
      <c r="A32" s="17">
        <v>46210.0</v>
      </c>
      <c r="B32" s="18" t="s">
        <v>8</v>
      </c>
      <c r="C32" s="19" t="s">
        <v>38</v>
      </c>
      <c r="D32" s="19">
        <v>10.0</v>
      </c>
      <c r="E32" s="20">
        <v>25000.0</v>
      </c>
      <c r="F32" s="20">
        <f t="shared" si="1"/>
        <v>250000</v>
      </c>
      <c r="G32" s="21" t="s">
        <v>10</v>
      </c>
      <c r="H32" s="16"/>
      <c r="I32" s="16"/>
      <c r="J32" s="5"/>
      <c r="K32" s="5"/>
      <c r="L32" s="5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5.75" customHeight="1">
      <c r="A33" s="11">
        <v>46210.0</v>
      </c>
      <c r="B33" s="12" t="s">
        <v>8</v>
      </c>
      <c r="C33" s="13" t="s">
        <v>9</v>
      </c>
      <c r="D33" s="13">
        <v>20.0</v>
      </c>
      <c r="E33" s="14">
        <v>25000.0</v>
      </c>
      <c r="F33" s="14">
        <f t="shared" si="1"/>
        <v>500000</v>
      </c>
      <c r="G33" s="15" t="s">
        <v>10</v>
      </c>
      <c r="H33" s="16"/>
      <c r="I33" s="16"/>
      <c r="J33" s="5"/>
      <c r="K33" s="5"/>
      <c r="L33" s="5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17">
        <v>46210.0</v>
      </c>
      <c r="B34" s="18" t="s">
        <v>8</v>
      </c>
      <c r="C34" s="19" t="s">
        <v>39</v>
      </c>
      <c r="D34" s="19">
        <v>20.0</v>
      </c>
      <c r="E34" s="20">
        <v>25000.0</v>
      </c>
      <c r="F34" s="20">
        <f t="shared" si="1"/>
        <v>500000</v>
      </c>
      <c r="G34" s="21" t="s">
        <v>10</v>
      </c>
      <c r="H34" s="16"/>
      <c r="I34" s="16"/>
      <c r="J34" s="5"/>
      <c r="K34" s="5"/>
      <c r="L34" s="5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5.75" customHeight="1">
      <c r="A35" s="11">
        <v>46210.0</v>
      </c>
      <c r="B35" s="12" t="s">
        <v>8</v>
      </c>
      <c r="C35" s="13" t="s">
        <v>40</v>
      </c>
      <c r="D35" s="13">
        <v>1.0</v>
      </c>
      <c r="E35" s="14">
        <v>25000.0</v>
      </c>
      <c r="F35" s="14">
        <f t="shared" si="1"/>
        <v>25000</v>
      </c>
      <c r="G35" s="15" t="s">
        <v>10</v>
      </c>
      <c r="H35" s="16"/>
      <c r="I35" s="16"/>
      <c r="J35" s="5"/>
      <c r="K35" s="5"/>
      <c r="L35" s="5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5.75" customHeight="1">
      <c r="A36" s="17">
        <v>46210.0</v>
      </c>
      <c r="B36" s="18" t="s">
        <v>8</v>
      </c>
      <c r="C36" s="19" t="s">
        <v>41</v>
      </c>
      <c r="D36" s="19">
        <v>1.0</v>
      </c>
      <c r="E36" s="20">
        <v>25000.0</v>
      </c>
      <c r="F36" s="20">
        <f t="shared" si="1"/>
        <v>25000</v>
      </c>
      <c r="G36" s="21" t="s">
        <v>10</v>
      </c>
      <c r="H36" s="16"/>
      <c r="I36" s="16"/>
      <c r="J36" s="5"/>
      <c r="K36" s="5"/>
      <c r="L36" s="5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5.75" customHeight="1">
      <c r="A37" s="11">
        <v>46210.0</v>
      </c>
      <c r="B37" s="12" t="s">
        <v>8</v>
      </c>
      <c r="C37" s="13" t="s">
        <v>42</v>
      </c>
      <c r="D37" s="13">
        <v>1.0</v>
      </c>
      <c r="E37" s="14">
        <v>25000.0</v>
      </c>
      <c r="F37" s="14">
        <f t="shared" si="1"/>
        <v>25000</v>
      </c>
      <c r="G37" s="15" t="s">
        <v>10</v>
      </c>
      <c r="H37" s="16"/>
      <c r="I37" s="16"/>
      <c r="J37" s="5"/>
      <c r="K37" s="5"/>
      <c r="L37" s="5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5.75" customHeight="1">
      <c r="A38" s="17">
        <v>46210.0</v>
      </c>
      <c r="B38" s="18" t="s">
        <v>8</v>
      </c>
      <c r="C38" s="19" t="s">
        <v>43</v>
      </c>
      <c r="D38" s="19">
        <v>1.0</v>
      </c>
      <c r="E38" s="20">
        <v>25000.0</v>
      </c>
      <c r="F38" s="20">
        <f t="shared" si="1"/>
        <v>25000</v>
      </c>
      <c r="G38" s="21" t="s">
        <v>10</v>
      </c>
      <c r="H38" s="16"/>
      <c r="I38" s="16"/>
      <c r="J38" s="5"/>
      <c r="K38" s="5"/>
      <c r="L38" s="5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5.75" customHeight="1">
      <c r="A39" s="11">
        <v>46210.0</v>
      </c>
      <c r="B39" s="12" t="s">
        <v>8</v>
      </c>
      <c r="C39" s="13" t="s">
        <v>44</v>
      </c>
      <c r="D39" s="13">
        <v>1.0</v>
      </c>
      <c r="E39" s="14">
        <v>25000.0</v>
      </c>
      <c r="F39" s="14">
        <f t="shared" si="1"/>
        <v>25000</v>
      </c>
      <c r="G39" s="15" t="s">
        <v>10</v>
      </c>
      <c r="H39" s="16"/>
      <c r="I39" s="16"/>
      <c r="J39" s="5"/>
      <c r="K39" s="5"/>
      <c r="L39" s="5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>
      <c r="A40" s="17">
        <v>46210.0</v>
      </c>
      <c r="B40" s="18" t="s">
        <v>8</v>
      </c>
      <c r="C40" s="19" t="s">
        <v>45</v>
      </c>
      <c r="D40" s="19">
        <v>1.0</v>
      </c>
      <c r="E40" s="20">
        <v>25000.0</v>
      </c>
      <c r="F40" s="20">
        <f t="shared" si="1"/>
        <v>25000</v>
      </c>
      <c r="G40" s="21" t="s">
        <v>10</v>
      </c>
      <c r="H40" s="16"/>
      <c r="I40" s="16"/>
      <c r="J40" s="5"/>
      <c r="K40" s="5"/>
      <c r="L40" s="5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>
      <c r="A41" s="11">
        <v>46210.0</v>
      </c>
      <c r="B41" s="12" t="s">
        <v>8</v>
      </c>
      <c r="C41" s="13" t="s">
        <v>46</v>
      </c>
      <c r="D41" s="13">
        <v>10.0</v>
      </c>
      <c r="E41" s="14">
        <v>25000.0</v>
      </c>
      <c r="F41" s="14">
        <f t="shared" si="1"/>
        <v>250000</v>
      </c>
      <c r="G41" s="15" t="s">
        <v>10</v>
      </c>
      <c r="H41" s="16"/>
      <c r="I41" s="16"/>
      <c r="J41" s="5"/>
      <c r="K41" s="5"/>
      <c r="L41" s="5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5.75" customHeight="1">
      <c r="A42" s="17">
        <v>46210.0</v>
      </c>
      <c r="B42" s="18" t="s">
        <v>8</v>
      </c>
      <c r="C42" s="19" t="s">
        <v>16</v>
      </c>
      <c r="D42" s="19">
        <v>2.54</v>
      </c>
      <c r="E42" s="20">
        <v>25000.0</v>
      </c>
      <c r="F42" s="20">
        <f t="shared" si="1"/>
        <v>63500</v>
      </c>
      <c r="G42" s="21" t="s">
        <v>10</v>
      </c>
      <c r="H42" s="16"/>
      <c r="I42" s="16"/>
      <c r="J42" s="5"/>
      <c r="K42" s="5"/>
      <c r="L42" s="5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5.75" customHeight="1">
      <c r="A43" s="11">
        <v>46210.0</v>
      </c>
      <c r="B43" s="12" t="s">
        <v>17</v>
      </c>
      <c r="C43" s="13" t="s">
        <v>47</v>
      </c>
      <c r="D43" s="13">
        <v>1.0</v>
      </c>
      <c r="E43" s="14">
        <v>25000.0</v>
      </c>
      <c r="F43" s="14">
        <f t="shared" si="1"/>
        <v>25000</v>
      </c>
      <c r="G43" s="15" t="s">
        <v>10</v>
      </c>
      <c r="H43" s="16"/>
      <c r="I43" s="16"/>
      <c r="J43" s="5"/>
      <c r="K43" s="5"/>
      <c r="L43" s="5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5.75" customHeight="1">
      <c r="A44" s="17">
        <v>46210.0</v>
      </c>
      <c r="B44" s="18" t="s">
        <v>17</v>
      </c>
      <c r="C44" s="19" t="s">
        <v>48</v>
      </c>
      <c r="D44" s="19">
        <v>1.0</v>
      </c>
      <c r="E44" s="20">
        <v>25000.0</v>
      </c>
      <c r="F44" s="20">
        <f t="shared" si="1"/>
        <v>25000</v>
      </c>
      <c r="G44" s="21" t="s">
        <v>10</v>
      </c>
      <c r="H44" s="16"/>
      <c r="I44" s="16"/>
      <c r="J44" s="5"/>
      <c r="K44" s="5"/>
      <c r="L44" s="5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5.75" customHeight="1">
      <c r="A45" s="11">
        <v>46210.0</v>
      </c>
      <c r="B45" s="12" t="s">
        <v>17</v>
      </c>
      <c r="C45" s="13" t="s">
        <v>49</v>
      </c>
      <c r="D45" s="13">
        <v>1.0</v>
      </c>
      <c r="E45" s="14">
        <v>25000.0</v>
      </c>
      <c r="F45" s="14">
        <f t="shared" si="1"/>
        <v>25000</v>
      </c>
      <c r="G45" s="15" t="s">
        <v>10</v>
      </c>
      <c r="H45" s="16"/>
      <c r="I45" s="16"/>
      <c r="J45" s="5"/>
      <c r="K45" s="5"/>
      <c r="L45" s="5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5.75" customHeight="1">
      <c r="A46" s="17">
        <v>46210.0</v>
      </c>
      <c r="B46" s="18" t="s">
        <v>17</v>
      </c>
      <c r="C46" s="19" t="s">
        <v>50</v>
      </c>
      <c r="D46" s="19">
        <v>1.0</v>
      </c>
      <c r="E46" s="20">
        <v>25000.0</v>
      </c>
      <c r="F46" s="20">
        <f t="shared" si="1"/>
        <v>25000</v>
      </c>
      <c r="G46" s="21" t="s">
        <v>10</v>
      </c>
      <c r="H46" s="16"/>
      <c r="I46" s="16"/>
      <c r="J46" s="5"/>
      <c r="K46" s="5"/>
      <c r="L46" s="5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5.75" customHeight="1">
      <c r="A47" s="11">
        <v>46210.0</v>
      </c>
      <c r="B47" s="12" t="s">
        <v>17</v>
      </c>
      <c r="C47" s="13" t="s">
        <v>51</v>
      </c>
      <c r="D47" s="13">
        <v>1.0</v>
      </c>
      <c r="E47" s="14">
        <v>25000.0</v>
      </c>
      <c r="F47" s="14">
        <f t="shared" si="1"/>
        <v>25000</v>
      </c>
      <c r="G47" s="15" t="s">
        <v>10</v>
      </c>
      <c r="H47" s="16"/>
      <c r="I47" s="16"/>
      <c r="J47" s="5"/>
      <c r="K47" s="5"/>
      <c r="L47" s="5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5.75" customHeight="1">
      <c r="A48" s="17">
        <v>46210.0</v>
      </c>
      <c r="B48" s="18" t="s">
        <v>17</v>
      </c>
      <c r="C48" s="19" t="s">
        <v>52</v>
      </c>
      <c r="D48" s="19">
        <v>1.0</v>
      </c>
      <c r="E48" s="20">
        <v>25000.0</v>
      </c>
      <c r="F48" s="20">
        <f t="shared" si="1"/>
        <v>25000</v>
      </c>
      <c r="G48" s="21" t="s">
        <v>10</v>
      </c>
      <c r="H48" s="16"/>
      <c r="I48" s="16"/>
      <c r="J48" s="5"/>
      <c r="K48" s="5"/>
      <c r="L48" s="5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11">
        <v>46210.0</v>
      </c>
      <c r="B49" s="12" t="s">
        <v>17</v>
      </c>
      <c r="C49" s="13" t="s">
        <v>23</v>
      </c>
      <c r="D49" s="13">
        <v>3.0</v>
      </c>
      <c r="E49" s="14">
        <v>25000.0</v>
      </c>
      <c r="F49" s="14">
        <f t="shared" si="1"/>
        <v>75000</v>
      </c>
      <c r="G49" s="15" t="s">
        <v>10</v>
      </c>
      <c r="H49" s="16"/>
      <c r="I49" s="16"/>
      <c r="J49" s="5"/>
      <c r="K49" s="5"/>
      <c r="L49" s="5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17">
        <v>46210.0</v>
      </c>
      <c r="B50" s="18" t="s">
        <v>17</v>
      </c>
      <c r="C50" s="19" t="s">
        <v>53</v>
      </c>
      <c r="D50" s="19">
        <v>1.0</v>
      </c>
      <c r="E50" s="20">
        <v>25000.0</v>
      </c>
      <c r="F50" s="20">
        <f t="shared" si="1"/>
        <v>25000</v>
      </c>
      <c r="G50" s="21" t="s">
        <v>10</v>
      </c>
      <c r="H50" s="16"/>
      <c r="I50" s="16"/>
      <c r="J50" s="5"/>
      <c r="K50" s="5"/>
      <c r="L50" s="5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11">
        <v>46210.0</v>
      </c>
      <c r="B51" s="12" t="s">
        <v>17</v>
      </c>
      <c r="C51" s="13" t="s">
        <v>54</v>
      </c>
      <c r="D51" s="13">
        <v>1.0</v>
      </c>
      <c r="E51" s="14">
        <v>25000.0</v>
      </c>
      <c r="F51" s="14">
        <f t="shared" si="1"/>
        <v>25000</v>
      </c>
      <c r="G51" s="15" t="s">
        <v>10</v>
      </c>
      <c r="H51" s="16"/>
      <c r="I51" s="16"/>
      <c r="J51" s="5"/>
      <c r="K51" s="5"/>
      <c r="L51" s="5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17">
        <v>46210.0</v>
      </c>
      <c r="B52" s="18" t="s">
        <v>17</v>
      </c>
      <c r="C52" s="19" t="s">
        <v>24</v>
      </c>
      <c r="D52" s="19">
        <v>5.0</v>
      </c>
      <c r="E52" s="20">
        <v>25000.0</v>
      </c>
      <c r="F52" s="20">
        <f t="shared" si="1"/>
        <v>125000</v>
      </c>
      <c r="G52" s="21" t="s">
        <v>10</v>
      </c>
      <c r="H52" s="16"/>
      <c r="I52" s="16"/>
      <c r="J52" s="5"/>
      <c r="K52" s="5"/>
      <c r="L52" s="5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11">
        <v>46210.0</v>
      </c>
      <c r="B53" s="12" t="s">
        <v>17</v>
      </c>
      <c r="C53" s="13" t="s">
        <v>16</v>
      </c>
      <c r="D53" s="13">
        <v>0.75</v>
      </c>
      <c r="E53" s="14">
        <v>25000.0</v>
      </c>
      <c r="F53" s="14">
        <f t="shared" si="1"/>
        <v>18750</v>
      </c>
      <c r="G53" s="15" t="s">
        <v>10</v>
      </c>
      <c r="H53" s="16"/>
      <c r="I53" s="16"/>
      <c r="J53" s="5"/>
      <c r="K53" s="5"/>
      <c r="L53" s="5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17">
        <v>46210.0</v>
      </c>
      <c r="B54" s="18" t="s">
        <v>27</v>
      </c>
      <c r="C54" s="19" t="s">
        <v>55</v>
      </c>
      <c r="D54" s="19">
        <v>20.0</v>
      </c>
      <c r="E54" s="20">
        <v>25000.0</v>
      </c>
      <c r="F54" s="20">
        <f t="shared" si="1"/>
        <v>500000</v>
      </c>
      <c r="G54" s="21" t="s">
        <v>10</v>
      </c>
      <c r="H54" s="16"/>
      <c r="I54" s="16"/>
      <c r="J54" s="5"/>
      <c r="K54" s="5"/>
      <c r="L54" s="5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11">
        <v>46210.0</v>
      </c>
      <c r="B55" s="12" t="s">
        <v>27</v>
      </c>
      <c r="C55" s="13" t="s">
        <v>29</v>
      </c>
      <c r="D55" s="13">
        <v>3.0</v>
      </c>
      <c r="E55" s="14">
        <v>25000.0</v>
      </c>
      <c r="F55" s="14">
        <f t="shared" si="1"/>
        <v>75000</v>
      </c>
      <c r="G55" s="15" t="s">
        <v>10</v>
      </c>
      <c r="H55" s="16"/>
      <c r="I55" s="16"/>
      <c r="J55" s="5"/>
      <c r="K55" s="5"/>
      <c r="L55" s="5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17">
        <v>46210.0</v>
      </c>
      <c r="B56" s="18" t="s">
        <v>27</v>
      </c>
      <c r="C56" s="19" t="s">
        <v>56</v>
      </c>
      <c r="D56" s="19">
        <v>1.0</v>
      </c>
      <c r="E56" s="20">
        <v>25000.0</v>
      </c>
      <c r="F56" s="20">
        <f t="shared" si="1"/>
        <v>25000</v>
      </c>
      <c r="G56" s="21" t="s">
        <v>10</v>
      </c>
      <c r="H56" s="16"/>
      <c r="I56" s="16"/>
      <c r="J56" s="5"/>
      <c r="K56" s="5"/>
      <c r="L56" s="5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11">
        <v>46210.0</v>
      </c>
      <c r="B57" s="12" t="s">
        <v>27</v>
      </c>
      <c r="C57" s="13" t="s">
        <v>57</v>
      </c>
      <c r="D57" s="13">
        <v>1.0</v>
      </c>
      <c r="E57" s="14">
        <v>25000.0</v>
      </c>
      <c r="F57" s="14">
        <f t="shared" si="1"/>
        <v>25000</v>
      </c>
      <c r="G57" s="15" t="s">
        <v>10</v>
      </c>
      <c r="H57" s="16"/>
      <c r="I57" s="16"/>
      <c r="J57" s="5"/>
      <c r="K57" s="5"/>
      <c r="L57" s="5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17">
        <v>46210.0</v>
      </c>
      <c r="B58" s="18" t="s">
        <v>27</v>
      </c>
      <c r="C58" s="19" t="s">
        <v>58</v>
      </c>
      <c r="D58" s="19">
        <v>1.0</v>
      </c>
      <c r="E58" s="20">
        <v>25000.0</v>
      </c>
      <c r="F58" s="20">
        <f t="shared" si="1"/>
        <v>25000</v>
      </c>
      <c r="G58" s="21" t="s">
        <v>10</v>
      </c>
      <c r="H58" s="16"/>
      <c r="I58" s="16"/>
      <c r="J58" s="5"/>
      <c r="K58" s="5"/>
      <c r="L58" s="5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11">
        <v>46210.0</v>
      </c>
      <c r="B59" s="12" t="s">
        <v>27</v>
      </c>
      <c r="C59" s="13" t="s">
        <v>59</v>
      </c>
      <c r="D59" s="13">
        <v>1.0</v>
      </c>
      <c r="E59" s="14">
        <v>25000.0</v>
      </c>
      <c r="F59" s="14">
        <f t="shared" si="1"/>
        <v>25000</v>
      </c>
      <c r="G59" s="15" t="s">
        <v>10</v>
      </c>
      <c r="H59" s="16"/>
      <c r="I59" s="16"/>
      <c r="J59" s="5"/>
      <c r="K59" s="5"/>
      <c r="L59" s="5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17">
        <v>46210.0</v>
      </c>
      <c r="B60" s="18" t="s">
        <v>27</v>
      </c>
      <c r="C60" s="19" t="s">
        <v>16</v>
      </c>
      <c r="D60" s="19">
        <v>1.48</v>
      </c>
      <c r="E60" s="20">
        <v>25000.0</v>
      </c>
      <c r="F60" s="20">
        <f t="shared" si="1"/>
        <v>37000</v>
      </c>
      <c r="G60" s="21" t="s">
        <v>10</v>
      </c>
      <c r="H60" s="16"/>
      <c r="I60" s="16"/>
      <c r="J60" s="5"/>
      <c r="K60" s="5"/>
      <c r="L60" s="5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11">
        <v>46210.0</v>
      </c>
      <c r="B61" s="12" t="s">
        <v>36</v>
      </c>
      <c r="C61" s="13" t="s">
        <v>29</v>
      </c>
      <c r="D61" s="13">
        <v>3.0</v>
      </c>
      <c r="E61" s="14">
        <v>25000.0</v>
      </c>
      <c r="F61" s="14">
        <f t="shared" si="1"/>
        <v>75000</v>
      </c>
      <c r="G61" s="15" t="s">
        <v>10</v>
      </c>
      <c r="H61" s="16"/>
      <c r="I61" s="16"/>
      <c r="J61" s="5"/>
      <c r="K61" s="5"/>
      <c r="L61" s="5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17">
        <v>46210.0</v>
      </c>
      <c r="B62" s="18" t="s">
        <v>36</v>
      </c>
      <c r="C62" s="19" t="s">
        <v>16</v>
      </c>
      <c r="D62" s="19">
        <v>0.27</v>
      </c>
      <c r="E62" s="20">
        <v>25000.0</v>
      </c>
      <c r="F62" s="20">
        <f t="shared" si="1"/>
        <v>6750</v>
      </c>
      <c r="G62" s="21" t="s">
        <v>10</v>
      </c>
      <c r="H62" s="16"/>
      <c r="I62" s="16"/>
      <c r="J62" s="5"/>
      <c r="K62" s="5"/>
      <c r="L62" s="5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11">
        <v>46211.0</v>
      </c>
      <c r="B63" s="12" t="s">
        <v>36</v>
      </c>
      <c r="C63" s="13" t="s">
        <v>16</v>
      </c>
      <c r="D63" s="13">
        <v>0.16</v>
      </c>
      <c r="E63" s="14">
        <v>25000.0</v>
      </c>
      <c r="F63" s="14">
        <f t="shared" si="1"/>
        <v>4000</v>
      </c>
      <c r="G63" s="15" t="s">
        <v>10</v>
      </c>
      <c r="H63" s="16"/>
      <c r="I63" s="16"/>
      <c r="J63" s="5"/>
      <c r="K63" s="5"/>
      <c r="L63" s="5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17">
        <v>46211.0</v>
      </c>
      <c r="B64" s="18" t="s">
        <v>17</v>
      </c>
      <c r="C64" s="19" t="s">
        <v>60</v>
      </c>
      <c r="D64" s="19">
        <v>1.0</v>
      </c>
      <c r="E64" s="20">
        <v>25000.0</v>
      </c>
      <c r="F64" s="20">
        <f t="shared" si="1"/>
        <v>25000</v>
      </c>
      <c r="G64" s="21" t="s">
        <v>10</v>
      </c>
      <c r="H64" s="16"/>
      <c r="I64" s="16"/>
      <c r="J64" s="5"/>
      <c r="K64" s="5"/>
      <c r="L64" s="5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11">
        <v>46211.0</v>
      </c>
      <c r="B65" s="12" t="s">
        <v>17</v>
      </c>
      <c r="C65" s="13" t="s">
        <v>61</v>
      </c>
      <c r="D65" s="13">
        <v>1.0</v>
      </c>
      <c r="E65" s="14">
        <v>25000.0</v>
      </c>
      <c r="F65" s="14">
        <f t="shared" si="1"/>
        <v>25000</v>
      </c>
      <c r="G65" s="15" t="s">
        <v>10</v>
      </c>
      <c r="H65" s="16"/>
      <c r="I65" s="16"/>
      <c r="J65" s="5"/>
      <c r="K65" s="5"/>
      <c r="L65" s="5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17">
        <v>46211.0</v>
      </c>
      <c r="B66" s="18" t="s">
        <v>17</v>
      </c>
      <c r="C66" s="19" t="s">
        <v>62</v>
      </c>
      <c r="D66" s="19">
        <v>5.0</v>
      </c>
      <c r="E66" s="20">
        <v>25000.0</v>
      </c>
      <c r="F66" s="20">
        <f t="shared" si="1"/>
        <v>125000</v>
      </c>
      <c r="G66" s="21" t="s">
        <v>10</v>
      </c>
      <c r="H66" s="16"/>
      <c r="I66" s="16"/>
      <c r="J66" s="5"/>
      <c r="K66" s="5"/>
      <c r="L66" s="5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11">
        <v>46211.0</v>
      </c>
      <c r="B67" s="12" t="s">
        <v>17</v>
      </c>
      <c r="C67" s="13" t="s">
        <v>63</v>
      </c>
      <c r="D67" s="13">
        <v>1.0</v>
      </c>
      <c r="E67" s="14">
        <v>25000.0</v>
      </c>
      <c r="F67" s="14">
        <f t="shared" si="1"/>
        <v>25000</v>
      </c>
      <c r="G67" s="15" t="s">
        <v>10</v>
      </c>
      <c r="H67" s="16"/>
      <c r="I67" s="16"/>
      <c r="J67" s="5"/>
      <c r="K67" s="5"/>
      <c r="L67" s="5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17">
        <v>46211.0</v>
      </c>
      <c r="B68" s="18" t="s">
        <v>17</v>
      </c>
      <c r="C68" s="19" t="s">
        <v>24</v>
      </c>
      <c r="D68" s="19">
        <v>5.0</v>
      </c>
      <c r="E68" s="20">
        <v>25000.0</v>
      </c>
      <c r="F68" s="20">
        <f t="shared" si="1"/>
        <v>125000</v>
      </c>
      <c r="G68" s="21" t="s">
        <v>10</v>
      </c>
      <c r="H68" s="16"/>
      <c r="I68" s="16"/>
      <c r="J68" s="5"/>
      <c r="K68" s="5"/>
      <c r="L68" s="5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11">
        <v>46211.0</v>
      </c>
      <c r="B69" s="12" t="s">
        <v>17</v>
      </c>
      <c r="C69" s="13" t="s">
        <v>23</v>
      </c>
      <c r="D69" s="13">
        <v>3.0</v>
      </c>
      <c r="E69" s="14">
        <v>25000.0</v>
      </c>
      <c r="F69" s="14">
        <f t="shared" si="1"/>
        <v>75000</v>
      </c>
      <c r="G69" s="15" t="s">
        <v>10</v>
      </c>
      <c r="H69" s="16"/>
      <c r="I69" s="16"/>
      <c r="J69" s="5"/>
      <c r="K69" s="5"/>
      <c r="L69" s="5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17">
        <v>46211.0</v>
      </c>
      <c r="B70" s="18" t="s">
        <v>17</v>
      </c>
      <c r="C70" s="19" t="s">
        <v>19</v>
      </c>
      <c r="D70" s="19">
        <v>1.0</v>
      </c>
      <c r="E70" s="20">
        <v>25000.0</v>
      </c>
      <c r="F70" s="20">
        <f t="shared" si="1"/>
        <v>25000</v>
      </c>
      <c r="G70" s="21" t="s">
        <v>10</v>
      </c>
      <c r="H70" s="16"/>
      <c r="I70" s="16"/>
      <c r="J70" s="5"/>
      <c r="K70" s="5"/>
      <c r="L70" s="5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11">
        <v>46211.0</v>
      </c>
      <c r="B71" s="12" t="s">
        <v>17</v>
      </c>
      <c r="C71" s="13" t="s">
        <v>64</v>
      </c>
      <c r="D71" s="13">
        <v>1.0</v>
      </c>
      <c r="E71" s="14">
        <v>25000.0</v>
      </c>
      <c r="F71" s="14">
        <f t="shared" si="1"/>
        <v>25000</v>
      </c>
      <c r="G71" s="15" t="s">
        <v>10</v>
      </c>
      <c r="H71" s="16"/>
      <c r="I71" s="16"/>
      <c r="J71" s="5"/>
      <c r="K71" s="5"/>
      <c r="L71" s="5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17">
        <v>46211.0</v>
      </c>
      <c r="B72" s="18" t="s">
        <v>17</v>
      </c>
      <c r="C72" s="19" t="s">
        <v>16</v>
      </c>
      <c r="D72" s="19">
        <v>0.4</v>
      </c>
      <c r="E72" s="20">
        <v>25000.0</v>
      </c>
      <c r="F72" s="20">
        <f t="shared" si="1"/>
        <v>10000</v>
      </c>
      <c r="G72" s="21" t="s">
        <v>10</v>
      </c>
      <c r="H72" s="16"/>
      <c r="I72" s="16"/>
      <c r="J72" s="5"/>
      <c r="K72" s="5"/>
      <c r="L72" s="5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11">
        <v>46211.0</v>
      </c>
      <c r="B73" s="12" t="s">
        <v>27</v>
      </c>
      <c r="C73" s="13" t="s">
        <v>55</v>
      </c>
      <c r="D73" s="13">
        <v>16.0</v>
      </c>
      <c r="E73" s="14">
        <v>25000.0</v>
      </c>
      <c r="F73" s="14">
        <f t="shared" si="1"/>
        <v>400000</v>
      </c>
      <c r="G73" s="15" t="s">
        <v>10</v>
      </c>
      <c r="H73" s="16"/>
      <c r="I73" s="16"/>
      <c r="J73" s="5"/>
      <c r="K73" s="5"/>
      <c r="L73" s="5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17">
        <v>46211.0</v>
      </c>
      <c r="B74" s="18" t="s">
        <v>27</v>
      </c>
      <c r="C74" s="19" t="s">
        <v>65</v>
      </c>
      <c r="D74" s="19">
        <v>7.0</v>
      </c>
      <c r="E74" s="20">
        <v>25000.0</v>
      </c>
      <c r="F74" s="20">
        <f t="shared" si="1"/>
        <v>175000</v>
      </c>
      <c r="G74" s="21" t="s">
        <v>10</v>
      </c>
      <c r="H74" s="16"/>
      <c r="I74" s="16"/>
      <c r="J74" s="5"/>
      <c r="K74" s="5"/>
      <c r="L74" s="5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11">
        <v>46211.0</v>
      </c>
      <c r="B75" s="12" t="s">
        <v>27</v>
      </c>
      <c r="C75" s="13" t="s">
        <v>66</v>
      </c>
      <c r="D75" s="13">
        <v>1.0</v>
      </c>
      <c r="E75" s="14">
        <v>25000.0</v>
      </c>
      <c r="F75" s="14">
        <f t="shared" si="1"/>
        <v>25000</v>
      </c>
      <c r="G75" s="15" t="s">
        <v>10</v>
      </c>
      <c r="H75" s="16"/>
      <c r="I75" s="16"/>
      <c r="J75" s="5"/>
      <c r="K75" s="5"/>
      <c r="L75" s="5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17">
        <v>46211.0</v>
      </c>
      <c r="B76" s="18" t="s">
        <v>27</v>
      </c>
      <c r="C76" s="19" t="s">
        <v>67</v>
      </c>
      <c r="D76" s="19">
        <v>1.0</v>
      </c>
      <c r="E76" s="20">
        <v>25000.0</v>
      </c>
      <c r="F76" s="20">
        <f t="shared" si="1"/>
        <v>25000</v>
      </c>
      <c r="G76" s="21" t="s">
        <v>10</v>
      </c>
      <c r="H76" s="16"/>
      <c r="I76" s="16"/>
      <c r="J76" s="5"/>
      <c r="K76" s="5"/>
      <c r="L76" s="5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11">
        <v>46211.0</v>
      </c>
      <c r="B77" s="12" t="s">
        <v>27</v>
      </c>
      <c r="C77" s="13" t="s">
        <v>68</v>
      </c>
      <c r="D77" s="13">
        <v>1.0</v>
      </c>
      <c r="E77" s="14">
        <v>25000.0</v>
      </c>
      <c r="F77" s="14">
        <f t="shared" si="1"/>
        <v>25000</v>
      </c>
      <c r="G77" s="15" t="s">
        <v>10</v>
      </c>
      <c r="H77" s="16"/>
      <c r="I77" s="16"/>
      <c r="J77" s="5"/>
      <c r="K77" s="5"/>
      <c r="L77" s="5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17">
        <v>46211.0</v>
      </c>
      <c r="B78" s="18" t="s">
        <v>27</v>
      </c>
      <c r="C78" s="19" t="s">
        <v>69</v>
      </c>
      <c r="D78" s="19">
        <v>1.0</v>
      </c>
      <c r="E78" s="20">
        <v>25000.0</v>
      </c>
      <c r="F78" s="20">
        <f t="shared" si="1"/>
        <v>25000</v>
      </c>
      <c r="G78" s="21" t="s">
        <v>10</v>
      </c>
      <c r="H78" s="16"/>
      <c r="I78" s="16"/>
      <c r="J78" s="5"/>
      <c r="K78" s="5"/>
      <c r="L78" s="5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11">
        <v>46211.0</v>
      </c>
      <c r="B79" s="12" t="s">
        <v>27</v>
      </c>
      <c r="C79" s="13" t="s">
        <v>70</v>
      </c>
      <c r="D79" s="13">
        <v>1.0</v>
      </c>
      <c r="E79" s="14">
        <v>25000.0</v>
      </c>
      <c r="F79" s="14">
        <f t="shared" si="1"/>
        <v>25000</v>
      </c>
      <c r="G79" s="15" t="s">
        <v>10</v>
      </c>
      <c r="H79" s="16"/>
      <c r="I79" s="16"/>
      <c r="J79" s="5"/>
      <c r="K79" s="5"/>
      <c r="L79" s="5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17">
        <v>46211.0</v>
      </c>
      <c r="B80" s="18" t="s">
        <v>27</v>
      </c>
      <c r="C80" s="19" t="s">
        <v>62</v>
      </c>
      <c r="D80" s="19">
        <v>1.0</v>
      </c>
      <c r="E80" s="20">
        <v>25000.0</v>
      </c>
      <c r="F80" s="20">
        <f t="shared" si="1"/>
        <v>25000</v>
      </c>
      <c r="G80" s="21" t="s">
        <v>10</v>
      </c>
      <c r="H80" s="16"/>
      <c r="I80" s="16"/>
      <c r="J80" s="5"/>
      <c r="K80" s="5"/>
      <c r="L80" s="5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11">
        <v>46211.0</v>
      </c>
      <c r="B81" s="12" t="s">
        <v>27</v>
      </c>
      <c r="C81" s="13" t="s">
        <v>71</v>
      </c>
      <c r="D81" s="13">
        <v>1.0</v>
      </c>
      <c r="E81" s="14">
        <v>25000.0</v>
      </c>
      <c r="F81" s="14">
        <f t="shared" si="1"/>
        <v>25000</v>
      </c>
      <c r="G81" s="15" t="s">
        <v>10</v>
      </c>
      <c r="H81" s="16"/>
      <c r="I81" s="16"/>
      <c r="J81" s="5"/>
      <c r="K81" s="5"/>
      <c r="L81" s="5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17">
        <v>46211.0</v>
      </c>
      <c r="B82" s="18" t="s">
        <v>27</v>
      </c>
      <c r="C82" s="19" t="s">
        <v>72</v>
      </c>
      <c r="D82" s="19">
        <v>1.0</v>
      </c>
      <c r="E82" s="20">
        <v>25000.0</v>
      </c>
      <c r="F82" s="20">
        <f t="shared" si="1"/>
        <v>25000</v>
      </c>
      <c r="G82" s="21" t="s">
        <v>10</v>
      </c>
      <c r="H82" s="16"/>
      <c r="I82" s="16"/>
      <c r="J82" s="5"/>
      <c r="K82" s="5"/>
      <c r="L82" s="5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11">
        <v>46211.0</v>
      </c>
      <c r="B83" s="12" t="s">
        <v>27</v>
      </c>
      <c r="C83" s="13" t="s">
        <v>16</v>
      </c>
      <c r="D83" s="13">
        <v>1.53</v>
      </c>
      <c r="E83" s="14">
        <v>25000.0</v>
      </c>
      <c r="F83" s="14">
        <f t="shared" si="1"/>
        <v>38250</v>
      </c>
      <c r="G83" s="15" t="s">
        <v>10</v>
      </c>
      <c r="H83" s="16"/>
      <c r="I83" s="16"/>
      <c r="J83" s="5"/>
      <c r="K83" s="5"/>
      <c r="L83" s="5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17">
        <v>46211.0</v>
      </c>
      <c r="B84" s="18" t="s">
        <v>8</v>
      </c>
      <c r="C84" s="19" t="s">
        <v>9</v>
      </c>
      <c r="D84" s="19">
        <v>60.0</v>
      </c>
      <c r="E84" s="20">
        <v>25000.0</v>
      </c>
      <c r="F84" s="20">
        <f t="shared" si="1"/>
        <v>1500000</v>
      </c>
      <c r="G84" s="21" t="s">
        <v>10</v>
      </c>
      <c r="H84" s="16"/>
      <c r="I84" s="16"/>
      <c r="J84" s="5"/>
      <c r="K84" s="5"/>
      <c r="L84" s="5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11">
        <v>46211.0</v>
      </c>
      <c r="B85" s="12" t="s">
        <v>8</v>
      </c>
      <c r="C85" s="13" t="s">
        <v>11</v>
      </c>
      <c r="D85" s="13">
        <v>40.0</v>
      </c>
      <c r="E85" s="14">
        <v>25000.0</v>
      </c>
      <c r="F85" s="14">
        <f t="shared" si="1"/>
        <v>1000000</v>
      </c>
      <c r="G85" s="15" t="s">
        <v>10</v>
      </c>
      <c r="H85" s="16"/>
      <c r="I85" s="16"/>
      <c r="J85" s="5"/>
      <c r="K85" s="5"/>
      <c r="L85" s="5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17">
        <v>46211.0</v>
      </c>
      <c r="B86" s="18" t="s">
        <v>8</v>
      </c>
      <c r="C86" s="19" t="s">
        <v>55</v>
      </c>
      <c r="D86" s="19">
        <v>3.0</v>
      </c>
      <c r="E86" s="20">
        <v>25000.0</v>
      </c>
      <c r="F86" s="20">
        <f t="shared" si="1"/>
        <v>75000</v>
      </c>
      <c r="G86" s="21" t="s">
        <v>10</v>
      </c>
      <c r="H86" s="16"/>
      <c r="I86" s="16"/>
      <c r="J86" s="5"/>
      <c r="K86" s="5"/>
      <c r="L86" s="5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11">
        <v>46211.0</v>
      </c>
      <c r="B87" s="12" t="s">
        <v>8</v>
      </c>
      <c r="C87" s="13" t="s">
        <v>67</v>
      </c>
      <c r="D87" s="13">
        <v>3.0</v>
      </c>
      <c r="E87" s="14">
        <v>25000.0</v>
      </c>
      <c r="F87" s="14">
        <f t="shared" si="1"/>
        <v>75000</v>
      </c>
      <c r="G87" s="15" t="s">
        <v>10</v>
      </c>
      <c r="H87" s="16"/>
      <c r="I87" s="16"/>
      <c r="J87" s="5"/>
      <c r="K87" s="5"/>
      <c r="L87" s="5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17">
        <v>46211.0</v>
      </c>
      <c r="B88" s="18" t="s">
        <v>8</v>
      </c>
      <c r="C88" s="19" t="s">
        <v>14</v>
      </c>
      <c r="D88" s="19">
        <v>1.0</v>
      </c>
      <c r="E88" s="20">
        <v>25000.0</v>
      </c>
      <c r="F88" s="20">
        <f t="shared" si="1"/>
        <v>25000</v>
      </c>
      <c r="G88" s="21" t="s">
        <v>10</v>
      </c>
      <c r="H88" s="16"/>
      <c r="I88" s="16"/>
      <c r="J88" s="5"/>
      <c r="K88" s="5"/>
      <c r="L88" s="5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11">
        <v>46211.0</v>
      </c>
      <c r="B89" s="12" t="s">
        <v>8</v>
      </c>
      <c r="C89" s="13" t="s">
        <v>73</v>
      </c>
      <c r="D89" s="13">
        <v>10.0</v>
      </c>
      <c r="E89" s="14">
        <v>25000.0</v>
      </c>
      <c r="F89" s="14">
        <f t="shared" si="1"/>
        <v>250000</v>
      </c>
      <c r="G89" s="15" t="s">
        <v>10</v>
      </c>
      <c r="H89" s="16"/>
      <c r="I89" s="16"/>
      <c r="J89" s="5"/>
      <c r="K89" s="5"/>
      <c r="L89" s="5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17">
        <v>46211.0</v>
      </c>
      <c r="B90" s="18" t="s">
        <v>8</v>
      </c>
      <c r="C90" s="19" t="s">
        <v>74</v>
      </c>
      <c r="D90" s="19">
        <v>1.0</v>
      </c>
      <c r="E90" s="20">
        <v>25000.0</v>
      </c>
      <c r="F90" s="20">
        <f t="shared" si="1"/>
        <v>25000</v>
      </c>
      <c r="G90" s="21" t="s">
        <v>10</v>
      </c>
      <c r="H90" s="16"/>
      <c r="I90" s="16"/>
      <c r="J90" s="5"/>
      <c r="K90" s="5"/>
      <c r="L90" s="5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11">
        <v>46211.0</v>
      </c>
      <c r="B91" s="12" t="s">
        <v>8</v>
      </c>
      <c r="C91" s="13" t="s">
        <v>16</v>
      </c>
      <c r="D91" s="13">
        <v>4.28</v>
      </c>
      <c r="E91" s="14">
        <v>25000.0</v>
      </c>
      <c r="F91" s="14">
        <f t="shared" si="1"/>
        <v>107000</v>
      </c>
      <c r="G91" s="15" t="s">
        <v>10</v>
      </c>
      <c r="H91" s="16"/>
      <c r="I91" s="16"/>
      <c r="J91" s="5"/>
      <c r="K91" s="5"/>
      <c r="L91" s="5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17">
        <v>46212.0</v>
      </c>
      <c r="B92" s="18" t="s">
        <v>27</v>
      </c>
      <c r="C92" s="19" t="s">
        <v>75</v>
      </c>
      <c r="D92" s="19">
        <v>20.0</v>
      </c>
      <c r="E92" s="20">
        <v>25000.0</v>
      </c>
      <c r="F92" s="20">
        <f t="shared" si="1"/>
        <v>500000</v>
      </c>
      <c r="G92" s="21" t="s">
        <v>10</v>
      </c>
      <c r="H92" s="22"/>
      <c r="I92" s="23"/>
      <c r="J92" s="24"/>
      <c r="K92" s="25"/>
      <c r="L92" s="25"/>
      <c r="M92" s="26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ht="15.75" customHeight="1">
      <c r="A93" s="11">
        <v>46212.0</v>
      </c>
      <c r="B93" s="12" t="s">
        <v>27</v>
      </c>
      <c r="C93" s="13" t="s">
        <v>76</v>
      </c>
      <c r="D93" s="13">
        <v>1.0</v>
      </c>
      <c r="E93" s="14">
        <v>25000.0</v>
      </c>
      <c r="F93" s="14">
        <f t="shared" si="1"/>
        <v>25000</v>
      </c>
      <c r="G93" s="15" t="s">
        <v>10</v>
      </c>
      <c r="H93" s="16"/>
      <c r="I93" s="16"/>
      <c r="J93" s="5"/>
      <c r="K93" s="5"/>
      <c r="L93" s="5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17">
        <v>46212.0</v>
      </c>
      <c r="B94" s="18" t="s">
        <v>27</v>
      </c>
      <c r="C94" s="19" t="s">
        <v>29</v>
      </c>
      <c r="D94" s="19">
        <v>2.0</v>
      </c>
      <c r="E94" s="20">
        <v>25000.0</v>
      </c>
      <c r="F94" s="20">
        <f t="shared" si="1"/>
        <v>50000</v>
      </c>
      <c r="G94" s="21" t="s">
        <v>10</v>
      </c>
      <c r="H94" s="16"/>
      <c r="I94" s="16"/>
      <c r="J94" s="5"/>
      <c r="K94" s="5"/>
      <c r="L94" s="5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11">
        <v>46212.0</v>
      </c>
      <c r="B95" s="12" t="s">
        <v>27</v>
      </c>
      <c r="C95" s="13" t="s">
        <v>16</v>
      </c>
      <c r="D95" s="13">
        <v>2.0</v>
      </c>
      <c r="E95" s="14">
        <v>25000.0</v>
      </c>
      <c r="F95" s="14">
        <f t="shared" si="1"/>
        <v>50000</v>
      </c>
      <c r="G95" s="15" t="s">
        <v>10</v>
      </c>
      <c r="H95" s="16"/>
      <c r="I95" s="16"/>
      <c r="J95" s="5"/>
      <c r="K95" s="5"/>
      <c r="L95" s="5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17">
        <v>46212.0</v>
      </c>
      <c r="B96" s="18" t="s">
        <v>36</v>
      </c>
      <c r="C96" s="19" t="s">
        <v>16</v>
      </c>
      <c r="D96" s="19">
        <v>0.27</v>
      </c>
      <c r="E96" s="20">
        <v>25000.0</v>
      </c>
      <c r="F96" s="20">
        <f t="shared" si="1"/>
        <v>6750</v>
      </c>
      <c r="G96" s="21" t="s">
        <v>10</v>
      </c>
      <c r="H96" s="16"/>
      <c r="I96" s="16"/>
      <c r="J96" s="5"/>
      <c r="K96" s="5"/>
      <c r="L96" s="5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11">
        <v>46212.0</v>
      </c>
      <c r="B97" s="12" t="s">
        <v>8</v>
      </c>
      <c r="C97" s="13" t="s">
        <v>77</v>
      </c>
      <c r="D97" s="13">
        <v>5.0</v>
      </c>
      <c r="E97" s="14">
        <v>25000.0</v>
      </c>
      <c r="F97" s="14">
        <f t="shared" si="1"/>
        <v>125000</v>
      </c>
      <c r="G97" s="15" t="s">
        <v>10</v>
      </c>
      <c r="H97" s="16"/>
      <c r="I97" s="16"/>
      <c r="J97" s="5"/>
      <c r="K97" s="5"/>
      <c r="L97" s="5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17">
        <v>46212.0</v>
      </c>
      <c r="B98" s="18" t="s">
        <v>8</v>
      </c>
      <c r="C98" s="19" t="s">
        <v>38</v>
      </c>
      <c r="D98" s="19">
        <v>10.0</v>
      </c>
      <c r="E98" s="20">
        <v>25000.0</v>
      </c>
      <c r="F98" s="20">
        <f t="shared" si="1"/>
        <v>250000</v>
      </c>
      <c r="G98" s="21" t="s">
        <v>10</v>
      </c>
      <c r="H98" s="16"/>
      <c r="I98" s="16"/>
      <c r="J98" s="5"/>
      <c r="K98" s="5"/>
      <c r="L98" s="5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11">
        <v>46212.0</v>
      </c>
      <c r="B99" s="12" t="s">
        <v>8</v>
      </c>
      <c r="C99" s="13" t="s">
        <v>9</v>
      </c>
      <c r="D99" s="13">
        <v>20.0</v>
      </c>
      <c r="E99" s="14">
        <v>25000.0</v>
      </c>
      <c r="F99" s="14">
        <f t="shared" si="1"/>
        <v>500000</v>
      </c>
      <c r="G99" s="15" t="s">
        <v>10</v>
      </c>
      <c r="H99" s="16"/>
      <c r="I99" s="16"/>
      <c r="J99" s="5"/>
      <c r="K99" s="5"/>
      <c r="L99" s="5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17">
        <v>46212.0</v>
      </c>
      <c r="B100" s="18" t="s">
        <v>8</v>
      </c>
      <c r="C100" s="19" t="s">
        <v>39</v>
      </c>
      <c r="D100" s="19">
        <v>10.0</v>
      </c>
      <c r="E100" s="20">
        <v>25000.0</v>
      </c>
      <c r="F100" s="20">
        <f t="shared" si="1"/>
        <v>250000</v>
      </c>
      <c r="G100" s="21" t="s">
        <v>10</v>
      </c>
      <c r="H100" s="16"/>
      <c r="I100" s="16"/>
      <c r="J100" s="5"/>
      <c r="K100" s="5"/>
      <c r="L100" s="5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11">
        <v>46212.0</v>
      </c>
      <c r="B101" s="12" t="s">
        <v>8</v>
      </c>
      <c r="C101" s="13" t="s">
        <v>45</v>
      </c>
      <c r="D101" s="13">
        <v>1.0</v>
      </c>
      <c r="E101" s="14">
        <v>25000.0</v>
      </c>
      <c r="F101" s="14">
        <f t="shared" si="1"/>
        <v>25000</v>
      </c>
      <c r="G101" s="15" t="s">
        <v>10</v>
      </c>
      <c r="H101" s="16"/>
      <c r="I101" s="16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17">
        <v>46212.0</v>
      </c>
      <c r="B102" s="18" t="s">
        <v>8</v>
      </c>
      <c r="C102" s="19" t="s">
        <v>78</v>
      </c>
      <c r="D102" s="19">
        <v>1.0</v>
      </c>
      <c r="E102" s="20">
        <v>25000.0</v>
      </c>
      <c r="F102" s="20">
        <f t="shared" si="1"/>
        <v>25000</v>
      </c>
      <c r="G102" s="21" t="s">
        <v>10</v>
      </c>
      <c r="H102" s="16"/>
      <c r="I102" s="16"/>
      <c r="J102" s="5"/>
      <c r="K102" s="5"/>
      <c r="L102" s="5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11">
        <v>46212.0</v>
      </c>
      <c r="B103" s="12" t="s">
        <v>8</v>
      </c>
      <c r="C103" s="13" t="s">
        <v>16</v>
      </c>
      <c r="D103" s="13">
        <v>1.5</v>
      </c>
      <c r="E103" s="14">
        <v>25000.0</v>
      </c>
      <c r="F103" s="14">
        <f t="shared" si="1"/>
        <v>37500</v>
      </c>
      <c r="G103" s="15" t="s">
        <v>10</v>
      </c>
      <c r="H103" s="16"/>
      <c r="I103" s="16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17">
        <v>46212.0</v>
      </c>
      <c r="B104" s="18" t="s">
        <v>17</v>
      </c>
      <c r="C104" s="19" t="s">
        <v>50</v>
      </c>
      <c r="D104" s="19">
        <v>1.0</v>
      </c>
      <c r="E104" s="20">
        <v>25000.0</v>
      </c>
      <c r="F104" s="20">
        <f t="shared" si="1"/>
        <v>25000</v>
      </c>
      <c r="G104" s="21" t="s">
        <v>10</v>
      </c>
      <c r="H104" s="16"/>
      <c r="I104" s="16"/>
      <c r="J104" s="5"/>
      <c r="K104" s="5"/>
      <c r="L104" s="5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11">
        <v>46212.0</v>
      </c>
      <c r="B105" s="12" t="s">
        <v>17</v>
      </c>
      <c r="C105" s="13" t="s">
        <v>61</v>
      </c>
      <c r="D105" s="13">
        <v>1.0</v>
      </c>
      <c r="E105" s="14">
        <v>25000.0</v>
      </c>
      <c r="F105" s="14">
        <f t="shared" si="1"/>
        <v>25000</v>
      </c>
      <c r="G105" s="15" t="s">
        <v>10</v>
      </c>
      <c r="H105" s="16"/>
      <c r="I105" s="16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17">
        <v>46212.0</v>
      </c>
      <c r="B106" s="18" t="s">
        <v>17</v>
      </c>
      <c r="C106" s="19" t="s">
        <v>60</v>
      </c>
      <c r="D106" s="19">
        <v>1.0</v>
      </c>
      <c r="E106" s="20">
        <v>25000.0</v>
      </c>
      <c r="F106" s="20">
        <f t="shared" si="1"/>
        <v>25000</v>
      </c>
      <c r="G106" s="21" t="s">
        <v>10</v>
      </c>
      <c r="H106" s="16"/>
      <c r="I106" s="16"/>
      <c r="J106" s="5"/>
      <c r="K106" s="5"/>
      <c r="L106" s="5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11">
        <v>46212.0</v>
      </c>
      <c r="B107" s="12" t="s">
        <v>17</v>
      </c>
      <c r="C107" s="13" t="s">
        <v>67</v>
      </c>
      <c r="D107" s="13">
        <v>1.0</v>
      </c>
      <c r="E107" s="14">
        <v>25000.0</v>
      </c>
      <c r="F107" s="14">
        <f t="shared" si="1"/>
        <v>25000</v>
      </c>
      <c r="G107" s="15" t="s">
        <v>10</v>
      </c>
      <c r="H107" s="16"/>
      <c r="I107" s="16"/>
      <c r="J107" s="5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17">
        <v>46212.0</v>
      </c>
      <c r="B108" s="18" t="s">
        <v>17</v>
      </c>
      <c r="C108" s="19" t="s">
        <v>23</v>
      </c>
      <c r="D108" s="19">
        <v>3.0</v>
      </c>
      <c r="E108" s="20">
        <v>25000.0</v>
      </c>
      <c r="F108" s="20">
        <f t="shared" si="1"/>
        <v>75000</v>
      </c>
      <c r="G108" s="21" t="s">
        <v>10</v>
      </c>
      <c r="H108" s="16"/>
      <c r="I108" s="16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11">
        <v>46212.0</v>
      </c>
      <c r="B109" s="12" t="s">
        <v>17</v>
      </c>
      <c r="C109" s="13" t="s">
        <v>79</v>
      </c>
      <c r="D109" s="13">
        <v>1.0</v>
      </c>
      <c r="E109" s="14">
        <v>25000.0</v>
      </c>
      <c r="F109" s="14">
        <f t="shared" si="1"/>
        <v>25000</v>
      </c>
      <c r="G109" s="15" t="s">
        <v>10</v>
      </c>
      <c r="H109" s="16"/>
      <c r="I109" s="16"/>
      <c r="J109" s="5"/>
      <c r="K109" s="5"/>
      <c r="L109" s="5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17">
        <v>46212.0</v>
      </c>
      <c r="B110" s="18" t="s">
        <v>17</v>
      </c>
      <c r="C110" s="19" t="s">
        <v>16</v>
      </c>
      <c r="D110" s="19">
        <v>0.37</v>
      </c>
      <c r="E110" s="20">
        <v>25000.0</v>
      </c>
      <c r="F110" s="20">
        <f t="shared" si="1"/>
        <v>9250</v>
      </c>
      <c r="G110" s="21" t="s">
        <v>10</v>
      </c>
      <c r="H110" s="16"/>
      <c r="I110" s="16"/>
      <c r="J110" s="5"/>
      <c r="K110" s="5"/>
      <c r="L110" s="5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27"/>
      <c r="B111" s="12"/>
      <c r="C111" s="27"/>
      <c r="D111" s="27"/>
      <c r="E111" s="14">
        <v>25000.0</v>
      </c>
      <c r="F111" s="14">
        <f t="shared" si="1"/>
        <v>0</v>
      </c>
      <c r="G111" s="15" t="s">
        <v>10</v>
      </c>
      <c r="H111" s="16"/>
      <c r="I111" s="16"/>
      <c r="J111" s="5"/>
      <c r="K111" s="5"/>
      <c r="L111" s="5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4"/>
      <c r="B112" s="18"/>
      <c r="C112" s="4"/>
      <c r="D112" s="4"/>
      <c r="E112" s="20">
        <v>25000.0</v>
      </c>
      <c r="F112" s="20">
        <f t="shared" si="1"/>
        <v>0</v>
      </c>
      <c r="G112" s="21" t="s">
        <v>10</v>
      </c>
      <c r="H112" s="16"/>
      <c r="I112" s="16"/>
      <c r="J112" s="5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27"/>
      <c r="B113" s="12"/>
      <c r="C113" s="27"/>
      <c r="D113" s="27"/>
      <c r="E113" s="14">
        <v>25000.0</v>
      </c>
      <c r="F113" s="14">
        <f t="shared" si="1"/>
        <v>0</v>
      </c>
      <c r="G113" s="15" t="s">
        <v>10</v>
      </c>
      <c r="H113" s="16"/>
      <c r="I113" s="16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4"/>
      <c r="B114" s="18"/>
      <c r="C114" s="4"/>
      <c r="D114" s="4"/>
      <c r="E114" s="20">
        <v>25000.0</v>
      </c>
      <c r="F114" s="20">
        <f t="shared" si="1"/>
        <v>0</v>
      </c>
      <c r="G114" s="21" t="s">
        <v>10</v>
      </c>
      <c r="H114" s="16"/>
      <c r="I114" s="16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27"/>
      <c r="B115" s="12"/>
      <c r="C115" s="27"/>
      <c r="D115" s="27"/>
      <c r="E115" s="14">
        <v>25000.0</v>
      </c>
      <c r="F115" s="14">
        <f t="shared" si="1"/>
        <v>0</v>
      </c>
      <c r="G115" s="15" t="s">
        <v>10</v>
      </c>
      <c r="H115" s="16"/>
      <c r="I115" s="16"/>
      <c r="J115" s="5"/>
      <c r="K115" s="5"/>
      <c r="L115" s="5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4"/>
      <c r="B116" s="18"/>
      <c r="C116" s="4"/>
      <c r="D116" s="4"/>
      <c r="E116" s="20">
        <v>25000.0</v>
      </c>
      <c r="F116" s="20">
        <f t="shared" si="1"/>
        <v>0</v>
      </c>
      <c r="G116" s="21" t="s">
        <v>10</v>
      </c>
      <c r="H116" s="16"/>
      <c r="I116" s="16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27"/>
      <c r="B117" s="12"/>
      <c r="C117" s="27"/>
      <c r="D117" s="27"/>
      <c r="E117" s="14">
        <v>25000.0</v>
      </c>
      <c r="F117" s="14">
        <f t="shared" si="1"/>
        <v>0</v>
      </c>
      <c r="G117" s="15" t="s">
        <v>10</v>
      </c>
      <c r="H117" s="16"/>
      <c r="I117" s="16"/>
      <c r="J117" s="5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4"/>
      <c r="B118" s="18"/>
      <c r="C118" s="4"/>
      <c r="D118" s="4"/>
      <c r="E118" s="20">
        <v>25000.0</v>
      </c>
      <c r="F118" s="20">
        <f t="shared" si="1"/>
        <v>0</v>
      </c>
      <c r="G118" s="21" t="s">
        <v>10</v>
      </c>
      <c r="H118" s="16"/>
      <c r="I118" s="16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27"/>
      <c r="B119" s="12"/>
      <c r="C119" s="27"/>
      <c r="D119" s="27"/>
      <c r="E119" s="14">
        <v>25000.0</v>
      </c>
      <c r="F119" s="14">
        <f t="shared" si="1"/>
        <v>0</v>
      </c>
      <c r="G119" s="15" t="s">
        <v>10</v>
      </c>
      <c r="H119" s="16"/>
      <c r="I119" s="16"/>
      <c r="J119" s="5"/>
      <c r="K119" s="5"/>
      <c r="L119" s="5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4"/>
      <c r="B120" s="18"/>
      <c r="C120" s="4"/>
      <c r="D120" s="4"/>
      <c r="E120" s="20">
        <v>25000.0</v>
      </c>
      <c r="F120" s="20">
        <f t="shared" si="1"/>
        <v>0</v>
      </c>
      <c r="G120" s="21" t="s">
        <v>10</v>
      </c>
      <c r="H120" s="16"/>
      <c r="I120" s="16"/>
      <c r="J120" s="5"/>
      <c r="K120" s="5"/>
      <c r="L120" s="5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27"/>
      <c r="B121" s="12"/>
      <c r="C121" s="27"/>
      <c r="D121" s="27"/>
      <c r="E121" s="14">
        <v>25000.0</v>
      </c>
      <c r="F121" s="14">
        <f t="shared" si="1"/>
        <v>0</v>
      </c>
      <c r="G121" s="15" t="s">
        <v>10</v>
      </c>
      <c r="H121" s="16"/>
      <c r="I121" s="16"/>
      <c r="J121" s="5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4"/>
      <c r="B122" s="18"/>
      <c r="C122" s="4"/>
      <c r="D122" s="4"/>
      <c r="E122" s="20">
        <v>25000.0</v>
      </c>
      <c r="F122" s="20">
        <f t="shared" si="1"/>
        <v>0</v>
      </c>
      <c r="G122" s="21" t="s">
        <v>10</v>
      </c>
      <c r="H122" s="16"/>
      <c r="I122" s="16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27"/>
      <c r="B123" s="12"/>
      <c r="C123" s="27"/>
      <c r="D123" s="27"/>
      <c r="E123" s="14">
        <v>25000.0</v>
      </c>
      <c r="F123" s="14">
        <f t="shared" si="1"/>
        <v>0</v>
      </c>
      <c r="G123" s="15" t="s">
        <v>10</v>
      </c>
      <c r="H123" s="16"/>
      <c r="I123" s="16"/>
      <c r="J123" s="5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4"/>
      <c r="B124" s="18"/>
      <c r="C124" s="4"/>
      <c r="D124" s="4"/>
      <c r="E124" s="20">
        <v>25000.0</v>
      </c>
      <c r="F124" s="20">
        <f t="shared" si="1"/>
        <v>0</v>
      </c>
      <c r="G124" s="21" t="s">
        <v>10</v>
      </c>
      <c r="H124" s="16"/>
      <c r="I124" s="16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27"/>
      <c r="B125" s="12"/>
      <c r="C125" s="27"/>
      <c r="D125" s="27"/>
      <c r="E125" s="14">
        <v>25000.0</v>
      </c>
      <c r="F125" s="14">
        <f t="shared" si="1"/>
        <v>0</v>
      </c>
      <c r="G125" s="15" t="s">
        <v>10</v>
      </c>
      <c r="H125" s="16"/>
      <c r="I125" s="16"/>
      <c r="J125" s="5"/>
      <c r="K125" s="5"/>
      <c r="L125" s="5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4"/>
      <c r="B126" s="18"/>
      <c r="C126" s="4"/>
      <c r="D126" s="4"/>
      <c r="E126" s="20">
        <v>25000.0</v>
      </c>
      <c r="F126" s="20">
        <f t="shared" si="1"/>
        <v>0</v>
      </c>
      <c r="G126" s="21" t="s">
        <v>10</v>
      </c>
      <c r="H126" s="16"/>
      <c r="I126" s="16"/>
      <c r="J126" s="5"/>
      <c r="K126" s="5"/>
      <c r="L126" s="5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27"/>
      <c r="B127" s="12"/>
      <c r="C127" s="27"/>
      <c r="D127" s="27"/>
      <c r="E127" s="14">
        <v>25000.0</v>
      </c>
      <c r="F127" s="14">
        <f t="shared" si="1"/>
        <v>0</v>
      </c>
      <c r="G127" s="15" t="s">
        <v>10</v>
      </c>
      <c r="H127" s="16"/>
      <c r="I127" s="16"/>
      <c r="J127" s="5"/>
      <c r="K127" s="5"/>
      <c r="L127" s="5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4"/>
      <c r="B128" s="18"/>
      <c r="C128" s="4"/>
      <c r="D128" s="4"/>
      <c r="E128" s="20">
        <v>25000.0</v>
      </c>
      <c r="F128" s="20">
        <f t="shared" si="1"/>
        <v>0</v>
      </c>
      <c r="G128" s="21" t="s">
        <v>10</v>
      </c>
      <c r="H128" s="16"/>
      <c r="I128" s="16"/>
      <c r="J128" s="5"/>
      <c r="K128" s="5"/>
      <c r="L128" s="5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27"/>
      <c r="B129" s="12"/>
      <c r="C129" s="27"/>
      <c r="D129" s="27"/>
      <c r="E129" s="14">
        <v>25000.0</v>
      </c>
      <c r="F129" s="14">
        <f t="shared" si="1"/>
        <v>0</v>
      </c>
      <c r="G129" s="15" t="s">
        <v>10</v>
      </c>
      <c r="H129" s="16"/>
      <c r="I129" s="16"/>
      <c r="J129" s="5"/>
      <c r="K129" s="5"/>
      <c r="L129" s="5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4"/>
      <c r="B130" s="18"/>
      <c r="C130" s="4"/>
      <c r="D130" s="4"/>
      <c r="E130" s="20">
        <v>25000.0</v>
      </c>
      <c r="F130" s="20">
        <f t="shared" si="1"/>
        <v>0</v>
      </c>
      <c r="G130" s="21" t="s">
        <v>10</v>
      </c>
      <c r="H130" s="16"/>
      <c r="I130" s="16"/>
      <c r="J130" s="5"/>
      <c r="K130" s="5"/>
      <c r="L130" s="5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27"/>
      <c r="B131" s="12"/>
      <c r="C131" s="27"/>
      <c r="D131" s="27"/>
      <c r="E131" s="14">
        <v>25000.0</v>
      </c>
      <c r="F131" s="14">
        <f t="shared" si="1"/>
        <v>0</v>
      </c>
      <c r="G131" s="15" t="s">
        <v>10</v>
      </c>
      <c r="H131" s="16"/>
      <c r="I131" s="16"/>
      <c r="J131" s="5"/>
      <c r="K131" s="5"/>
      <c r="L131" s="5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4"/>
      <c r="B132" s="18"/>
      <c r="C132" s="4"/>
      <c r="D132" s="4"/>
      <c r="E132" s="20">
        <v>25000.0</v>
      </c>
      <c r="F132" s="20">
        <f t="shared" si="1"/>
        <v>0</v>
      </c>
      <c r="G132" s="21" t="s">
        <v>10</v>
      </c>
      <c r="H132" s="16"/>
      <c r="I132" s="16"/>
      <c r="J132" s="5"/>
      <c r="K132" s="5"/>
      <c r="L132" s="5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27"/>
      <c r="B133" s="12"/>
      <c r="C133" s="27"/>
      <c r="D133" s="27"/>
      <c r="E133" s="14">
        <v>25000.0</v>
      </c>
      <c r="F133" s="14">
        <f t="shared" si="1"/>
        <v>0</v>
      </c>
      <c r="G133" s="15" t="s">
        <v>10</v>
      </c>
      <c r="H133" s="16"/>
      <c r="I133" s="16"/>
      <c r="J133" s="5"/>
      <c r="K133" s="5"/>
      <c r="L133" s="5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4"/>
      <c r="B134" s="18"/>
      <c r="C134" s="4"/>
      <c r="D134" s="4"/>
      <c r="E134" s="20">
        <v>25000.0</v>
      </c>
      <c r="F134" s="20">
        <f t="shared" si="1"/>
        <v>0</v>
      </c>
      <c r="G134" s="21" t="s">
        <v>10</v>
      </c>
      <c r="H134" s="16"/>
      <c r="I134" s="16"/>
      <c r="J134" s="5"/>
      <c r="K134" s="5"/>
      <c r="L134" s="5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27"/>
      <c r="B135" s="12"/>
      <c r="C135" s="27"/>
      <c r="D135" s="27"/>
      <c r="E135" s="14">
        <v>25000.0</v>
      </c>
      <c r="F135" s="14">
        <f t="shared" si="1"/>
        <v>0</v>
      </c>
      <c r="G135" s="15" t="s">
        <v>10</v>
      </c>
      <c r="H135" s="16"/>
      <c r="I135" s="16"/>
      <c r="J135" s="5"/>
      <c r="K135" s="5"/>
      <c r="L135" s="5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4"/>
      <c r="B136" s="18"/>
      <c r="C136" s="4"/>
      <c r="D136" s="4"/>
      <c r="E136" s="20">
        <v>25000.0</v>
      </c>
      <c r="F136" s="20">
        <f t="shared" si="1"/>
        <v>0</v>
      </c>
      <c r="G136" s="21" t="s">
        <v>10</v>
      </c>
      <c r="H136" s="16"/>
      <c r="I136" s="16"/>
      <c r="J136" s="5"/>
      <c r="K136" s="5"/>
      <c r="L136" s="5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27"/>
      <c r="B137" s="12"/>
      <c r="C137" s="27"/>
      <c r="D137" s="27"/>
      <c r="E137" s="14">
        <v>25000.0</v>
      </c>
      <c r="F137" s="14">
        <f t="shared" si="1"/>
        <v>0</v>
      </c>
      <c r="G137" s="15" t="s">
        <v>10</v>
      </c>
      <c r="H137" s="16"/>
      <c r="I137" s="16"/>
      <c r="J137" s="5"/>
      <c r="K137" s="5"/>
      <c r="L137" s="5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4"/>
      <c r="B138" s="18"/>
      <c r="C138" s="4"/>
      <c r="D138" s="4"/>
      <c r="E138" s="20">
        <v>25000.0</v>
      </c>
      <c r="F138" s="20">
        <f t="shared" si="1"/>
        <v>0</v>
      </c>
      <c r="G138" s="21" t="s">
        <v>10</v>
      </c>
      <c r="H138" s="16"/>
      <c r="I138" s="16"/>
      <c r="J138" s="5"/>
      <c r="K138" s="5"/>
      <c r="L138" s="5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27"/>
      <c r="B139" s="12"/>
      <c r="C139" s="27"/>
      <c r="D139" s="27"/>
      <c r="E139" s="14">
        <v>25000.0</v>
      </c>
      <c r="F139" s="14">
        <f t="shared" si="1"/>
        <v>0</v>
      </c>
      <c r="G139" s="15" t="s">
        <v>10</v>
      </c>
      <c r="H139" s="16"/>
      <c r="I139" s="16"/>
      <c r="J139" s="5"/>
      <c r="K139" s="5"/>
      <c r="L139" s="5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4"/>
      <c r="B140" s="18"/>
      <c r="C140" s="4"/>
      <c r="D140" s="4"/>
      <c r="E140" s="20">
        <v>25000.0</v>
      </c>
      <c r="F140" s="20">
        <f t="shared" si="1"/>
        <v>0</v>
      </c>
      <c r="G140" s="21" t="s">
        <v>10</v>
      </c>
      <c r="H140" s="16"/>
      <c r="I140" s="16"/>
      <c r="J140" s="5"/>
      <c r="K140" s="5"/>
      <c r="L140" s="5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27"/>
      <c r="B141" s="12"/>
      <c r="C141" s="27"/>
      <c r="D141" s="27"/>
      <c r="E141" s="14">
        <v>25000.0</v>
      </c>
      <c r="F141" s="14">
        <f t="shared" si="1"/>
        <v>0</v>
      </c>
      <c r="G141" s="15" t="s">
        <v>10</v>
      </c>
      <c r="H141" s="16"/>
      <c r="I141" s="16"/>
      <c r="J141" s="5"/>
      <c r="K141" s="5"/>
      <c r="L141" s="5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4"/>
      <c r="B142" s="18"/>
      <c r="C142" s="4"/>
      <c r="D142" s="4"/>
      <c r="E142" s="20">
        <v>25000.0</v>
      </c>
      <c r="F142" s="20">
        <f t="shared" si="1"/>
        <v>0</v>
      </c>
      <c r="G142" s="21" t="s">
        <v>10</v>
      </c>
      <c r="H142" s="16"/>
      <c r="I142" s="16"/>
      <c r="J142" s="5"/>
      <c r="K142" s="5"/>
      <c r="L142" s="5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27"/>
      <c r="B143" s="12"/>
      <c r="C143" s="27"/>
      <c r="D143" s="27"/>
      <c r="E143" s="14">
        <v>25000.0</v>
      </c>
      <c r="F143" s="14">
        <f t="shared" si="1"/>
        <v>0</v>
      </c>
      <c r="G143" s="15" t="s">
        <v>10</v>
      </c>
      <c r="H143" s="16"/>
      <c r="I143" s="16"/>
      <c r="J143" s="5"/>
      <c r="K143" s="5"/>
      <c r="L143" s="5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4"/>
      <c r="B144" s="18"/>
      <c r="C144" s="4"/>
      <c r="D144" s="4"/>
      <c r="E144" s="20">
        <v>25000.0</v>
      </c>
      <c r="F144" s="20">
        <f t="shared" si="1"/>
        <v>0</v>
      </c>
      <c r="G144" s="21" t="s">
        <v>10</v>
      </c>
      <c r="H144" s="16"/>
      <c r="I144" s="16"/>
      <c r="J144" s="5"/>
      <c r="K144" s="5"/>
      <c r="L144" s="5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27"/>
      <c r="B145" s="12"/>
      <c r="C145" s="27"/>
      <c r="D145" s="27"/>
      <c r="E145" s="14">
        <v>25000.0</v>
      </c>
      <c r="F145" s="14">
        <f t="shared" si="1"/>
        <v>0</v>
      </c>
      <c r="G145" s="15" t="s">
        <v>10</v>
      </c>
      <c r="H145" s="16"/>
      <c r="I145" s="16"/>
      <c r="J145" s="5"/>
      <c r="K145" s="5"/>
      <c r="L145" s="5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4"/>
      <c r="B146" s="18"/>
      <c r="C146" s="4"/>
      <c r="D146" s="4"/>
      <c r="E146" s="20">
        <v>25000.0</v>
      </c>
      <c r="F146" s="20">
        <f t="shared" si="1"/>
        <v>0</v>
      </c>
      <c r="G146" s="21" t="s">
        <v>10</v>
      </c>
      <c r="H146" s="16"/>
      <c r="I146" s="16"/>
      <c r="J146" s="5"/>
      <c r="K146" s="5"/>
      <c r="L146" s="5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27"/>
      <c r="B147" s="12"/>
      <c r="C147" s="27"/>
      <c r="D147" s="27"/>
      <c r="E147" s="14">
        <v>25000.0</v>
      </c>
      <c r="F147" s="14">
        <f t="shared" si="1"/>
        <v>0</v>
      </c>
      <c r="G147" s="15" t="s">
        <v>10</v>
      </c>
      <c r="H147" s="16"/>
      <c r="I147" s="16"/>
      <c r="J147" s="5"/>
      <c r="K147" s="5"/>
      <c r="L147" s="5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4"/>
      <c r="B148" s="18"/>
      <c r="C148" s="4"/>
      <c r="D148" s="4"/>
      <c r="E148" s="20">
        <v>25000.0</v>
      </c>
      <c r="F148" s="20">
        <f t="shared" si="1"/>
        <v>0</v>
      </c>
      <c r="G148" s="21" t="s">
        <v>10</v>
      </c>
      <c r="H148" s="16"/>
      <c r="I148" s="16"/>
      <c r="J148" s="5"/>
      <c r="K148" s="5"/>
      <c r="L148" s="5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27"/>
      <c r="B149" s="12"/>
      <c r="C149" s="27"/>
      <c r="D149" s="27"/>
      <c r="E149" s="14">
        <v>25000.0</v>
      </c>
      <c r="F149" s="14">
        <f t="shared" si="1"/>
        <v>0</v>
      </c>
      <c r="G149" s="15" t="s">
        <v>10</v>
      </c>
      <c r="H149" s="16"/>
      <c r="I149" s="16"/>
      <c r="J149" s="5"/>
      <c r="K149" s="5"/>
      <c r="L149" s="5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4"/>
      <c r="B150" s="18"/>
      <c r="C150" s="4"/>
      <c r="D150" s="4"/>
      <c r="E150" s="20">
        <v>25000.0</v>
      </c>
      <c r="F150" s="20">
        <f t="shared" si="1"/>
        <v>0</v>
      </c>
      <c r="G150" s="21" t="s">
        <v>10</v>
      </c>
      <c r="H150" s="16"/>
      <c r="I150" s="16"/>
      <c r="J150" s="5"/>
      <c r="K150" s="5"/>
      <c r="L150" s="5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27"/>
      <c r="B151" s="12"/>
      <c r="C151" s="27"/>
      <c r="D151" s="27"/>
      <c r="E151" s="14">
        <v>25000.0</v>
      </c>
      <c r="F151" s="14">
        <f t="shared" si="1"/>
        <v>0</v>
      </c>
      <c r="G151" s="15" t="s">
        <v>10</v>
      </c>
      <c r="H151" s="16"/>
      <c r="I151" s="16"/>
      <c r="J151" s="5"/>
      <c r="K151" s="5"/>
      <c r="L151" s="5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4"/>
      <c r="B152" s="18"/>
      <c r="C152" s="4"/>
      <c r="D152" s="4"/>
      <c r="E152" s="20">
        <v>25000.0</v>
      </c>
      <c r="F152" s="20">
        <f t="shared" si="1"/>
        <v>0</v>
      </c>
      <c r="G152" s="21" t="s">
        <v>10</v>
      </c>
      <c r="H152" s="16"/>
      <c r="I152" s="16"/>
      <c r="J152" s="5"/>
      <c r="K152" s="5"/>
      <c r="L152" s="5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27"/>
      <c r="B153" s="12"/>
      <c r="C153" s="27"/>
      <c r="D153" s="27"/>
      <c r="E153" s="14">
        <v>25000.0</v>
      </c>
      <c r="F153" s="14">
        <f t="shared" si="1"/>
        <v>0</v>
      </c>
      <c r="G153" s="15" t="s">
        <v>10</v>
      </c>
      <c r="H153" s="16"/>
      <c r="I153" s="16"/>
      <c r="J153" s="5"/>
      <c r="K153" s="5"/>
      <c r="L153" s="5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4"/>
      <c r="B154" s="18"/>
      <c r="C154" s="4"/>
      <c r="D154" s="4"/>
      <c r="E154" s="20">
        <v>25000.0</v>
      </c>
      <c r="F154" s="20">
        <f t="shared" si="1"/>
        <v>0</v>
      </c>
      <c r="G154" s="21" t="s">
        <v>10</v>
      </c>
      <c r="H154" s="16"/>
      <c r="I154" s="16"/>
      <c r="J154" s="5"/>
      <c r="K154" s="5"/>
      <c r="L154" s="5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27"/>
      <c r="B155" s="12"/>
      <c r="C155" s="27"/>
      <c r="D155" s="27"/>
      <c r="E155" s="14">
        <v>25000.0</v>
      </c>
      <c r="F155" s="14">
        <f t="shared" si="1"/>
        <v>0</v>
      </c>
      <c r="G155" s="15" t="s">
        <v>10</v>
      </c>
      <c r="H155" s="16"/>
      <c r="I155" s="16"/>
      <c r="J155" s="5"/>
      <c r="K155" s="5"/>
      <c r="L155" s="5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4"/>
      <c r="B156" s="18"/>
      <c r="C156" s="4"/>
      <c r="D156" s="4"/>
      <c r="E156" s="20">
        <v>25000.0</v>
      </c>
      <c r="F156" s="20">
        <f t="shared" si="1"/>
        <v>0</v>
      </c>
      <c r="G156" s="21" t="s">
        <v>10</v>
      </c>
      <c r="H156" s="16"/>
      <c r="I156" s="16"/>
      <c r="J156" s="5"/>
      <c r="K156" s="5"/>
      <c r="L156" s="5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27"/>
      <c r="B157" s="12"/>
      <c r="C157" s="27"/>
      <c r="D157" s="27"/>
      <c r="E157" s="14">
        <v>25000.0</v>
      </c>
      <c r="F157" s="14">
        <f t="shared" si="1"/>
        <v>0</v>
      </c>
      <c r="G157" s="15" t="s">
        <v>10</v>
      </c>
      <c r="H157" s="16"/>
      <c r="I157" s="16"/>
      <c r="J157" s="5"/>
      <c r="K157" s="5"/>
      <c r="L157" s="5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4"/>
      <c r="B158" s="18"/>
      <c r="C158" s="4"/>
      <c r="D158" s="4"/>
      <c r="E158" s="20">
        <v>25000.0</v>
      </c>
      <c r="F158" s="20">
        <f t="shared" si="1"/>
        <v>0</v>
      </c>
      <c r="G158" s="21" t="s">
        <v>10</v>
      </c>
      <c r="H158" s="16"/>
      <c r="I158" s="16"/>
      <c r="J158" s="5"/>
      <c r="K158" s="5"/>
      <c r="L158" s="5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27"/>
      <c r="B159" s="12"/>
      <c r="C159" s="27"/>
      <c r="D159" s="27"/>
      <c r="E159" s="14">
        <v>25000.0</v>
      </c>
      <c r="F159" s="14">
        <f t="shared" si="1"/>
        <v>0</v>
      </c>
      <c r="G159" s="15" t="s">
        <v>10</v>
      </c>
      <c r="H159" s="16"/>
      <c r="I159" s="16"/>
      <c r="J159" s="5"/>
      <c r="K159" s="5"/>
      <c r="L159" s="5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4"/>
      <c r="B160" s="18"/>
      <c r="C160" s="4"/>
      <c r="D160" s="4"/>
      <c r="E160" s="20">
        <v>25000.0</v>
      </c>
      <c r="F160" s="20">
        <f t="shared" si="1"/>
        <v>0</v>
      </c>
      <c r="G160" s="21" t="s">
        <v>10</v>
      </c>
      <c r="H160" s="16"/>
      <c r="I160" s="16"/>
      <c r="J160" s="5"/>
      <c r="K160" s="5"/>
      <c r="L160" s="5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27"/>
      <c r="B161" s="12"/>
      <c r="C161" s="27"/>
      <c r="D161" s="27"/>
      <c r="E161" s="14">
        <v>25000.0</v>
      </c>
      <c r="F161" s="14">
        <f t="shared" si="1"/>
        <v>0</v>
      </c>
      <c r="G161" s="15" t="s">
        <v>10</v>
      </c>
      <c r="H161" s="16"/>
      <c r="I161" s="16"/>
      <c r="J161" s="5"/>
      <c r="K161" s="5"/>
      <c r="L161" s="5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4"/>
      <c r="B162" s="18"/>
      <c r="C162" s="4"/>
      <c r="D162" s="4"/>
      <c r="E162" s="20">
        <v>25000.0</v>
      </c>
      <c r="F162" s="20">
        <f t="shared" si="1"/>
        <v>0</v>
      </c>
      <c r="G162" s="21" t="s">
        <v>10</v>
      </c>
      <c r="H162" s="16"/>
      <c r="I162" s="16"/>
      <c r="J162" s="5"/>
      <c r="K162" s="5"/>
      <c r="L162" s="5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27"/>
      <c r="B163" s="12"/>
      <c r="C163" s="27"/>
      <c r="D163" s="27"/>
      <c r="E163" s="14">
        <v>25000.0</v>
      </c>
      <c r="F163" s="14">
        <f t="shared" si="1"/>
        <v>0</v>
      </c>
      <c r="G163" s="15" t="s">
        <v>10</v>
      </c>
      <c r="H163" s="16"/>
      <c r="I163" s="16"/>
      <c r="J163" s="5"/>
      <c r="K163" s="5"/>
      <c r="L163" s="5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4"/>
      <c r="B164" s="18"/>
      <c r="C164" s="4"/>
      <c r="D164" s="4"/>
      <c r="E164" s="20">
        <v>25000.0</v>
      </c>
      <c r="F164" s="20">
        <f t="shared" si="1"/>
        <v>0</v>
      </c>
      <c r="G164" s="21" t="s">
        <v>10</v>
      </c>
      <c r="H164" s="16"/>
      <c r="I164" s="16"/>
      <c r="J164" s="5"/>
      <c r="K164" s="5"/>
      <c r="L164" s="5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27"/>
      <c r="B165" s="12"/>
      <c r="C165" s="27"/>
      <c r="D165" s="27"/>
      <c r="E165" s="14">
        <v>25000.0</v>
      </c>
      <c r="F165" s="14">
        <f t="shared" si="1"/>
        <v>0</v>
      </c>
      <c r="G165" s="15" t="s">
        <v>10</v>
      </c>
      <c r="H165" s="16"/>
      <c r="I165" s="16"/>
      <c r="J165" s="5"/>
      <c r="K165" s="5"/>
      <c r="L165" s="5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4"/>
      <c r="B166" s="18"/>
      <c r="C166" s="4"/>
      <c r="D166" s="4"/>
      <c r="E166" s="20">
        <v>25000.0</v>
      </c>
      <c r="F166" s="20">
        <f t="shared" si="1"/>
        <v>0</v>
      </c>
      <c r="G166" s="21" t="s">
        <v>10</v>
      </c>
      <c r="H166" s="16"/>
      <c r="I166" s="16"/>
      <c r="J166" s="5"/>
      <c r="K166" s="5"/>
      <c r="L166" s="5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27"/>
      <c r="B167" s="12"/>
      <c r="C167" s="27"/>
      <c r="D167" s="27"/>
      <c r="E167" s="14">
        <v>25000.0</v>
      </c>
      <c r="F167" s="14">
        <f t="shared" si="1"/>
        <v>0</v>
      </c>
      <c r="G167" s="15" t="s">
        <v>10</v>
      </c>
      <c r="H167" s="16"/>
      <c r="I167" s="16"/>
      <c r="J167" s="5"/>
      <c r="K167" s="5"/>
      <c r="L167" s="5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4"/>
      <c r="B168" s="18"/>
      <c r="C168" s="4"/>
      <c r="D168" s="4"/>
      <c r="E168" s="20">
        <v>25000.0</v>
      </c>
      <c r="F168" s="20">
        <f t="shared" si="1"/>
        <v>0</v>
      </c>
      <c r="G168" s="21" t="s">
        <v>10</v>
      </c>
      <c r="H168" s="16"/>
      <c r="I168" s="16"/>
      <c r="J168" s="5"/>
      <c r="K168" s="5"/>
      <c r="L168" s="5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27"/>
      <c r="B169" s="12"/>
      <c r="C169" s="27"/>
      <c r="D169" s="27"/>
      <c r="E169" s="14">
        <v>25000.0</v>
      </c>
      <c r="F169" s="14">
        <f t="shared" si="1"/>
        <v>0</v>
      </c>
      <c r="G169" s="15" t="s">
        <v>10</v>
      </c>
      <c r="H169" s="16"/>
      <c r="I169" s="16"/>
      <c r="J169" s="5"/>
      <c r="K169" s="5"/>
      <c r="L169" s="5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4"/>
      <c r="B170" s="18"/>
      <c r="C170" s="4"/>
      <c r="D170" s="4"/>
      <c r="E170" s="20">
        <v>25000.0</v>
      </c>
      <c r="F170" s="20">
        <f t="shared" si="1"/>
        <v>0</v>
      </c>
      <c r="G170" s="21" t="s">
        <v>10</v>
      </c>
      <c r="H170" s="16"/>
      <c r="I170" s="16"/>
      <c r="J170" s="5"/>
      <c r="K170" s="5"/>
      <c r="L170" s="5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27"/>
      <c r="B171" s="12"/>
      <c r="C171" s="27"/>
      <c r="D171" s="27"/>
      <c r="E171" s="14">
        <v>25000.0</v>
      </c>
      <c r="F171" s="14">
        <f t="shared" si="1"/>
        <v>0</v>
      </c>
      <c r="G171" s="15" t="s">
        <v>10</v>
      </c>
      <c r="H171" s="16"/>
      <c r="I171" s="16"/>
      <c r="J171" s="5"/>
      <c r="K171" s="5"/>
      <c r="L171" s="5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4"/>
      <c r="B172" s="18"/>
      <c r="C172" s="4"/>
      <c r="D172" s="4"/>
      <c r="E172" s="20">
        <v>25000.0</v>
      </c>
      <c r="F172" s="20">
        <f t="shared" si="1"/>
        <v>0</v>
      </c>
      <c r="G172" s="21" t="s">
        <v>10</v>
      </c>
      <c r="H172" s="16"/>
      <c r="I172" s="16"/>
      <c r="J172" s="5"/>
      <c r="K172" s="5"/>
      <c r="L172" s="5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27"/>
      <c r="B173" s="12"/>
      <c r="C173" s="27"/>
      <c r="D173" s="27"/>
      <c r="E173" s="14">
        <v>25000.0</v>
      </c>
      <c r="F173" s="14">
        <f t="shared" si="1"/>
        <v>0</v>
      </c>
      <c r="G173" s="15" t="s">
        <v>10</v>
      </c>
      <c r="H173" s="16"/>
      <c r="I173" s="16"/>
      <c r="J173" s="5"/>
      <c r="K173" s="5"/>
      <c r="L173" s="5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4"/>
      <c r="B174" s="18"/>
      <c r="C174" s="4"/>
      <c r="D174" s="4"/>
      <c r="E174" s="20">
        <v>25000.0</v>
      </c>
      <c r="F174" s="20">
        <f t="shared" si="1"/>
        <v>0</v>
      </c>
      <c r="G174" s="21" t="s">
        <v>10</v>
      </c>
      <c r="H174" s="16"/>
      <c r="I174" s="16"/>
      <c r="J174" s="5"/>
      <c r="K174" s="5"/>
      <c r="L174" s="5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27"/>
      <c r="B175" s="12"/>
      <c r="C175" s="27"/>
      <c r="D175" s="27"/>
      <c r="E175" s="14">
        <v>25000.0</v>
      </c>
      <c r="F175" s="14">
        <f t="shared" si="1"/>
        <v>0</v>
      </c>
      <c r="G175" s="15" t="s">
        <v>10</v>
      </c>
      <c r="H175" s="16"/>
      <c r="I175" s="16"/>
      <c r="J175" s="5"/>
      <c r="K175" s="5"/>
      <c r="L175" s="5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4"/>
      <c r="B176" s="18"/>
      <c r="C176" s="4"/>
      <c r="D176" s="4"/>
      <c r="E176" s="20">
        <v>25000.0</v>
      </c>
      <c r="F176" s="20">
        <f t="shared" si="1"/>
        <v>0</v>
      </c>
      <c r="G176" s="21" t="s">
        <v>10</v>
      </c>
      <c r="H176" s="16"/>
      <c r="I176" s="16"/>
      <c r="J176" s="5"/>
      <c r="K176" s="5"/>
      <c r="L176" s="5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27"/>
      <c r="B177" s="12"/>
      <c r="C177" s="27"/>
      <c r="D177" s="27"/>
      <c r="E177" s="14">
        <v>25000.0</v>
      </c>
      <c r="F177" s="14">
        <f t="shared" si="1"/>
        <v>0</v>
      </c>
      <c r="G177" s="15" t="s">
        <v>10</v>
      </c>
      <c r="H177" s="16"/>
      <c r="I177" s="16"/>
      <c r="J177" s="5"/>
      <c r="K177" s="5"/>
      <c r="L177" s="5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4"/>
      <c r="B178" s="18"/>
      <c r="C178" s="4"/>
      <c r="D178" s="4"/>
      <c r="E178" s="20">
        <v>25000.0</v>
      </c>
      <c r="F178" s="20">
        <f t="shared" si="1"/>
        <v>0</v>
      </c>
      <c r="G178" s="21" t="s">
        <v>10</v>
      </c>
      <c r="H178" s="16"/>
      <c r="I178" s="16"/>
      <c r="J178" s="5"/>
      <c r="K178" s="5"/>
      <c r="L178" s="5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27"/>
      <c r="B179" s="12"/>
      <c r="C179" s="27"/>
      <c r="D179" s="27"/>
      <c r="E179" s="14">
        <v>25000.0</v>
      </c>
      <c r="F179" s="14">
        <f t="shared" si="1"/>
        <v>0</v>
      </c>
      <c r="G179" s="15" t="s">
        <v>10</v>
      </c>
      <c r="H179" s="16"/>
      <c r="I179" s="16"/>
      <c r="J179" s="5"/>
      <c r="K179" s="5"/>
      <c r="L179" s="5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4"/>
      <c r="B180" s="18"/>
      <c r="C180" s="4"/>
      <c r="D180" s="4"/>
      <c r="E180" s="20">
        <v>25000.0</v>
      </c>
      <c r="F180" s="20">
        <f t="shared" si="1"/>
        <v>0</v>
      </c>
      <c r="G180" s="21" t="s">
        <v>10</v>
      </c>
      <c r="H180" s="16"/>
      <c r="I180" s="16"/>
      <c r="J180" s="5"/>
      <c r="K180" s="5"/>
      <c r="L180" s="5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27"/>
      <c r="B181" s="12"/>
      <c r="C181" s="27"/>
      <c r="D181" s="27"/>
      <c r="E181" s="14">
        <v>25000.0</v>
      </c>
      <c r="F181" s="14">
        <f t="shared" si="1"/>
        <v>0</v>
      </c>
      <c r="G181" s="15" t="s">
        <v>10</v>
      </c>
      <c r="H181" s="16"/>
      <c r="I181" s="16"/>
      <c r="J181" s="5"/>
      <c r="K181" s="5"/>
      <c r="L181" s="5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4"/>
      <c r="B182" s="18"/>
      <c r="C182" s="4"/>
      <c r="D182" s="4"/>
      <c r="E182" s="20">
        <v>25000.0</v>
      </c>
      <c r="F182" s="20">
        <f t="shared" si="1"/>
        <v>0</v>
      </c>
      <c r="G182" s="21" t="s">
        <v>10</v>
      </c>
      <c r="H182" s="16"/>
      <c r="I182" s="16"/>
      <c r="J182" s="5"/>
      <c r="K182" s="5"/>
      <c r="L182" s="5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27"/>
      <c r="B183" s="12"/>
      <c r="C183" s="27"/>
      <c r="D183" s="27"/>
      <c r="E183" s="14">
        <v>25000.0</v>
      </c>
      <c r="F183" s="14">
        <f t="shared" si="1"/>
        <v>0</v>
      </c>
      <c r="G183" s="15" t="s">
        <v>10</v>
      </c>
      <c r="H183" s="16"/>
      <c r="I183" s="16"/>
      <c r="J183" s="5"/>
      <c r="K183" s="5"/>
      <c r="L183" s="5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4"/>
      <c r="B184" s="18"/>
      <c r="C184" s="4"/>
      <c r="D184" s="4"/>
      <c r="E184" s="20">
        <v>25000.0</v>
      </c>
      <c r="F184" s="20">
        <f t="shared" si="1"/>
        <v>0</v>
      </c>
      <c r="G184" s="21" t="s">
        <v>10</v>
      </c>
      <c r="H184" s="16"/>
      <c r="I184" s="16"/>
      <c r="J184" s="5"/>
      <c r="K184" s="5"/>
      <c r="L184" s="5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27"/>
      <c r="B185" s="12"/>
      <c r="C185" s="27"/>
      <c r="D185" s="27"/>
      <c r="E185" s="14">
        <v>25000.0</v>
      </c>
      <c r="F185" s="14">
        <f t="shared" si="1"/>
        <v>0</v>
      </c>
      <c r="G185" s="15" t="s">
        <v>10</v>
      </c>
      <c r="H185" s="16"/>
      <c r="I185" s="16"/>
      <c r="J185" s="5"/>
      <c r="K185" s="5"/>
      <c r="L185" s="5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4"/>
      <c r="B186" s="18"/>
      <c r="C186" s="4"/>
      <c r="D186" s="4"/>
      <c r="E186" s="20">
        <v>25000.0</v>
      </c>
      <c r="F186" s="20">
        <f t="shared" si="1"/>
        <v>0</v>
      </c>
      <c r="G186" s="21" t="s">
        <v>10</v>
      </c>
      <c r="H186" s="16"/>
      <c r="I186" s="16"/>
      <c r="J186" s="5"/>
      <c r="K186" s="5"/>
      <c r="L186" s="5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27"/>
      <c r="B187" s="12"/>
      <c r="C187" s="27"/>
      <c r="D187" s="27"/>
      <c r="E187" s="14">
        <v>25000.0</v>
      </c>
      <c r="F187" s="14">
        <f t="shared" si="1"/>
        <v>0</v>
      </c>
      <c r="G187" s="15" t="s">
        <v>10</v>
      </c>
      <c r="H187" s="16"/>
      <c r="I187" s="16"/>
      <c r="J187" s="5"/>
      <c r="K187" s="5"/>
      <c r="L187" s="5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4"/>
      <c r="B188" s="18"/>
      <c r="C188" s="4"/>
      <c r="D188" s="4"/>
      <c r="E188" s="20">
        <v>25000.0</v>
      </c>
      <c r="F188" s="20">
        <f t="shared" si="1"/>
        <v>0</v>
      </c>
      <c r="G188" s="21" t="s">
        <v>10</v>
      </c>
      <c r="H188" s="16"/>
      <c r="I188" s="16"/>
      <c r="J188" s="5"/>
      <c r="K188" s="5"/>
      <c r="L188" s="5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27"/>
      <c r="B189" s="12"/>
      <c r="C189" s="27"/>
      <c r="D189" s="27"/>
      <c r="E189" s="14">
        <v>25000.0</v>
      </c>
      <c r="F189" s="14">
        <f t="shared" si="1"/>
        <v>0</v>
      </c>
      <c r="G189" s="15" t="s">
        <v>10</v>
      </c>
      <c r="H189" s="16"/>
      <c r="I189" s="16"/>
      <c r="J189" s="5"/>
      <c r="K189" s="5"/>
      <c r="L189" s="5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4"/>
      <c r="B190" s="18"/>
      <c r="C190" s="4"/>
      <c r="D190" s="4"/>
      <c r="E190" s="20">
        <v>25000.0</v>
      </c>
      <c r="F190" s="20">
        <f t="shared" si="1"/>
        <v>0</v>
      </c>
      <c r="G190" s="21" t="s">
        <v>10</v>
      </c>
      <c r="H190" s="16"/>
      <c r="I190" s="16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27"/>
      <c r="B191" s="12"/>
      <c r="C191" s="27"/>
      <c r="D191" s="27"/>
      <c r="E191" s="14">
        <v>25000.0</v>
      </c>
      <c r="F191" s="14">
        <f t="shared" si="1"/>
        <v>0</v>
      </c>
      <c r="G191" s="15" t="s">
        <v>10</v>
      </c>
      <c r="H191" s="16"/>
      <c r="I191" s="16"/>
      <c r="J191" s="5"/>
      <c r="K191" s="5"/>
      <c r="L191" s="5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4"/>
      <c r="B192" s="18"/>
      <c r="C192" s="4"/>
      <c r="D192" s="4"/>
      <c r="E192" s="20">
        <v>25000.0</v>
      </c>
      <c r="F192" s="20">
        <f t="shared" si="1"/>
        <v>0</v>
      </c>
      <c r="G192" s="21" t="s">
        <v>10</v>
      </c>
      <c r="H192" s="16"/>
      <c r="I192" s="16"/>
      <c r="J192" s="5"/>
      <c r="K192" s="5"/>
      <c r="L192" s="5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27"/>
      <c r="B193" s="12"/>
      <c r="C193" s="27"/>
      <c r="D193" s="27"/>
      <c r="E193" s="14">
        <v>25000.0</v>
      </c>
      <c r="F193" s="14">
        <f t="shared" si="1"/>
        <v>0</v>
      </c>
      <c r="G193" s="15" t="s">
        <v>10</v>
      </c>
      <c r="H193" s="16"/>
      <c r="I193" s="16"/>
      <c r="J193" s="5"/>
      <c r="K193" s="5"/>
      <c r="L193" s="5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4"/>
      <c r="B194" s="18"/>
      <c r="C194" s="4"/>
      <c r="D194" s="4"/>
      <c r="E194" s="20">
        <v>25000.0</v>
      </c>
      <c r="F194" s="20">
        <f t="shared" si="1"/>
        <v>0</v>
      </c>
      <c r="G194" s="21" t="s">
        <v>10</v>
      </c>
      <c r="H194" s="16"/>
      <c r="I194" s="16"/>
      <c r="J194" s="5"/>
      <c r="K194" s="5"/>
      <c r="L194" s="5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27"/>
      <c r="B195" s="12"/>
      <c r="C195" s="27"/>
      <c r="D195" s="27"/>
      <c r="E195" s="14">
        <v>25000.0</v>
      </c>
      <c r="F195" s="14">
        <f t="shared" si="1"/>
        <v>0</v>
      </c>
      <c r="G195" s="15" t="s">
        <v>10</v>
      </c>
      <c r="H195" s="16"/>
      <c r="I195" s="16"/>
      <c r="J195" s="5"/>
      <c r="K195" s="5"/>
      <c r="L195" s="5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4"/>
      <c r="B196" s="18"/>
      <c r="C196" s="4"/>
      <c r="D196" s="4"/>
      <c r="E196" s="20">
        <v>25000.0</v>
      </c>
      <c r="F196" s="20">
        <f t="shared" si="1"/>
        <v>0</v>
      </c>
      <c r="G196" s="21" t="s">
        <v>10</v>
      </c>
      <c r="H196" s="16"/>
      <c r="I196" s="16"/>
      <c r="J196" s="5"/>
      <c r="K196" s="5"/>
      <c r="L196" s="5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27"/>
      <c r="B197" s="12"/>
      <c r="C197" s="27"/>
      <c r="D197" s="27"/>
      <c r="E197" s="14">
        <v>25000.0</v>
      </c>
      <c r="F197" s="14">
        <f t="shared" si="1"/>
        <v>0</v>
      </c>
      <c r="G197" s="15" t="s">
        <v>10</v>
      </c>
      <c r="H197" s="16"/>
      <c r="I197" s="16"/>
      <c r="J197" s="5"/>
      <c r="K197" s="5"/>
      <c r="L197" s="5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4"/>
      <c r="B198" s="18"/>
      <c r="C198" s="4"/>
      <c r="D198" s="4"/>
      <c r="E198" s="20">
        <v>25000.0</v>
      </c>
      <c r="F198" s="20">
        <f t="shared" si="1"/>
        <v>0</v>
      </c>
      <c r="G198" s="21" t="s">
        <v>10</v>
      </c>
      <c r="H198" s="16"/>
      <c r="I198" s="16"/>
      <c r="J198" s="5"/>
      <c r="K198" s="5"/>
      <c r="L198" s="5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27"/>
      <c r="B199" s="12"/>
      <c r="C199" s="27"/>
      <c r="D199" s="27"/>
      <c r="E199" s="14">
        <v>25000.0</v>
      </c>
      <c r="F199" s="14">
        <f t="shared" si="1"/>
        <v>0</v>
      </c>
      <c r="G199" s="15" t="s">
        <v>10</v>
      </c>
      <c r="H199" s="16"/>
      <c r="I199" s="16"/>
      <c r="J199" s="5"/>
      <c r="K199" s="5"/>
      <c r="L199" s="5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4"/>
      <c r="B200" s="18"/>
      <c r="C200" s="4"/>
      <c r="D200" s="4"/>
      <c r="E200" s="20">
        <v>25000.0</v>
      </c>
      <c r="F200" s="20">
        <f t="shared" si="1"/>
        <v>0</v>
      </c>
      <c r="G200" s="21" t="s">
        <v>10</v>
      </c>
      <c r="H200" s="16"/>
      <c r="I200" s="16"/>
      <c r="J200" s="5"/>
      <c r="K200" s="5"/>
      <c r="L200" s="5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27"/>
      <c r="B201" s="12"/>
      <c r="C201" s="27"/>
      <c r="D201" s="27"/>
      <c r="E201" s="14">
        <v>25000.0</v>
      </c>
      <c r="F201" s="14">
        <f t="shared" si="1"/>
        <v>0</v>
      </c>
      <c r="G201" s="15" t="s">
        <v>10</v>
      </c>
      <c r="H201" s="16"/>
      <c r="I201" s="16"/>
      <c r="J201" s="5"/>
      <c r="K201" s="5"/>
      <c r="L201" s="5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4"/>
      <c r="B202" s="18"/>
      <c r="C202" s="4"/>
      <c r="D202" s="4"/>
      <c r="E202" s="20">
        <v>25000.0</v>
      </c>
      <c r="F202" s="20">
        <f t="shared" si="1"/>
        <v>0</v>
      </c>
      <c r="G202" s="21" t="s">
        <v>10</v>
      </c>
      <c r="H202" s="16"/>
      <c r="I202" s="16"/>
      <c r="J202" s="5"/>
      <c r="K202" s="5"/>
      <c r="L202" s="5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27"/>
      <c r="B203" s="12"/>
      <c r="C203" s="27"/>
      <c r="D203" s="27"/>
      <c r="E203" s="14">
        <v>25000.0</v>
      </c>
      <c r="F203" s="14">
        <f t="shared" si="1"/>
        <v>0</v>
      </c>
      <c r="G203" s="15" t="s">
        <v>10</v>
      </c>
      <c r="H203" s="16"/>
      <c r="I203" s="16"/>
      <c r="J203" s="5"/>
      <c r="K203" s="5"/>
      <c r="L203" s="5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4"/>
      <c r="B204" s="18"/>
      <c r="C204" s="4"/>
      <c r="D204" s="4"/>
      <c r="E204" s="20">
        <v>25000.0</v>
      </c>
      <c r="F204" s="20">
        <f t="shared" si="1"/>
        <v>0</v>
      </c>
      <c r="G204" s="21" t="s">
        <v>10</v>
      </c>
      <c r="H204" s="16"/>
      <c r="I204" s="16"/>
      <c r="J204" s="5"/>
      <c r="K204" s="5"/>
      <c r="L204" s="5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27"/>
      <c r="B205" s="12"/>
      <c r="C205" s="27"/>
      <c r="D205" s="27"/>
      <c r="E205" s="14">
        <v>25000.0</v>
      </c>
      <c r="F205" s="14">
        <f t="shared" si="1"/>
        <v>0</v>
      </c>
      <c r="G205" s="15" t="s">
        <v>10</v>
      </c>
      <c r="H205" s="16"/>
      <c r="I205" s="16"/>
      <c r="J205" s="5"/>
      <c r="K205" s="5"/>
      <c r="L205" s="5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4"/>
      <c r="B206" s="18"/>
      <c r="C206" s="4"/>
      <c r="D206" s="4"/>
      <c r="E206" s="20">
        <v>25000.0</v>
      </c>
      <c r="F206" s="20">
        <f t="shared" si="1"/>
        <v>0</v>
      </c>
      <c r="G206" s="21" t="s">
        <v>10</v>
      </c>
      <c r="H206" s="16"/>
      <c r="I206" s="16"/>
      <c r="J206" s="5"/>
      <c r="K206" s="5"/>
      <c r="L206" s="5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27"/>
      <c r="B207" s="12"/>
      <c r="C207" s="27"/>
      <c r="D207" s="27"/>
      <c r="E207" s="14">
        <v>25000.0</v>
      </c>
      <c r="F207" s="14">
        <f t="shared" si="1"/>
        <v>0</v>
      </c>
      <c r="G207" s="15" t="s">
        <v>10</v>
      </c>
      <c r="H207" s="16"/>
      <c r="I207" s="16"/>
      <c r="J207" s="5"/>
      <c r="K207" s="5"/>
      <c r="L207" s="5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4"/>
      <c r="B208" s="18"/>
      <c r="C208" s="4"/>
      <c r="D208" s="4"/>
      <c r="E208" s="20">
        <v>25000.0</v>
      </c>
      <c r="F208" s="20">
        <f t="shared" si="1"/>
        <v>0</v>
      </c>
      <c r="G208" s="21" t="s">
        <v>10</v>
      </c>
      <c r="H208" s="16"/>
      <c r="I208" s="16"/>
      <c r="J208" s="5"/>
      <c r="K208" s="5"/>
      <c r="L208" s="5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27"/>
      <c r="B209" s="12"/>
      <c r="C209" s="27"/>
      <c r="D209" s="27"/>
      <c r="E209" s="14">
        <v>25000.0</v>
      </c>
      <c r="F209" s="14">
        <f t="shared" si="1"/>
        <v>0</v>
      </c>
      <c r="G209" s="15" t="s">
        <v>10</v>
      </c>
      <c r="H209" s="16"/>
      <c r="I209" s="16"/>
      <c r="J209" s="5"/>
      <c r="K209" s="5"/>
      <c r="L209" s="5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4"/>
      <c r="B210" s="18"/>
      <c r="C210" s="4"/>
      <c r="D210" s="4"/>
      <c r="E210" s="20">
        <v>25000.0</v>
      </c>
      <c r="F210" s="20">
        <f t="shared" si="1"/>
        <v>0</v>
      </c>
      <c r="G210" s="21" t="s">
        <v>10</v>
      </c>
      <c r="H210" s="16"/>
      <c r="I210" s="16"/>
      <c r="J210" s="5"/>
      <c r="K210" s="5"/>
      <c r="L210" s="5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27"/>
      <c r="B211" s="12"/>
      <c r="C211" s="27"/>
      <c r="D211" s="27"/>
      <c r="E211" s="14">
        <v>25000.0</v>
      </c>
      <c r="F211" s="14">
        <f t="shared" si="1"/>
        <v>0</v>
      </c>
      <c r="G211" s="15" t="s">
        <v>10</v>
      </c>
      <c r="H211" s="16"/>
      <c r="I211" s="16"/>
      <c r="J211" s="5"/>
      <c r="K211" s="5"/>
      <c r="L211" s="5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4"/>
      <c r="B212" s="18"/>
      <c r="C212" s="4"/>
      <c r="D212" s="4"/>
      <c r="E212" s="20">
        <v>25000.0</v>
      </c>
      <c r="F212" s="20">
        <f t="shared" si="1"/>
        <v>0</v>
      </c>
      <c r="G212" s="21" t="s">
        <v>10</v>
      </c>
      <c r="H212" s="16"/>
      <c r="I212" s="16"/>
      <c r="J212" s="5"/>
      <c r="K212" s="5"/>
      <c r="L212" s="5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27"/>
      <c r="B213" s="12"/>
      <c r="C213" s="27"/>
      <c r="D213" s="27"/>
      <c r="E213" s="14">
        <v>25000.0</v>
      </c>
      <c r="F213" s="14">
        <f t="shared" si="1"/>
        <v>0</v>
      </c>
      <c r="G213" s="15" t="s">
        <v>10</v>
      </c>
      <c r="H213" s="16"/>
      <c r="I213" s="16"/>
      <c r="J213" s="5"/>
      <c r="K213" s="5"/>
      <c r="L213" s="5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4"/>
      <c r="B214" s="18"/>
      <c r="C214" s="4"/>
      <c r="D214" s="4"/>
      <c r="E214" s="20">
        <v>25000.0</v>
      </c>
      <c r="F214" s="20">
        <f t="shared" si="1"/>
        <v>0</v>
      </c>
      <c r="G214" s="21" t="s">
        <v>10</v>
      </c>
      <c r="H214" s="16"/>
      <c r="I214" s="16"/>
      <c r="J214" s="5"/>
      <c r="K214" s="5"/>
      <c r="L214" s="5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27"/>
      <c r="B215" s="12"/>
      <c r="C215" s="27"/>
      <c r="D215" s="27"/>
      <c r="E215" s="14">
        <v>25000.0</v>
      </c>
      <c r="F215" s="14">
        <f t="shared" si="1"/>
        <v>0</v>
      </c>
      <c r="G215" s="15" t="s">
        <v>10</v>
      </c>
      <c r="H215" s="16"/>
      <c r="I215" s="16"/>
      <c r="J215" s="5"/>
      <c r="K215" s="5"/>
      <c r="L215" s="5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4"/>
      <c r="B216" s="18"/>
      <c r="C216" s="4"/>
      <c r="D216" s="4"/>
      <c r="E216" s="20">
        <v>25000.0</v>
      </c>
      <c r="F216" s="20">
        <f t="shared" si="1"/>
        <v>0</v>
      </c>
      <c r="G216" s="21" t="s">
        <v>10</v>
      </c>
      <c r="H216" s="16"/>
      <c r="I216" s="16"/>
      <c r="J216" s="5"/>
      <c r="K216" s="5"/>
      <c r="L216" s="5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27"/>
      <c r="B217" s="12"/>
      <c r="C217" s="27"/>
      <c r="D217" s="27"/>
      <c r="E217" s="14">
        <v>25000.0</v>
      </c>
      <c r="F217" s="14">
        <f t="shared" si="1"/>
        <v>0</v>
      </c>
      <c r="G217" s="15" t="s">
        <v>10</v>
      </c>
      <c r="H217" s="16"/>
      <c r="I217" s="16"/>
      <c r="J217" s="5"/>
      <c r="K217" s="5"/>
      <c r="L217" s="5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4"/>
      <c r="B218" s="18"/>
      <c r="C218" s="4"/>
      <c r="D218" s="4"/>
      <c r="E218" s="20">
        <v>25000.0</v>
      </c>
      <c r="F218" s="20">
        <f t="shared" si="1"/>
        <v>0</v>
      </c>
      <c r="G218" s="21" t="s">
        <v>10</v>
      </c>
      <c r="H218" s="16"/>
      <c r="I218" s="16"/>
      <c r="J218" s="5"/>
      <c r="K218" s="5"/>
      <c r="L218" s="5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27"/>
      <c r="B219" s="12"/>
      <c r="C219" s="27"/>
      <c r="D219" s="27"/>
      <c r="E219" s="14">
        <v>25000.0</v>
      </c>
      <c r="F219" s="14">
        <f t="shared" si="1"/>
        <v>0</v>
      </c>
      <c r="G219" s="15" t="s">
        <v>10</v>
      </c>
      <c r="H219" s="16"/>
      <c r="I219" s="16"/>
      <c r="J219" s="5"/>
      <c r="K219" s="5"/>
      <c r="L219" s="5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4"/>
      <c r="B220" s="18"/>
      <c r="C220" s="4"/>
      <c r="D220" s="4"/>
      <c r="E220" s="20">
        <v>25000.0</v>
      </c>
      <c r="F220" s="20">
        <f t="shared" si="1"/>
        <v>0</v>
      </c>
      <c r="G220" s="21" t="s">
        <v>10</v>
      </c>
      <c r="H220" s="16"/>
      <c r="I220" s="16"/>
      <c r="J220" s="5"/>
      <c r="K220" s="5"/>
      <c r="L220" s="5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27"/>
      <c r="B221" s="12"/>
      <c r="C221" s="27"/>
      <c r="D221" s="27"/>
      <c r="E221" s="14">
        <v>25000.0</v>
      </c>
      <c r="F221" s="14">
        <f t="shared" si="1"/>
        <v>0</v>
      </c>
      <c r="G221" s="15" t="s">
        <v>10</v>
      </c>
      <c r="H221" s="16"/>
      <c r="I221" s="16"/>
      <c r="J221" s="5"/>
      <c r="K221" s="5"/>
      <c r="L221" s="5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4"/>
      <c r="B222" s="18"/>
      <c r="C222" s="4"/>
      <c r="D222" s="4"/>
      <c r="E222" s="20">
        <v>25000.0</v>
      </c>
      <c r="F222" s="20">
        <f t="shared" si="1"/>
        <v>0</v>
      </c>
      <c r="G222" s="21" t="s">
        <v>10</v>
      </c>
      <c r="H222" s="16"/>
      <c r="I222" s="16"/>
      <c r="J222" s="5"/>
      <c r="K222" s="5"/>
      <c r="L222" s="5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27"/>
      <c r="B223" s="12"/>
      <c r="C223" s="27"/>
      <c r="D223" s="27"/>
      <c r="E223" s="14">
        <v>25000.0</v>
      </c>
      <c r="F223" s="14">
        <f t="shared" si="1"/>
        <v>0</v>
      </c>
      <c r="G223" s="15" t="s">
        <v>10</v>
      </c>
      <c r="H223" s="16"/>
      <c r="I223" s="16"/>
      <c r="J223" s="5"/>
      <c r="K223" s="5"/>
      <c r="L223" s="5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4"/>
      <c r="B224" s="18"/>
      <c r="C224" s="4"/>
      <c r="D224" s="4"/>
      <c r="E224" s="20">
        <v>25000.0</v>
      </c>
      <c r="F224" s="20">
        <f t="shared" si="1"/>
        <v>0</v>
      </c>
      <c r="G224" s="21" t="s">
        <v>10</v>
      </c>
      <c r="H224" s="16"/>
      <c r="I224" s="16"/>
      <c r="J224" s="5"/>
      <c r="K224" s="5"/>
      <c r="L224" s="5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27"/>
      <c r="B225" s="12"/>
      <c r="C225" s="27"/>
      <c r="D225" s="27"/>
      <c r="E225" s="14">
        <v>25000.0</v>
      </c>
      <c r="F225" s="14">
        <f t="shared" si="1"/>
        <v>0</v>
      </c>
      <c r="G225" s="15" t="s">
        <v>10</v>
      </c>
      <c r="H225" s="16"/>
      <c r="I225" s="16"/>
      <c r="J225" s="5"/>
      <c r="K225" s="5"/>
      <c r="L225" s="5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4"/>
      <c r="B226" s="18"/>
      <c r="C226" s="4"/>
      <c r="D226" s="4"/>
      <c r="E226" s="20">
        <v>25000.0</v>
      </c>
      <c r="F226" s="20">
        <f t="shared" si="1"/>
        <v>0</v>
      </c>
      <c r="G226" s="21" t="s">
        <v>10</v>
      </c>
      <c r="H226" s="16"/>
      <c r="I226" s="16"/>
      <c r="J226" s="5"/>
      <c r="K226" s="5"/>
      <c r="L226" s="5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27"/>
      <c r="B227" s="12"/>
      <c r="C227" s="27"/>
      <c r="D227" s="27"/>
      <c r="E227" s="14">
        <v>25000.0</v>
      </c>
      <c r="F227" s="14">
        <f t="shared" si="1"/>
        <v>0</v>
      </c>
      <c r="G227" s="15" t="s">
        <v>10</v>
      </c>
      <c r="H227" s="16"/>
      <c r="I227" s="16"/>
      <c r="J227" s="5"/>
      <c r="K227" s="5"/>
      <c r="L227" s="5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4"/>
      <c r="B228" s="18"/>
      <c r="C228" s="4"/>
      <c r="D228" s="4"/>
      <c r="E228" s="20">
        <v>25000.0</v>
      </c>
      <c r="F228" s="20">
        <f t="shared" si="1"/>
        <v>0</v>
      </c>
      <c r="G228" s="21" t="s">
        <v>10</v>
      </c>
      <c r="H228" s="16"/>
      <c r="I228" s="16"/>
      <c r="J228" s="5"/>
      <c r="K228" s="5"/>
      <c r="L228" s="5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27"/>
      <c r="B229" s="12"/>
      <c r="C229" s="27"/>
      <c r="D229" s="27"/>
      <c r="E229" s="14">
        <v>25000.0</v>
      </c>
      <c r="F229" s="14">
        <f t="shared" si="1"/>
        <v>0</v>
      </c>
      <c r="G229" s="15" t="s">
        <v>10</v>
      </c>
      <c r="H229" s="16"/>
      <c r="I229" s="16"/>
      <c r="J229" s="5"/>
      <c r="K229" s="5"/>
      <c r="L229" s="5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4"/>
      <c r="B230" s="18"/>
      <c r="C230" s="4"/>
      <c r="D230" s="4"/>
      <c r="E230" s="20">
        <v>25000.0</v>
      </c>
      <c r="F230" s="20">
        <f t="shared" si="1"/>
        <v>0</v>
      </c>
      <c r="G230" s="21" t="s">
        <v>10</v>
      </c>
      <c r="H230" s="16"/>
      <c r="I230" s="16"/>
      <c r="J230" s="5"/>
      <c r="K230" s="5"/>
      <c r="L230" s="5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27"/>
      <c r="B231" s="12"/>
      <c r="C231" s="27"/>
      <c r="D231" s="27"/>
      <c r="E231" s="14">
        <v>25000.0</v>
      </c>
      <c r="F231" s="14">
        <f t="shared" si="1"/>
        <v>0</v>
      </c>
      <c r="G231" s="15" t="s">
        <v>10</v>
      </c>
      <c r="H231" s="16"/>
      <c r="I231" s="16"/>
      <c r="J231" s="5"/>
      <c r="K231" s="5"/>
      <c r="L231" s="5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4"/>
      <c r="B232" s="18"/>
      <c r="C232" s="4"/>
      <c r="D232" s="4"/>
      <c r="E232" s="20">
        <v>25000.0</v>
      </c>
      <c r="F232" s="20">
        <f t="shared" si="1"/>
        <v>0</v>
      </c>
      <c r="G232" s="21" t="s">
        <v>10</v>
      </c>
      <c r="H232" s="16"/>
      <c r="I232" s="16"/>
      <c r="J232" s="5"/>
      <c r="K232" s="5"/>
      <c r="L232" s="5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27"/>
      <c r="B233" s="12"/>
      <c r="C233" s="27"/>
      <c r="D233" s="27"/>
      <c r="E233" s="14">
        <v>25000.0</v>
      </c>
      <c r="F233" s="14">
        <f t="shared" si="1"/>
        <v>0</v>
      </c>
      <c r="G233" s="15" t="s">
        <v>10</v>
      </c>
      <c r="H233" s="16"/>
      <c r="I233" s="16"/>
      <c r="J233" s="5"/>
      <c r="K233" s="5"/>
      <c r="L233" s="5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4"/>
      <c r="B234" s="18"/>
      <c r="C234" s="4"/>
      <c r="D234" s="4"/>
      <c r="E234" s="20">
        <v>25000.0</v>
      </c>
      <c r="F234" s="20">
        <f t="shared" si="1"/>
        <v>0</v>
      </c>
      <c r="G234" s="21" t="s">
        <v>10</v>
      </c>
      <c r="H234" s="16"/>
      <c r="I234" s="16"/>
      <c r="J234" s="5"/>
      <c r="K234" s="5"/>
      <c r="L234" s="5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27"/>
      <c r="B235" s="12"/>
      <c r="C235" s="27"/>
      <c r="D235" s="27"/>
      <c r="E235" s="14">
        <v>25000.0</v>
      </c>
      <c r="F235" s="14">
        <f t="shared" si="1"/>
        <v>0</v>
      </c>
      <c r="G235" s="15" t="s">
        <v>10</v>
      </c>
      <c r="H235" s="16"/>
      <c r="I235" s="16"/>
      <c r="J235" s="5"/>
      <c r="K235" s="5"/>
      <c r="L235" s="5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4"/>
      <c r="B236" s="18"/>
      <c r="C236" s="4"/>
      <c r="D236" s="4"/>
      <c r="E236" s="20">
        <v>25000.0</v>
      </c>
      <c r="F236" s="20">
        <f t="shared" si="1"/>
        <v>0</v>
      </c>
      <c r="G236" s="21" t="s">
        <v>10</v>
      </c>
      <c r="H236" s="16"/>
      <c r="I236" s="16"/>
      <c r="J236" s="5"/>
      <c r="K236" s="5"/>
      <c r="L236" s="5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27"/>
      <c r="B237" s="12"/>
      <c r="C237" s="27"/>
      <c r="D237" s="27"/>
      <c r="E237" s="14">
        <v>25000.0</v>
      </c>
      <c r="F237" s="14">
        <f t="shared" si="1"/>
        <v>0</v>
      </c>
      <c r="G237" s="15" t="s">
        <v>10</v>
      </c>
      <c r="H237" s="16"/>
      <c r="I237" s="16"/>
      <c r="J237" s="5"/>
      <c r="K237" s="5"/>
      <c r="L237" s="5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4"/>
      <c r="B238" s="18"/>
      <c r="C238" s="4"/>
      <c r="D238" s="4"/>
      <c r="E238" s="20">
        <v>25000.0</v>
      </c>
      <c r="F238" s="20">
        <f t="shared" si="1"/>
        <v>0</v>
      </c>
      <c r="G238" s="21" t="s">
        <v>10</v>
      </c>
      <c r="H238" s="16"/>
      <c r="I238" s="16"/>
      <c r="J238" s="5"/>
      <c r="K238" s="5"/>
      <c r="L238" s="5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27"/>
      <c r="B239" s="12"/>
      <c r="C239" s="27"/>
      <c r="D239" s="27"/>
      <c r="E239" s="14">
        <v>25000.0</v>
      </c>
      <c r="F239" s="14">
        <f t="shared" si="1"/>
        <v>0</v>
      </c>
      <c r="G239" s="15" t="s">
        <v>10</v>
      </c>
      <c r="H239" s="16"/>
      <c r="I239" s="16"/>
      <c r="J239" s="5"/>
      <c r="K239" s="5"/>
      <c r="L239" s="5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28"/>
      <c r="B240" s="18"/>
      <c r="C240" s="28"/>
      <c r="D240" s="28"/>
      <c r="E240" s="28"/>
      <c r="F240" s="28"/>
      <c r="G240" s="28"/>
      <c r="H240" s="16"/>
      <c r="I240" s="16"/>
      <c r="J240" s="5"/>
      <c r="K240" s="5"/>
      <c r="L240" s="5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28"/>
      <c r="B241" s="12"/>
      <c r="C241" s="28"/>
      <c r="D241" s="28"/>
      <c r="E241" s="28"/>
      <c r="F241" s="28"/>
      <c r="G241" s="28"/>
      <c r="H241" s="16"/>
      <c r="I241" s="16"/>
      <c r="J241" s="5"/>
      <c r="K241" s="5"/>
      <c r="L241" s="5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28"/>
      <c r="B242" s="29"/>
      <c r="C242" s="28"/>
      <c r="D242" s="28"/>
      <c r="E242" s="28"/>
      <c r="F242" s="28"/>
      <c r="G242" s="28"/>
      <c r="H242" s="4"/>
      <c r="I242" s="4"/>
      <c r="J242" s="5"/>
      <c r="K242" s="5"/>
      <c r="L242" s="5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28"/>
      <c r="B243" s="29"/>
      <c r="C243" s="28"/>
      <c r="D243" s="28"/>
      <c r="E243" s="28"/>
      <c r="F243" s="28"/>
      <c r="G243" s="28"/>
      <c r="H243" s="4"/>
      <c r="I243" s="4"/>
      <c r="J243" s="5"/>
      <c r="K243" s="5"/>
      <c r="L243" s="5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28"/>
      <c r="B244" s="29"/>
      <c r="C244" s="28"/>
      <c r="D244" s="28"/>
      <c r="E244" s="28"/>
      <c r="F244" s="28"/>
      <c r="G244" s="28"/>
      <c r="H244" s="4"/>
      <c r="I244" s="4"/>
      <c r="J244" s="5"/>
      <c r="K244" s="5"/>
      <c r="L244" s="5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28"/>
      <c r="B245" s="29"/>
      <c r="C245" s="28"/>
      <c r="D245" s="28"/>
      <c r="E245" s="28"/>
      <c r="F245" s="28"/>
      <c r="G245" s="28"/>
      <c r="H245" s="4"/>
      <c r="I245" s="4"/>
      <c r="J245" s="5"/>
      <c r="K245" s="5"/>
      <c r="L245" s="5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28"/>
      <c r="B246" s="28"/>
      <c r="C246" s="28"/>
      <c r="D246" s="28"/>
      <c r="E246" s="28"/>
      <c r="F246" s="28"/>
      <c r="G246" s="28"/>
      <c r="H246" s="4"/>
      <c r="I246" s="4"/>
      <c r="J246" s="5"/>
      <c r="K246" s="5"/>
      <c r="L246" s="5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28"/>
      <c r="B247" s="28"/>
      <c r="C247" s="28"/>
      <c r="D247" s="28"/>
      <c r="E247" s="28"/>
      <c r="F247" s="28"/>
      <c r="G247" s="28"/>
      <c r="H247" s="4"/>
      <c r="I247" s="4"/>
      <c r="J247" s="5"/>
      <c r="K247" s="5"/>
      <c r="L247" s="5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28"/>
      <c r="B248" s="28"/>
      <c r="C248" s="28"/>
      <c r="D248" s="28"/>
      <c r="E248" s="28"/>
      <c r="F248" s="28"/>
      <c r="G248" s="28"/>
      <c r="H248" s="4"/>
      <c r="I248" s="4"/>
      <c r="J248" s="5"/>
      <c r="K248" s="5"/>
      <c r="L248" s="5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28"/>
      <c r="B249" s="28"/>
      <c r="C249" s="28"/>
      <c r="D249" s="28"/>
      <c r="E249" s="28"/>
      <c r="F249" s="28"/>
      <c r="G249" s="28"/>
      <c r="H249" s="4"/>
      <c r="I249" s="4"/>
      <c r="J249" s="5"/>
      <c r="K249" s="5"/>
      <c r="L249" s="5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28"/>
      <c r="B250" s="28"/>
      <c r="C250" s="28"/>
      <c r="D250" s="28"/>
      <c r="E250" s="28"/>
      <c r="F250" s="28"/>
      <c r="G250" s="28"/>
      <c r="H250" s="4"/>
      <c r="I250" s="4"/>
      <c r="J250" s="5"/>
      <c r="K250" s="5"/>
      <c r="L250" s="5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28"/>
      <c r="B251" s="28"/>
      <c r="C251" s="28"/>
      <c r="D251" s="28"/>
      <c r="E251" s="28"/>
      <c r="F251" s="28"/>
      <c r="G251" s="28"/>
      <c r="H251" s="4"/>
      <c r="I251" s="4"/>
      <c r="J251" s="5"/>
      <c r="K251" s="5"/>
      <c r="L251" s="5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28"/>
      <c r="B252" s="28"/>
      <c r="C252" s="28"/>
      <c r="D252" s="28"/>
      <c r="E252" s="28"/>
      <c r="F252" s="28"/>
      <c r="G252" s="28"/>
      <c r="H252" s="4"/>
      <c r="I252" s="4"/>
      <c r="J252" s="5"/>
      <c r="K252" s="5"/>
      <c r="L252" s="5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28"/>
      <c r="B253" s="28"/>
      <c r="C253" s="28"/>
      <c r="D253" s="28"/>
      <c r="E253" s="28"/>
      <c r="F253" s="28"/>
      <c r="G253" s="28"/>
      <c r="H253" s="4"/>
      <c r="I253" s="4"/>
      <c r="J253" s="5"/>
      <c r="K253" s="5"/>
      <c r="L253" s="5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28"/>
      <c r="B254" s="28"/>
      <c r="C254" s="28"/>
      <c r="D254" s="28"/>
      <c r="E254" s="28"/>
      <c r="F254" s="28"/>
      <c r="G254" s="28"/>
      <c r="H254" s="4"/>
      <c r="I254" s="4"/>
      <c r="J254" s="5"/>
      <c r="K254" s="5"/>
      <c r="L254" s="5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28"/>
      <c r="B255" s="28"/>
      <c r="C255" s="28"/>
      <c r="D255" s="28"/>
      <c r="E255" s="28"/>
      <c r="F255" s="28"/>
      <c r="G255" s="28"/>
      <c r="H255" s="4"/>
      <c r="I255" s="4"/>
      <c r="J255" s="5"/>
      <c r="K255" s="5"/>
      <c r="L255" s="5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28"/>
      <c r="B256" s="28"/>
      <c r="C256" s="28"/>
      <c r="D256" s="28"/>
      <c r="E256" s="28"/>
      <c r="F256" s="28"/>
      <c r="G256" s="28"/>
      <c r="H256" s="4"/>
      <c r="I256" s="4"/>
      <c r="J256" s="5"/>
      <c r="K256" s="5"/>
      <c r="L256" s="5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28"/>
      <c r="B257" s="28"/>
      <c r="C257" s="28"/>
      <c r="D257" s="28"/>
      <c r="E257" s="28"/>
      <c r="F257" s="28"/>
      <c r="G257" s="28"/>
      <c r="H257" s="4"/>
      <c r="I257" s="4"/>
      <c r="J257" s="5"/>
      <c r="K257" s="5"/>
      <c r="L257" s="5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28"/>
      <c r="B258" s="28"/>
      <c r="C258" s="28"/>
      <c r="D258" s="28"/>
      <c r="E258" s="28"/>
      <c r="F258" s="28"/>
      <c r="G258" s="28"/>
      <c r="H258" s="4"/>
      <c r="I258" s="4"/>
      <c r="J258" s="5"/>
      <c r="K258" s="5"/>
      <c r="L258" s="5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28"/>
      <c r="B259" s="28"/>
      <c r="C259" s="28"/>
      <c r="D259" s="28"/>
      <c r="E259" s="28"/>
      <c r="F259" s="28"/>
      <c r="G259" s="28"/>
      <c r="H259" s="4"/>
      <c r="I259" s="4"/>
      <c r="J259" s="5"/>
      <c r="K259" s="5"/>
      <c r="L259" s="5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28"/>
      <c r="B260" s="28"/>
      <c r="C260" s="28"/>
      <c r="D260" s="28"/>
      <c r="E260" s="28"/>
      <c r="F260" s="28"/>
      <c r="G260" s="28"/>
      <c r="H260" s="4"/>
      <c r="I260" s="4"/>
      <c r="J260" s="5"/>
      <c r="K260" s="5"/>
      <c r="L260" s="5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28"/>
      <c r="B261" s="28"/>
      <c r="C261" s="28"/>
      <c r="D261" s="28"/>
      <c r="E261" s="28"/>
      <c r="F261" s="28"/>
      <c r="G261" s="28"/>
      <c r="H261" s="4"/>
      <c r="I261" s="4"/>
      <c r="J261" s="5"/>
      <c r="K261" s="5"/>
      <c r="L261" s="5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28"/>
      <c r="B262" s="28"/>
      <c r="C262" s="28"/>
      <c r="D262" s="28"/>
      <c r="E262" s="28"/>
      <c r="F262" s="28"/>
      <c r="G262" s="28"/>
      <c r="H262" s="4"/>
      <c r="I262" s="4"/>
      <c r="J262" s="5"/>
      <c r="K262" s="5"/>
      <c r="L262" s="5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28"/>
      <c r="B263" s="28"/>
      <c r="C263" s="28"/>
      <c r="D263" s="28"/>
      <c r="E263" s="28"/>
      <c r="F263" s="28"/>
      <c r="G263" s="28"/>
      <c r="H263" s="4"/>
      <c r="I263" s="4"/>
      <c r="J263" s="5"/>
      <c r="K263" s="5"/>
      <c r="L263" s="5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28"/>
      <c r="B264" s="28"/>
      <c r="C264" s="28"/>
      <c r="D264" s="28"/>
      <c r="E264" s="28"/>
      <c r="F264" s="28"/>
      <c r="G264" s="28"/>
      <c r="H264" s="4"/>
      <c r="I264" s="4"/>
      <c r="J264" s="5"/>
      <c r="K264" s="5"/>
      <c r="L264" s="5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28"/>
      <c r="B265" s="28"/>
      <c r="C265" s="28"/>
      <c r="D265" s="28"/>
      <c r="E265" s="28"/>
      <c r="F265" s="28"/>
      <c r="G265" s="28"/>
      <c r="H265" s="4"/>
      <c r="I265" s="4"/>
      <c r="J265" s="5"/>
      <c r="K265" s="5"/>
      <c r="L265" s="5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28"/>
      <c r="B266" s="28"/>
      <c r="C266" s="28"/>
      <c r="D266" s="28"/>
      <c r="E266" s="28"/>
      <c r="F266" s="28"/>
      <c r="G266" s="28"/>
      <c r="H266" s="4"/>
      <c r="I266" s="4"/>
      <c r="J266" s="5"/>
      <c r="K266" s="5"/>
      <c r="L266" s="5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28"/>
      <c r="B267" s="28"/>
      <c r="C267" s="28"/>
      <c r="D267" s="28"/>
      <c r="E267" s="28"/>
      <c r="F267" s="28"/>
      <c r="G267" s="28"/>
      <c r="H267" s="4"/>
      <c r="I267" s="4"/>
      <c r="J267" s="5"/>
      <c r="K267" s="5"/>
      <c r="L267" s="5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28"/>
      <c r="B268" s="28"/>
      <c r="C268" s="28"/>
      <c r="D268" s="28"/>
      <c r="E268" s="28"/>
      <c r="F268" s="28"/>
      <c r="G268" s="28"/>
      <c r="H268" s="4"/>
      <c r="I268" s="4"/>
      <c r="J268" s="5"/>
      <c r="K268" s="5"/>
      <c r="L268" s="5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28"/>
      <c r="B269" s="28"/>
      <c r="C269" s="28"/>
      <c r="D269" s="28"/>
      <c r="E269" s="28"/>
      <c r="F269" s="28"/>
      <c r="G269" s="28"/>
      <c r="H269" s="4"/>
      <c r="I269" s="4"/>
      <c r="J269" s="5"/>
      <c r="K269" s="5"/>
      <c r="L269" s="5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28"/>
      <c r="B270" s="28"/>
      <c r="C270" s="28"/>
      <c r="D270" s="28"/>
      <c r="E270" s="28"/>
      <c r="F270" s="28"/>
      <c r="G270" s="28"/>
      <c r="H270" s="4"/>
      <c r="I270" s="4"/>
      <c r="J270" s="5"/>
      <c r="K270" s="5"/>
      <c r="L270" s="5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28"/>
      <c r="B271" s="28"/>
      <c r="C271" s="28"/>
      <c r="D271" s="28"/>
      <c r="E271" s="28"/>
      <c r="F271" s="28"/>
      <c r="G271" s="28"/>
      <c r="H271" s="4"/>
      <c r="I271" s="4"/>
      <c r="J271" s="5"/>
      <c r="K271" s="5"/>
      <c r="L271" s="5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28"/>
      <c r="B272" s="28"/>
      <c r="C272" s="28"/>
      <c r="D272" s="28"/>
      <c r="E272" s="28"/>
      <c r="F272" s="28"/>
      <c r="G272" s="28"/>
      <c r="H272" s="4"/>
      <c r="I272" s="4"/>
      <c r="J272" s="5"/>
      <c r="K272" s="5"/>
      <c r="L272" s="5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28"/>
      <c r="B273" s="28"/>
      <c r="C273" s="28"/>
      <c r="D273" s="28"/>
      <c r="E273" s="28"/>
      <c r="F273" s="28"/>
      <c r="G273" s="28"/>
      <c r="H273" s="4"/>
      <c r="I273" s="4"/>
      <c r="J273" s="5"/>
      <c r="K273" s="5"/>
      <c r="L273" s="5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28"/>
      <c r="B274" s="28"/>
      <c r="C274" s="28"/>
      <c r="D274" s="28"/>
      <c r="E274" s="28"/>
      <c r="F274" s="28"/>
      <c r="G274" s="28"/>
      <c r="H274" s="4"/>
      <c r="I274" s="4"/>
      <c r="J274" s="5"/>
      <c r="K274" s="5"/>
      <c r="L274" s="5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28"/>
      <c r="B275" s="28"/>
      <c r="C275" s="28"/>
      <c r="D275" s="28"/>
      <c r="E275" s="28"/>
      <c r="F275" s="28"/>
      <c r="G275" s="28"/>
      <c r="H275" s="4"/>
      <c r="I275" s="4"/>
      <c r="J275" s="5"/>
      <c r="K275" s="5"/>
      <c r="L275" s="5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28"/>
      <c r="B276" s="28"/>
      <c r="C276" s="28"/>
      <c r="D276" s="28"/>
      <c r="E276" s="28"/>
      <c r="F276" s="28"/>
      <c r="G276" s="28"/>
      <c r="H276" s="4"/>
      <c r="I276" s="4"/>
      <c r="J276" s="5"/>
      <c r="K276" s="5"/>
      <c r="L276" s="5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28"/>
      <c r="B277" s="28"/>
      <c r="C277" s="28"/>
      <c r="D277" s="28"/>
      <c r="E277" s="28"/>
      <c r="F277" s="28"/>
      <c r="G277" s="28"/>
      <c r="H277" s="4"/>
      <c r="I277" s="4"/>
      <c r="J277" s="5"/>
      <c r="K277" s="5"/>
      <c r="L277" s="5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28"/>
      <c r="B278" s="28"/>
      <c r="C278" s="28"/>
      <c r="D278" s="28"/>
      <c r="E278" s="28"/>
      <c r="F278" s="28"/>
      <c r="G278" s="28"/>
      <c r="H278" s="4"/>
      <c r="I278" s="4"/>
      <c r="J278" s="5"/>
      <c r="K278" s="5"/>
      <c r="L278" s="5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28"/>
      <c r="B279" s="28"/>
      <c r="C279" s="28"/>
      <c r="D279" s="28"/>
      <c r="E279" s="28"/>
      <c r="F279" s="28"/>
      <c r="G279" s="28"/>
      <c r="H279" s="4"/>
      <c r="I279" s="4"/>
      <c r="J279" s="5"/>
      <c r="K279" s="5"/>
      <c r="L279" s="5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28"/>
      <c r="B280" s="28"/>
      <c r="C280" s="28"/>
      <c r="D280" s="28"/>
      <c r="E280" s="28"/>
      <c r="F280" s="28"/>
      <c r="G280" s="28"/>
      <c r="H280" s="4"/>
      <c r="I280" s="4"/>
      <c r="J280" s="5"/>
      <c r="K280" s="5"/>
      <c r="L280" s="5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28"/>
      <c r="B281" s="28"/>
      <c r="C281" s="28"/>
      <c r="D281" s="28"/>
      <c r="E281" s="28"/>
      <c r="F281" s="28"/>
      <c r="G281" s="28"/>
      <c r="H281" s="4"/>
      <c r="I281" s="4"/>
      <c r="J281" s="5"/>
      <c r="K281" s="5"/>
      <c r="L281" s="5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28"/>
      <c r="B282" s="28"/>
      <c r="C282" s="28"/>
      <c r="D282" s="28"/>
      <c r="E282" s="28"/>
      <c r="F282" s="28"/>
      <c r="G282" s="28"/>
      <c r="H282" s="4"/>
      <c r="I282" s="4"/>
      <c r="J282" s="5"/>
      <c r="K282" s="5"/>
      <c r="L282" s="5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28"/>
      <c r="B283" s="28"/>
      <c r="C283" s="28"/>
      <c r="D283" s="28"/>
      <c r="E283" s="28"/>
      <c r="F283" s="28"/>
      <c r="G283" s="28"/>
      <c r="H283" s="4"/>
      <c r="I283" s="4"/>
      <c r="J283" s="5"/>
      <c r="K283" s="5"/>
      <c r="L283" s="5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28"/>
      <c r="B284" s="28"/>
      <c r="C284" s="28"/>
      <c r="D284" s="28"/>
      <c r="E284" s="28"/>
      <c r="F284" s="28"/>
      <c r="G284" s="28"/>
      <c r="H284" s="4"/>
      <c r="I284" s="4"/>
      <c r="J284" s="5"/>
      <c r="K284" s="5"/>
      <c r="L284" s="5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28"/>
      <c r="B285" s="28"/>
      <c r="C285" s="28"/>
      <c r="D285" s="28"/>
      <c r="E285" s="28"/>
      <c r="F285" s="28"/>
      <c r="G285" s="28"/>
      <c r="H285" s="4"/>
      <c r="I285" s="4"/>
      <c r="J285" s="5"/>
      <c r="K285" s="5"/>
      <c r="L285" s="5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28"/>
      <c r="B286" s="28"/>
      <c r="C286" s="28"/>
      <c r="D286" s="28"/>
      <c r="E286" s="28"/>
      <c r="F286" s="28"/>
      <c r="G286" s="28"/>
      <c r="H286" s="4"/>
      <c r="I286" s="4"/>
      <c r="J286" s="5"/>
      <c r="K286" s="5"/>
      <c r="L286" s="5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28"/>
      <c r="B287" s="28"/>
      <c r="C287" s="28"/>
      <c r="D287" s="28"/>
      <c r="E287" s="28"/>
      <c r="F287" s="28"/>
      <c r="G287" s="28"/>
      <c r="H287" s="4"/>
      <c r="I287" s="4"/>
      <c r="J287" s="5"/>
      <c r="K287" s="5"/>
      <c r="L287" s="5"/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28"/>
      <c r="B288" s="28"/>
      <c r="C288" s="28"/>
      <c r="D288" s="28"/>
      <c r="E288" s="28"/>
      <c r="F288" s="28"/>
      <c r="G288" s="28"/>
      <c r="H288" s="4"/>
      <c r="I288" s="4"/>
      <c r="J288" s="5"/>
      <c r="K288" s="5"/>
      <c r="L288" s="5"/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28"/>
      <c r="B289" s="28"/>
      <c r="C289" s="28"/>
      <c r="D289" s="28"/>
      <c r="E289" s="28"/>
      <c r="F289" s="28"/>
      <c r="G289" s="28"/>
      <c r="H289" s="4"/>
      <c r="I289" s="4"/>
      <c r="J289" s="5"/>
      <c r="K289" s="5"/>
      <c r="L289" s="5"/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28"/>
      <c r="B290" s="28"/>
      <c r="C290" s="28"/>
      <c r="D290" s="28"/>
      <c r="E290" s="28"/>
      <c r="F290" s="28"/>
      <c r="G290" s="28"/>
      <c r="H290" s="4"/>
      <c r="I290" s="4"/>
      <c r="J290" s="5"/>
      <c r="K290" s="5"/>
      <c r="L290" s="5"/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28"/>
      <c r="B291" s="28"/>
      <c r="C291" s="28"/>
      <c r="D291" s="28"/>
      <c r="E291" s="28"/>
      <c r="F291" s="28"/>
      <c r="G291" s="28"/>
      <c r="H291" s="4"/>
      <c r="I291" s="4"/>
      <c r="J291" s="5"/>
      <c r="K291" s="5"/>
      <c r="L291" s="5"/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28"/>
      <c r="B292" s="28"/>
      <c r="C292" s="28"/>
      <c r="D292" s="28"/>
      <c r="E292" s="28"/>
      <c r="F292" s="28"/>
      <c r="G292" s="28"/>
      <c r="H292" s="4"/>
      <c r="I292" s="4"/>
      <c r="J292" s="5"/>
      <c r="K292" s="5"/>
      <c r="L292" s="5"/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28"/>
      <c r="B293" s="28"/>
      <c r="C293" s="28"/>
      <c r="D293" s="28"/>
      <c r="E293" s="28"/>
      <c r="F293" s="28"/>
      <c r="G293" s="28"/>
      <c r="H293" s="4"/>
      <c r="I293" s="4"/>
      <c r="J293" s="5"/>
      <c r="K293" s="5"/>
      <c r="L293" s="5"/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28"/>
      <c r="B294" s="28"/>
      <c r="C294" s="28"/>
      <c r="D294" s="28"/>
      <c r="E294" s="28"/>
      <c r="F294" s="28"/>
      <c r="G294" s="28"/>
      <c r="H294" s="4"/>
      <c r="I294" s="4"/>
      <c r="J294" s="5"/>
      <c r="K294" s="5"/>
      <c r="L294" s="5"/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28"/>
      <c r="B295" s="28"/>
      <c r="C295" s="28"/>
      <c r="D295" s="28"/>
      <c r="E295" s="28"/>
      <c r="F295" s="28"/>
      <c r="G295" s="28"/>
      <c r="H295" s="4"/>
      <c r="I295" s="4"/>
      <c r="J295" s="5"/>
      <c r="K295" s="5"/>
      <c r="L295" s="5"/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28"/>
      <c r="B296" s="28"/>
      <c r="C296" s="28"/>
      <c r="D296" s="28"/>
      <c r="E296" s="28"/>
      <c r="F296" s="28"/>
      <c r="G296" s="28"/>
      <c r="H296" s="4"/>
      <c r="I296" s="4"/>
      <c r="J296" s="5"/>
      <c r="K296" s="5"/>
      <c r="L296" s="5"/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30"/>
      <c r="B297" s="31"/>
      <c r="C297" s="30"/>
      <c r="D297" s="30"/>
      <c r="E297" s="32">
        <v>25000.0</v>
      </c>
      <c r="F297" s="32">
        <f t="shared" ref="F297:F584" si="2">D297*E297</f>
        <v>0</v>
      </c>
      <c r="G297" s="33" t="s">
        <v>10</v>
      </c>
      <c r="H297" s="4"/>
      <c r="I297" s="4"/>
      <c r="J297" s="5"/>
      <c r="K297" s="5"/>
      <c r="L297" s="5"/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30"/>
      <c r="B298" s="31"/>
      <c r="C298" s="30"/>
      <c r="D298" s="30"/>
      <c r="E298" s="32">
        <v>25000.0</v>
      </c>
      <c r="F298" s="32">
        <f t="shared" si="2"/>
        <v>0</v>
      </c>
      <c r="G298" s="33" t="s">
        <v>10</v>
      </c>
      <c r="H298" s="4"/>
      <c r="I298" s="4"/>
      <c r="J298" s="5"/>
      <c r="K298" s="5"/>
      <c r="L298" s="5"/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30"/>
      <c r="B299" s="31"/>
      <c r="C299" s="30"/>
      <c r="D299" s="30"/>
      <c r="E299" s="32">
        <v>25000.0</v>
      </c>
      <c r="F299" s="32">
        <f t="shared" si="2"/>
        <v>0</v>
      </c>
      <c r="G299" s="33" t="s">
        <v>10</v>
      </c>
      <c r="H299" s="4"/>
      <c r="I299" s="4"/>
      <c r="J299" s="5"/>
      <c r="K299" s="5"/>
      <c r="L299" s="5"/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30"/>
      <c r="B300" s="31"/>
      <c r="C300" s="30"/>
      <c r="D300" s="30"/>
      <c r="E300" s="32">
        <v>25000.0</v>
      </c>
      <c r="F300" s="32">
        <f t="shared" si="2"/>
        <v>0</v>
      </c>
      <c r="G300" s="33" t="s">
        <v>10</v>
      </c>
      <c r="H300" s="4"/>
      <c r="I300" s="4"/>
      <c r="J300" s="5"/>
      <c r="K300" s="5"/>
      <c r="L300" s="5"/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30"/>
      <c r="B301" s="31"/>
      <c r="C301" s="30"/>
      <c r="D301" s="30"/>
      <c r="E301" s="32">
        <v>25000.0</v>
      </c>
      <c r="F301" s="32">
        <f t="shared" si="2"/>
        <v>0</v>
      </c>
      <c r="G301" s="33" t="s">
        <v>10</v>
      </c>
      <c r="H301" s="4"/>
      <c r="I301" s="4"/>
      <c r="J301" s="5"/>
      <c r="K301" s="5"/>
      <c r="L301" s="5"/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30"/>
      <c r="B302" s="31"/>
      <c r="C302" s="30"/>
      <c r="D302" s="30"/>
      <c r="E302" s="32">
        <v>25000.0</v>
      </c>
      <c r="F302" s="32">
        <f t="shared" si="2"/>
        <v>0</v>
      </c>
      <c r="G302" s="33" t="s">
        <v>10</v>
      </c>
      <c r="H302" s="4"/>
      <c r="I302" s="4"/>
      <c r="J302" s="5"/>
      <c r="K302" s="5"/>
      <c r="L302" s="5"/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30"/>
      <c r="B303" s="31"/>
      <c r="C303" s="30"/>
      <c r="D303" s="30"/>
      <c r="E303" s="32">
        <v>25000.0</v>
      </c>
      <c r="F303" s="32">
        <f t="shared" si="2"/>
        <v>0</v>
      </c>
      <c r="G303" s="33" t="s">
        <v>10</v>
      </c>
      <c r="H303" s="4"/>
      <c r="I303" s="4"/>
      <c r="J303" s="5"/>
      <c r="K303" s="5"/>
      <c r="L303" s="5"/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30"/>
      <c r="B304" s="31"/>
      <c r="C304" s="30"/>
      <c r="D304" s="30"/>
      <c r="E304" s="32">
        <v>25000.0</v>
      </c>
      <c r="F304" s="32">
        <f t="shared" si="2"/>
        <v>0</v>
      </c>
      <c r="G304" s="33" t="s">
        <v>10</v>
      </c>
      <c r="H304" s="4"/>
      <c r="I304" s="4"/>
      <c r="J304" s="5"/>
      <c r="K304" s="5"/>
      <c r="L304" s="5"/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30"/>
      <c r="B305" s="31"/>
      <c r="C305" s="30"/>
      <c r="D305" s="30"/>
      <c r="E305" s="32">
        <v>25000.0</v>
      </c>
      <c r="F305" s="32">
        <f t="shared" si="2"/>
        <v>0</v>
      </c>
      <c r="G305" s="33" t="s">
        <v>10</v>
      </c>
      <c r="H305" s="4"/>
      <c r="I305" s="4"/>
      <c r="J305" s="5"/>
      <c r="K305" s="5"/>
      <c r="L305" s="5"/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30"/>
      <c r="B306" s="31"/>
      <c r="C306" s="30"/>
      <c r="D306" s="30"/>
      <c r="E306" s="32">
        <v>25000.0</v>
      </c>
      <c r="F306" s="32">
        <f t="shared" si="2"/>
        <v>0</v>
      </c>
      <c r="G306" s="33" t="s">
        <v>10</v>
      </c>
      <c r="H306" s="4"/>
      <c r="I306" s="4"/>
      <c r="J306" s="5"/>
      <c r="K306" s="5"/>
      <c r="L306" s="5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30"/>
      <c r="B307" s="31"/>
      <c r="C307" s="30"/>
      <c r="D307" s="30"/>
      <c r="E307" s="32">
        <v>25000.0</v>
      </c>
      <c r="F307" s="32">
        <f t="shared" si="2"/>
        <v>0</v>
      </c>
      <c r="G307" s="33" t="s">
        <v>10</v>
      </c>
      <c r="H307" s="4"/>
      <c r="I307" s="4"/>
      <c r="J307" s="5"/>
      <c r="K307" s="5"/>
      <c r="L307" s="5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30"/>
      <c r="B308" s="31"/>
      <c r="C308" s="30"/>
      <c r="D308" s="30"/>
      <c r="E308" s="32">
        <v>25000.0</v>
      </c>
      <c r="F308" s="32">
        <f t="shared" si="2"/>
        <v>0</v>
      </c>
      <c r="G308" s="33" t="s">
        <v>10</v>
      </c>
      <c r="H308" s="4"/>
      <c r="I308" s="4"/>
      <c r="J308" s="5"/>
      <c r="K308" s="5"/>
      <c r="L308" s="5"/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30"/>
      <c r="B309" s="31"/>
      <c r="C309" s="30"/>
      <c r="D309" s="30"/>
      <c r="E309" s="32">
        <v>25000.0</v>
      </c>
      <c r="F309" s="32">
        <f t="shared" si="2"/>
        <v>0</v>
      </c>
      <c r="G309" s="33" t="s">
        <v>10</v>
      </c>
      <c r="H309" s="4"/>
      <c r="I309" s="4"/>
      <c r="J309" s="5"/>
      <c r="K309" s="5"/>
      <c r="L309" s="5"/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30"/>
      <c r="B310" s="31"/>
      <c r="C310" s="30"/>
      <c r="D310" s="30"/>
      <c r="E310" s="32">
        <v>25000.0</v>
      </c>
      <c r="F310" s="32">
        <f t="shared" si="2"/>
        <v>0</v>
      </c>
      <c r="G310" s="33" t="s">
        <v>10</v>
      </c>
      <c r="H310" s="4"/>
      <c r="I310" s="4"/>
      <c r="J310" s="5"/>
      <c r="K310" s="5"/>
      <c r="L310" s="5"/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30"/>
      <c r="B311" s="31"/>
      <c r="C311" s="30"/>
      <c r="D311" s="30"/>
      <c r="E311" s="32">
        <v>25000.0</v>
      </c>
      <c r="F311" s="32">
        <f t="shared" si="2"/>
        <v>0</v>
      </c>
      <c r="G311" s="33" t="s">
        <v>10</v>
      </c>
      <c r="H311" s="4"/>
      <c r="I311" s="4"/>
      <c r="J311" s="5"/>
      <c r="K311" s="5"/>
      <c r="L311" s="5"/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30"/>
      <c r="B312" s="31"/>
      <c r="C312" s="30"/>
      <c r="D312" s="30"/>
      <c r="E312" s="32">
        <v>25000.0</v>
      </c>
      <c r="F312" s="32">
        <f t="shared" si="2"/>
        <v>0</v>
      </c>
      <c r="G312" s="33" t="s">
        <v>10</v>
      </c>
      <c r="H312" s="4"/>
      <c r="I312" s="4"/>
      <c r="J312" s="5"/>
      <c r="K312" s="5"/>
      <c r="L312" s="5"/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30"/>
      <c r="B313" s="31"/>
      <c r="C313" s="30"/>
      <c r="D313" s="30"/>
      <c r="E313" s="32">
        <v>25000.0</v>
      </c>
      <c r="F313" s="32">
        <f t="shared" si="2"/>
        <v>0</v>
      </c>
      <c r="G313" s="33" t="s">
        <v>10</v>
      </c>
      <c r="H313" s="4"/>
      <c r="I313" s="4"/>
      <c r="J313" s="5"/>
      <c r="K313" s="5"/>
      <c r="L313" s="5"/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30"/>
      <c r="B314" s="31"/>
      <c r="C314" s="30"/>
      <c r="D314" s="30"/>
      <c r="E314" s="32">
        <v>25000.0</v>
      </c>
      <c r="F314" s="32">
        <f t="shared" si="2"/>
        <v>0</v>
      </c>
      <c r="G314" s="33" t="s">
        <v>10</v>
      </c>
      <c r="H314" s="4"/>
      <c r="I314" s="4"/>
      <c r="J314" s="5"/>
      <c r="K314" s="5"/>
      <c r="L314" s="5"/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30"/>
      <c r="B315" s="31"/>
      <c r="C315" s="30"/>
      <c r="D315" s="30"/>
      <c r="E315" s="32">
        <v>25000.0</v>
      </c>
      <c r="F315" s="32">
        <f t="shared" si="2"/>
        <v>0</v>
      </c>
      <c r="G315" s="33" t="s">
        <v>10</v>
      </c>
      <c r="H315" s="4"/>
      <c r="I315" s="4"/>
      <c r="J315" s="5"/>
      <c r="K315" s="5"/>
      <c r="L315" s="5"/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30"/>
      <c r="B316" s="31"/>
      <c r="C316" s="30"/>
      <c r="D316" s="30"/>
      <c r="E316" s="32">
        <v>25000.0</v>
      </c>
      <c r="F316" s="32">
        <f t="shared" si="2"/>
        <v>0</v>
      </c>
      <c r="G316" s="33" t="s">
        <v>10</v>
      </c>
      <c r="H316" s="4"/>
      <c r="I316" s="4"/>
      <c r="J316" s="5"/>
      <c r="K316" s="5"/>
      <c r="L316" s="5"/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30"/>
      <c r="B317" s="31"/>
      <c r="C317" s="30"/>
      <c r="D317" s="30"/>
      <c r="E317" s="32">
        <v>25000.0</v>
      </c>
      <c r="F317" s="32">
        <f t="shared" si="2"/>
        <v>0</v>
      </c>
      <c r="G317" s="33" t="s">
        <v>10</v>
      </c>
      <c r="H317" s="4"/>
      <c r="I317" s="4"/>
      <c r="J317" s="5"/>
      <c r="K317" s="5"/>
      <c r="L317" s="5"/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30"/>
      <c r="B318" s="31"/>
      <c r="C318" s="30"/>
      <c r="D318" s="30"/>
      <c r="E318" s="32">
        <v>25000.0</v>
      </c>
      <c r="F318" s="32">
        <f t="shared" si="2"/>
        <v>0</v>
      </c>
      <c r="G318" s="33" t="s">
        <v>10</v>
      </c>
      <c r="H318" s="4"/>
      <c r="I318" s="4"/>
      <c r="J318" s="5"/>
      <c r="K318" s="5"/>
      <c r="L318" s="5"/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30"/>
      <c r="B319" s="31"/>
      <c r="C319" s="30"/>
      <c r="D319" s="30"/>
      <c r="E319" s="32">
        <v>25000.0</v>
      </c>
      <c r="F319" s="32">
        <f t="shared" si="2"/>
        <v>0</v>
      </c>
      <c r="G319" s="33" t="s">
        <v>10</v>
      </c>
      <c r="H319" s="4"/>
      <c r="I319" s="4"/>
      <c r="J319" s="5"/>
      <c r="K319" s="5"/>
      <c r="L319" s="5"/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30"/>
      <c r="B320" s="31"/>
      <c r="C320" s="30"/>
      <c r="D320" s="30"/>
      <c r="E320" s="32">
        <v>25000.0</v>
      </c>
      <c r="F320" s="32">
        <f t="shared" si="2"/>
        <v>0</v>
      </c>
      <c r="G320" s="33" t="s">
        <v>10</v>
      </c>
      <c r="H320" s="4"/>
      <c r="I320" s="4"/>
      <c r="J320" s="5"/>
      <c r="K320" s="5"/>
      <c r="L320" s="5"/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30"/>
      <c r="B321" s="31"/>
      <c r="C321" s="30"/>
      <c r="D321" s="30"/>
      <c r="E321" s="32">
        <v>25000.0</v>
      </c>
      <c r="F321" s="32">
        <f t="shared" si="2"/>
        <v>0</v>
      </c>
      <c r="G321" s="33" t="s">
        <v>10</v>
      </c>
      <c r="H321" s="4"/>
      <c r="I321" s="4"/>
      <c r="J321" s="5"/>
      <c r="K321" s="5"/>
      <c r="L321" s="5"/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30"/>
      <c r="B322" s="31"/>
      <c r="C322" s="30"/>
      <c r="D322" s="30"/>
      <c r="E322" s="32">
        <v>25000.0</v>
      </c>
      <c r="F322" s="32">
        <f t="shared" si="2"/>
        <v>0</v>
      </c>
      <c r="G322" s="33" t="s">
        <v>10</v>
      </c>
      <c r="H322" s="4"/>
      <c r="I322" s="4"/>
      <c r="J322" s="5"/>
      <c r="K322" s="5"/>
      <c r="L322" s="5"/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30"/>
      <c r="B323" s="31"/>
      <c r="C323" s="30"/>
      <c r="D323" s="30"/>
      <c r="E323" s="32">
        <v>25000.0</v>
      </c>
      <c r="F323" s="32">
        <f t="shared" si="2"/>
        <v>0</v>
      </c>
      <c r="G323" s="33" t="s">
        <v>10</v>
      </c>
      <c r="H323" s="4"/>
      <c r="I323" s="4"/>
      <c r="J323" s="5"/>
      <c r="K323" s="5"/>
      <c r="L323" s="5"/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30"/>
      <c r="B324" s="31"/>
      <c r="C324" s="30"/>
      <c r="D324" s="30"/>
      <c r="E324" s="32">
        <v>25000.0</v>
      </c>
      <c r="F324" s="32">
        <f t="shared" si="2"/>
        <v>0</v>
      </c>
      <c r="G324" s="33" t="s">
        <v>10</v>
      </c>
      <c r="H324" s="4"/>
      <c r="I324" s="4"/>
      <c r="J324" s="5"/>
      <c r="K324" s="5"/>
      <c r="L324" s="5"/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30"/>
      <c r="B325" s="31"/>
      <c r="C325" s="30"/>
      <c r="D325" s="30"/>
      <c r="E325" s="32">
        <v>25000.0</v>
      </c>
      <c r="F325" s="32">
        <f t="shared" si="2"/>
        <v>0</v>
      </c>
      <c r="G325" s="33" t="s">
        <v>10</v>
      </c>
      <c r="H325" s="4"/>
      <c r="I325" s="4"/>
      <c r="J325" s="5"/>
      <c r="K325" s="5"/>
      <c r="L325" s="5"/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30"/>
      <c r="B326" s="31"/>
      <c r="C326" s="30"/>
      <c r="D326" s="30"/>
      <c r="E326" s="32">
        <v>25000.0</v>
      </c>
      <c r="F326" s="32">
        <f t="shared" si="2"/>
        <v>0</v>
      </c>
      <c r="G326" s="33" t="s">
        <v>10</v>
      </c>
      <c r="H326" s="4"/>
      <c r="I326" s="4"/>
      <c r="J326" s="5"/>
      <c r="K326" s="5"/>
      <c r="L326" s="5"/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30"/>
      <c r="B327" s="31"/>
      <c r="C327" s="30"/>
      <c r="D327" s="30"/>
      <c r="E327" s="32">
        <v>25000.0</v>
      </c>
      <c r="F327" s="32">
        <f t="shared" si="2"/>
        <v>0</v>
      </c>
      <c r="G327" s="33" t="s">
        <v>10</v>
      </c>
      <c r="H327" s="4"/>
      <c r="I327" s="4"/>
      <c r="J327" s="5"/>
      <c r="K327" s="5"/>
      <c r="L327" s="5"/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30"/>
      <c r="B328" s="31"/>
      <c r="C328" s="30"/>
      <c r="D328" s="30"/>
      <c r="E328" s="32">
        <v>25000.0</v>
      </c>
      <c r="F328" s="32">
        <f t="shared" si="2"/>
        <v>0</v>
      </c>
      <c r="G328" s="33" t="s">
        <v>10</v>
      </c>
      <c r="H328" s="4"/>
      <c r="I328" s="4"/>
      <c r="J328" s="5"/>
      <c r="K328" s="5"/>
      <c r="L328" s="5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30"/>
      <c r="B329" s="31"/>
      <c r="C329" s="30"/>
      <c r="D329" s="30"/>
      <c r="E329" s="32">
        <v>25000.0</v>
      </c>
      <c r="F329" s="32">
        <f t="shared" si="2"/>
        <v>0</v>
      </c>
      <c r="G329" s="33" t="s">
        <v>10</v>
      </c>
      <c r="H329" s="4"/>
      <c r="I329" s="4"/>
      <c r="J329" s="5"/>
      <c r="K329" s="5"/>
      <c r="L329" s="5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30"/>
      <c r="B330" s="31"/>
      <c r="C330" s="30"/>
      <c r="D330" s="30"/>
      <c r="E330" s="32">
        <v>25000.0</v>
      </c>
      <c r="F330" s="32">
        <f t="shared" si="2"/>
        <v>0</v>
      </c>
      <c r="G330" s="33" t="s">
        <v>10</v>
      </c>
      <c r="H330" s="4"/>
      <c r="I330" s="4"/>
      <c r="J330" s="5"/>
      <c r="K330" s="5"/>
      <c r="L330" s="5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30"/>
      <c r="B331" s="31"/>
      <c r="C331" s="30"/>
      <c r="D331" s="30"/>
      <c r="E331" s="32">
        <v>25000.0</v>
      </c>
      <c r="F331" s="32">
        <f t="shared" si="2"/>
        <v>0</v>
      </c>
      <c r="G331" s="33" t="s">
        <v>10</v>
      </c>
      <c r="H331" s="4"/>
      <c r="I331" s="4"/>
      <c r="J331" s="5"/>
      <c r="K331" s="5"/>
      <c r="L331" s="5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30"/>
      <c r="B332" s="31"/>
      <c r="C332" s="30"/>
      <c r="D332" s="30"/>
      <c r="E332" s="32">
        <v>25000.0</v>
      </c>
      <c r="F332" s="32">
        <f t="shared" si="2"/>
        <v>0</v>
      </c>
      <c r="G332" s="33" t="s">
        <v>10</v>
      </c>
      <c r="H332" s="4"/>
      <c r="I332" s="4"/>
      <c r="J332" s="5"/>
      <c r="K332" s="5"/>
      <c r="L332" s="5"/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30"/>
      <c r="B333" s="31"/>
      <c r="C333" s="30"/>
      <c r="D333" s="30"/>
      <c r="E333" s="32">
        <v>25000.0</v>
      </c>
      <c r="F333" s="32">
        <f t="shared" si="2"/>
        <v>0</v>
      </c>
      <c r="G333" s="33" t="s">
        <v>10</v>
      </c>
      <c r="H333" s="4"/>
      <c r="I333" s="4"/>
      <c r="J333" s="5"/>
      <c r="K333" s="5"/>
      <c r="L333" s="5"/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30"/>
      <c r="B334" s="31"/>
      <c r="C334" s="30"/>
      <c r="D334" s="30"/>
      <c r="E334" s="32">
        <v>25000.0</v>
      </c>
      <c r="F334" s="32">
        <f t="shared" si="2"/>
        <v>0</v>
      </c>
      <c r="G334" s="33" t="s">
        <v>10</v>
      </c>
      <c r="H334" s="4"/>
      <c r="I334" s="4"/>
      <c r="J334" s="5"/>
      <c r="K334" s="5"/>
      <c r="L334" s="5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30"/>
      <c r="B335" s="31"/>
      <c r="C335" s="30"/>
      <c r="D335" s="30"/>
      <c r="E335" s="32">
        <v>25000.0</v>
      </c>
      <c r="F335" s="32">
        <f t="shared" si="2"/>
        <v>0</v>
      </c>
      <c r="G335" s="33" t="s">
        <v>10</v>
      </c>
      <c r="H335" s="4"/>
      <c r="I335" s="4"/>
      <c r="J335" s="5"/>
      <c r="K335" s="5"/>
      <c r="L335" s="5"/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30"/>
      <c r="B336" s="31"/>
      <c r="C336" s="30"/>
      <c r="D336" s="30"/>
      <c r="E336" s="32">
        <v>25000.0</v>
      </c>
      <c r="F336" s="32">
        <f t="shared" si="2"/>
        <v>0</v>
      </c>
      <c r="G336" s="33" t="s">
        <v>10</v>
      </c>
      <c r="H336" s="4"/>
      <c r="I336" s="4"/>
      <c r="J336" s="5"/>
      <c r="K336" s="5"/>
      <c r="L336" s="5"/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30"/>
      <c r="B337" s="31"/>
      <c r="C337" s="30"/>
      <c r="D337" s="30"/>
      <c r="E337" s="32">
        <v>25000.0</v>
      </c>
      <c r="F337" s="32">
        <f t="shared" si="2"/>
        <v>0</v>
      </c>
      <c r="G337" s="33" t="s">
        <v>10</v>
      </c>
      <c r="H337" s="4"/>
      <c r="I337" s="4"/>
      <c r="J337" s="5"/>
      <c r="K337" s="5"/>
      <c r="L337" s="5"/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30"/>
      <c r="B338" s="31"/>
      <c r="C338" s="30"/>
      <c r="D338" s="30"/>
      <c r="E338" s="32">
        <v>25000.0</v>
      </c>
      <c r="F338" s="32">
        <f t="shared" si="2"/>
        <v>0</v>
      </c>
      <c r="G338" s="33" t="s">
        <v>10</v>
      </c>
      <c r="H338" s="4"/>
      <c r="I338" s="4"/>
      <c r="J338" s="5"/>
      <c r="K338" s="5"/>
      <c r="L338" s="5"/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30"/>
      <c r="B339" s="31"/>
      <c r="C339" s="30"/>
      <c r="D339" s="30"/>
      <c r="E339" s="32">
        <v>25000.0</v>
      </c>
      <c r="F339" s="32">
        <f t="shared" si="2"/>
        <v>0</v>
      </c>
      <c r="G339" s="33" t="s">
        <v>10</v>
      </c>
      <c r="H339" s="4"/>
      <c r="I339" s="4"/>
      <c r="J339" s="5"/>
      <c r="K339" s="5"/>
      <c r="L339" s="5"/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30"/>
      <c r="B340" s="31"/>
      <c r="C340" s="30"/>
      <c r="D340" s="30"/>
      <c r="E340" s="32">
        <v>25000.0</v>
      </c>
      <c r="F340" s="32">
        <f t="shared" si="2"/>
        <v>0</v>
      </c>
      <c r="G340" s="33" t="s">
        <v>10</v>
      </c>
      <c r="H340" s="4"/>
      <c r="I340" s="4"/>
      <c r="J340" s="5"/>
      <c r="K340" s="5"/>
      <c r="L340" s="5"/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30"/>
      <c r="B341" s="31"/>
      <c r="C341" s="30"/>
      <c r="D341" s="30"/>
      <c r="E341" s="32">
        <v>25000.0</v>
      </c>
      <c r="F341" s="32">
        <f t="shared" si="2"/>
        <v>0</v>
      </c>
      <c r="G341" s="33" t="s">
        <v>10</v>
      </c>
      <c r="H341" s="4"/>
      <c r="I341" s="4"/>
      <c r="J341" s="5"/>
      <c r="K341" s="5"/>
      <c r="L341" s="5"/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30"/>
      <c r="B342" s="31"/>
      <c r="C342" s="30"/>
      <c r="D342" s="30"/>
      <c r="E342" s="32">
        <v>25000.0</v>
      </c>
      <c r="F342" s="32">
        <f t="shared" si="2"/>
        <v>0</v>
      </c>
      <c r="G342" s="33" t="s">
        <v>10</v>
      </c>
      <c r="H342" s="4"/>
      <c r="I342" s="4"/>
      <c r="J342" s="5"/>
      <c r="K342" s="5"/>
      <c r="L342" s="5"/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30"/>
      <c r="B343" s="31"/>
      <c r="C343" s="30"/>
      <c r="D343" s="30"/>
      <c r="E343" s="32">
        <v>25000.0</v>
      </c>
      <c r="F343" s="32">
        <f t="shared" si="2"/>
        <v>0</v>
      </c>
      <c r="G343" s="33" t="s">
        <v>10</v>
      </c>
      <c r="H343" s="4"/>
      <c r="I343" s="4"/>
      <c r="J343" s="5"/>
      <c r="K343" s="5"/>
      <c r="L343" s="5"/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30"/>
      <c r="B344" s="31"/>
      <c r="C344" s="30"/>
      <c r="D344" s="30"/>
      <c r="E344" s="32">
        <v>25000.0</v>
      </c>
      <c r="F344" s="32">
        <f t="shared" si="2"/>
        <v>0</v>
      </c>
      <c r="G344" s="33" t="s">
        <v>10</v>
      </c>
      <c r="H344" s="4"/>
      <c r="I344" s="4"/>
      <c r="J344" s="5"/>
      <c r="K344" s="5"/>
      <c r="L344" s="5"/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30"/>
      <c r="B345" s="31"/>
      <c r="C345" s="30"/>
      <c r="D345" s="30"/>
      <c r="E345" s="32">
        <v>25000.0</v>
      </c>
      <c r="F345" s="32">
        <f t="shared" si="2"/>
        <v>0</v>
      </c>
      <c r="G345" s="33" t="s">
        <v>10</v>
      </c>
      <c r="H345" s="4"/>
      <c r="I345" s="4"/>
      <c r="J345" s="5"/>
      <c r="K345" s="5"/>
      <c r="L345" s="5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30"/>
      <c r="B346" s="31"/>
      <c r="C346" s="30"/>
      <c r="D346" s="30"/>
      <c r="E346" s="32">
        <v>25000.0</v>
      </c>
      <c r="F346" s="32">
        <f t="shared" si="2"/>
        <v>0</v>
      </c>
      <c r="G346" s="33" t="s">
        <v>10</v>
      </c>
      <c r="H346" s="4"/>
      <c r="I346" s="4"/>
      <c r="J346" s="5"/>
      <c r="K346" s="5"/>
      <c r="L346" s="5"/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30"/>
      <c r="B347" s="31"/>
      <c r="C347" s="30"/>
      <c r="D347" s="30"/>
      <c r="E347" s="32">
        <v>25000.0</v>
      </c>
      <c r="F347" s="32">
        <f t="shared" si="2"/>
        <v>0</v>
      </c>
      <c r="G347" s="33" t="s">
        <v>10</v>
      </c>
      <c r="H347" s="4"/>
      <c r="I347" s="4"/>
      <c r="J347" s="5"/>
      <c r="K347" s="5"/>
      <c r="L347" s="5"/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30"/>
      <c r="B348" s="31"/>
      <c r="C348" s="30"/>
      <c r="D348" s="30"/>
      <c r="E348" s="32">
        <v>25000.0</v>
      </c>
      <c r="F348" s="32">
        <f t="shared" si="2"/>
        <v>0</v>
      </c>
      <c r="G348" s="33" t="s">
        <v>10</v>
      </c>
      <c r="H348" s="4"/>
      <c r="I348" s="4"/>
      <c r="J348" s="5"/>
      <c r="K348" s="5"/>
      <c r="L348" s="5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30"/>
      <c r="B349" s="31"/>
      <c r="C349" s="30"/>
      <c r="D349" s="30"/>
      <c r="E349" s="32">
        <v>25000.0</v>
      </c>
      <c r="F349" s="32">
        <f t="shared" si="2"/>
        <v>0</v>
      </c>
      <c r="G349" s="33" t="s">
        <v>10</v>
      </c>
      <c r="H349" s="4"/>
      <c r="I349" s="4"/>
      <c r="J349" s="5"/>
      <c r="K349" s="5"/>
      <c r="L349" s="5"/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30"/>
      <c r="B350" s="31"/>
      <c r="C350" s="30"/>
      <c r="D350" s="30"/>
      <c r="E350" s="32">
        <v>25000.0</v>
      </c>
      <c r="F350" s="32">
        <f t="shared" si="2"/>
        <v>0</v>
      </c>
      <c r="G350" s="33" t="s">
        <v>10</v>
      </c>
      <c r="H350" s="4"/>
      <c r="I350" s="4"/>
      <c r="J350" s="5"/>
      <c r="K350" s="5"/>
      <c r="L350" s="5"/>
      <c r="M350" s="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30"/>
      <c r="B351" s="31"/>
      <c r="C351" s="30"/>
      <c r="D351" s="30"/>
      <c r="E351" s="32">
        <v>25000.0</v>
      </c>
      <c r="F351" s="32">
        <f t="shared" si="2"/>
        <v>0</v>
      </c>
      <c r="G351" s="33" t="s">
        <v>10</v>
      </c>
      <c r="H351" s="4"/>
      <c r="I351" s="4"/>
      <c r="J351" s="5"/>
      <c r="K351" s="5"/>
      <c r="L351" s="5"/>
      <c r="M351" s="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30"/>
      <c r="B352" s="31"/>
      <c r="C352" s="30"/>
      <c r="D352" s="30"/>
      <c r="E352" s="32">
        <v>25000.0</v>
      </c>
      <c r="F352" s="32">
        <f t="shared" si="2"/>
        <v>0</v>
      </c>
      <c r="G352" s="33" t="s">
        <v>10</v>
      </c>
      <c r="H352" s="4"/>
      <c r="I352" s="4"/>
      <c r="J352" s="5"/>
      <c r="K352" s="5"/>
      <c r="L352" s="5"/>
      <c r="M352" s="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30"/>
      <c r="B353" s="31"/>
      <c r="C353" s="30"/>
      <c r="D353" s="30"/>
      <c r="E353" s="32">
        <v>25000.0</v>
      </c>
      <c r="F353" s="32">
        <f t="shared" si="2"/>
        <v>0</v>
      </c>
      <c r="G353" s="33" t="s">
        <v>10</v>
      </c>
      <c r="H353" s="4"/>
      <c r="I353" s="4"/>
      <c r="J353" s="5"/>
      <c r="K353" s="5"/>
      <c r="L353" s="5"/>
      <c r="M353" s="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30"/>
      <c r="B354" s="31"/>
      <c r="C354" s="30"/>
      <c r="D354" s="30"/>
      <c r="E354" s="32">
        <v>25000.0</v>
      </c>
      <c r="F354" s="32">
        <f t="shared" si="2"/>
        <v>0</v>
      </c>
      <c r="G354" s="33" t="s">
        <v>10</v>
      </c>
      <c r="H354" s="4"/>
      <c r="I354" s="4"/>
      <c r="J354" s="5"/>
      <c r="K354" s="5"/>
      <c r="L354" s="5"/>
      <c r="M354" s="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30"/>
      <c r="B355" s="31"/>
      <c r="C355" s="30"/>
      <c r="D355" s="30"/>
      <c r="E355" s="32">
        <v>25000.0</v>
      </c>
      <c r="F355" s="32">
        <f t="shared" si="2"/>
        <v>0</v>
      </c>
      <c r="G355" s="33" t="s">
        <v>10</v>
      </c>
      <c r="H355" s="4"/>
      <c r="I355" s="4"/>
      <c r="J355" s="5"/>
      <c r="K355" s="5"/>
      <c r="L355" s="5"/>
      <c r="M355" s="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30"/>
      <c r="B356" s="31"/>
      <c r="C356" s="30"/>
      <c r="D356" s="30"/>
      <c r="E356" s="32">
        <v>25000.0</v>
      </c>
      <c r="F356" s="32">
        <f t="shared" si="2"/>
        <v>0</v>
      </c>
      <c r="G356" s="33" t="s">
        <v>10</v>
      </c>
      <c r="H356" s="4"/>
      <c r="I356" s="4"/>
      <c r="J356" s="5"/>
      <c r="K356" s="5"/>
      <c r="L356" s="5"/>
      <c r="M356" s="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30"/>
      <c r="B357" s="31"/>
      <c r="C357" s="30"/>
      <c r="D357" s="30"/>
      <c r="E357" s="32">
        <v>25000.0</v>
      </c>
      <c r="F357" s="32">
        <f t="shared" si="2"/>
        <v>0</v>
      </c>
      <c r="G357" s="33" t="s">
        <v>10</v>
      </c>
      <c r="H357" s="4"/>
      <c r="I357" s="4"/>
      <c r="J357" s="5"/>
      <c r="K357" s="5"/>
      <c r="L357" s="5"/>
      <c r="M357" s="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30"/>
      <c r="B358" s="31"/>
      <c r="C358" s="30"/>
      <c r="D358" s="30"/>
      <c r="E358" s="32">
        <v>25000.0</v>
      </c>
      <c r="F358" s="32">
        <f t="shared" si="2"/>
        <v>0</v>
      </c>
      <c r="G358" s="33" t="s">
        <v>10</v>
      </c>
      <c r="H358" s="4"/>
      <c r="I358" s="4"/>
      <c r="J358" s="5"/>
      <c r="K358" s="5"/>
      <c r="L358" s="5"/>
      <c r="M358" s="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30"/>
      <c r="B359" s="31"/>
      <c r="C359" s="30"/>
      <c r="D359" s="30"/>
      <c r="E359" s="32">
        <v>25000.0</v>
      </c>
      <c r="F359" s="32">
        <f t="shared" si="2"/>
        <v>0</v>
      </c>
      <c r="G359" s="33" t="s">
        <v>10</v>
      </c>
      <c r="H359" s="4"/>
      <c r="I359" s="4"/>
      <c r="J359" s="5"/>
      <c r="K359" s="5"/>
      <c r="L359" s="5"/>
      <c r="M359" s="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30"/>
      <c r="B360" s="31"/>
      <c r="C360" s="30"/>
      <c r="D360" s="30"/>
      <c r="E360" s="32">
        <v>25000.0</v>
      </c>
      <c r="F360" s="32">
        <f t="shared" si="2"/>
        <v>0</v>
      </c>
      <c r="G360" s="33" t="s">
        <v>10</v>
      </c>
      <c r="H360" s="4"/>
      <c r="I360" s="4"/>
      <c r="J360" s="5"/>
      <c r="K360" s="5"/>
      <c r="L360" s="5"/>
      <c r="M360" s="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30"/>
      <c r="B361" s="31"/>
      <c r="C361" s="30"/>
      <c r="D361" s="30"/>
      <c r="E361" s="32">
        <v>25000.0</v>
      </c>
      <c r="F361" s="32">
        <f t="shared" si="2"/>
        <v>0</v>
      </c>
      <c r="G361" s="33" t="s">
        <v>10</v>
      </c>
      <c r="H361" s="4"/>
      <c r="I361" s="4"/>
      <c r="J361" s="5"/>
      <c r="K361" s="5"/>
      <c r="L361" s="5"/>
      <c r="M361" s="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30"/>
      <c r="B362" s="31"/>
      <c r="C362" s="30"/>
      <c r="D362" s="30"/>
      <c r="E362" s="32">
        <v>25000.0</v>
      </c>
      <c r="F362" s="32">
        <f t="shared" si="2"/>
        <v>0</v>
      </c>
      <c r="G362" s="33" t="s">
        <v>10</v>
      </c>
      <c r="H362" s="4"/>
      <c r="I362" s="4"/>
      <c r="J362" s="5"/>
      <c r="K362" s="5"/>
      <c r="L362" s="5"/>
      <c r="M362" s="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30"/>
      <c r="B363" s="31"/>
      <c r="C363" s="30"/>
      <c r="D363" s="30"/>
      <c r="E363" s="32">
        <v>25000.0</v>
      </c>
      <c r="F363" s="32">
        <f t="shared" si="2"/>
        <v>0</v>
      </c>
      <c r="G363" s="33" t="s">
        <v>10</v>
      </c>
      <c r="H363" s="4"/>
      <c r="I363" s="4"/>
      <c r="J363" s="5"/>
      <c r="K363" s="5"/>
      <c r="L363" s="5"/>
      <c r="M363" s="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30"/>
      <c r="B364" s="31"/>
      <c r="C364" s="30"/>
      <c r="D364" s="30"/>
      <c r="E364" s="32">
        <v>25000.0</v>
      </c>
      <c r="F364" s="32">
        <f t="shared" si="2"/>
        <v>0</v>
      </c>
      <c r="G364" s="33" t="s">
        <v>10</v>
      </c>
      <c r="H364" s="4"/>
      <c r="I364" s="4"/>
      <c r="J364" s="5"/>
      <c r="K364" s="5"/>
      <c r="L364" s="5"/>
      <c r="M364" s="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30"/>
      <c r="B365" s="31"/>
      <c r="C365" s="30"/>
      <c r="D365" s="30"/>
      <c r="E365" s="32">
        <v>25000.0</v>
      </c>
      <c r="F365" s="32">
        <f t="shared" si="2"/>
        <v>0</v>
      </c>
      <c r="G365" s="33" t="s">
        <v>10</v>
      </c>
      <c r="H365" s="4"/>
      <c r="I365" s="4"/>
      <c r="J365" s="5"/>
      <c r="K365" s="5"/>
      <c r="L365" s="5"/>
      <c r="M365" s="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30"/>
      <c r="B366" s="31"/>
      <c r="C366" s="30"/>
      <c r="D366" s="30"/>
      <c r="E366" s="32">
        <v>25000.0</v>
      </c>
      <c r="F366" s="32">
        <f t="shared" si="2"/>
        <v>0</v>
      </c>
      <c r="G366" s="33" t="s">
        <v>10</v>
      </c>
      <c r="H366" s="4"/>
      <c r="I366" s="4"/>
      <c r="J366" s="5"/>
      <c r="K366" s="5"/>
      <c r="L366" s="5"/>
      <c r="M366" s="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30"/>
      <c r="B367" s="31"/>
      <c r="C367" s="30"/>
      <c r="D367" s="30"/>
      <c r="E367" s="32">
        <v>25000.0</v>
      </c>
      <c r="F367" s="32">
        <f t="shared" si="2"/>
        <v>0</v>
      </c>
      <c r="G367" s="33" t="s">
        <v>10</v>
      </c>
      <c r="H367" s="4"/>
      <c r="I367" s="4"/>
      <c r="J367" s="5"/>
      <c r="K367" s="5"/>
      <c r="L367" s="5"/>
      <c r="M367" s="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30"/>
      <c r="B368" s="31"/>
      <c r="C368" s="30"/>
      <c r="D368" s="30"/>
      <c r="E368" s="32">
        <v>25000.0</v>
      </c>
      <c r="F368" s="32">
        <f t="shared" si="2"/>
        <v>0</v>
      </c>
      <c r="G368" s="33" t="s">
        <v>10</v>
      </c>
      <c r="H368" s="4"/>
      <c r="I368" s="4"/>
      <c r="J368" s="5"/>
      <c r="K368" s="5"/>
      <c r="L368" s="5"/>
      <c r="M368" s="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30"/>
      <c r="B369" s="31"/>
      <c r="C369" s="30"/>
      <c r="D369" s="30"/>
      <c r="E369" s="32">
        <v>25000.0</v>
      </c>
      <c r="F369" s="32">
        <f t="shared" si="2"/>
        <v>0</v>
      </c>
      <c r="G369" s="33" t="s">
        <v>10</v>
      </c>
      <c r="H369" s="4"/>
      <c r="I369" s="4"/>
      <c r="J369" s="5"/>
      <c r="K369" s="5"/>
      <c r="L369" s="5"/>
      <c r="M369" s="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30"/>
      <c r="B370" s="31"/>
      <c r="C370" s="30"/>
      <c r="D370" s="30"/>
      <c r="E370" s="32">
        <v>25000.0</v>
      </c>
      <c r="F370" s="32">
        <f t="shared" si="2"/>
        <v>0</v>
      </c>
      <c r="G370" s="33" t="s">
        <v>10</v>
      </c>
      <c r="H370" s="4"/>
      <c r="I370" s="4"/>
      <c r="J370" s="5"/>
      <c r="K370" s="5"/>
      <c r="L370" s="5"/>
      <c r="M370" s="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30"/>
      <c r="B371" s="31"/>
      <c r="C371" s="30"/>
      <c r="D371" s="30"/>
      <c r="E371" s="32">
        <v>25000.0</v>
      </c>
      <c r="F371" s="32">
        <f t="shared" si="2"/>
        <v>0</v>
      </c>
      <c r="G371" s="33" t="s">
        <v>10</v>
      </c>
      <c r="H371" s="4"/>
      <c r="I371" s="4"/>
      <c r="J371" s="5"/>
      <c r="K371" s="5"/>
      <c r="L371" s="5"/>
      <c r="M371" s="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30"/>
      <c r="B372" s="31"/>
      <c r="C372" s="30"/>
      <c r="D372" s="30"/>
      <c r="E372" s="32">
        <v>25000.0</v>
      </c>
      <c r="F372" s="32">
        <f t="shared" si="2"/>
        <v>0</v>
      </c>
      <c r="G372" s="33" t="s">
        <v>10</v>
      </c>
      <c r="H372" s="4"/>
      <c r="I372" s="4"/>
      <c r="J372" s="5"/>
      <c r="K372" s="5"/>
      <c r="L372" s="5"/>
      <c r="M372" s="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30"/>
      <c r="B373" s="31"/>
      <c r="C373" s="30"/>
      <c r="D373" s="30"/>
      <c r="E373" s="32">
        <v>25000.0</v>
      </c>
      <c r="F373" s="32">
        <f t="shared" si="2"/>
        <v>0</v>
      </c>
      <c r="G373" s="33" t="s">
        <v>10</v>
      </c>
      <c r="H373" s="4"/>
      <c r="I373" s="4"/>
      <c r="J373" s="5"/>
      <c r="K373" s="5"/>
      <c r="L373" s="5"/>
      <c r="M373" s="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30"/>
      <c r="B374" s="31"/>
      <c r="C374" s="30"/>
      <c r="D374" s="30"/>
      <c r="E374" s="32">
        <v>25000.0</v>
      </c>
      <c r="F374" s="32">
        <f t="shared" si="2"/>
        <v>0</v>
      </c>
      <c r="G374" s="33" t="s">
        <v>10</v>
      </c>
      <c r="H374" s="4"/>
      <c r="I374" s="4"/>
      <c r="J374" s="5"/>
      <c r="K374" s="5"/>
      <c r="L374" s="5"/>
      <c r="M374" s="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30"/>
      <c r="B375" s="31"/>
      <c r="C375" s="30"/>
      <c r="D375" s="30"/>
      <c r="E375" s="32">
        <v>25000.0</v>
      </c>
      <c r="F375" s="32">
        <f t="shared" si="2"/>
        <v>0</v>
      </c>
      <c r="G375" s="33" t="s">
        <v>10</v>
      </c>
      <c r="H375" s="4"/>
      <c r="I375" s="4"/>
      <c r="J375" s="5"/>
      <c r="K375" s="5"/>
      <c r="L375" s="5"/>
      <c r="M375" s="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30"/>
      <c r="B376" s="31"/>
      <c r="C376" s="30"/>
      <c r="D376" s="30"/>
      <c r="E376" s="32">
        <v>25000.0</v>
      </c>
      <c r="F376" s="32">
        <f t="shared" si="2"/>
        <v>0</v>
      </c>
      <c r="G376" s="33" t="s">
        <v>10</v>
      </c>
      <c r="H376" s="4"/>
      <c r="I376" s="4"/>
      <c r="J376" s="5"/>
      <c r="K376" s="5"/>
      <c r="L376" s="5"/>
      <c r="M376" s="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30"/>
      <c r="B377" s="31"/>
      <c r="C377" s="30"/>
      <c r="D377" s="30"/>
      <c r="E377" s="32">
        <v>25000.0</v>
      </c>
      <c r="F377" s="32">
        <f t="shared" si="2"/>
        <v>0</v>
      </c>
      <c r="G377" s="33" t="s">
        <v>10</v>
      </c>
      <c r="H377" s="4"/>
      <c r="I377" s="4"/>
      <c r="J377" s="5"/>
      <c r="K377" s="5"/>
      <c r="L377" s="5"/>
      <c r="M377" s="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30"/>
      <c r="B378" s="31"/>
      <c r="C378" s="30"/>
      <c r="D378" s="30"/>
      <c r="E378" s="32">
        <v>25000.0</v>
      </c>
      <c r="F378" s="32">
        <f t="shared" si="2"/>
        <v>0</v>
      </c>
      <c r="G378" s="33" t="s">
        <v>10</v>
      </c>
      <c r="H378" s="4"/>
      <c r="I378" s="4"/>
      <c r="J378" s="5"/>
      <c r="K378" s="5"/>
      <c r="L378" s="5"/>
      <c r="M378" s="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30"/>
      <c r="B379" s="31"/>
      <c r="C379" s="30"/>
      <c r="D379" s="30"/>
      <c r="E379" s="32">
        <v>25000.0</v>
      </c>
      <c r="F379" s="32">
        <f t="shared" si="2"/>
        <v>0</v>
      </c>
      <c r="G379" s="33" t="s">
        <v>10</v>
      </c>
      <c r="H379" s="4"/>
      <c r="I379" s="4"/>
      <c r="J379" s="5"/>
      <c r="K379" s="5"/>
      <c r="L379" s="5"/>
      <c r="M379" s="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30"/>
      <c r="B380" s="31"/>
      <c r="C380" s="30"/>
      <c r="D380" s="30"/>
      <c r="E380" s="32">
        <v>25000.0</v>
      </c>
      <c r="F380" s="32">
        <f t="shared" si="2"/>
        <v>0</v>
      </c>
      <c r="G380" s="33" t="s">
        <v>10</v>
      </c>
      <c r="H380" s="4"/>
      <c r="I380" s="4"/>
      <c r="J380" s="5"/>
      <c r="K380" s="5"/>
      <c r="L380" s="5"/>
      <c r="M380" s="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30"/>
      <c r="B381" s="31"/>
      <c r="C381" s="30"/>
      <c r="D381" s="30"/>
      <c r="E381" s="32">
        <v>25000.0</v>
      </c>
      <c r="F381" s="32">
        <f t="shared" si="2"/>
        <v>0</v>
      </c>
      <c r="G381" s="33" t="s">
        <v>10</v>
      </c>
      <c r="H381" s="4"/>
      <c r="I381" s="4"/>
      <c r="J381" s="5"/>
      <c r="K381" s="5"/>
      <c r="L381" s="5"/>
      <c r="M381" s="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30"/>
      <c r="B382" s="31"/>
      <c r="C382" s="30"/>
      <c r="D382" s="30"/>
      <c r="E382" s="32">
        <v>25000.0</v>
      </c>
      <c r="F382" s="32">
        <f t="shared" si="2"/>
        <v>0</v>
      </c>
      <c r="G382" s="33" t="s">
        <v>10</v>
      </c>
      <c r="H382" s="4"/>
      <c r="I382" s="4"/>
      <c r="J382" s="5"/>
      <c r="K382" s="5"/>
      <c r="L382" s="5"/>
      <c r="M382" s="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30"/>
      <c r="B383" s="31"/>
      <c r="C383" s="30"/>
      <c r="D383" s="30"/>
      <c r="E383" s="32">
        <v>25000.0</v>
      </c>
      <c r="F383" s="32">
        <f t="shared" si="2"/>
        <v>0</v>
      </c>
      <c r="G383" s="33" t="s">
        <v>10</v>
      </c>
      <c r="H383" s="4"/>
      <c r="I383" s="4"/>
      <c r="J383" s="5"/>
      <c r="K383" s="5"/>
      <c r="L383" s="5"/>
      <c r="M383" s="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30"/>
      <c r="B384" s="31"/>
      <c r="C384" s="30"/>
      <c r="D384" s="30"/>
      <c r="E384" s="32">
        <v>25000.0</v>
      </c>
      <c r="F384" s="32">
        <f t="shared" si="2"/>
        <v>0</v>
      </c>
      <c r="G384" s="33" t="s">
        <v>10</v>
      </c>
      <c r="H384" s="4"/>
      <c r="I384" s="4"/>
      <c r="J384" s="5"/>
      <c r="K384" s="5"/>
      <c r="L384" s="5"/>
      <c r="M384" s="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30"/>
      <c r="B385" s="31"/>
      <c r="C385" s="30"/>
      <c r="D385" s="30"/>
      <c r="E385" s="32">
        <v>25000.0</v>
      </c>
      <c r="F385" s="32">
        <f t="shared" si="2"/>
        <v>0</v>
      </c>
      <c r="G385" s="33" t="s">
        <v>10</v>
      </c>
      <c r="H385" s="4"/>
      <c r="I385" s="4"/>
      <c r="J385" s="5"/>
      <c r="K385" s="5"/>
      <c r="L385" s="5"/>
      <c r="M385" s="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30"/>
      <c r="B386" s="31"/>
      <c r="C386" s="30"/>
      <c r="D386" s="30"/>
      <c r="E386" s="32">
        <v>25000.0</v>
      </c>
      <c r="F386" s="32">
        <f t="shared" si="2"/>
        <v>0</v>
      </c>
      <c r="G386" s="33" t="s">
        <v>10</v>
      </c>
      <c r="H386" s="4"/>
      <c r="I386" s="4"/>
      <c r="J386" s="5"/>
      <c r="K386" s="5"/>
      <c r="L386" s="5"/>
      <c r="M386" s="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30"/>
      <c r="B387" s="31"/>
      <c r="C387" s="30"/>
      <c r="D387" s="30"/>
      <c r="E387" s="32">
        <v>25000.0</v>
      </c>
      <c r="F387" s="32">
        <f t="shared" si="2"/>
        <v>0</v>
      </c>
      <c r="G387" s="33" t="s">
        <v>10</v>
      </c>
      <c r="H387" s="4"/>
      <c r="I387" s="4"/>
      <c r="J387" s="5"/>
      <c r="K387" s="5"/>
      <c r="L387" s="5"/>
      <c r="M387" s="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30"/>
      <c r="B388" s="31"/>
      <c r="C388" s="30"/>
      <c r="D388" s="30"/>
      <c r="E388" s="32">
        <v>25000.0</v>
      </c>
      <c r="F388" s="32">
        <f t="shared" si="2"/>
        <v>0</v>
      </c>
      <c r="G388" s="33" t="s">
        <v>10</v>
      </c>
      <c r="H388" s="4"/>
      <c r="I388" s="4"/>
      <c r="J388" s="5"/>
      <c r="K388" s="5"/>
      <c r="L388" s="5"/>
      <c r="M388" s="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30"/>
      <c r="B389" s="31"/>
      <c r="C389" s="30"/>
      <c r="D389" s="30"/>
      <c r="E389" s="32">
        <v>25000.0</v>
      </c>
      <c r="F389" s="32">
        <f t="shared" si="2"/>
        <v>0</v>
      </c>
      <c r="G389" s="33" t="s">
        <v>10</v>
      </c>
      <c r="H389" s="4"/>
      <c r="I389" s="4"/>
      <c r="J389" s="5"/>
      <c r="K389" s="5"/>
      <c r="L389" s="5"/>
      <c r="M389" s="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30"/>
      <c r="B390" s="31"/>
      <c r="C390" s="30"/>
      <c r="D390" s="30"/>
      <c r="E390" s="32">
        <v>25000.0</v>
      </c>
      <c r="F390" s="32">
        <f t="shared" si="2"/>
        <v>0</v>
      </c>
      <c r="G390" s="33" t="s">
        <v>10</v>
      </c>
      <c r="H390" s="4"/>
      <c r="I390" s="4"/>
      <c r="J390" s="5"/>
      <c r="K390" s="5"/>
      <c r="L390" s="5"/>
      <c r="M390" s="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30"/>
      <c r="B391" s="31"/>
      <c r="C391" s="30"/>
      <c r="D391" s="30"/>
      <c r="E391" s="32">
        <v>25000.0</v>
      </c>
      <c r="F391" s="32">
        <f t="shared" si="2"/>
        <v>0</v>
      </c>
      <c r="G391" s="33" t="s">
        <v>10</v>
      </c>
      <c r="H391" s="4"/>
      <c r="I391" s="4"/>
      <c r="J391" s="5"/>
      <c r="K391" s="5"/>
      <c r="L391" s="5"/>
      <c r="M391" s="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30"/>
      <c r="B392" s="31"/>
      <c r="C392" s="30"/>
      <c r="D392" s="30"/>
      <c r="E392" s="32">
        <v>25000.0</v>
      </c>
      <c r="F392" s="32">
        <f t="shared" si="2"/>
        <v>0</v>
      </c>
      <c r="G392" s="33" t="s">
        <v>10</v>
      </c>
      <c r="H392" s="4"/>
      <c r="I392" s="4"/>
      <c r="J392" s="5"/>
      <c r="K392" s="5"/>
      <c r="L392" s="5"/>
      <c r="M392" s="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30"/>
      <c r="B393" s="31"/>
      <c r="C393" s="30"/>
      <c r="D393" s="30"/>
      <c r="E393" s="32">
        <v>25000.0</v>
      </c>
      <c r="F393" s="32">
        <f t="shared" si="2"/>
        <v>0</v>
      </c>
      <c r="G393" s="33" t="s">
        <v>10</v>
      </c>
      <c r="H393" s="4"/>
      <c r="I393" s="4"/>
      <c r="J393" s="5"/>
      <c r="K393" s="5"/>
      <c r="L393" s="5"/>
      <c r="M393" s="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30"/>
      <c r="B394" s="31"/>
      <c r="C394" s="30"/>
      <c r="D394" s="30"/>
      <c r="E394" s="32">
        <v>25000.0</v>
      </c>
      <c r="F394" s="32">
        <f t="shared" si="2"/>
        <v>0</v>
      </c>
      <c r="G394" s="33" t="s">
        <v>10</v>
      </c>
      <c r="H394" s="4"/>
      <c r="I394" s="4"/>
      <c r="J394" s="5"/>
      <c r="K394" s="5"/>
      <c r="L394" s="5"/>
      <c r="M394" s="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30"/>
      <c r="B395" s="31"/>
      <c r="C395" s="30"/>
      <c r="D395" s="30"/>
      <c r="E395" s="32">
        <v>25000.0</v>
      </c>
      <c r="F395" s="32">
        <f t="shared" si="2"/>
        <v>0</v>
      </c>
      <c r="G395" s="33" t="s">
        <v>10</v>
      </c>
      <c r="H395" s="4"/>
      <c r="I395" s="4"/>
      <c r="J395" s="5"/>
      <c r="K395" s="5"/>
      <c r="L395" s="5"/>
      <c r="M395" s="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30"/>
      <c r="B396" s="31"/>
      <c r="C396" s="30"/>
      <c r="D396" s="30"/>
      <c r="E396" s="32">
        <v>25000.0</v>
      </c>
      <c r="F396" s="32">
        <f t="shared" si="2"/>
        <v>0</v>
      </c>
      <c r="G396" s="33" t="s">
        <v>10</v>
      </c>
      <c r="H396" s="4"/>
      <c r="I396" s="4"/>
      <c r="J396" s="5"/>
      <c r="K396" s="5"/>
      <c r="L396" s="5"/>
      <c r="M396" s="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30"/>
      <c r="B397" s="31"/>
      <c r="C397" s="30"/>
      <c r="D397" s="30"/>
      <c r="E397" s="32">
        <v>25000.0</v>
      </c>
      <c r="F397" s="32">
        <f t="shared" si="2"/>
        <v>0</v>
      </c>
      <c r="G397" s="33" t="s">
        <v>10</v>
      </c>
      <c r="H397" s="4"/>
      <c r="I397" s="4"/>
      <c r="J397" s="5"/>
      <c r="K397" s="5"/>
      <c r="L397" s="5"/>
      <c r="M397" s="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30"/>
      <c r="B398" s="31"/>
      <c r="C398" s="30"/>
      <c r="D398" s="30"/>
      <c r="E398" s="32">
        <v>25000.0</v>
      </c>
      <c r="F398" s="32">
        <f t="shared" si="2"/>
        <v>0</v>
      </c>
      <c r="G398" s="33" t="s">
        <v>10</v>
      </c>
      <c r="H398" s="4"/>
      <c r="I398" s="4"/>
      <c r="J398" s="5"/>
      <c r="K398" s="5"/>
      <c r="L398" s="5"/>
      <c r="M398" s="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30"/>
      <c r="B399" s="31"/>
      <c r="C399" s="30"/>
      <c r="D399" s="30"/>
      <c r="E399" s="32">
        <v>25000.0</v>
      </c>
      <c r="F399" s="32">
        <f t="shared" si="2"/>
        <v>0</v>
      </c>
      <c r="G399" s="33" t="s">
        <v>10</v>
      </c>
      <c r="H399" s="4"/>
      <c r="I399" s="4"/>
      <c r="J399" s="5"/>
      <c r="K399" s="5"/>
      <c r="L399" s="5"/>
      <c r="M399" s="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30"/>
      <c r="B400" s="31"/>
      <c r="C400" s="30"/>
      <c r="D400" s="30"/>
      <c r="E400" s="32">
        <v>25000.0</v>
      </c>
      <c r="F400" s="32">
        <f t="shared" si="2"/>
        <v>0</v>
      </c>
      <c r="G400" s="33" t="s">
        <v>10</v>
      </c>
      <c r="H400" s="4"/>
      <c r="I400" s="4"/>
      <c r="J400" s="5"/>
      <c r="K400" s="5"/>
      <c r="L400" s="5"/>
      <c r="M400" s="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30"/>
      <c r="B401" s="31"/>
      <c r="C401" s="30"/>
      <c r="D401" s="30"/>
      <c r="E401" s="32">
        <v>25000.0</v>
      </c>
      <c r="F401" s="32">
        <f t="shared" si="2"/>
        <v>0</v>
      </c>
      <c r="G401" s="33" t="s">
        <v>10</v>
      </c>
      <c r="H401" s="4"/>
      <c r="I401" s="4"/>
      <c r="J401" s="5"/>
      <c r="K401" s="5"/>
      <c r="L401" s="5"/>
      <c r="M401" s="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30"/>
      <c r="B402" s="31"/>
      <c r="C402" s="30"/>
      <c r="D402" s="30"/>
      <c r="E402" s="32">
        <v>25000.0</v>
      </c>
      <c r="F402" s="32">
        <f t="shared" si="2"/>
        <v>0</v>
      </c>
      <c r="G402" s="33" t="s">
        <v>10</v>
      </c>
      <c r="H402" s="4"/>
      <c r="I402" s="4"/>
      <c r="J402" s="5"/>
      <c r="K402" s="5"/>
      <c r="L402" s="5"/>
      <c r="M402" s="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30"/>
      <c r="B403" s="31"/>
      <c r="C403" s="30"/>
      <c r="D403" s="30"/>
      <c r="E403" s="32">
        <v>25000.0</v>
      </c>
      <c r="F403" s="32">
        <f t="shared" si="2"/>
        <v>0</v>
      </c>
      <c r="G403" s="33" t="s">
        <v>10</v>
      </c>
      <c r="H403" s="4"/>
      <c r="I403" s="4"/>
      <c r="J403" s="5"/>
      <c r="K403" s="5"/>
      <c r="L403" s="5"/>
      <c r="M403" s="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30"/>
      <c r="B404" s="31"/>
      <c r="C404" s="30"/>
      <c r="D404" s="30"/>
      <c r="E404" s="32">
        <v>25000.0</v>
      </c>
      <c r="F404" s="32">
        <f t="shared" si="2"/>
        <v>0</v>
      </c>
      <c r="G404" s="33" t="s">
        <v>10</v>
      </c>
      <c r="H404" s="4"/>
      <c r="I404" s="4"/>
      <c r="J404" s="5"/>
      <c r="K404" s="5"/>
      <c r="L404" s="5"/>
      <c r="M404" s="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30"/>
      <c r="B405" s="31"/>
      <c r="C405" s="30"/>
      <c r="D405" s="30"/>
      <c r="E405" s="32">
        <v>25000.0</v>
      </c>
      <c r="F405" s="32">
        <f t="shared" si="2"/>
        <v>0</v>
      </c>
      <c r="G405" s="33" t="s">
        <v>10</v>
      </c>
      <c r="H405" s="4"/>
      <c r="I405" s="4"/>
      <c r="J405" s="5"/>
      <c r="K405" s="5"/>
      <c r="L405" s="5"/>
      <c r="M405" s="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30"/>
      <c r="B406" s="31"/>
      <c r="C406" s="30"/>
      <c r="D406" s="30"/>
      <c r="E406" s="32">
        <v>25000.0</v>
      </c>
      <c r="F406" s="32">
        <f t="shared" si="2"/>
        <v>0</v>
      </c>
      <c r="G406" s="33" t="s">
        <v>10</v>
      </c>
      <c r="H406" s="4"/>
      <c r="I406" s="4"/>
      <c r="J406" s="5"/>
      <c r="K406" s="5"/>
      <c r="L406" s="5"/>
      <c r="M406" s="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30"/>
      <c r="B407" s="31"/>
      <c r="C407" s="30"/>
      <c r="D407" s="30"/>
      <c r="E407" s="32">
        <v>25000.0</v>
      </c>
      <c r="F407" s="32">
        <f t="shared" si="2"/>
        <v>0</v>
      </c>
      <c r="G407" s="33" t="s">
        <v>10</v>
      </c>
      <c r="H407" s="4"/>
      <c r="I407" s="4"/>
      <c r="J407" s="5"/>
      <c r="K407" s="5"/>
      <c r="L407" s="5"/>
      <c r="M407" s="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30"/>
      <c r="B408" s="31"/>
      <c r="C408" s="30"/>
      <c r="D408" s="30"/>
      <c r="E408" s="32">
        <v>25000.0</v>
      </c>
      <c r="F408" s="32">
        <f t="shared" si="2"/>
        <v>0</v>
      </c>
      <c r="G408" s="33" t="s">
        <v>10</v>
      </c>
      <c r="H408" s="4"/>
      <c r="I408" s="4"/>
      <c r="J408" s="5"/>
      <c r="K408" s="5"/>
      <c r="L408" s="5"/>
      <c r="M408" s="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30"/>
      <c r="B409" s="31"/>
      <c r="C409" s="30"/>
      <c r="D409" s="30"/>
      <c r="E409" s="32">
        <v>25000.0</v>
      </c>
      <c r="F409" s="32">
        <f t="shared" si="2"/>
        <v>0</v>
      </c>
      <c r="G409" s="33" t="s">
        <v>10</v>
      </c>
      <c r="H409" s="4"/>
      <c r="I409" s="4"/>
      <c r="J409" s="5"/>
      <c r="K409" s="5"/>
      <c r="L409" s="5"/>
      <c r="M409" s="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30"/>
      <c r="B410" s="31"/>
      <c r="C410" s="30"/>
      <c r="D410" s="30"/>
      <c r="E410" s="32">
        <v>25000.0</v>
      </c>
      <c r="F410" s="32">
        <f t="shared" si="2"/>
        <v>0</v>
      </c>
      <c r="G410" s="33" t="s">
        <v>10</v>
      </c>
      <c r="H410" s="4"/>
      <c r="I410" s="4"/>
      <c r="J410" s="5"/>
      <c r="K410" s="5"/>
      <c r="L410" s="5"/>
      <c r="M410" s="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30"/>
      <c r="B411" s="31"/>
      <c r="C411" s="30"/>
      <c r="D411" s="30"/>
      <c r="E411" s="32">
        <v>25000.0</v>
      </c>
      <c r="F411" s="32">
        <f t="shared" si="2"/>
        <v>0</v>
      </c>
      <c r="G411" s="33" t="s">
        <v>10</v>
      </c>
      <c r="H411" s="4"/>
      <c r="I411" s="4"/>
      <c r="J411" s="5"/>
      <c r="K411" s="5"/>
      <c r="L411" s="5"/>
      <c r="M411" s="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30"/>
      <c r="B412" s="31"/>
      <c r="C412" s="30"/>
      <c r="D412" s="30"/>
      <c r="E412" s="32">
        <v>25000.0</v>
      </c>
      <c r="F412" s="32">
        <f t="shared" si="2"/>
        <v>0</v>
      </c>
      <c r="G412" s="33" t="s">
        <v>10</v>
      </c>
      <c r="H412" s="4"/>
      <c r="I412" s="4"/>
      <c r="J412" s="5"/>
      <c r="K412" s="5"/>
      <c r="L412" s="5"/>
      <c r="M412" s="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30"/>
      <c r="B413" s="31"/>
      <c r="C413" s="30"/>
      <c r="D413" s="30"/>
      <c r="E413" s="32">
        <v>25000.0</v>
      </c>
      <c r="F413" s="32">
        <f t="shared" si="2"/>
        <v>0</v>
      </c>
      <c r="G413" s="33" t="s">
        <v>10</v>
      </c>
      <c r="H413" s="4"/>
      <c r="I413" s="4"/>
      <c r="J413" s="5"/>
      <c r="K413" s="5"/>
      <c r="L413" s="5"/>
      <c r="M413" s="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30"/>
      <c r="B414" s="31"/>
      <c r="C414" s="30"/>
      <c r="D414" s="30"/>
      <c r="E414" s="32">
        <v>25000.0</v>
      </c>
      <c r="F414" s="32">
        <f t="shared" si="2"/>
        <v>0</v>
      </c>
      <c r="G414" s="33" t="s">
        <v>10</v>
      </c>
      <c r="H414" s="4"/>
      <c r="I414" s="4"/>
      <c r="J414" s="5"/>
      <c r="K414" s="5"/>
      <c r="L414" s="5"/>
      <c r="M414" s="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30"/>
      <c r="B415" s="31"/>
      <c r="C415" s="30"/>
      <c r="D415" s="30"/>
      <c r="E415" s="32">
        <v>25000.0</v>
      </c>
      <c r="F415" s="32">
        <f t="shared" si="2"/>
        <v>0</v>
      </c>
      <c r="G415" s="33" t="s">
        <v>10</v>
      </c>
      <c r="H415" s="4"/>
      <c r="I415" s="4"/>
      <c r="J415" s="5"/>
      <c r="K415" s="5"/>
      <c r="L415" s="5"/>
      <c r="M415" s="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30"/>
      <c r="B416" s="31"/>
      <c r="C416" s="30"/>
      <c r="D416" s="30"/>
      <c r="E416" s="32">
        <v>25000.0</v>
      </c>
      <c r="F416" s="32">
        <f t="shared" si="2"/>
        <v>0</v>
      </c>
      <c r="G416" s="33" t="s">
        <v>10</v>
      </c>
      <c r="H416" s="4"/>
      <c r="I416" s="4"/>
      <c r="J416" s="5"/>
      <c r="K416" s="5"/>
      <c r="L416" s="5"/>
      <c r="M416" s="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30"/>
      <c r="B417" s="31"/>
      <c r="C417" s="30"/>
      <c r="D417" s="30"/>
      <c r="E417" s="32">
        <v>25000.0</v>
      </c>
      <c r="F417" s="32">
        <f t="shared" si="2"/>
        <v>0</v>
      </c>
      <c r="G417" s="33" t="s">
        <v>10</v>
      </c>
      <c r="H417" s="4"/>
      <c r="I417" s="4"/>
      <c r="J417" s="5"/>
      <c r="K417" s="5"/>
      <c r="L417" s="5"/>
      <c r="M417" s="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30"/>
      <c r="B418" s="31"/>
      <c r="C418" s="30"/>
      <c r="D418" s="30"/>
      <c r="E418" s="32">
        <v>25000.0</v>
      </c>
      <c r="F418" s="32">
        <f t="shared" si="2"/>
        <v>0</v>
      </c>
      <c r="G418" s="33" t="s">
        <v>10</v>
      </c>
      <c r="H418" s="4"/>
      <c r="I418" s="4"/>
      <c r="J418" s="5"/>
      <c r="K418" s="5"/>
      <c r="L418" s="5"/>
      <c r="M418" s="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30"/>
      <c r="B419" s="31"/>
      <c r="C419" s="30"/>
      <c r="D419" s="30"/>
      <c r="E419" s="32">
        <v>25000.0</v>
      </c>
      <c r="F419" s="32">
        <f t="shared" si="2"/>
        <v>0</v>
      </c>
      <c r="G419" s="33" t="s">
        <v>10</v>
      </c>
      <c r="H419" s="4"/>
      <c r="I419" s="4"/>
      <c r="J419" s="5"/>
      <c r="K419" s="5"/>
      <c r="L419" s="5"/>
      <c r="M419" s="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30"/>
      <c r="B420" s="31"/>
      <c r="C420" s="30"/>
      <c r="D420" s="30"/>
      <c r="E420" s="32">
        <v>25000.0</v>
      </c>
      <c r="F420" s="32">
        <f t="shared" si="2"/>
        <v>0</v>
      </c>
      <c r="G420" s="33" t="s">
        <v>10</v>
      </c>
      <c r="H420" s="4"/>
      <c r="I420" s="4"/>
      <c r="J420" s="5"/>
      <c r="K420" s="5"/>
      <c r="L420" s="5"/>
      <c r="M420" s="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30"/>
      <c r="B421" s="31"/>
      <c r="C421" s="30"/>
      <c r="D421" s="30"/>
      <c r="E421" s="32">
        <v>25000.0</v>
      </c>
      <c r="F421" s="32">
        <f t="shared" si="2"/>
        <v>0</v>
      </c>
      <c r="G421" s="33" t="s">
        <v>10</v>
      </c>
      <c r="H421" s="4"/>
      <c r="I421" s="4"/>
      <c r="J421" s="5"/>
      <c r="K421" s="5"/>
      <c r="L421" s="5"/>
      <c r="M421" s="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30"/>
      <c r="B422" s="31"/>
      <c r="C422" s="30"/>
      <c r="D422" s="30"/>
      <c r="E422" s="32">
        <v>25000.0</v>
      </c>
      <c r="F422" s="32">
        <f t="shared" si="2"/>
        <v>0</v>
      </c>
      <c r="G422" s="33" t="s">
        <v>10</v>
      </c>
      <c r="H422" s="4"/>
      <c r="I422" s="4"/>
      <c r="J422" s="5"/>
      <c r="K422" s="5"/>
      <c r="L422" s="5"/>
      <c r="M422" s="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30"/>
      <c r="B423" s="31"/>
      <c r="C423" s="30"/>
      <c r="D423" s="30"/>
      <c r="E423" s="32">
        <v>25000.0</v>
      </c>
      <c r="F423" s="32">
        <f t="shared" si="2"/>
        <v>0</v>
      </c>
      <c r="G423" s="33" t="s">
        <v>10</v>
      </c>
      <c r="H423" s="4"/>
      <c r="I423" s="4"/>
      <c r="J423" s="5"/>
      <c r="K423" s="5"/>
      <c r="L423" s="5"/>
      <c r="M423" s="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30"/>
      <c r="B424" s="31"/>
      <c r="C424" s="30"/>
      <c r="D424" s="30"/>
      <c r="E424" s="32">
        <v>25000.0</v>
      </c>
      <c r="F424" s="32">
        <f t="shared" si="2"/>
        <v>0</v>
      </c>
      <c r="G424" s="33" t="s">
        <v>10</v>
      </c>
      <c r="H424" s="4"/>
      <c r="I424" s="4"/>
      <c r="J424" s="5"/>
      <c r="K424" s="5"/>
      <c r="L424" s="5"/>
      <c r="M424" s="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30"/>
      <c r="B425" s="31"/>
      <c r="C425" s="30"/>
      <c r="D425" s="30"/>
      <c r="E425" s="32">
        <v>25000.0</v>
      </c>
      <c r="F425" s="32">
        <f t="shared" si="2"/>
        <v>0</v>
      </c>
      <c r="G425" s="33" t="s">
        <v>10</v>
      </c>
      <c r="H425" s="4"/>
      <c r="I425" s="4"/>
      <c r="J425" s="5"/>
      <c r="K425" s="5"/>
      <c r="L425" s="5"/>
      <c r="M425" s="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30"/>
      <c r="B426" s="31"/>
      <c r="C426" s="30"/>
      <c r="D426" s="30"/>
      <c r="E426" s="32">
        <v>25000.0</v>
      </c>
      <c r="F426" s="32">
        <f t="shared" si="2"/>
        <v>0</v>
      </c>
      <c r="G426" s="33" t="s">
        <v>10</v>
      </c>
      <c r="H426" s="4"/>
      <c r="I426" s="4"/>
      <c r="J426" s="5"/>
      <c r="K426" s="5"/>
      <c r="L426" s="5"/>
      <c r="M426" s="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30"/>
      <c r="B427" s="31"/>
      <c r="C427" s="30"/>
      <c r="D427" s="30"/>
      <c r="E427" s="32">
        <v>25000.0</v>
      </c>
      <c r="F427" s="32">
        <f t="shared" si="2"/>
        <v>0</v>
      </c>
      <c r="G427" s="33" t="s">
        <v>10</v>
      </c>
      <c r="H427" s="4"/>
      <c r="I427" s="4"/>
      <c r="J427" s="5"/>
      <c r="K427" s="5"/>
      <c r="L427" s="5"/>
      <c r="M427" s="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30"/>
      <c r="B428" s="31"/>
      <c r="C428" s="30"/>
      <c r="D428" s="30"/>
      <c r="E428" s="32">
        <v>25000.0</v>
      </c>
      <c r="F428" s="32">
        <f t="shared" si="2"/>
        <v>0</v>
      </c>
      <c r="G428" s="33" t="s">
        <v>10</v>
      </c>
      <c r="H428" s="4"/>
      <c r="I428" s="4"/>
      <c r="J428" s="5"/>
      <c r="K428" s="5"/>
      <c r="L428" s="5"/>
      <c r="M428" s="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30"/>
      <c r="B429" s="31"/>
      <c r="C429" s="30"/>
      <c r="D429" s="30"/>
      <c r="E429" s="32">
        <v>25000.0</v>
      </c>
      <c r="F429" s="32">
        <f t="shared" si="2"/>
        <v>0</v>
      </c>
      <c r="G429" s="33" t="s">
        <v>10</v>
      </c>
      <c r="H429" s="4"/>
      <c r="I429" s="4"/>
      <c r="J429" s="5"/>
      <c r="K429" s="5"/>
      <c r="L429" s="5"/>
      <c r="M429" s="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30"/>
      <c r="B430" s="31"/>
      <c r="C430" s="30"/>
      <c r="D430" s="30"/>
      <c r="E430" s="32">
        <v>25000.0</v>
      </c>
      <c r="F430" s="32">
        <f t="shared" si="2"/>
        <v>0</v>
      </c>
      <c r="G430" s="33" t="s">
        <v>10</v>
      </c>
      <c r="H430" s="4"/>
      <c r="I430" s="4"/>
      <c r="J430" s="5"/>
      <c r="K430" s="5"/>
      <c r="L430" s="5"/>
      <c r="M430" s="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30"/>
      <c r="B431" s="31"/>
      <c r="C431" s="30"/>
      <c r="D431" s="30"/>
      <c r="E431" s="32">
        <v>25000.0</v>
      </c>
      <c r="F431" s="32">
        <f t="shared" si="2"/>
        <v>0</v>
      </c>
      <c r="G431" s="33" t="s">
        <v>10</v>
      </c>
      <c r="H431" s="4"/>
      <c r="I431" s="4"/>
      <c r="J431" s="5"/>
      <c r="K431" s="5"/>
      <c r="L431" s="5"/>
      <c r="M431" s="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30"/>
      <c r="B432" s="31"/>
      <c r="C432" s="30"/>
      <c r="D432" s="30"/>
      <c r="E432" s="32">
        <v>25000.0</v>
      </c>
      <c r="F432" s="32">
        <f t="shared" si="2"/>
        <v>0</v>
      </c>
      <c r="G432" s="33" t="s">
        <v>10</v>
      </c>
      <c r="H432" s="4"/>
      <c r="I432" s="4"/>
      <c r="J432" s="5"/>
      <c r="K432" s="5"/>
      <c r="L432" s="5"/>
      <c r="M432" s="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30"/>
      <c r="B433" s="31"/>
      <c r="C433" s="30"/>
      <c r="D433" s="30"/>
      <c r="E433" s="32">
        <v>25000.0</v>
      </c>
      <c r="F433" s="32">
        <f t="shared" si="2"/>
        <v>0</v>
      </c>
      <c r="G433" s="33" t="s">
        <v>10</v>
      </c>
      <c r="H433" s="4"/>
      <c r="I433" s="4"/>
      <c r="J433" s="5"/>
      <c r="K433" s="5"/>
      <c r="L433" s="5"/>
      <c r="M433" s="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30"/>
      <c r="B434" s="31"/>
      <c r="C434" s="30"/>
      <c r="D434" s="30"/>
      <c r="E434" s="32">
        <v>25000.0</v>
      </c>
      <c r="F434" s="32">
        <f t="shared" si="2"/>
        <v>0</v>
      </c>
      <c r="G434" s="33" t="s">
        <v>10</v>
      </c>
      <c r="H434" s="4"/>
      <c r="I434" s="4"/>
      <c r="J434" s="5"/>
      <c r="K434" s="5"/>
      <c r="L434" s="5"/>
      <c r="M434" s="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30"/>
      <c r="B435" s="31"/>
      <c r="C435" s="30"/>
      <c r="D435" s="30"/>
      <c r="E435" s="32">
        <v>25000.0</v>
      </c>
      <c r="F435" s="32">
        <f t="shared" si="2"/>
        <v>0</v>
      </c>
      <c r="G435" s="33" t="s">
        <v>10</v>
      </c>
      <c r="H435" s="4"/>
      <c r="I435" s="4"/>
      <c r="J435" s="5"/>
      <c r="K435" s="5"/>
      <c r="L435" s="5"/>
      <c r="M435" s="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30"/>
      <c r="B436" s="31"/>
      <c r="C436" s="30"/>
      <c r="D436" s="30"/>
      <c r="E436" s="32">
        <v>25000.0</v>
      </c>
      <c r="F436" s="32">
        <f t="shared" si="2"/>
        <v>0</v>
      </c>
      <c r="G436" s="33" t="s">
        <v>10</v>
      </c>
      <c r="H436" s="4"/>
      <c r="I436" s="4"/>
      <c r="J436" s="5"/>
      <c r="K436" s="5"/>
      <c r="L436" s="5"/>
      <c r="M436" s="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30"/>
      <c r="B437" s="31"/>
      <c r="C437" s="30"/>
      <c r="D437" s="30"/>
      <c r="E437" s="32">
        <v>25000.0</v>
      </c>
      <c r="F437" s="32">
        <f t="shared" si="2"/>
        <v>0</v>
      </c>
      <c r="G437" s="33" t="s">
        <v>10</v>
      </c>
      <c r="H437" s="4"/>
      <c r="I437" s="4"/>
      <c r="J437" s="5"/>
      <c r="K437" s="5"/>
      <c r="L437" s="5"/>
      <c r="M437" s="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30"/>
      <c r="B438" s="31"/>
      <c r="C438" s="30"/>
      <c r="D438" s="30"/>
      <c r="E438" s="32">
        <v>25000.0</v>
      </c>
      <c r="F438" s="32">
        <f t="shared" si="2"/>
        <v>0</v>
      </c>
      <c r="G438" s="33" t="s">
        <v>10</v>
      </c>
      <c r="H438" s="4"/>
      <c r="I438" s="4"/>
      <c r="J438" s="5"/>
      <c r="K438" s="5"/>
      <c r="L438" s="5"/>
      <c r="M438" s="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30"/>
      <c r="B439" s="31"/>
      <c r="C439" s="30"/>
      <c r="D439" s="30"/>
      <c r="E439" s="32">
        <v>25000.0</v>
      </c>
      <c r="F439" s="32">
        <f t="shared" si="2"/>
        <v>0</v>
      </c>
      <c r="G439" s="33" t="s">
        <v>10</v>
      </c>
      <c r="H439" s="4"/>
      <c r="I439" s="4"/>
      <c r="J439" s="5"/>
      <c r="K439" s="5"/>
      <c r="L439" s="5"/>
      <c r="M439" s="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30"/>
      <c r="B440" s="31"/>
      <c r="C440" s="30"/>
      <c r="D440" s="30"/>
      <c r="E440" s="32">
        <v>25000.0</v>
      </c>
      <c r="F440" s="32">
        <f t="shared" si="2"/>
        <v>0</v>
      </c>
      <c r="G440" s="33" t="s">
        <v>10</v>
      </c>
      <c r="H440" s="4"/>
      <c r="I440" s="4"/>
      <c r="J440" s="5"/>
      <c r="K440" s="5"/>
      <c r="L440" s="5"/>
      <c r="M440" s="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30"/>
      <c r="B441" s="31"/>
      <c r="C441" s="30"/>
      <c r="D441" s="30"/>
      <c r="E441" s="32">
        <v>25000.0</v>
      </c>
      <c r="F441" s="32">
        <f t="shared" si="2"/>
        <v>0</v>
      </c>
      <c r="G441" s="33" t="s">
        <v>10</v>
      </c>
      <c r="H441" s="4"/>
      <c r="I441" s="4"/>
      <c r="J441" s="5"/>
      <c r="K441" s="5"/>
      <c r="L441" s="5"/>
      <c r="M441" s="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30"/>
      <c r="B442" s="31"/>
      <c r="C442" s="30"/>
      <c r="D442" s="30"/>
      <c r="E442" s="32">
        <v>25000.0</v>
      </c>
      <c r="F442" s="32">
        <f t="shared" si="2"/>
        <v>0</v>
      </c>
      <c r="G442" s="33" t="s">
        <v>10</v>
      </c>
      <c r="H442" s="4"/>
      <c r="I442" s="4"/>
      <c r="J442" s="5"/>
      <c r="K442" s="5"/>
      <c r="L442" s="5"/>
      <c r="M442" s="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30"/>
      <c r="B443" s="31"/>
      <c r="C443" s="30"/>
      <c r="D443" s="30"/>
      <c r="E443" s="32">
        <v>25000.0</v>
      </c>
      <c r="F443" s="32">
        <f t="shared" si="2"/>
        <v>0</v>
      </c>
      <c r="G443" s="33" t="s">
        <v>10</v>
      </c>
      <c r="H443" s="4"/>
      <c r="I443" s="4"/>
      <c r="J443" s="5"/>
      <c r="K443" s="5"/>
      <c r="L443" s="5"/>
      <c r="M443" s="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31"/>
      <c r="C444" s="30"/>
      <c r="D444" s="30"/>
      <c r="E444" s="32">
        <v>25000.0</v>
      </c>
      <c r="F444" s="32">
        <f t="shared" si="2"/>
        <v>0</v>
      </c>
      <c r="G444" s="33" t="s">
        <v>10</v>
      </c>
      <c r="H444" s="4"/>
      <c r="I444" s="4"/>
      <c r="J444" s="5"/>
      <c r="K444" s="5"/>
      <c r="L444" s="5"/>
      <c r="M444" s="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31"/>
      <c r="C445" s="30"/>
      <c r="D445" s="30"/>
      <c r="E445" s="32">
        <v>25000.0</v>
      </c>
      <c r="F445" s="32">
        <f t="shared" si="2"/>
        <v>0</v>
      </c>
      <c r="G445" s="33" t="s">
        <v>10</v>
      </c>
      <c r="H445" s="4"/>
      <c r="I445" s="4"/>
      <c r="J445" s="5"/>
      <c r="K445" s="5"/>
      <c r="L445" s="5"/>
      <c r="M445" s="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31"/>
      <c r="C446" s="30"/>
      <c r="D446" s="30"/>
      <c r="E446" s="32">
        <v>25000.0</v>
      </c>
      <c r="F446" s="32">
        <f t="shared" si="2"/>
        <v>0</v>
      </c>
      <c r="G446" s="33" t="s">
        <v>10</v>
      </c>
      <c r="H446" s="4"/>
      <c r="I446" s="4"/>
      <c r="J446" s="5"/>
      <c r="K446" s="5"/>
      <c r="L446" s="5"/>
      <c r="M446" s="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31"/>
      <c r="C447" s="30"/>
      <c r="D447" s="30"/>
      <c r="E447" s="32">
        <v>25000.0</v>
      </c>
      <c r="F447" s="32">
        <f t="shared" si="2"/>
        <v>0</v>
      </c>
      <c r="G447" s="33" t="s">
        <v>10</v>
      </c>
      <c r="H447" s="4"/>
      <c r="I447" s="4"/>
      <c r="J447" s="5"/>
      <c r="K447" s="5"/>
      <c r="L447" s="5"/>
      <c r="M447" s="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31"/>
      <c r="C448" s="30"/>
      <c r="D448" s="30"/>
      <c r="E448" s="32">
        <v>25000.0</v>
      </c>
      <c r="F448" s="32">
        <f t="shared" si="2"/>
        <v>0</v>
      </c>
      <c r="G448" s="33" t="s">
        <v>10</v>
      </c>
      <c r="H448" s="4"/>
      <c r="I448" s="4"/>
      <c r="J448" s="5"/>
      <c r="K448" s="5"/>
      <c r="L448" s="5"/>
      <c r="M448" s="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31"/>
      <c r="C449" s="30"/>
      <c r="D449" s="30"/>
      <c r="E449" s="32">
        <v>25000.0</v>
      </c>
      <c r="F449" s="32">
        <f t="shared" si="2"/>
        <v>0</v>
      </c>
      <c r="G449" s="33" t="s">
        <v>10</v>
      </c>
      <c r="H449" s="4"/>
      <c r="I449" s="4"/>
      <c r="J449" s="5"/>
      <c r="K449" s="5"/>
      <c r="L449" s="5"/>
      <c r="M449" s="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31"/>
      <c r="C450" s="30"/>
      <c r="D450" s="30"/>
      <c r="E450" s="32">
        <v>25000.0</v>
      </c>
      <c r="F450" s="32">
        <f t="shared" si="2"/>
        <v>0</v>
      </c>
      <c r="G450" s="33" t="s">
        <v>10</v>
      </c>
      <c r="H450" s="4"/>
      <c r="I450" s="4"/>
      <c r="J450" s="5"/>
      <c r="K450" s="5"/>
      <c r="L450" s="5"/>
      <c r="M450" s="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31"/>
      <c r="C451" s="30"/>
      <c r="D451" s="30"/>
      <c r="E451" s="32">
        <v>25000.0</v>
      </c>
      <c r="F451" s="32">
        <f t="shared" si="2"/>
        <v>0</v>
      </c>
      <c r="G451" s="33" t="s">
        <v>10</v>
      </c>
      <c r="H451" s="4"/>
      <c r="I451" s="4"/>
      <c r="J451" s="5"/>
      <c r="K451" s="5"/>
      <c r="L451" s="5"/>
      <c r="M451" s="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31"/>
      <c r="C452" s="30"/>
      <c r="D452" s="30"/>
      <c r="E452" s="32">
        <v>25000.0</v>
      </c>
      <c r="F452" s="32">
        <f t="shared" si="2"/>
        <v>0</v>
      </c>
      <c r="G452" s="33" t="s">
        <v>10</v>
      </c>
      <c r="H452" s="4"/>
      <c r="I452" s="4"/>
      <c r="J452" s="5"/>
      <c r="K452" s="5"/>
      <c r="L452" s="5"/>
      <c r="M452" s="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31"/>
      <c r="C453" s="30"/>
      <c r="D453" s="30"/>
      <c r="E453" s="32">
        <v>25000.0</v>
      </c>
      <c r="F453" s="32">
        <f t="shared" si="2"/>
        <v>0</v>
      </c>
      <c r="G453" s="33" t="s">
        <v>10</v>
      </c>
      <c r="H453" s="4"/>
      <c r="I453" s="4"/>
      <c r="J453" s="5"/>
      <c r="K453" s="5"/>
      <c r="L453" s="5"/>
      <c r="M453" s="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31"/>
      <c r="C454" s="30"/>
      <c r="D454" s="30"/>
      <c r="E454" s="32">
        <v>25000.0</v>
      </c>
      <c r="F454" s="32">
        <f t="shared" si="2"/>
        <v>0</v>
      </c>
      <c r="G454" s="33" t="s">
        <v>10</v>
      </c>
      <c r="H454" s="4"/>
      <c r="I454" s="4"/>
      <c r="J454" s="5"/>
      <c r="K454" s="5"/>
      <c r="L454" s="5"/>
      <c r="M454" s="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31"/>
      <c r="C455" s="30"/>
      <c r="D455" s="30"/>
      <c r="E455" s="32">
        <v>25000.0</v>
      </c>
      <c r="F455" s="32">
        <f t="shared" si="2"/>
        <v>0</v>
      </c>
      <c r="G455" s="33" t="s">
        <v>10</v>
      </c>
      <c r="H455" s="4"/>
      <c r="I455" s="4"/>
      <c r="J455" s="5"/>
      <c r="K455" s="5"/>
      <c r="L455" s="5"/>
      <c r="M455" s="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31"/>
      <c r="C456" s="30"/>
      <c r="D456" s="30"/>
      <c r="E456" s="32">
        <v>25000.0</v>
      </c>
      <c r="F456" s="32">
        <f t="shared" si="2"/>
        <v>0</v>
      </c>
      <c r="G456" s="33" t="s">
        <v>10</v>
      </c>
      <c r="H456" s="4"/>
      <c r="I456" s="4"/>
      <c r="J456" s="5"/>
      <c r="K456" s="5"/>
      <c r="L456" s="5"/>
      <c r="M456" s="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31"/>
      <c r="C457" s="30"/>
      <c r="D457" s="30"/>
      <c r="E457" s="32">
        <v>25000.0</v>
      </c>
      <c r="F457" s="32">
        <f t="shared" si="2"/>
        <v>0</v>
      </c>
      <c r="G457" s="33" t="s">
        <v>10</v>
      </c>
      <c r="H457" s="4"/>
      <c r="I457" s="4"/>
      <c r="J457" s="5"/>
      <c r="K457" s="5"/>
      <c r="L457" s="5"/>
      <c r="M457" s="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31"/>
      <c r="C458" s="30"/>
      <c r="D458" s="30"/>
      <c r="E458" s="32">
        <v>25000.0</v>
      </c>
      <c r="F458" s="32">
        <f t="shared" si="2"/>
        <v>0</v>
      </c>
      <c r="G458" s="33" t="s">
        <v>10</v>
      </c>
      <c r="H458" s="4"/>
      <c r="I458" s="4"/>
      <c r="J458" s="5"/>
      <c r="K458" s="5"/>
      <c r="L458" s="5"/>
      <c r="M458" s="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31"/>
      <c r="C459" s="30"/>
      <c r="D459" s="30"/>
      <c r="E459" s="32">
        <v>25000.0</v>
      </c>
      <c r="F459" s="32">
        <f t="shared" si="2"/>
        <v>0</v>
      </c>
      <c r="G459" s="33" t="s">
        <v>10</v>
      </c>
      <c r="H459" s="4"/>
      <c r="I459" s="4"/>
      <c r="J459" s="5"/>
      <c r="K459" s="5"/>
      <c r="L459" s="5"/>
      <c r="M459" s="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31"/>
      <c r="C460" s="30"/>
      <c r="D460" s="30"/>
      <c r="E460" s="32">
        <v>25000.0</v>
      </c>
      <c r="F460" s="32">
        <f t="shared" si="2"/>
        <v>0</v>
      </c>
      <c r="G460" s="33" t="s">
        <v>10</v>
      </c>
      <c r="H460" s="4"/>
      <c r="I460" s="4"/>
      <c r="J460" s="5"/>
      <c r="K460" s="5"/>
      <c r="L460" s="5"/>
      <c r="M460" s="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31"/>
      <c r="C461" s="30"/>
      <c r="D461" s="30"/>
      <c r="E461" s="32">
        <v>25000.0</v>
      </c>
      <c r="F461" s="32">
        <f t="shared" si="2"/>
        <v>0</v>
      </c>
      <c r="G461" s="33" t="s">
        <v>10</v>
      </c>
      <c r="H461" s="4"/>
      <c r="I461" s="4"/>
      <c r="J461" s="5"/>
      <c r="K461" s="5"/>
      <c r="L461" s="5"/>
      <c r="M461" s="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31"/>
      <c r="C462" s="30"/>
      <c r="D462" s="30"/>
      <c r="E462" s="32">
        <v>25000.0</v>
      </c>
      <c r="F462" s="32">
        <f t="shared" si="2"/>
        <v>0</v>
      </c>
      <c r="G462" s="33" t="s">
        <v>10</v>
      </c>
      <c r="H462" s="4"/>
      <c r="I462" s="4"/>
      <c r="J462" s="5"/>
      <c r="K462" s="5"/>
      <c r="L462" s="5"/>
      <c r="M462" s="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31"/>
      <c r="C463" s="30"/>
      <c r="D463" s="30"/>
      <c r="E463" s="32">
        <v>25000.0</v>
      </c>
      <c r="F463" s="32">
        <f t="shared" si="2"/>
        <v>0</v>
      </c>
      <c r="G463" s="33" t="s">
        <v>10</v>
      </c>
      <c r="H463" s="4"/>
      <c r="I463" s="4"/>
      <c r="J463" s="5"/>
      <c r="K463" s="5"/>
      <c r="L463" s="5"/>
      <c r="M463" s="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31"/>
      <c r="C464" s="30"/>
      <c r="D464" s="30"/>
      <c r="E464" s="32">
        <v>25000.0</v>
      </c>
      <c r="F464" s="32">
        <f t="shared" si="2"/>
        <v>0</v>
      </c>
      <c r="G464" s="33" t="s">
        <v>10</v>
      </c>
      <c r="H464" s="4"/>
      <c r="I464" s="4"/>
      <c r="J464" s="5"/>
      <c r="K464" s="5"/>
      <c r="L464" s="5"/>
      <c r="M464" s="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31"/>
      <c r="C465" s="30"/>
      <c r="D465" s="30"/>
      <c r="E465" s="32">
        <v>25000.0</v>
      </c>
      <c r="F465" s="32">
        <f t="shared" si="2"/>
        <v>0</v>
      </c>
      <c r="G465" s="33" t="s">
        <v>10</v>
      </c>
      <c r="H465" s="4"/>
      <c r="I465" s="4"/>
      <c r="J465" s="5"/>
      <c r="K465" s="5"/>
      <c r="L465" s="5"/>
      <c r="M465" s="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31"/>
      <c r="C466" s="30"/>
      <c r="D466" s="30"/>
      <c r="E466" s="32">
        <v>25000.0</v>
      </c>
      <c r="F466" s="32">
        <f t="shared" si="2"/>
        <v>0</v>
      </c>
      <c r="G466" s="33" t="s">
        <v>10</v>
      </c>
      <c r="H466" s="4"/>
      <c r="I466" s="4"/>
      <c r="J466" s="5"/>
      <c r="K466" s="5"/>
      <c r="L466" s="5"/>
      <c r="M466" s="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31"/>
      <c r="C467" s="30"/>
      <c r="D467" s="30"/>
      <c r="E467" s="32">
        <v>25000.0</v>
      </c>
      <c r="F467" s="32">
        <f t="shared" si="2"/>
        <v>0</v>
      </c>
      <c r="G467" s="33" t="s">
        <v>10</v>
      </c>
      <c r="H467" s="4"/>
      <c r="I467" s="4"/>
      <c r="J467" s="5"/>
      <c r="K467" s="5"/>
      <c r="L467" s="5"/>
      <c r="M467" s="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31"/>
      <c r="C468" s="30"/>
      <c r="D468" s="30"/>
      <c r="E468" s="32">
        <v>25000.0</v>
      </c>
      <c r="F468" s="32">
        <f t="shared" si="2"/>
        <v>0</v>
      </c>
      <c r="G468" s="33" t="s">
        <v>10</v>
      </c>
      <c r="H468" s="4"/>
      <c r="I468" s="4"/>
      <c r="J468" s="5"/>
      <c r="K468" s="5"/>
      <c r="L468" s="5"/>
      <c r="M468" s="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31"/>
      <c r="C469" s="30"/>
      <c r="D469" s="30"/>
      <c r="E469" s="32">
        <v>25000.0</v>
      </c>
      <c r="F469" s="32">
        <f t="shared" si="2"/>
        <v>0</v>
      </c>
      <c r="G469" s="33" t="s">
        <v>10</v>
      </c>
      <c r="H469" s="4"/>
      <c r="I469" s="4"/>
      <c r="J469" s="5"/>
      <c r="K469" s="5"/>
      <c r="L469" s="5"/>
      <c r="M469" s="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31"/>
      <c r="C470" s="30"/>
      <c r="D470" s="30"/>
      <c r="E470" s="32">
        <v>25000.0</v>
      </c>
      <c r="F470" s="32">
        <f t="shared" si="2"/>
        <v>0</v>
      </c>
      <c r="G470" s="33" t="s">
        <v>10</v>
      </c>
      <c r="H470" s="4"/>
      <c r="I470" s="4"/>
      <c r="J470" s="5"/>
      <c r="K470" s="5"/>
      <c r="L470" s="5"/>
      <c r="M470" s="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31"/>
      <c r="C471" s="30"/>
      <c r="D471" s="30"/>
      <c r="E471" s="32">
        <v>25000.0</v>
      </c>
      <c r="F471" s="32">
        <f t="shared" si="2"/>
        <v>0</v>
      </c>
      <c r="G471" s="33" t="s">
        <v>10</v>
      </c>
      <c r="H471" s="4"/>
      <c r="I471" s="4"/>
      <c r="J471" s="5"/>
      <c r="K471" s="5"/>
      <c r="L471" s="5"/>
      <c r="M471" s="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31"/>
      <c r="C472" s="30"/>
      <c r="D472" s="30"/>
      <c r="E472" s="32">
        <v>25000.0</v>
      </c>
      <c r="F472" s="32">
        <f t="shared" si="2"/>
        <v>0</v>
      </c>
      <c r="G472" s="33" t="s">
        <v>10</v>
      </c>
      <c r="H472" s="4"/>
      <c r="I472" s="4"/>
      <c r="J472" s="5"/>
      <c r="K472" s="5"/>
      <c r="L472" s="5"/>
      <c r="M472" s="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31"/>
      <c r="C473" s="30"/>
      <c r="D473" s="30"/>
      <c r="E473" s="32">
        <v>25000.0</v>
      </c>
      <c r="F473" s="32">
        <f t="shared" si="2"/>
        <v>0</v>
      </c>
      <c r="G473" s="33" t="s">
        <v>10</v>
      </c>
      <c r="H473" s="4"/>
      <c r="I473" s="4"/>
      <c r="J473" s="5"/>
      <c r="K473" s="5"/>
      <c r="L473" s="5"/>
      <c r="M473" s="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31"/>
      <c r="C474" s="30"/>
      <c r="D474" s="30"/>
      <c r="E474" s="32">
        <v>25000.0</v>
      </c>
      <c r="F474" s="32">
        <f t="shared" si="2"/>
        <v>0</v>
      </c>
      <c r="G474" s="33" t="s">
        <v>10</v>
      </c>
      <c r="H474" s="4"/>
      <c r="I474" s="4"/>
      <c r="J474" s="5"/>
      <c r="K474" s="5"/>
      <c r="L474" s="5"/>
      <c r="M474" s="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31"/>
      <c r="C475" s="30"/>
      <c r="D475" s="30"/>
      <c r="E475" s="32">
        <v>25000.0</v>
      </c>
      <c r="F475" s="32">
        <f t="shared" si="2"/>
        <v>0</v>
      </c>
      <c r="G475" s="33" t="s">
        <v>10</v>
      </c>
      <c r="H475" s="4"/>
      <c r="I475" s="4"/>
      <c r="J475" s="5"/>
      <c r="K475" s="5"/>
      <c r="L475" s="5"/>
      <c r="M475" s="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31"/>
      <c r="C476" s="30"/>
      <c r="D476" s="30"/>
      <c r="E476" s="32">
        <v>25000.0</v>
      </c>
      <c r="F476" s="32">
        <f t="shared" si="2"/>
        <v>0</v>
      </c>
      <c r="G476" s="33" t="s">
        <v>10</v>
      </c>
      <c r="H476" s="4"/>
      <c r="I476" s="4"/>
      <c r="J476" s="5"/>
      <c r="K476" s="5"/>
      <c r="L476" s="5"/>
      <c r="M476" s="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31"/>
      <c r="C477" s="30"/>
      <c r="D477" s="30"/>
      <c r="E477" s="32">
        <v>25000.0</v>
      </c>
      <c r="F477" s="32">
        <f t="shared" si="2"/>
        <v>0</v>
      </c>
      <c r="G477" s="33" t="s">
        <v>10</v>
      </c>
      <c r="H477" s="4"/>
      <c r="I477" s="4"/>
      <c r="J477" s="5"/>
      <c r="K477" s="5"/>
      <c r="L477" s="5"/>
      <c r="M477" s="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31"/>
      <c r="C478" s="30"/>
      <c r="D478" s="30"/>
      <c r="E478" s="32">
        <v>25000.0</v>
      </c>
      <c r="F478" s="32">
        <f t="shared" si="2"/>
        <v>0</v>
      </c>
      <c r="G478" s="33" t="s">
        <v>10</v>
      </c>
      <c r="H478" s="4"/>
      <c r="I478" s="4"/>
      <c r="J478" s="5"/>
      <c r="K478" s="5"/>
      <c r="L478" s="5"/>
      <c r="M478" s="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31"/>
      <c r="C479" s="30"/>
      <c r="D479" s="30"/>
      <c r="E479" s="32">
        <v>25000.0</v>
      </c>
      <c r="F479" s="32">
        <f t="shared" si="2"/>
        <v>0</v>
      </c>
      <c r="G479" s="33" t="s">
        <v>10</v>
      </c>
      <c r="H479" s="4"/>
      <c r="I479" s="4"/>
      <c r="J479" s="5"/>
      <c r="K479" s="5"/>
      <c r="L479" s="5"/>
      <c r="M479" s="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31"/>
      <c r="C480" s="30"/>
      <c r="D480" s="30"/>
      <c r="E480" s="32">
        <v>25000.0</v>
      </c>
      <c r="F480" s="32">
        <f t="shared" si="2"/>
        <v>0</v>
      </c>
      <c r="G480" s="33" t="s">
        <v>10</v>
      </c>
      <c r="H480" s="4"/>
      <c r="I480" s="4"/>
      <c r="J480" s="5"/>
      <c r="K480" s="5"/>
      <c r="L480" s="5"/>
      <c r="M480" s="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31"/>
      <c r="C481" s="30"/>
      <c r="D481" s="30"/>
      <c r="E481" s="32">
        <v>25000.0</v>
      </c>
      <c r="F481" s="32">
        <f t="shared" si="2"/>
        <v>0</v>
      </c>
      <c r="G481" s="33" t="s">
        <v>10</v>
      </c>
      <c r="H481" s="4"/>
      <c r="I481" s="4"/>
      <c r="J481" s="5"/>
      <c r="K481" s="5"/>
      <c r="L481" s="5"/>
      <c r="M481" s="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31"/>
      <c r="C482" s="30"/>
      <c r="D482" s="30"/>
      <c r="E482" s="32">
        <v>25000.0</v>
      </c>
      <c r="F482" s="32">
        <f t="shared" si="2"/>
        <v>0</v>
      </c>
      <c r="G482" s="33" t="s">
        <v>10</v>
      </c>
      <c r="H482" s="4"/>
      <c r="I482" s="4"/>
      <c r="J482" s="5"/>
      <c r="K482" s="5"/>
      <c r="L482" s="5"/>
      <c r="M482" s="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31"/>
      <c r="C483" s="30"/>
      <c r="D483" s="30"/>
      <c r="E483" s="32">
        <v>25000.0</v>
      </c>
      <c r="F483" s="32">
        <f t="shared" si="2"/>
        <v>0</v>
      </c>
      <c r="G483" s="33" t="s">
        <v>10</v>
      </c>
      <c r="H483" s="4"/>
      <c r="I483" s="4"/>
      <c r="J483" s="5"/>
      <c r="K483" s="5"/>
      <c r="L483" s="5"/>
      <c r="M483" s="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31"/>
      <c r="C484" s="30"/>
      <c r="D484" s="30"/>
      <c r="E484" s="32">
        <v>25000.0</v>
      </c>
      <c r="F484" s="32">
        <f t="shared" si="2"/>
        <v>0</v>
      </c>
      <c r="G484" s="33" t="s">
        <v>10</v>
      </c>
      <c r="H484" s="4"/>
      <c r="I484" s="4"/>
      <c r="J484" s="5"/>
      <c r="K484" s="5"/>
      <c r="L484" s="5"/>
      <c r="M484" s="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31"/>
      <c r="C485" s="30"/>
      <c r="D485" s="30"/>
      <c r="E485" s="32">
        <v>25000.0</v>
      </c>
      <c r="F485" s="32">
        <f t="shared" si="2"/>
        <v>0</v>
      </c>
      <c r="G485" s="33" t="s">
        <v>10</v>
      </c>
      <c r="H485" s="4"/>
      <c r="I485" s="4"/>
      <c r="J485" s="5"/>
      <c r="K485" s="5"/>
      <c r="L485" s="5"/>
      <c r="M485" s="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31"/>
      <c r="C486" s="30"/>
      <c r="D486" s="30"/>
      <c r="E486" s="32">
        <v>25000.0</v>
      </c>
      <c r="F486" s="32">
        <f t="shared" si="2"/>
        <v>0</v>
      </c>
      <c r="G486" s="33" t="s">
        <v>10</v>
      </c>
      <c r="H486" s="4"/>
      <c r="I486" s="4"/>
      <c r="J486" s="5"/>
      <c r="K486" s="5"/>
      <c r="L486" s="5"/>
      <c r="M486" s="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31"/>
      <c r="C487" s="30"/>
      <c r="D487" s="30"/>
      <c r="E487" s="32">
        <v>25000.0</v>
      </c>
      <c r="F487" s="32">
        <f t="shared" si="2"/>
        <v>0</v>
      </c>
      <c r="G487" s="33" t="s">
        <v>10</v>
      </c>
      <c r="H487" s="4"/>
      <c r="I487" s="4"/>
      <c r="J487" s="5"/>
      <c r="K487" s="5"/>
      <c r="L487" s="5"/>
      <c r="M487" s="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31"/>
      <c r="C488" s="30"/>
      <c r="D488" s="30"/>
      <c r="E488" s="32">
        <v>25000.0</v>
      </c>
      <c r="F488" s="32">
        <f t="shared" si="2"/>
        <v>0</v>
      </c>
      <c r="G488" s="33" t="s">
        <v>10</v>
      </c>
      <c r="H488" s="4"/>
      <c r="I488" s="4"/>
      <c r="J488" s="5"/>
      <c r="K488" s="5"/>
      <c r="L488" s="5"/>
      <c r="M488" s="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31"/>
      <c r="C489" s="30"/>
      <c r="D489" s="30"/>
      <c r="E489" s="32">
        <v>25000.0</v>
      </c>
      <c r="F489" s="32">
        <f t="shared" si="2"/>
        <v>0</v>
      </c>
      <c r="G489" s="33" t="s">
        <v>10</v>
      </c>
      <c r="H489" s="4"/>
      <c r="I489" s="4"/>
      <c r="J489" s="5"/>
      <c r="K489" s="5"/>
      <c r="L489" s="5"/>
      <c r="M489" s="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31"/>
      <c r="C490" s="30"/>
      <c r="D490" s="30"/>
      <c r="E490" s="32">
        <v>25000.0</v>
      </c>
      <c r="F490" s="32">
        <f t="shared" si="2"/>
        <v>0</v>
      </c>
      <c r="G490" s="33" t="s">
        <v>10</v>
      </c>
      <c r="H490" s="4"/>
      <c r="I490" s="4"/>
      <c r="J490" s="5"/>
      <c r="K490" s="5"/>
      <c r="L490" s="5"/>
      <c r="M490" s="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31"/>
      <c r="C491" s="30"/>
      <c r="D491" s="30"/>
      <c r="E491" s="32">
        <v>25000.0</v>
      </c>
      <c r="F491" s="32">
        <f t="shared" si="2"/>
        <v>0</v>
      </c>
      <c r="G491" s="33" t="s">
        <v>10</v>
      </c>
      <c r="H491" s="4"/>
      <c r="I491" s="4"/>
      <c r="J491" s="5"/>
      <c r="K491" s="5"/>
      <c r="L491" s="5"/>
      <c r="M491" s="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31"/>
      <c r="C492" s="30"/>
      <c r="D492" s="30"/>
      <c r="E492" s="32">
        <v>25000.0</v>
      </c>
      <c r="F492" s="32">
        <f t="shared" si="2"/>
        <v>0</v>
      </c>
      <c r="G492" s="33" t="s">
        <v>10</v>
      </c>
      <c r="H492" s="4"/>
      <c r="I492" s="4"/>
      <c r="J492" s="5"/>
      <c r="K492" s="5"/>
      <c r="L492" s="5"/>
      <c r="M492" s="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31"/>
      <c r="C493" s="30"/>
      <c r="D493" s="30"/>
      <c r="E493" s="32">
        <v>25000.0</v>
      </c>
      <c r="F493" s="32">
        <f t="shared" si="2"/>
        <v>0</v>
      </c>
      <c r="G493" s="33" t="s">
        <v>10</v>
      </c>
      <c r="H493" s="4"/>
      <c r="I493" s="4"/>
      <c r="J493" s="5"/>
      <c r="K493" s="5"/>
      <c r="L493" s="5"/>
      <c r="M493" s="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31"/>
      <c r="C494" s="30"/>
      <c r="D494" s="30"/>
      <c r="E494" s="32">
        <v>25000.0</v>
      </c>
      <c r="F494" s="32">
        <f t="shared" si="2"/>
        <v>0</v>
      </c>
      <c r="G494" s="33" t="s">
        <v>10</v>
      </c>
      <c r="H494" s="4"/>
      <c r="I494" s="4"/>
      <c r="J494" s="5"/>
      <c r="K494" s="5"/>
      <c r="L494" s="5"/>
      <c r="M494" s="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31"/>
      <c r="C495" s="30"/>
      <c r="D495" s="30"/>
      <c r="E495" s="32">
        <v>25000.0</v>
      </c>
      <c r="F495" s="32">
        <f t="shared" si="2"/>
        <v>0</v>
      </c>
      <c r="G495" s="33" t="s">
        <v>10</v>
      </c>
      <c r="H495" s="4"/>
      <c r="I495" s="4"/>
      <c r="J495" s="5"/>
      <c r="K495" s="5"/>
      <c r="L495" s="5"/>
      <c r="M495" s="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31"/>
      <c r="C496" s="30"/>
      <c r="D496" s="30"/>
      <c r="E496" s="32">
        <v>25000.0</v>
      </c>
      <c r="F496" s="32">
        <f t="shared" si="2"/>
        <v>0</v>
      </c>
      <c r="G496" s="33" t="s">
        <v>10</v>
      </c>
      <c r="H496" s="4"/>
      <c r="I496" s="4"/>
      <c r="J496" s="5"/>
      <c r="K496" s="5"/>
      <c r="L496" s="5"/>
      <c r="M496" s="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31"/>
      <c r="C497" s="30"/>
      <c r="D497" s="30"/>
      <c r="E497" s="32">
        <v>25000.0</v>
      </c>
      <c r="F497" s="32">
        <f t="shared" si="2"/>
        <v>0</v>
      </c>
      <c r="G497" s="33" t="s">
        <v>10</v>
      </c>
      <c r="H497" s="4"/>
      <c r="I497" s="4"/>
      <c r="J497" s="5"/>
      <c r="K497" s="5"/>
      <c r="L497" s="5"/>
      <c r="M497" s="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31"/>
      <c r="C498" s="30"/>
      <c r="D498" s="30"/>
      <c r="E498" s="32">
        <v>25000.0</v>
      </c>
      <c r="F498" s="32">
        <f t="shared" si="2"/>
        <v>0</v>
      </c>
      <c r="G498" s="33" t="s">
        <v>10</v>
      </c>
      <c r="H498" s="4"/>
      <c r="I498" s="4"/>
      <c r="J498" s="5"/>
      <c r="K498" s="5"/>
      <c r="L498" s="5"/>
      <c r="M498" s="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31"/>
      <c r="C499" s="30"/>
      <c r="D499" s="30"/>
      <c r="E499" s="32">
        <v>25000.0</v>
      </c>
      <c r="F499" s="32">
        <f t="shared" si="2"/>
        <v>0</v>
      </c>
      <c r="G499" s="33" t="s">
        <v>10</v>
      </c>
      <c r="H499" s="4"/>
      <c r="I499" s="4"/>
      <c r="J499" s="5"/>
      <c r="K499" s="5"/>
      <c r="L499" s="5"/>
      <c r="M499" s="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31"/>
      <c r="C500" s="30"/>
      <c r="D500" s="30"/>
      <c r="E500" s="32">
        <v>25000.0</v>
      </c>
      <c r="F500" s="32">
        <f t="shared" si="2"/>
        <v>0</v>
      </c>
      <c r="G500" s="33" t="s">
        <v>10</v>
      </c>
      <c r="H500" s="4"/>
      <c r="I500" s="4"/>
      <c r="J500" s="5"/>
      <c r="K500" s="5"/>
      <c r="L500" s="5"/>
      <c r="M500" s="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31"/>
      <c r="C501" s="30"/>
      <c r="D501" s="30"/>
      <c r="E501" s="32">
        <v>25000.0</v>
      </c>
      <c r="F501" s="32">
        <f t="shared" si="2"/>
        <v>0</v>
      </c>
      <c r="G501" s="33" t="s">
        <v>10</v>
      </c>
      <c r="H501" s="4"/>
      <c r="I501" s="4"/>
      <c r="J501" s="5"/>
      <c r="K501" s="5"/>
      <c r="L501" s="5"/>
      <c r="M501" s="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31"/>
      <c r="C502" s="30"/>
      <c r="D502" s="30"/>
      <c r="E502" s="32">
        <v>25000.0</v>
      </c>
      <c r="F502" s="32">
        <f t="shared" si="2"/>
        <v>0</v>
      </c>
      <c r="G502" s="33" t="s">
        <v>10</v>
      </c>
      <c r="H502" s="4"/>
      <c r="I502" s="4"/>
      <c r="J502" s="5"/>
      <c r="K502" s="5"/>
      <c r="L502" s="5"/>
      <c r="M502" s="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31"/>
      <c r="C503" s="30"/>
      <c r="D503" s="30"/>
      <c r="E503" s="32">
        <v>25000.0</v>
      </c>
      <c r="F503" s="32">
        <f t="shared" si="2"/>
        <v>0</v>
      </c>
      <c r="G503" s="33" t="s">
        <v>10</v>
      </c>
      <c r="H503" s="4"/>
      <c r="I503" s="4"/>
      <c r="J503" s="5"/>
      <c r="K503" s="5"/>
      <c r="L503" s="5"/>
      <c r="M503" s="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31"/>
      <c r="C504" s="30"/>
      <c r="D504" s="30"/>
      <c r="E504" s="32">
        <v>25000.0</v>
      </c>
      <c r="F504" s="32">
        <f t="shared" si="2"/>
        <v>0</v>
      </c>
      <c r="G504" s="33" t="s">
        <v>10</v>
      </c>
      <c r="H504" s="4"/>
      <c r="I504" s="4"/>
      <c r="J504" s="5"/>
      <c r="K504" s="5"/>
      <c r="L504" s="5"/>
      <c r="M504" s="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31"/>
      <c r="C505" s="30"/>
      <c r="D505" s="30"/>
      <c r="E505" s="32">
        <v>25000.0</v>
      </c>
      <c r="F505" s="32">
        <f t="shared" si="2"/>
        <v>0</v>
      </c>
      <c r="G505" s="33" t="s">
        <v>10</v>
      </c>
      <c r="H505" s="4"/>
      <c r="I505" s="4"/>
      <c r="J505" s="5"/>
      <c r="K505" s="5"/>
      <c r="L505" s="5"/>
      <c r="M505" s="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31"/>
      <c r="C506" s="30"/>
      <c r="D506" s="30"/>
      <c r="E506" s="32">
        <v>25000.0</v>
      </c>
      <c r="F506" s="32">
        <f t="shared" si="2"/>
        <v>0</v>
      </c>
      <c r="G506" s="33" t="s">
        <v>10</v>
      </c>
      <c r="H506" s="4"/>
      <c r="I506" s="4"/>
      <c r="J506" s="5"/>
      <c r="K506" s="5"/>
      <c r="L506" s="5"/>
      <c r="M506" s="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31"/>
      <c r="C507" s="30"/>
      <c r="D507" s="30"/>
      <c r="E507" s="32">
        <v>25000.0</v>
      </c>
      <c r="F507" s="32">
        <f t="shared" si="2"/>
        <v>0</v>
      </c>
      <c r="G507" s="33" t="s">
        <v>10</v>
      </c>
      <c r="H507" s="4"/>
      <c r="I507" s="4"/>
      <c r="J507" s="5"/>
      <c r="K507" s="5"/>
      <c r="L507" s="5"/>
      <c r="M507" s="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31"/>
      <c r="C508" s="30"/>
      <c r="D508" s="30"/>
      <c r="E508" s="32">
        <v>25000.0</v>
      </c>
      <c r="F508" s="32">
        <f t="shared" si="2"/>
        <v>0</v>
      </c>
      <c r="G508" s="33" t="s">
        <v>10</v>
      </c>
      <c r="H508" s="4"/>
      <c r="I508" s="4"/>
      <c r="J508" s="5"/>
      <c r="K508" s="5"/>
      <c r="L508" s="5"/>
      <c r="M508" s="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31"/>
      <c r="C509" s="30"/>
      <c r="D509" s="30"/>
      <c r="E509" s="32">
        <v>25000.0</v>
      </c>
      <c r="F509" s="32">
        <f t="shared" si="2"/>
        <v>0</v>
      </c>
      <c r="G509" s="33" t="s">
        <v>10</v>
      </c>
      <c r="H509" s="4"/>
      <c r="I509" s="4"/>
      <c r="J509" s="5"/>
      <c r="K509" s="5"/>
      <c r="L509" s="5"/>
      <c r="M509" s="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31"/>
      <c r="C510" s="30"/>
      <c r="D510" s="30"/>
      <c r="E510" s="32">
        <v>25000.0</v>
      </c>
      <c r="F510" s="32">
        <f t="shared" si="2"/>
        <v>0</v>
      </c>
      <c r="G510" s="33" t="s">
        <v>10</v>
      </c>
      <c r="H510" s="4"/>
      <c r="I510" s="4"/>
      <c r="J510" s="5"/>
      <c r="K510" s="5"/>
      <c r="L510" s="5"/>
      <c r="M510" s="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31"/>
      <c r="C511" s="30"/>
      <c r="D511" s="30"/>
      <c r="E511" s="32">
        <v>25000.0</v>
      </c>
      <c r="F511" s="32">
        <f t="shared" si="2"/>
        <v>0</v>
      </c>
      <c r="G511" s="33" t="s">
        <v>10</v>
      </c>
      <c r="H511" s="4"/>
      <c r="I511" s="4"/>
      <c r="J511" s="5"/>
      <c r="K511" s="5"/>
      <c r="L511" s="5"/>
      <c r="M511" s="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31"/>
      <c r="C512" s="30"/>
      <c r="D512" s="30"/>
      <c r="E512" s="32">
        <v>25000.0</v>
      </c>
      <c r="F512" s="32">
        <f t="shared" si="2"/>
        <v>0</v>
      </c>
      <c r="G512" s="33" t="s">
        <v>10</v>
      </c>
      <c r="H512" s="4"/>
      <c r="I512" s="4"/>
      <c r="J512" s="5"/>
      <c r="K512" s="5"/>
      <c r="L512" s="5"/>
      <c r="M512" s="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31"/>
      <c r="C513" s="30"/>
      <c r="D513" s="30"/>
      <c r="E513" s="32">
        <v>25000.0</v>
      </c>
      <c r="F513" s="32">
        <f t="shared" si="2"/>
        <v>0</v>
      </c>
      <c r="G513" s="33" t="s">
        <v>10</v>
      </c>
      <c r="H513" s="4"/>
      <c r="I513" s="4"/>
      <c r="J513" s="5"/>
      <c r="K513" s="5"/>
      <c r="L513" s="5"/>
      <c r="M513" s="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31"/>
      <c r="C514" s="30"/>
      <c r="D514" s="30"/>
      <c r="E514" s="32">
        <v>25000.0</v>
      </c>
      <c r="F514" s="32">
        <f t="shared" si="2"/>
        <v>0</v>
      </c>
      <c r="G514" s="33" t="s">
        <v>10</v>
      </c>
      <c r="H514" s="4"/>
      <c r="I514" s="4"/>
      <c r="J514" s="5"/>
      <c r="K514" s="5"/>
      <c r="L514" s="5"/>
      <c r="M514" s="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31"/>
      <c r="C515" s="30"/>
      <c r="D515" s="30"/>
      <c r="E515" s="32">
        <v>25000.0</v>
      </c>
      <c r="F515" s="32">
        <f t="shared" si="2"/>
        <v>0</v>
      </c>
      <c r="G515" s="33" t="s">
        <v>10</v>
      </c>
      <c r="H515" s="4"/>
      <c r="I515" s="4"/>
      <c r="J515" s="5"/>
      <c r="K515" s="5"/>
      <c r="L515" s="5"/>
      <c r="M515" s="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31"/>
      <c r="C516" s="30"/>
      <c r="D516" s="30"/>
      <c r="E516" s="32">
        <v>25000.0</v>
      </c>
      <c r="F516" s="32">
        <f t="shared" si="2"/>
        <v>0</v>
      </c>
      <c r="G516" s="33" t="s">
        <v>10</v>
      </c>
      <c r="H516" s="4"/>
      <c r="I516" s="4"/>
      <c r="J516" s="5"/>
      <c r="K516" s="5"/>
      <c r="L516" s="5"/>
      <c r="M516" s="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31"/>
      <c r="C517" s="30"/>
      <c r="D517" s="30"/>
      <c r="E517" s="32">
        <v>25000.0</v>
      </c>
      <c r="F517" s="32">
        <f t="shared" si="2"/>
        <v>0</v>
      </c>
      <c r="G517" s="33" t="s">
        <v>10</v>
      </c>
      <c r="H517" s="4"/>
      <c r="I517" s="4"/>
      <c r="J517" s="5"/>
      <c r="K517" s="5"/>
      <c r="L517" s="5"/>
      <c r="M517" s="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31"/>
      <c r="C518" s="30"/>
      <c r="D518" s="30"/>
      <c r="E518" s="32">
        <v>25000.0</v>
      </c>
      <c r="F518" s="32">
        <f t="shared" si="2"/>
        <v>0</v>
      </c>
      <c r="G518" s="33" t="s">
        <v>10</v>
      </c>
      <c r="H518" s="4"/>
      <c r="I518" s="4"/>
      <c r="J518" s="5"/>
      <c r="K518" s="5"/>
      <c r="L518" s="5"/>
      <c r="M518" s="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31"/>
      <c r="C519" s="30"/>
      <c r="D519" s="30"/>
      <c r="E519" s="32">
        <v>25000.0</v>
      </c>
      <c r="F519" s="32">
        <f t="shared" si="2"/>
        <v>0</v>
      </c>
      <c r="G519" s="33" t="s">
        <v>10</v>
      </c>
      <c r="H519" s="4"/>
      <c r="I519" s="4"/>
      <c r="J519" s="5"/>
      <c r="K519" s="5"/>
      <c r="L519" s="5"/>
      <c r="M519" s="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31"/>
      <c r="C520" s="30"/>
      <c r="D520" s="30"/>
      <c r="E520" s="32">
        <v>25000.0</v>
      </c>
      <c r="F520" s="32">
        <f t="shared" si="2"/>
        <v>0</v>
      </c>
      <c r="G520" s="33" t="s">
        <v>10</v>
      </c>
      <c r="H520" s="4"/>
      <c r="I520" s="4"/>
      <c r="J520" s="5"/>
      <c r="K520" s="5"/>
      <c r="L520" s="5"/>
      <c r="M520" s="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31"/>
      <c r="C521" s="30"/>
      <c r="D521" s="30"/>
      <c r="E521" s="32">
        <v>25000.0</v>
      </c>
      <c r="F521" s="32">
        <f t="shared" si="2"/>
        <v>0</v>
      </c>
      <c r="G521" s="33" t="s">
        <v>10</v>
      </c>
      <c r="H521" s="4"/>
      <c r="I521" s="4"/>
      <c r="J521" s="5"/>
      <c r="K521" s="5"/>
      <c r="L521" s="5"/>
      <c r="M521" s="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31"/>
      <c r="C522" s="30"/>
      <c r="D522" s="30"/>
      <c r="E522" s="32">
        <v>25000.0</v>
      </c>
      <c r="F522" s="32">
        <f t="shared" si="2"/>
        <v>0</v>
      </c>
      <c r="G522" s="33" t="s">
        <v>10</v>
      </c>
      <c r="H522" s="4"/>
      <c r="I522" s="4"/>
      <c r="J522" s="5"/>
      <c r="K522" s="5"/>
      <c r="L522" s="5"/>
      <c r="M522" s="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31"/>
      <c r="C523" s="30"/>
      <c r="D523" s="30"/>
      <c r="E523" s="32">
        <v>25000.0</v>
      </c>
      <c r="F523" s="32">
        <f t="shared" si="2"/>
        <v>0</v>
      </c>
      <c r="G523" s="33" t="s">
        <v>10</v>
      </c>
      <c r="H523" s="4"/>
      <c r="I523" s="4"/>
      <c r="J523" s="5"/>
      <c r="K523" s="5"/>
      <c r="L523" s="5"/>
      <c r="M523" s="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31"/>
      <c r="C524" s="30"/>
      <c r="D524" s="30"/>
      <c r="E524" s="32">
        <v>25000.0</v>
      </c>
      <c r="F524" s="32">
        <f t="shared" si="2"/>
        <v>0</v>
      </c>
      <c r="G524" s="33" t="s">
        <v>10</v>
      </c>
      <c r="H524" s="4"/>
      <c r="I524" s="4"/>
      <c r="J524" s="5"/>
      <c r="K524" s="5"/>
      <c r="L524" s="5"/>
      <c r="M524" s="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31"/>
      <c r="C525" s="30"/>
      <c r="D525" s="30"/>
      <c r="E525" s="32">
        <v>25000.0</v>
      </c>
      <c r="F525" s="32">
        <f t="shared" si="2"/>
        <v>0</v>
      </c>
      <c r="G525" s="33" t="s">
        <v>10</v>
      </c>
      <c r="H525" s="4"/>
      <c r="I525" s="4"/>
      <c r="J525" s="5"/>
      <c r="K525" s="5"/>
      <c r="L525" s="5"/>
      <c r="M525" s="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31"/>
      <c r="C526" s="30"/>
      <c r="D526" s="30"/>
      <c r="E526" s="32">
        <v>25000.0</v>
      </c>
      <c r="F526" s="32">
        <f t="shared" si="2"/>
        <v>0</v>
      </c>
      <c r="G526" s="33" t="s">
        <v>10</v>
      </c>
      <c r="H526" s="4"/>
      <c r="I526" s="4"/>
      <c r="J526" s="5"/>
      <c r="K526" s="5"/>
      <c r="L526" s="5"/>
      <c r="M526" s="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31"/>
      <c r="C527" s="30"/>
      <c r="D527" s="30"/>
      <c r="E527" s="32">
        <v>25000.0</v>
      </c>
      <c r="F527" s="32">
        <f t="shared" si="2"/>
        <v>0</v>
      </c>
      <c r="G527" s="33" t="s">
        <v>10</v>
      </c>
      <c r="H527" s="4"/>
      <c r="I527" s="4"/>
      <c r="J527" s="5"/>
      <c r="K527" s="5"/>
      <c r="L527" s="5"/>
      <c r="M527" s="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31"/>
      <c r="C528" s="30"/>
      <c r="D528" s="30"/>
      <c r="E528" s="32">
        <v>25000.0</v>
      </c>
      <c r="F528" s="32">
        <f t="shared" si="2"/>
        <v>0</v>
      </c>
      <c r="G528" s="33" t="s">
        <v>10</v>
      </c>
      <c r="H528" s="4"/>
      <c r="I528" s="4"/>
      <c r="J528" s="5"/>
      <c r="K528" s="5"/>
      <c r="L528" s="5"/>
      <c r="M528" s="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31"/>
      <c r="C529" s="30"/>
      <c r="D529" s="30"/>
      <c r="E529" s="32">
        <v>25000.0</v>
      </c>
      <c r="F529" s="32">
        <f t="shared" si="2"/>
        <v>0</v>
      </c>
      <c r="G529" s="33" t="s">
        <v>10</v>
      </c>
      <c r="H529" s="4"/>
      <c r="I529" s="4"/>
      <c r="J529" s="5"/>
      <c r="K529" s="5"/>
      <c r="L529" s="5"/>
      <c r="M529" s="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31"/>
      <c r="C530" s="30"/>
      <c r="D530" s="30"/>
      <c r="E530" s="32">
        <v>25000.0</v>
      </c>
      <c r="F530" s="32">
        <f t="shared" si="2"/>
        <v>0</v>
      </c>
      <c r="G530" s="33" t="s">
        <v>10</v>
      </c>
      <c r="H530" s="4"/>
      <c r="I530" s="4"/>
      <c r="J530" s="5"/>
      <c r="K530" s="5"/>
      <c r="L530" s="5"/>
      <c r="M530" s="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31"/>
      <c r="C531" s="30"/>
      <c r="D531" s="30"/>
      <c r="E531" s="32">
        <v>25000.0</v>
      </c>
      <c r="F531" s="32">
        <f t="shared" si="2"/>
        <v>0</v>
      </c>
      <c r="G531" s="33" t="s">
        <v>10</v>
      </c>
      <c r="H531" s="4"/>
      <c r="I531" s="4"/>
      <c r="J531" s="5"/>
      <c r="K531" s="5"/>
      <c r="L531" s="5"/>
      <c r="M531" s="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31"/>
      <c r="C532" s="30"/>
      <c r="D532" s="30"/>
      <c r="E532" s="32">
        <v>25000.0</v>
      </c>
      <c r="F532" s="32">
        <f t="shared" si="2"/>
        <v>0</v>
      </c>
      <c r="G532" s="33" t="s">
        <v>10</v>
      </c>
      <c r="H532" s="4"/>
      <c r="I532" s="4"/>
      <c r="J532" s="5"/>
      <c r="K532" s="5"/>
      <c r="L532" s="5"/>
      <c r="M532" s="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31"/>
      <c r="C533" s="30"/>
      <c r="D533" s="30"/>
      <c r="E533" s="32">
        <v>25000.0</v>
      </c>
      <c r="F533" s="32">
        <f t="shared" si="2"/>
        <v>0</v>
      </c>
      <c r="G533" s="33" t="s">
        <v>10</v>
      </c>
      <c r="H533" s="4"/>
      <c r="I533" s="4"/>
      <c r="J533" s="5"/>
      <c r="K533" s="5"/>
      <c r="L533" s="5"/>
      <c r="M533" s="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31"/>
      <c r="C534" s="30"/>
      <c r="D534" s="30"/>
      <c r="E534" s="32">
        <v>25000.0</v>
      </c>
      <c r="F534" s="32">
        <f t="shared" si="2"/>
        <v>0</v>
      </c>
      <c r="G534" s="33" t="s">
        <v>10</v>
      </c>
      <c r="H534" s="4"/>
      <c r="I534" s="4"/>
      <c r="J534" s="5"/>
      <c r="K534" s="5"/>
      <c r="L534" s="5"/>
      <c r="M534" s="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31"/>
      <c r="C535" s="30"/>
      <c r="D535" s="30"/>
      <c r="E535" s="32">
        <v>25000.0</v>
      </c>
      <c r="F535" s="32">
        <f t="shared" si="2"/>
        <v>0</v>
      </c>
      <c r="G535" s="33" t="s">
        <v>10</v>
      </c>
      <c r="H535" s="4"/>
      <c r="I535" s="4"/>
      <c r="J535" s="5"/>
      <c r="K535" s="5"/>
      <c r="L535" s="5"/>
      <c r="M535" s="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31"/>
      <c r="C536" s="30"/>
      <c r="D536" s="30"/>
      <c r="E536" s="32">
        <v>25000.0</v>
      </c>
      <c r="F536" s="32">
        <f t="shared" si="2"/>
        <v>0</v>
      </c>
      <c r="G536" s="33" t="s">
        <v>10</v>
      </c>
      <c r="H536" s="4"/>
      <c r="I536" s="4"/>
      <c r="J536" s="5"/>
      <c r="K536" s="5"/>
      <c r="L536" s="5"/>
      <c r="M536" s="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31"/>
      <c r="C537" s="30"/>
      <c r="D537" s="30"/>
      <c r="E537" s="32">
        <v>25000.0</v>
      </c>
      <c r="F537" s="32">
        <f t="shared" si="2"/>
        <v>0</v>
      </c>
      <c r="G537" s="33" t="s">
        <v>10</v>
      </c>
      <c r="H537" s="4"/>
      <c r="I537" s="4"/>
      <c r="J537" s="5"/>
      <c r="K537" s="5"/>
      <c r="L537" s="5"/>
      <c r="M537" s="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31"/>
      <c r="C538" s="30"/>
      <c r="D538" s="30"/>
      <c r="E538" s="32">
        <v>25000.0</v>
      </c>
      <c r="F538" s="32">
        <f t="shared" si="2"/>
        <v>0</v>
      </c>
      <c r="G538" s="33" t="s">
        <v>10</v>
      </c>
      <c r="H538" s="4"/>
      <c r="I538" s="4"/>
      <c r="J538" s="5"/>
      <c r="K538" s="5"/>
      <c r="L538" s="5"/>
      <c r="M538" s="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31"/>
      <c r="C539" s="30"/>
      <c r="D539" s="30"/>
      <c r="E539" s="32">
        <v>25000.0</v>
      </c>
      <c r="F539" s="32">
        <f t="shared" si="2"/>
        <v>0</v>
      </c>
      <c r="G539" s="33" t="s">
        <v>10</v>
      </c>
      <c r="H539" s="4"/>
      <c r="I539" s="4"/>
      <c r="J539" s="5"/>
      <c r="K539" s="5"/>
      <c r="L539" s="5"/>
      <c r="M539" s="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31"/>
      <c r="C540" s="30"/>
      <c r="D540" s="30"/>
      <c r="E540" s="32">
        <v>25000.0</v>
      </c>
      <c r="F540" s="32">
        <f t="shared" si="2"/>
        <v>0</v>
      </c>
      <c r="G540" s="33" t="s">
        <v>10</v>
      </c>
      <c r="H540" s="4"/>
      <c r="I540" s="4"/>
      <c r="J540" s="5"/>
      <c r="K540" s="5"/>
      <c r="L540" s="5"/>
      <c r="M540" s="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31"/>
      <c r="C541" s="30"/>
      <c r="D541" s="30"/>
      <c r="E541" s="32">
        <v>25000.0</v>
      </c>
      <c r="F541" s="32">
        <f t="shared" si="2"/>
        <v>0</v>
      </c>
      <c r="G541" s="33" t="s">
        <v>10</v>
      </c>
      <c r="H541" s="4"/>
      <c r="I541" s="4"/>
      <c r="J541" s="5"/>
      <c r="K541" s="5"/>
      <c r="L541" s="5"/>
      <c r="M541" s="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31"/>
      <c r="C542" s="30"/>
      <c r="D542" s="30"/>
      <c r="E542" s="32">
        <v>25000.0</v>
      </c>
      <c r="F542" s="32">
        <f t="shared" si="2"/>
        <v>0</v>
      </c>
      <c r="G542" s="33" t="s">
        <v>10</v>
      </c>
      <c r="H542" s="4"/>
      <c r="I542" s="4"/>
      <c r="J542" s="5"/>
      <c r="K542" s="5"/>
      <c r="L542" s="5"/>
      <c r="M542" s="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31"/>
      <c r="C543" s="30"/>
      <c r="D543" s="30"/>
      <c r="E543" s="32">
        <v>25000.0</v>
      </c>
      <c r="F543" s="32">
        <f t="shared" si="2"/>
        <v>0</v>
      </c>
      <c r="G543" s="33" t="s">
        <v>10</v>
      </c>
      <c r="H543" s="4"/>
      <c r="I543" s="4"/>
      <c r="J543" s="5"/>
      <c r="K543" s="5"/>
      <c r="L543" s="5"/>
      <c r="M543" s="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31"/>
      <c r="C544" s="30"/>
      <c r="D544" s="30"/>
      <c r="E544" s="32">
        <v>25000.0</v>
      </c>
      <c r="F544" s="32">
        <f t="shared" si="2"/>
        <v>0</v>
      </c>
      <c r="G544" s="33" t="s">
        <v>10</v>
      </c>
      <c r="H544" s="4"/>
      <c r="I544" s="4"/>
      <c r="J544" s="5"/>
      <c r="K544" s="5"/>
      <c r="L544" s="5"/>
      <c r="M544" s="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31"/>
      <c r="C545" s="30"/>
      <c r="D545" s="30"/>
      <c r="E545" s="32">
        <v>25000.0</v>
      </c>
      <c r="F545" s="32">
        <f t="shared" si="2"/>
        <v>0</v>
      </c>
      <c r="G545" s="33" t="s">
        <v>10</v>
      </c>
      <c r="H545" s="4"/>
      <c r="I545" s="4"/>
      <c r="J545" s="5"/>
      <c r="K545" s="5"/>
      <c r="L545" s="5"/>
      <c r="M545" s="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31"/>
      <c r="C546" s="30"/>
      <c r="D546" s="30"/>
      <c r="E546" s="32">
        <v>25000.0</v>
      </c>
      <c r="F546" s="32">
        <f t="shared" si="2"/>
        <v>0</v>
      </c>
      <c r="G546" s="33" t="s">
        <v>10</v>
      </c>
      <c r="H546" s="4"/>
      <c r="I546" s="4"/>
      <c r="J546" s="5"/>
      <c r="K546" s="5"/>
      <c r="L546" s="5"/>
      <c r="M546" s="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31"/>
      <c r="C547" s="30"/>
      <c r="D547" s="30"/>
      <c r="E547" s="32">
        <v>25000.0</v>
      </c>
      <c r="F547" s="32">
        <f t="shared" si="2"/>
        <v>0</v>
      </c>
      <c r="G547" s="33" t="s">
        <v>10</v>
      </c>
      <c r="H547" s="4"/>
      <c r="I547" s="4"/>
      <c r="J547" s="5"/>
      <c r="K547" s="5"/>
      <c r="L547" s="5"/>
      <c r="M547" s="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31"/>
      <c r="C548" s="30"/>
      <c r="D548" s="30"/>
      <c r="E548" s="32">
        <v>25000.0</v>
      </c>
      <c r="F548" s="32">
        <f t="shared" si="2"/>
        <v>0</v>
      </c>
      <c r="G548" s="33" t="s">
        <v>10</v>
      </c>
      <c r="H548" s="4"/>
      <c r="I548" s="4"/>
      <c r="J548" s="5"/>
      <c r="K548" s="5"/>
      <c r="L548" s="5"/>
      <c r="M548" s="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31"/>
      <c r="C549" s="30"/>
      <c r="D549" s="30"/>
      <c r="E549" s="32">
        <v>25000.0</v>
      </c>
      <c r="F549" s="32">
        <f t="shared" si="2"/>
        <v>0</v>
      </c>
      <c r="G549" s="33" t="s">
        <v>10</v>
      </c>
      <c r="H549" s="4"/>
      <c r="I549" s="4"/>
      <c r="J549" s="5"/>
      <c r="K549" s="5"/>
      <c r="L549" s="5"/>
      <c r="M549" s="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31"/>
      <c r="C550" s="30"/>
      <c r="D550" s="30"/>
      <c r="E550" s="32">
        <v>25000.0</v>
      </c>
      <c r="F550" s="32">
        <f t="shared" si="2"/>
        <v>0</v>
      </c>
      <c r="G550" s="33" t="s">
        <v>10</v>
      </c>
      <c r="H550" s="4"/>
      <c r="I550" s="4"/>
      <c r="J550" s="5"/>
      <c r="K550" s="5"/>
      <c r="L550" s="5"/>
      <c r="M550" s="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31"/>
      <c r="C551" s="30"/>
      <c r="D551" s="30"/>
      <c r="E551" s="32">
        <v>25000.0</v>
      </c>
      <c r="F551" s="32">
        <f t="shared" si="2"/>
        <v>0</v>
      </c>
      <c r="G551" s="33" t="s">
        <v>10</v>
      </c>
      <c r="H551" s="4"/>
      <c r="I551" s="4"/>
      <c r="J551" s="5"/>
      <c r="K551" s="5"/>
      <c r="L551" s="5"/>
      <c r="M551" s="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31"/>
      <c r="C552" s="30"/>
      <c r="D552" s="30"/>
      <c r="E552" s="32">
        <v>25000.0</v>
      </c>
      <c r="F552" s="32">
        <f t="shared" si="2"/>
        <v>0</v>
      </c>
      <c r="G552" s="33" t="s">
        <v>10</v>
      </c>
      <c r="H552" s="4"/>
      <c r="I552" s="4"/>
      <c r="J552" s="5"/>
      <c r="K552" s="5"/>
      <c r="L552" s="5"/>
      <c r="M552" s="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31"/>
      <c r="C553" s="30"/>
      <c r="D553" s="30"/>
      <c r="E553" s="32">
        <v>25000.0</v>
      </c>
      <c r="F553" s="32">
        <f t="shared" si="2"/>
        <v>0</v>
      </c>
      <c r="G553" s="33" t="s">
        <v>10</v>
      </c>
      <c r="H553" s="4"/>
      <c r="I553" s="4"/>
      <c r="J553" s="5"/>
      <c r="K553" s="5"/>
      <c r="L553" s="5"/>
      <c r="M553" s="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31"/>
      <c r="C554" s="30"/>
      <c r="D554" s="30"/>
      <c r="E554" s="32">
        <v>25000.0</v>
      </c>
      <c r="F554" s="32">
        <f t="shared" si="2"/>
        <v>0</v>
      </c>
      <c r="G554" s="33" t="s">
        <v>10</v>
      </c>
      <c r="H554" s="4"/>
      <c r="I554" s="4"/>
      <c r="J554" s="5"/>
      <c r="K554" s="5"/>
      <c r="L554" s="5"/>
      <c r="M554" s="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31"/>
      <c r="C555" s="30"/>
      <c r="D555" s="30"/>
      <c r="E555" s="32">
        <v>25000.0</v>
      </c>
      <c r="F555" s="32">
        <f t="shared" si="2"/>
        <v>0</v>
      </c>
      <c r="G555" s="33" t="s">
        <v>10</v>
      </c>
      <c r="H555" s="4"/>
      <c r="I555" s="4"/>
      <c r="J555" s="5"/>
      <c r="K555" s="5"/>
      <c r="L555" s="5"/>
      <c r="M555" s="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31"/>
      <c r="C556" s="30"/>
      <c r="D556" s="30"/>
      <c r="E556" s="32">
        <v>25000.0</v>
      </c>
      <c r="F556" s="32">
        <f t="shared" si="2"/>
        <v>0</v>
      </c>
      <c r="G556" s="33" t="s">
        <v>10</v>
      </c>
      <c r="H556" s="4"/>
      <c r="I556" s="4"/>
      <c r="J556" s="5"/>
      <c r="K556" s="5"/>
      <c r="L556" s="5"/>
      <c r="M556" s="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31"/>
      <c r="C557" s="30"/>
      <c r="D557" s="30"/>
      <c r="E557" s="32">
        <v>25000.0</v>
      </c>
      <c r="F557" s="32">
        <f t="shared" si="2"/>
        <v>0</v>
      </c>
      <c r="G557" s="33" t="s">
        <v>10</v>
      </c>
      <c r="H557" s="4"/>
      <c r="I557" s="4"/>
      <c r="J557" s="5"/>
      <c r="K557" s="5"/>
      <c r="L557" s="5"/>
      <c r="M557" s="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31"/>
      <c r="C558" s="30"/>
      <c r="D558" s="30"/>
      <c r="E558" s="32">
        <v>25000.0</v>
      </c>
      <c r="F558" s="32">
        <f t="shared" si="2"/>
        <v>0</v>
      </c>
      <c r="G558" s="33" t="s">
        <v>10</v>
      </c>
      <c r="H558" s="4"/>
      <c r="I558" s="4"/>
      <c r="J558" s="5"/>
      <c r="K558" s="5"/>
      <c r="L558" s="5"/>
      <c r="M558" s="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31"/>
      <c r="C559" s="30"/>
      <c r="D559" s="30"/>
      <c r="E559" s="32">
        <v>25000.0</v>
      </c>
      <c r="F559" s="32">
        <f t="shared" si="2"/>
        <v>0</v>
      </c>
      <c r="G559" s="33" t="s">
        <v>10</v>
      </c>
      <c r="H559" s="4"/>
      <c r="I559" s="4"/>
      <c r="J559" s="5"/>
      <c r="K559" s="5"/>
      <c r="L559" s="5"/>
      <c r="M559" s="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31"/>
      <c r="C560" s="30"/>
      <c r="D560" s="30"/>
      <c r="E560" s="32">
        <v>25000.0</v>
      </c>
      <c r="F560" s="32">
        <f t="shared" si="2"/>
        <v>0</v>
      </c>
      <c r="G560" s="33" t="s">
        <v>10</v>
      </c>
      <c r="H560" s="4"/>
      <c r="I560" s="4"/>
      <c r="J560" s="5"/>
      <c r="K560" s="5"/>
      <c r="L560" s="5"/>
      <c r="M560" s="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31"/>
      <c r="C561" s="30"/>
      <c r="D561" s="30"/>
      <c r="E561" s="32">
        <v>25000.0</v>
      </c>
      <c r="F561" s="32">
        <f t="shared" si="2"/>
        <v>0</v>
      </c>
      <c r="G561" s="33" t="s">
        <v>10</v>
      </c>
      <c r="H561" s="4"/>
      <c r="I561" s="4"/>
      <c r="J561" s="5"/>
      <c r="K561" s="5"/>
      <c r="L561" s="5"/>
      <c r="M561" s="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31"/>
      <c r="C562" s="30"/>
      <c r="D562" s="30"/>
      <c r="E562" s="32">
        <v>25000.0</v>
      </c>
      <c r="F562" s="32">
        <f t="shared" si="2"/>
        <v>0</v>
      </c>
      <c r="G562" s="33" t="s">
        <v>10</v>
      </c>
      <c r="H562" s="4"/>
      <c r="I562" s="4"/>
      <c r="J562" s="5"/>
      <c r="K562" s="5"/>
      <c r="L562" s="5"/>
      <c r="M562" s="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31"/>
      <c r="C563" s="30"/>
      <c r="D563" s="30"/>
      <c r="E563" s="32">
        <v>25000.0</v>
      </c>
      <c r="F563" s="32">
        <f t="shared" si="2"/>
        <v>0</v>
      </c>
      <c r="G563" s="33" t="s">
        <v>10</v>
      </c>
      <c r="H563" s="4"/>
      <c r="I563" s="4"/>
      <c r="J563" s="5"/>
      <c r="K563" s="5"/>
      <c r="L563" s="5"/>
      <c r="M563" s="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31"/>
      <c r="C564" s="30"/>
      <c r="D564" s="30"/>
      <c r="E564" s="32">
        <v>25000.0</v>
      </c>
      <c r="F564" s="32">
        <f t="shared" si="2"/>
        <v>0</v>
      </c>
      <c r="G564" s="33" t="s">
        <v>10</v>
      </c>
      <c r="H564" s="4"/>
      <c r="I564" s="4"/>
      <c r="J564" s="5"/>
      <c r="K564" s="5"/>
      <c r="L564" s="5"/>
      <c r="M564" s="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31"/>
      <c r="C565" s="30"/>
      <c r="D565" s="30"/>
      <c r="E565" s="32">
        <v>25000.0</v>
      </c>
      <c r="F565" s="32">
        <f t="shared" si="2"/>
        <v>0</v>
      </c>
      <c r="G565" s="33" t="s">
        <v>10</v>
      </c>
      <c r="H565" s="4"/>
      <c r="I565" s="4"/>
      <c r="J565" s="5"/>
      <c r="K565" s="5"/>
      <c r="L565" s="5"/>
      <c r="M565" s="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31"/>
      <c r="C566" s="30"/>
      <c r="D566" s="30"/>
      <c r="E566" s="32">
        <v>25000.0</v>
      </c>
      <c r="F566" s="32">
        <f t="shared" si="2"/>
        <v>0</v>
      </c>
      <c r="G566" s="33" t="s">
        <v>10</v>
      </c>
      <c r="H566" s="4"/>
      <c r="I566" s="4"/>
      <c r="J566" s="5"/>
      <c r="K566" s="5"/>
      <c r="L566" s="5"/>
      <c r="M566" s="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31"/>
      <c r="C567" s="30"/>
      <c r="D567" s="30"/>
      <c r="E567" s="32">
        <v>25000.0</v>
      </c>
      <c r="F567" s="32">
        <f t="shared" si="2"/>
        <v>0</v>
      </c>
      <c r="G567" s="33" t="s">
        <v>10</v>
      </c>
      <c r="H567" s="4"/>
      <c r="I567" s="4"/>
      <c r="J567" s="5"/>
      <c r="K567" s="5"/>
      <c r="L567" s="5"/>
      <c r="M567" s="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31"/>
      <c r="C568" s="30"/>
      <c r="D568" s="30"/>
      <c r="E568" s="32">
        <v>25000.0</v>
      </c>
      <c r="F568" s="32">
        <f t="shared" si="2"/>
        <v>0</v>
      </c>
      <c r="G568" s="33" t="s">
        <v>10</v>
      </c>
      <c r="H568" s="4"/>
      <c r="I568" s="4"/>
      <c r="J568" s="5"/>
      <c r="K568" s="5"/>
      <c r="L568" s="5"/>
      <c r="M568" s="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31"/>
      <c r="C569" s="30"/>
      <c r="D569" s="30"/>
      <c r="E569" s="32">
        <v>25000.0</v>
      </c>
      <c r="F569" s="32">
        <f t="shared" si="2"/>
        <v>0</v>
      </c>
      <c r="G569" s="33" t="s">
        <v>10</v>
      </c>
      <c r="H569" s="4"/>
      <c r="I569" s="4"/>
      <c r="J569" s="5"/>
      <c r="K569" s="5"/>
      <c r="L569" s="5"/>
      <c r="M569" s="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31"/>
      <c r="C570" s="30"/>
      <c r="D570" s="30"/>
      <c r="E570" s="32">
        <v>25000.0</v>
      </c>
      <c r="F570" s="32">
        <f t="shared" si="2"/>
        <v>0</v>
      </c>
      <c r="G570" s="33" t="s">
        <v>10</v>
      </c>
      <c r="H570" s="4"/>
      <c r="I570" s="4"/>
      <c r="J570" s="5"/>
      <c r="K570" s="5"/>
      <c r="L570" s="5"/>
      <c r="M570" s="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31"/>
      <c r="C571" s="30"/>
      <c r="D571" s="30"/>
      <c r="E571" s="32">
        <v>25000.0</v>
      </c>
      <c r="F571" s="32">
        <f t="shared" si="2"/>
        <v>0</v>
      </c>
      <c r="G571" s="33" t="s">
        <v>10</v>
      </c>
      <c r="H571" s="4"/>
      <c r="I571" s="4"/>
      <c r="J571" s="5"/>
      <c r="K571" s="5"/>
      <c r="L571" s="5"/>
      <c r="M571" s="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31"/>
      <c r="C572" s="30"/>
      <c r="D572" s="30"/>
      <c r="E572" s="32">
        <v>25000.0</v>
      </c>
      <c r="F572" s="32">
        <f t="shared" si="2"/>
        <v>0</v>
      </c>
      <c r="G572" s="33" t="s">
        <v>10</v>
      </c>
      <c r="H572" s="4"/>
      <c r="I572" s="4"/>
      <c r="J572" s="5"/>
      <c r="K572" s="5"/>
      <c r="L572" s="5"/>
      <c r="M572" s="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31"/>
      <c r="C573" s="30"/>
      <c r="D573" s="30"/>
      <c r="E573" s="32">
        <v>25000.0</v>
      </c>
      <c r="F573" s="32">
        <f t="shared" si="2"/>
        <v>0</v>
      </c>
      <c r="G573" s="33" t="s">
        <v>10</v>
      </c>
      <c r="H573" s="4"/>
      <c r="I573" s="4"/>
      <c r="J573" s="5"/>
      <c r="K573" s="5"/>
      <c r="L573" s="5"/>
      <c r="M573" s="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31"/>
      <c r="C574" s="30"/>
      <c r="D574" s="30"/>
      <c r="E574" s="32">
        <v>25000.0</v>
      </c>
      <c r="F574" s="32">
        <f t="shared" si="2"/>
        <v>0</v>
      </c>
      <c r="G574" s="33" t="s">
        <v>10</v>
      </c>
      <c r="H574" s="4"/>
      <c r="I574" s="4"/>
      <c r="J574" s="5"/>
      <c r="K574" s="5"/>
      <c r="L574" s="5"/>
      <c r="M574" s="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31"/>
      <c r="C575" s="30"/>
      <c r="D575" s="30"/>
      <c r="E575" s="32">
        <v>25000.0</v>
      </c>
      <c r="F575" s="32">
        <f t="shared" si="2"/>
        <v>0</v>
      </c>
      <c r="G575" s="33" t="s">
        <v>10</v>
      </c>
      <c r="H575" s="4"/>
      <c r="I575" s="4"/>
      <c r="J575" s="5"/>
      <c r="K575" s="5"/>
      <c r="L575" s="5"/>
      <c r="M575" s="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31"/>
      <c r="C576" s="30"/>
      <c r="D576" s="30"/>
      <c r="E576" s="32">
        <v>25000.0</v>
      </c>
      <c r="F576" s="32">
        <f t="shared" si="2"/>
        <v>0</v>
      </c>
      <c r="G576" s="33" t="s">
        <v>10</v>
      </c>
      <c r="H576" s="4"/>
      <c r="I576" s="4"/>
      <c r="J576" s="5"/>
      <c r="K576" s="5"/>
      <c r="L576" s="5"/>
      <c r="M576" s="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31"/>
      <c r="C577" s="30"/>
      <c r="D577" s="30"/>
      <c r="E577" s="32">
        <v>25000.0</v>
      </c>
      <c r="F577" s="32">
        <f t="shared" si="2"/>
        <v>0</v>
      </c>
      <c r="G577" s="33" t="s">
        <v>10</v>
      </c>
      <c r="H577" s="4"/>
      <c r="I577" s="4"/>
      <c r="J577" s="5"/>
      <c r="K577" s="5"/>
      <c r="L577" s="5"/>
      <c r="M577" s="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31"/>
      <c r="C578" s="30"/>
      <c r="D578" s="30"/>
      <c r="E578" s="32">
        <v>25000.0</v>
      </c>
      <c r="F578" s="32">
        <f t="shared" si="2"/>
        <v>0</v>
      </c>
      <c r="G578" s="33" t="s">
        <v>10</v>
      </c>
      <c r="H578" s="4"/>
      <c r="I578" s="4"/>
      <c r="J578" s="5"/>
      <c r="K578" s="5"/>
      <c r="L578" s="5"/>
      <c r="M578" s="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31"/>
      <c r="C579" s="30"/>
      <c r="D579" s="30"/>
      <c r="E579" s="32">
        <v>25000.0</v>
      </c>
      <c r="F579" s="32">
        <f t="shared" si="2"/>
        <v>0</v>
      </c>
      <c r="G579" s="33" t="s">
        <v>10</v>
      </c>
      <c r="H579" s="4"/>
      <c r="I579" s="4"/>
      <c r="J579" s="5"/>
      <c r="K579" s="5"/>
      <c r="L579" s="5"/>
      <c r="M579" s="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31"/>
      <c r="C580" s="30"/>
      <c r="D580" s="30"/>
      <c r="E580" s="32">
        <v>25000.0</v>
      </c>
      <c r="F580" s="32">
        <f t="shared" si="2"/>
        <v>0</v>
      </c>
      <c r="G580" s="33" t="s">
        <v>10</v>
      </c>
      <c r="H580" s="4"/>
      <c r="I580" s="4"/>
      <c r="J580" s="5"/>
      <c r="K580" s="5"/>
      <c r="L580" s="5"/>
      <c r="M580" s="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31"/>
      <c r="C581" s="30"/>
      <c r="D581" s="30"/>
      <c r="E581" s="32">
        <v>25000.0</v>
      </c>
      <c r="F581" s="32">
        <f t="shared" si="2"/>
        <v>0</v>
      </c>
      <c r="G581" s="33" t="s">
        <v>10</v>
      </c>
      <c r="H581" s="4"/>
      <c r="I581" s="4"/>
      <c r="J581" s="5"/>
      <c r="K581" s="5"/>
      <c r="L581" s="5"/>
      <c r="M581" s="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31"/>
      <c r="C582" s="30"/>
      <c r="D582" s="30"/>
      <c r="E582" s="32">
        <v>25000.0</v>
      </c>
      <c r="F582" s="32">
        <f t="shared" si="2"/>
        <v>0</v>
      </c>
      <c r="G582" s="33" t="s">
        <v>10</v>
      </c>
      <c r="H582" s="4"/>
      <c r="I582" s="4"/>
      <c r="J582" s="5"/>
      <c r="K582" s="5"/>
      <c r="L582" s="5"/>
      <c r="M582" s="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31"/>
      <c r="C583" s="30"/>
      <c r="D583" s="30"/>
      <c r="E583" s="32">
        <v>25000.0</v>
      </c>
      <c r="F583" s="32">
        <f t="shared" si="2"/>
        <v>0</v>
      </c>
      <c r="G583" s="33" t="s">
        <v>10</v>
      </c>
      <c r="H583" s="4"/>
      <c r="I583" s="4"/>
      <c r="J583" s="5"/>
      <c r="K583" s="5"/>
      <c r="L583" s="5"/>
      <c r="M583" s="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31"/>
      <c r="C584" s="30"/>
      <c r="D584" s="30"/>
      <c r="E584" s="32">
        <v>25000.0</v>
      </c>
      <c r="F584" s="32">
        <f t="shared" si="2"/>
        <v>0</v>
      </c>
      <c r="G584" s="33" t="s">
        <v>10</v>
      </c>
      <c r="H584" s="4"/>
      <c r="I584" s="4"/>
      <c r="J584" s="5"/>
      <c r="K584" s="5"/>
      <c r="L584" s="5"/>
      <c r="M584" s="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4"/>
      <c r="I585" s="4"/>
      <c r="J585" s="5"/>
      <c r="K585" s="5"/>
      <c r="L585" s="5"/>
      <c r="M585" s="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4"/>
      <c r="I586" s="4"/>
      <c r="J586" s="5"/>
      <c r="K586" s="5"/>
      <c r="L586" s="5"/>
      <c r="M586" s="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4"/>
      <c r="I587" s="4"/>
      <c r="J587" s="5"/>
      <c r="K587" s="5"/>
      <c r="L587" s="5"/>
      <c r="M587" s="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4"/>
      <c r="I588" s="4"/>
      <c r="J588" s="5"/>
      <c r="K588" s="5"/>
      <c r="L588" s="5"/>
      <c r="M588" s="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4"/>
      <c r="I589" s="4"/>
      <c r="J589" s="5"/>
      <c r="K589" s="5"/>
      <c r="L589" s="5"/>
      <c r="M589" s="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4"/>
      <c r="I590" s="4"/>
      <c r="J590" s="5"/>
      <c r="K590" s="5"/>
      <c r="L590" s="5"/>
      <c r="M590" s="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4"/>
      <c r="I591" s="4"/>
      <c r="J591" s="5"/>
      <c r="K591" s="5"/>
      <c r="L591" s="5"/>
      <c r="M591" s="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4"/>
      <c r="I592" s="4"/>
      <c r="J592" s="5"/>
      <c r="K592" s="5"/>
      <c r="L592" s="5"/>
      <c r="M592" s="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4"/>
      <c r="I593" s="4"/>
      <c r="J593" s="5"/>
      <c r="K593" s="5"/>
      <c r="L593" s="5"/>
      <c r="M593" s="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4"/>
      <c r="I594" s="4"/>
      <c r="J594" s="5"/>
      <c r="K594" s="5"/>
      <c r="L594" s="5"/>
      <c r="M594" s="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4"/>
      <c r="I595" s="4"/>
      <c r="J595" s="5"/>
      <c r="K595" s="5"/>
      <c r="L595" s="5"/>
      <c r="M595" s="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4"/>
      <c r="I596" s="4"/>
      <c r="J596" s="5"/>
      <c r="K596" s="5"/>
      <c r="L596" s="5"/>
      <c r="M596" s="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4"/>
      <c r="I597" s="4"/>
      <c r="J597" s="5"/>
      <c r="K597" s="5"/>
      <c r="L597" s="5"/>
      <c r="M597" s="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4"/>
      <c r="I598" s="4"/>
      <c r="J598" s="5"/>
      <c r="K598" s="5"/>
      <c r="L598" s="5"/>
      <c r="M598" s="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4"/>
      <c r="I599" s="4"/>
      <c r="J599" s="5"/>
      <c r="K599" s="5"/>
      <c r="L599" s="5"/>
      <c r="M599" s="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4"/>
      <c r="I600" s="4"/>
      <c r="J600" s="5"/>
      <c r="K600" s="5"/>
      <c r="L600" s="5"/>
      <c r="M600" s="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4"/>
      <c r="I601" s="4"/>
      <c r="J601" s="5"/>
      <c r="K601" s="5"/>
      <c r="L601" s="5"/>
      <c r="M601" s="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4"/>
      <c r="I602" s="4"/>
      <c r="J602" s="5"/>
      <c r="K602" s="5"/>
      <c r="L602" s="5"/>
      <c r="M602" s="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4"/>
      <c r="I603" s="4"/>
      <c r="J603" s="5"/>
      <c r="K603" s="5"/>
      <c r="L603" s="5"/>
      <c r="M603" s="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4"/>
      <c r="I604" s="4"/>
      <c r="J604" s="5"/>
      <c r="K604" s="5"/>
      <c r="L604" s="5"/>
      <c r="M604" s="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4"/>
      <c r="I605" s="4"/>
      <c r="J605" s="5"/>
      <c r="K605" s="5"/>
      <c r="L605" s="5"/>
      <c r="M605" s="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4"/>
      <c r="I606" s="4"/>
      <c r="J606" s="5"/>
      <c r="K606" s="5"/>
      <c r="L606" s="5"/>
      <c r="M606" s="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4"/>
      <c r="I607" s="4"/>
      <c r="J607" s="5"/>
      <c r="K607" s="5"/>
      <c r="L607" s="5"/>
      <c r="M607" s="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4"/>
      <c r="I608" s="4"/>
      <c r="J608" s="5"/>
      <c r="K608" s="5"/>
      <c r="L608" s="5"/>
      <c r="M608" s="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4"/>
      <c r="I609" s="4"/>
      <c r="J609" s="5"/>
      <c r="K609" s="5"/>
      <c r="L609" s="5"/>
      <c r="M609" s="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4"/>
      <c r="I610" s="4"/>
      <c r="J610" s="5"/>
      <c r="K610" s="5"/>
      <c r="L610" s="5"/>
      <c r="M610" s="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4"/>
      <c r="I611" s="4"/>
      <c r="J611" s="5"/>
      <c r="K611" s="5"/>
      <c r="L611" s="5"/>
      <c r="M611" s="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4"/>
      <c r="I612" s="4"/>
      <c r="J612" s="5"/>
      <c r="K612" s="5"/>
      <c r="L612" s="5"/>
      <c r="M612" s="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4"/>
      <c r="I613" s="4"/>
      <c r="J613" s="5"/>
      <c r="K613" s="5"/>
      <c r="L613" s="5"/>
      <c r="M613" s="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4"/>
      <c r="I614" s="4"/>
      <c r="J614" s="5"/>
      <c r="K614" s="5"/>
      <c r="L614" s="5"/>
      <c r="M614" s="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4"/>
      <c r="I615" s="4"/>
      <c r="J615" s="5"/>
      <c r="K615" s="5"/>
      <c r="L615" s="5"/>
      <c r="M615" s="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4"/>
      <c r="I616" s="4"/>
      <c r="J616" s="5"/>
      <c r="K616" s="5"/>
      <c r="L616" s="5"/>
      <c r="M616" s="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4"/>
      <c r="I617" s="4"/>
      <c r="J617" s="5"/>
      <c r="K617" s="5"/>
      <c r="L617" s="5"/>
      <c r="M617" s="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4"/>
      <c r="I618" s="4"/>
      <c r="J618" s="5"/>
      <c r="K618" s="5"/>
      <c r="L618" s="5"/>
      <c r="M618" s="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4"/>
      <c r="I619" s="4"/>
      <c r="J619" s="5"/>
      <c r="K619" s="5"/>
      <c r="L619" s="5"/>
      <c r="M619" s="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4"/>
      <c r="I620" s="4"/>
      <c r="J620" s="5"/>
      <c r="K620" s="5"/>
      <c r="L620" s="5"/>
      <c r="M620" s="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4"/>
      <c r="I621" s="4"/>
      <c r="J621" s="5"/>
      <c r="K621" s="5"/>
      <c r="L621" s="5"/>
      <c r="M621" s="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4"/>
      <c r="I622" s="4"/>
      <c r="J622" s="5"/>
      <c r="K622" s="5"/>
      <c r="L622" s="5"/>
      <c r="M622" s="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4"/>
      <c r="I623" s="4"/>
      <c r="J623" s="5"/>
      <c r="K623" s="5"/>
      <c r="L623" s="5"/>
      <c r="M623" s="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4"/>
      <c r="I624" s="4"/>
      <c r="J624" s="5"/>
      <c r="K624" s="5"/>
      <c r="L624" s="5"/>
      <c r="M624" s="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4"/>
      <c r="I625" s="4"/>
      <c r="J625" s="5"/>
      <c r="K625" s="5"/>
      <c r="L625" s="5"/>
      <c r="M625" s="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4"/>
      <c r="I626" s="4"/>
      <c r="J626" s="5"/>
      <c r="K626" s="5"/>
      <c r="L626" s="5"/>
      <c r="M626" s="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4"/>
      <c r="I627" s="4"/>
      <c r="J627" s="5"/>
      <c r="K627" s="5"/>
      <c r="L627" s="5"/>
      <c r="M627" s="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4"/>
      <c r="I628" s="4"/>
      <c r="J628" s="5"/>
      <c r="K628" s="5"/>
      <c r="L628" s="5"/>
      <c r="M628" s="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4"/>
      <c r="I629" s="4"/>
      <c r="J629" s="5"/>
      <c r="K629" s="5"/>
      <c r="L629" s="5"/>
      <c r="M629" s="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4"/>
      <c r="I630" s="4"/>
      <c r="J630" s="5"/>
      <c r="K630" s="5"/>
      <c r="L630" s="5"/>
      <c r="M630" s="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4"/>
      <c r="I631" s="4"/>
      <c r="J631" s="5"/>
      <c r="K631" s="5"/>
      <c r="L631" s="5"/>
      <c r="M631" s="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4"/>
      <c r="I632" s="4"/>
      <c r="J632" s="5"/>
      <c r="K632" s="5"/>
      <c r="L632" s="5"/>
      <c r="M632" s="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4"/>
      <c r="I633" s="4"/>
      <c r="J633" s="5"/>
      <c r="K633" s="5"/>
      <c r="L633" s="5"/>
      <c r="M633" s="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4"/>
      <c r="I634" s="4"/>
      <c r="J634" s="5"/>
      <c r="K634" s="5"/>
      <c r="L634" s="5"/>
      <c r="M634" s="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4"/>
      <c r="I635" s="4"/>
      <c r="J635" s="5"/>
      <c r="K635" s="5"/>
      <c r="L635" s="5"/>
      <c r="M635" s="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4"/>
      <c r="I636" s="4"/>
      <c r="J636" s="5"/>
      <c r="K636" s="5"/>
      <c r="L636" s="5"/>
      <c r="M636" s="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4"/>
      <c r="I637" s="4"/>
      <c r="J637" s="5"/>
      <c r="K637" s="5"/>
      <c r="L637" s="5"/>
      <c r="M637" s="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4"/>
      <c r="I638" s="4"/>
      <c r="J638" s="5"/>
      <c r="K638" s="5"/>
      <c r="L638" s="5"/>
      <c r="M638" s="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4"/>
      <c r="I639" s="4"/>
      <c r="J639" s="5"/>
      <c r="K639" s="5"/>
      <c r="L639" s="5"/>
      <c r="M639" s="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4"/>
      <c r="I640" s="4"/>
      <c r="J640" s="5"/>
      <c r="K640" s="5"/>
      <c r="L640" s="5"/>
      <c r="M640" s="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4"/>
      <c r="I641" s="4"/>
      <c r="J641" s="5"/>
      <c r="K641" s="5"/>
      <c r="L641" s="5"/>
      <c r="M641" s="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4"/>
      <c r="I642" s="4"/>
      <c r="J642" s="5"/>
      <c r="K642" s="5"/>
      <c r="L642" s="5"/>
      <c r="M642" s="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4"/>
      <c r="I643" s="4"/>
      <c r="J643" s="5"/>
      <c r="K643" s="5"/>
      <c r="L643" s="5"/>
      <c r="M643" s="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4"/>
      <c r="I644" s="4"/>
      <c r="J644" s="5"/>
      <c r="K644" s="5"/>
      <c r="L644" s="5"/>
      <c r="M644" s="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4"/>
      <c r="I645" s="4"/>
      <c r="J645" s="5"/>
      <c r="K645" s="5"/>
      <c r="L645" s="5"/>
      <c r="M645" s="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4"/>
      <c r="I646" s="4"/>
      <c r="J646" s="5"/>
      <c r="K646" s="5"/>
      <c r="L646" s="5"/>
      <c r="M646" s="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4"/>
      <c r="I647" s="4"/>
      <c r="J647" s="5"/>
      <c r="K647" s="5"/>
      <c r="L647" s="5"/>
      <c r="M647" s="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4"/>
      <c r="I648" s="4"/>
      <c r="J648" s="5"/>
      <c r="K648" s="5"/>
      <c r="L648" s="5"/>
      <c r="M648" s="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4"/>
      <c r="I649" s="4"/>
      <c r="J649" s="5"/>
      <c r="K649" s="5"/>
      <c r="L649" s="5"/>
      <c r="M649" s="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4"/>
      <c r="I650" s="4"/>
      <c r="J650" s="5"/>
      <c r="K650" s="5"/>
      <c r="L650" s="5"/>
      <c r="M650" s="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4"/>
      <c r="I651" s="4"/>
      <c r="J651" s="5"/>
      <c r="K651" s="5"/>
      <c r="L651" s="5"/>
      <c r="M651" s="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4"/>
      <c r="I652" s="4"/>
      <c r="J652" s="5"/>
      <c r="K652" s="5"/>
      <c r="L652" s="5"/>
      <c r="M652" s="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4"/>
      <c r="I653" s="4"/>
      <c r="J653" s="5"/>
      <c r="K653" s="5"/>
      <c r="L653" s="5"/>
      <c r="M653" s="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4"/>
      <c r="I654" s="4"/>
      <c r="J654" s="5"/>
      <c r="K654" s="5"/>
      <c r="L654" s="5"/>
      <c r="M654" s="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4"/>
      <c r="I655" s="4"/>
      <c r="J655" s="5"/>
      <c r="K655" s="5"/>
      <c r="L655" s="5"/>
      <c r="M655" s="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4"/>
      <c r="I656" s="4"/>
      <c r="J656" s="5"/>
      <c r="K656" s="5"/>
      <c r="L656" s="5"/>
      <c r="M656" s="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4"/>
      <c r="I657" s="4"/>
      <c r="J657" s="5"/>
      <c r="K657" s="5"/>
      <c r="L657" s="5"/>
      <c r="M657" s="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4"/>
      <c r="I658" s="4"/>
      <c r="J658" s="5"/>
      <c r="K658" s="5"/>
      <c r="L658" s="5"/>
      <c r="M658" s="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4"/>
      <c r="I659" s="4"/>
      <c r="J659" s="5"/>
      <c r="K659" s="5"/>
      <c r="L659" s="5"/>
      <c r="M659" s="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4"/>
      <c r="I660" s="4"/>
      <c r="J660" s="5"/>
      <c r="K660" s="5"/>
      <c r="L660" s="5"/>
      <c r="M660" s="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4"/>
      <c r="I661" s="4"/>
      <c r="J661" s="5"/>
      <c r="K661" s="5"/>
      <c r="L661" s="5"/>
      <c r="M661" s="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4"/>
      <c r="I662" s="4"/>
      <c r="J662" s="5"/>
      <c r="K662" s="5"/>
      <c r="L662" s="5"/>
      <c r="M662" s="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4"/>
      <c r="I663" s="4"/>
      <c r="J663" s="5"/>
      <c r="K663" s="5"/>
      <c r="L663" s="5"/>
      <c r="M663" s="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4"/>
      <c r="I664" s="4"/>
      <c r="J664" s="5"/>
      <c r="K664" s="5"/>
      <c r="L664" s="5"/>
      <c r="M664" s="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4"/>
      <c r="I665" s="4"/>
      <c r="J665" s="5"/>
      <c r="K665" s="5"/>
      <c r="L665" s="5"/>
      <c r="M665" s="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4"/>
      <c r="I666" s="4"/>
      <c r="J666" s="5"/>
      <c r="K666" s="5"/>
      <c r="L666" s="5"/>
      <c r="M666" s="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4"/>
      <c r="I667" s="4"/>
      <c r="J667" s="5"/>
      <c r="K667" s="5"/>
      <c r="L667" s="5"/>
      <c r="M667" s="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4"/>
      <c r="I668" s="4"/>
      <c r="J668" s="5"/>
      <c r="K668" s="5"/>
      <c r="L668" s="5"/>
      <c r="M668" s="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4"/>
      <c r="I669" s="4"/>
      <c r="J669" s="5"/>
      <c r="K669" s="5"/>
      <c r="L669" s="5"/>
      <c r="M669" s="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4"/>
      <c r="I670" s="4"/>
      <c r="J670" s="5"/>
      <c r="K670" s="5"/>
      <c r="L670" s="5"/>
      <c r="M670" s="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4"/>
      <c r="I671" s="4"/>
      <c r="J671" s="5"/>
      <c r="K671" s="5"/>
      <c r="L671" s="5"/>
      <c r="M671" s="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4"/>
      <c r="I672" s="4"/>
      <c r="J672" s="5"/>
      <c r="K672" s="5"/>
      <c r="L672" s="5"/>
      <c r="M672" s="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4"/>
      <c r="I673" s="4"/>
      <c r="J673" s="5"/>
      <c r="K673" s="5"/>
      <c r="L673" s="5"/>
      <c r="M673" s="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4"/>
      <c r="I674" s="4"/>
      <c r="J674" s="5"/>
      <c r="K674" s="5"/>
      <c r="L674" s="5"/>
      <c r="M674" s="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4"/>
      <c r="I675" s="4"/>
      <c r="J675" s="5"/>
      <c r="K675" s="5"/>
      <c r="L675" s="5"/>
      <c r="M675" s="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4"/>
      <c r="I676" s="4"/>
      <c r="J676" s="5"/>
      <c r="K676" s="5"/>
      <c r="L676" s="5"/>
      <c r="M676" s="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4"/>
      <c r="I677" s="4"/>
      <c r="J677" s="5"/>
      <c r="K677" s="5"/>
      <c r="L677" s="5"/>
      <c r="M677" s="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4"/>
      <c r="I678" s="4"/>
      <c r="J678" s="5"/>
      <c r="K678" s="5"/>
      <c r="L678" s="5"/>
      <c r="M678" s="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4"/>
      <c r="I679" s="4"/>
      <c r="J679" s="5"/>
      <c r="K679" s="5"/>
      <c r="L679" s="5"/>
      <c r="M679" s="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4"/>
      <c r="I680" s="4"/>
      <c r="J680" s="5"/>
      <c r="K680" s="5"/>
      <c r="L680" s="5"/>
      <c r="M680" s="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4"/>
      <c r="I681" s="4"/>
      <c r="J681" s="5"/>
      <c r="K681" s="5"/>
      <c r="L681" s="5"/>
      <c r="M681" s="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4"/>
      <c r="I682" s="4"/>
      <c r="J682" s="5"/>
      <c r="K682" s="5"/>
      <c r="L682" s="5"/>
      <c r="M682" s="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4"/>
      <c r="I683" s="4"/>
      <c r="J683" s="5"/>
      <c r="K683" s="5"/>
      <c r="L683" s="5"/>
      <c r="M683" s="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4"/>
      <c r="I684" s="4"/>
      <c r="J684" s="5"/>
      <c r="K684" s="5"/>
      <c r="L684" s="5"/>
      <c r="M684" s="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4"/>
      <c r="I685" s="4"/>
      <c r="J685" s="5"/>
      <c r="K685" s="5"/>
      <c r="L685" s="5"/>
      <c r="M685" s="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4"/>
      <c r="I686" s="4"/>
      <c r="J686" s="5"/>
      <c r="K686" s="5"/>
      <c r="L686" s="5"/>
      <c r="M686" s="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4"/>
      <c r="I687" s="4"/>
      <c r="J687" s="5"/>
      <c r="K687" s="5"/>
      <c r="L687" s="5"/>
      <c r="M687" s="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4"/>
      <c r="I688" s="4"/>
      <c r="J688" s="5"/>
      <c r="K688" s="5"/>
      <c r="L688" s="5"/>
      <c r="M688" s="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4"/>
      <c r="I689" s="4"/>
      <c r="J689" s="5"/>
      <c r="K689" s="5"/>
      <c r="L689" s="5"/>
      <c r="M689" s="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4"/>
      <c r="I690" s="4"/>
      <c r="J690" s="5"/>
      <c r="K690" s="5"/>
      <c r="L690" s="5"/>
      <c r="M690" s="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4"/>
      <c r="I691" s="4"/>
      <c r="J691" s="5"/>
      <c r="K691" s="5"/>
      <c r="L691" s="5"/>
      <c r="M691" s="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4"/>
      <c r="I692" s="4"/>
      <c r="J692" s="5"/>
      <c r="K692" s="5"/>
      <c r="L692" s="5"/>
      <c r="M692" s="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4"/>
      <c r="I693" s="4"/>
      <c r="J693" s="5"/>
      <c r="K693" s="5"/>
      <c r="L693" s="5"/>
      <c r="M693" s="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4"/>
      <c r="I694" s="4"/>
      <c r="J694" s="5"/>
      <c r="K694" s="5"/>
      <c r="L694" s="5"/>
      <c r="M694" s="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4"/>
      <c r="I695" s="4"/>
      <c r="J695" s="5"/>
      <c r="K695" s="5"/>
      <c r="L695" s="5"/>
      <c r="M695" s="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4"/>
      <c r="I696" s="4"/>
      <c r="J696" s="5"/>
      <c r="K696" s="5"/>
      <c r="L696" s="5"/>
      <c r="M696" s="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4"/>
      <c r="I697" s="4"/>
      <c r="J697" s="5"/>
      <c r="K697" s="5"/>
      <c r="L697" s="5"/>
      <c r="M697" s="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4"/>
      <c r="I698" s="4"/>
      <c r="J698" s="5"/>
      <c r="K698" s="5"/>
      <c r="L698" s="5"/>
      <c r="M698" s="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4"/>
      <c r="I699" s="4"/>
      <c r="J699" s="5"/>
      <c r="K699" s="5"/>
      <c r="L699" s="5"/>
      <c r="M699" s="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4"/>
      <c r="I700" s="4"/>
      <c r="J700" s="5"/>
      <c r="K700" s="5"/>
      <c r="L700" s="5"/>
      <c r="M700" s="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4"/>
      <c r="I701" s="4"/>
      <c r="J701" s="5"/>
      <c r="K701" s="5"/>
      <c r="L701" s="5"/>
      <c r="M701" s="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4"/>
      <c r="I702" s="4"/>
      <c r="J702" s="5"/>
      <c r="K702" s="5"/>
      <c r="L702" s="5"/>
      <c r="M702" s="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4"/>
      <c r="I703" s="4"/>
      <c r="J703" s="5"/>
      <c r="K703" s="5"/>
      <c r="L703" s="5"/>
      <c r="M703" s="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4"/>
      <c r="I704" s="4"/>
      <c r="J704" s="5"/>
      <c r="K704" s="5"/>
      <c r="L704" s="5"/>
      <c r="M704" s="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4"/>
      <c r="I705" s="4"/>
      <c r="J705" s="5"/>
      <c r="K705" s="5"/>
      <c r="L705" s="5"/>
      <c r="M705" s="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4"/>
      <c r="I706" s="4"/>
      <c r="J706" s="5"/>
      <c r="K706" s="5"/>
      <c r="L706" s="5"/>
      <c r="M706" s="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4"/>
      <c r="I707" s="4"/>
      <c r="J707" s="5"/>
      <c r="K707" s="5"/>
      <c r="L707" s="5"/>
      <c r="M707" s="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4"/>
      <c r="I708" s="4"/>
      <c r="J708" s="5"/>
      <c r="K708" s="5"/>
      <c r="L708" s="5"/>
      <c r="M708" s="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4"/>
      <c r="I709" s="4"/>
      <c r="J709" s="5"/>
      <c r="K709" s="5"/>
      <c r="L709" s="5"/>
      <c r="M709" s="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4"/>
      <c r="I710" s="4"/>
      <c r="J710" s="5"/>
      <c r="K710" s="5"/>
      <c r="L710" s="5"/>
      <c r="M710" s="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4"/>
      <c r="I711" s="4"/>
      <c r="J711" s="5"/>
      <c r="K711" s="5"/>
      <c r="L711" s="5"/>
      <c r="M711" s="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4"/>
      <c r="I712" s="4"/>
      <c r="J712" s="5"/>
      <c r="K712" s="5"/>
      <c r="L712" s="5"/>
      <c r="M712" s="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4"/>
      <c r="I713" s="4"/>
      <c r="J713" s="5"/>
      <c r="K713" s="5"/>
      <c r="L713" s="5"/>
      <c r="M713" s="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4"/>
      <c r="I714" s="4"/>
      <c r="J714" s="5"/>
      <c r="K714" s="5"/>
      <c r="L714" s="5"/>
      <c r="M714" s="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4"/>
      <c r="I715" s="4"/>
      <c r="J715" s="5"/>
      <c r="K715" s="5"/>
      <c r="L715" s="5"/>
      <c r="M715" s="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4"/>
      <c r="I716" s="4"/>
      <c r="J716" s="5"/>
      <c r="K716" s="5"/>
      <c r="L716" s="5"/>
      <c r="M716" s="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4"/>
      <c r="I717" s="4"/>
      <c r="J717" s="5"/>
      <c r="K717" s="5"/>
      <c r="L717" s="5"/>
      <c r="M717" s="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4"/>
      <c r="I718" s="4"/>
      <c r="J718" s="5"/>
      <c r="K718" s="5"/>
      <c r="L718" s="5"/>
      <c r="M718" s="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4"/>
      <c r="I719" s="4"/>
      <c r="J719" s="5"/>
      <c r="K719" s="5"/>
      <c r="L719" s="5"/>
      <c r="M719" s="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4"/>
      <c r="I720" s="4"/>
      <c r="J720" s="5"/>
      <c r="K720" s="5"/>
      <c r="L720" s="5"/>
      <c r="M720" s="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4"/>
      <c r="I721" s="4"/>
      <c r="J721" s="5"/>
      <c r="K721" s="5"/>
      <c r="L721" s="5"/>
      <c r="M721" s="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4"/>
      <c r="I722" s="4"/>
      <c r="J722" s="5"/>
      <c r="K722" s="5"/>
      <c r="L722" s="5"/>
      <c r="M722" s="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4"/>
      <c r="I723" s="4"/>
      <c r="J723" s="5"/>
      <c r="K723" s="5"/>
      <c r="L723" s="5"/>
      <c r="M723" s="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4"/>
      <c r="I724" s="4"/>
      <c r="J724" s="5"/>
      <c r="K724" s="5"/>
      <c r="L724" s="5"/>
      <c r="M724" s="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4"/>
      <c r="I725" s="4"/>
      <c r="J725" s="5"/>
      <c r="K725" s="5"/>
      <c r="L725" s="5"/>
      <c r="M725" s="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4"/>
      <c r="I726" s="4"/>
      <c r="J726" s="5"/>
      <c r="K726" s="5"/>
      <c r="L726" s="5"/>
      <c r="M726" s="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4"/>
      <c r="I727" s="4"/>
      <c r="J727" s="5"/>
      <c r="K727" s="5"/>
      <c r="L727" s="5"/>
      <c r="M727" s="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4"/>
      <c r="I728" s="4"/>
      <c r="J728" s="5"/>
      <c r="K728" s="5"/>
      <c r="L728" s="5"/>
      <c r="M728" s="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4"/>
      <c r="I729" s="4"/>
      <c r="J729" s="5"/>
      <c r="K729" s="5"/>
      <c r="L729" s="5"/>
      <c r="M729" s="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4"/>
      <c r="I730" s="4"/>
      <c r="J730" s="5"/>
      <c r="K730" s="5"/>
      <c r="L730" s="5"/>
      <c r="M730" s="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4"/>
      <c r="I731" s="4"/>
      <c r="J731" s="5"/>
      <c r="K731" s="5"/>
      <c r="L731" s="5"/>
      <c r="M731" s="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4"/>
      <c r="I732" s="4"/>
      <c r="J732" s="5"/>
      <c r="K732" s="5"/>
      <c r="L732" s="5"/>
      <c r="M732" s="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4"/>
      <c r="I733" s="4"/>
      <c r="J733" s="5"/>
      <c r="K733" s="5"/>
      <c r="L733" s="5"/>
      <c r="M733" s="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4"/>
      <c r="I734" s="4"/>
      <c r="J734" s="5"/>
      <c r="K734" s="5"/>
      <c r="L734" s="5"/>
      <c r="M734" s="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4"/>
      <c r="I735" s="4"/>
      <c r="J735" s="5"/>
      <c r="K735" s="5"/>
      <c r="L735" s="5"/>
      <c r="M735" s="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4"/>
      <c r="I736" s="4"/>
      <c r="J736" s="5"/>
      <c r="K736" s="5"/>
      <c r="L736" s="5"/>
      <c r="M736" s="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4"/>
      <c r="I737" s="4"/>
      <c r="J737" s="5"/>
      <c r="K737" s="5"/>
      <c r="L737" s="5"/>
      <c r="M737" s="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4"/>
      <c r="I738" s="4"/>
      <c r="J738" s="5"/>
      <c r="K738" s="5"/>
      <c r="L738" s="5"/>
      <c r="M738" s="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4"/>
      <c r="I739" s="4"/>
      <c r="J739" s="5"/>
      <c r="K739" s="5"/>
      <c r="L739" s="5"/>
      <c r="M739" s="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4"/>
      <c r="I740" s="4"/>
      <c r="J740" s="5"/>
      <c r="K740" s="5"/>
      <c r="L740" s="5"/>
      <c r="M740" s="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4"/>
      <c r="I741" s="4"/>
      <c r="J741" s="5"/>
      <c r="K741" s="5"/>
      <c r="L741" s="5"/>
      <c r="M741" s="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4"/>
      <c r="I742" s="4"/>
      <c r="J742" s="5"/>
      <c r="K742" s="5"/>
      <c r="L742" s="5"/>
      <c r="M742" s="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4"/>
      <c r="I743" s="4"/>
      <c r="J743" s="5"/>
      <c r="K743" s="5"/>
      <c r="L743" s="5"/>
      <c r="M743" s="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4"/>
      <c r="I744" s="4"/>
      <c r="J744" s="5"/>
      <c r="K744" s="5"/>
      <c r="L744" s="5"/>
      <c r="M744" s="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4"/>
      <c r="I745" s="4"/>
      <c r="J745" s="5"/>
      <c r="K745" s="5"/>
      <c r="L745" s="5"/>
      <c r="M745" s="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4"/>
      <c r="I746" s="4"/>
      <c r="J746" s="5"/>
      <c r="K746" s="5"/>
      <c r="L746" s="5"/>
      <c r="M746" s="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4"/>
      <c r="I747" s="4"/>
      <c r="J747" s="5"/>
      <c r="K747" s="5"/>
      <c r="L747" s="5"/>
      <c r="M747" s="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4"/>
      <c r="I748" s="4"/>
      <c r="J748" s="5"/>
      <c r="K748" s="5"/>
      <c r="L748" s="5"/>
      <c r="M748" s="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4"/>
      <c r="I749" s="4"/>
      <c r="J749" s="5"/>
      <c r="K749" s="5"/>
      <c r="L749" s="5"/>
      <c r="M749" s="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4"/>
      <c r="I750" s="4"/>
      <c r="J750" s="5"/>
      <c r="K750" s="5"/>
      <c r="L750" s="5"/>
      <c r="M750" s="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4"/>
      <c r="I751" s="4"/>
      <c r="J751" s="5"/>
      <c r="K751" s="5"/>
      <c r="L751" s="5"/>
      <c r="M751" s="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4"/>
      <c r="I752" s="4"/>
      <c r="J752" s="5"/>
      <c r="K752" s="5"/>
      <c r="L752" s="5"/>
      <c r="M752" s="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4"/>
      <c r="I753" s="4"/>
      <c r="J753" s="5"/>
      <c r="K753" s="5"/>
      <c r="L753" s="5"/>
      <c r="M753" s="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4"/>
      <c r="I754" s="4"/>
      <c r="J754" s="5"/>
      <c r="K754" s="5"/>
      <c r="L754" s="5"/>
      <c r="M754" s="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4"/>
      <c r="I755" s="4"/>
      <c r="J755" s="5"/>
      <c r="K755" s="5"/>
      <c r="L755" s="5"/>
      <c r="M755" s="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4"/>
      <c r="I756" s="4"/>
      <c r="J756" s="5"/>
      <c r="K756" s="5"/>
      <c r="L756" s="5"/>
      <c r="M756" s="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4"/>
      <c r="I757" s="4"/>
      <c r="J757" s="5"/>
      <c r="K757" s="5"/>
      <c r="L757" s="5"/>
      <c r="M757" s="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4"/>
      <c r="I758" s="4"/>
      <c r="J758" s="5"/>
      <c r="K758" s="5"/>
      <c r="L758" s="5"/>
      <c r="M758" s="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4"/>
      <c r="I759" s="4"/>
      <c r="J759" s="5"/>
      <c r="K759" s="5"/>
      <c r="L759" s="5"/>
      <c r="M759" s="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4"/>
      <c r="I760" s="4"/>
      <c r="J760" s="5"/>
      <c r="K760" s="5"/>
      <c r="L760" s="5"/>
      <c r="M760" s="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4"/>
      <c r="I761" s="4"/>
      <c r="J761" s="5"/>
      <c r="K761" s="5"/>
      <c r="L761" s="5"/>
      <c r="M761" s="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4"/>
      <c r="I762" s="4"/>
      <c r="J762" s="5"/>
      <c r="K762" s="5"/>
      <c r="L762" s="5"/>
      <c r="M762" s="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4"/>
      <c r="I763" s="4"/>
      <c r="J763" s="5"/>
      <c r="K763" s="5"/>
      <c r="L763" s="5"/>
      <c r="M763" s="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4"/>
      <c r="I764" s="4"/>
      <c r="J764" s="5"/>
      <c r="K764" s="5"/>
      <c r="L764" s="5"/>
      <c r="M764" s="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4"/>
      <c r="I765" s="4"/>
      <c r="J765" s="5"/>
      <c r="K765" s="5"/>
      <c r="L765" s="5"/>
      <c r="M765" s="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4"/>
      <c r="I766" s="4"/>
      <c r="J766" s="5"/>
      <c r="K766" s="5"/>
      <c r="L766" s="5"/>
      <c r="M766" s="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4"/>
      <c r="I767" s="4"/>
      <c r="J767" s="5"/>
      <c r="K767" s="5"/>
      <c r="L767" s="5"/>
      <c r="M767" s="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4"/>
      <c r="I768" s="4"/>
      <c r="J768" s="5"/>
      <c r="K768" s="5"/>
      <c r="L768" s="5"/>
      <c r="M768" s="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4"/>
      <c r="I769" s="4"/>
      <c r="J769" s="5"/>
      <c r="K769" s="5"/>
      <c r="L769" s="5"/>
      <c r="M769" s="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4"/>
      <c r="I770" s="4"/>
      <c r="J770" s="5"/>
      <c r="K770" s="5"/>
      <c r="L770" s="5"/>
      <c r="M770" s="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4"/>
      <c r="I771" s="4"/>
      <c r="J771" s="5"/>
      <c r="K771" s="5"/>
      <c r="L771" s="5"/>
      <c r="M771" s="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4"/>
      <c r="I772" s="4"/>
      <c r="J772" s="5"/>
      <c r="K772" s="5"/>
      <c r="L772" s="5"/>
      <c r="M772" s="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4"/>
      <c r="I773" s="4"/>
      <c r="J773" s="5"/>
      <c r="K773" s="5"/>
      <c r="L773" s="5"/>
      <c r="M773" s="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4"/>
      <c r="I774" s="4"/>
      <c r="J774" s="5"/>
      <c r="K774" s="5"/>
      <c r="L774" s="5"/>
      <c r="M774" s="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4"/>
      <c r="I775" s="4"/>
      <c r="J775" s="5"/>
      <c r="K775" s="5"/>
      <c r="L775" s="5"/>
      <c r="M775" s="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4"/>
      <c r="I776" s="4"/>
      <c r="J776" s="5"/>
      <c r="K776" s="5"/>
      <c r="L776" s="5"/>
      <c r="M776" s="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4"/>
      <c r="I777" s="4"/>
      <c r="J777" s="5"/>
      <c r="K777" s="5"/>
      <c r="L777" s="5"/>
      <c r="M777" s="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4"/>
      <c r="I778" s="4"/>
      <c r="J778" s="5"/>
      <c r="K778" s="5"/>
      <c r="L778" s="5"/>
      <c r="M778" s="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4"/>
      <c r="I779" s="4"/>
      <c r="J779" s="5"/>
      <c r="K779" s="5"/>
      <c r="L779" s="5"/>
      <c r="M779" s="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4"/>
      <c r="I780" s="4"/>
      <c r="J780" s="5"/>
      <c r="K780" s="5"/>
      <c r="L780" s="5"/>
      <c r="M780" s="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4"/>
      <c r="I781" s="4"/>
      <c r="J781" s="5"/>
      <c r="K781" s="5"/>
      <c r="L781" s="5"/>
      <c r="M781" s="4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4"/>
      <c r="I782" s="4"/>
      <c r="J782" s="5"/>
      <c r="K782" s="5"/>
      <c r="L782" s="5"/>
      <c r="M782" s="4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4"/>
      <c r="I783" s="4"/>
      <c r="J783" s="5"/>
      <c r="K783" s="5"/>
      <c r="L783" s="5"/>
      <c r="M783" s="4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4"/>
      <c r="I784" s="4"/>
      <c r="J784" s="5"/>
      <c r="K784" s="5"/>
      <c r="L784" s="5"/>
      <c r="M784" s="4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4"/>
      <c r="I785" s="4"/>
      <c r="J785" s="5"/>
      <c r="K785" s="5"/>
      <c r="L785" s="5"/>
      <c r="M785" s="4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4"/>
      <c r="I786" s="4"/>
      <c r="J786" s="5"/>
      <c r="K786" s="5"/>
      <c r="L786" s="5"/>
      <c r="M786" s="4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4"/>
      <c r="I787" s="4"/>
      <c r="J787" s="5"/>
      <c r="K787" s="5"/>
      <c r="L787" s="5"/>
      <c r="M787" s="4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4"/>
      <c r="I788" s="4"/>
      <c r="J788" s="5"/>
      <c r="K788" s="5"/>
      <c r="L788" s="5"/>
      <c r="M788" s="4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4"/>
      <c r="I789" s="4"/>
      <c r="J789" s="5"/>
      <c r="K789" s="5"/>
      <c r="L789" s="5"/>
      <c r="M789" s="4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4"/>
      <c r="I790" s="4"/>
      <c r="J790" s="5"/>
      <c r="K790" s="5"/>
      <c r="L790" s="5"/>
      <c r="M790" s="4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4"/>
      <c r="I791" s="4"/>
      <c r="J791" s="5"/>
      <c r="K791" s="5"/>
      <c r="L791" s="5"/>
      <c r="M791" s="4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4"/>
      <c r="I792" s="4"/>
      <c r="J792" s="5"/>
      <c r="K792" s="5"/>
      <c r="L792" s="5"/>
      <c r="M792" s="4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4"/>
      <c r="I793" s="4"/>
      <c r="J793" s="5"/>
      <c r="K793" s="5"/>
      <c r="L793" s="5"/>
      <c r="M793" s="4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4"/>
      <c r="I794" s="4"/>
      <c r="J794" s="5"/>
      <c r="K794" s="5"/>
      <c r="L794" s="5"/>
      <c r="M794" s="4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4"/>
      <c r="I795" s="4"/>
      <c r="J795" s="5"/>
      <c r="K795" s="5"/>
      <c r="L795" s="5"/>
      <c r="M795" s="4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4"/>
      <c r="I796" s="4"/>
      <c r="J796" s="5"/>
      <c r="K796" s="5"/>
      <c r="L796" s="5"/>
      <c r="M796" s="4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4"/>
      <c r="I797" s="4"/>
      <c r="J797" s="5"/>
      <c r="K797" s="5"/>
      <c r="L797" s="5"/>
      <c r="M797" s="4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4"/>
      <c r="I798" s="4"/>
      <c r="J798" s="5"/>
      <c r="K798" s="5"/>
      <c r="L798" s="5"/>
      <c r="M798" s="4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4"/>
      <c r="I799" s="4"/>
      <c r="J799" s="5"/>
      <c r="K799" s="5"/>
      <c r="L799" s="5"/>
      <c r="M799" s="4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4"/>
      <c r="I800" s="4"/>
      <c r="J800" s="5"/>
      <c r="K800" s="5"/>
      <c r="L800" s="5"/>
      <c r="M800" s="4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4"/>
      <c r="I801" s="4"/>
      <c r="J801" s="5"/>
      <c r="K801" s="5"/>
      <c r="L801" s="5"/>
      <c r="M801" s="4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4"/>
      <c r="I802" s="4"/>
      <c r="J802" s="5"/>
      <c r="K802" s="5"/>
      <c r="L802" s="5"/>
      <c r="M802" s="4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4"/>
      <c r="I803" s="4"/>
      <c r="J803" s="5"/>
      <c r="K803" s="5"/>
      <c r="L803" s="5"/>
      <c r="M803" s="4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4"/>
      <c r="I804" s="4"/>
      <c r="J804" s="5"/>
      <c r="K804" s="5"/>
      <c r="L804" s="5"/>
      <c r="M804" s="4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4"/>
      <c r="I805" s="4"/>
      <c r="J805" s="5"/>
      <c r="K805" s="5"/>
      <c r="L805" s="5"/>
      <c r="M805" s="4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4"/>
      <c r="I806" s="4"/>
      <c r="J806" s="5"/>
      <c r="K806" s="5"/>
      <c r="L806" s="5"/>
      <c r="M806" s="4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4"/>
      <c r="I807" s="4"/>
      <c r="J807" s="5"/>
      <c r="K807" s="5"/>
      <c r="L807" s="5"/>
      <c r="M807" s="4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4"/>
      <c r="I808" s="4"/>
      <c r="J808" s="5"/>
      <c r="K808" s="5"/>
      <c r="L808" s="5"/>
      <c r="M808" s="4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4"/>
      <c r="I809" s="4"/>
      <c r="J809" s="5"/>
      <c r="K809" s="5"/>
      <c r="L809" s="5"/>
      <c r="M809" s="4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4"/>
      <c r="I810" s="4"/>
      <c r="J810" s="5"/>
      <c r="K810" s="5"/>
      <c r="L810" s="5"/>
      <c r="M810" s="4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4"/>
      <c r="I811" s="4"/>
      <c r="J811" s="5"/>
      <c r="K811" s="5"/>
      <c r="L811" s="5"/>
      <c r="M811" s="4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4"/>
      <c r="I812" s="4"/>
      <c r="J812" s="5"/>
      <c r="K812" s="5"/>
      <c r="L812" s="5"/>
      <c r="M812" s="4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4"/>
      <c r="I813" s="4"/>
      <c r="J813" s="5"/>
      <c r="K813" s="5"/>
      <c r="L813" s="5"/>
      <c r="M813" s="4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4"/>
      <c r="I814" s="4"/>
      <c r="J814" s="5"/>
      <c r="K814" s="5"/>
      <c r="L814" s="5"/>
      <c r="M814" s="4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4"/>
      <c r="I815" s="4"/>
      <c r="J815" s="5"/>
      <c r="K815" s="5"/>
      <c r="L815" s="5"/>
      <c r="M815" s="4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4"/>
      <c r="I816" s="4"/>
      <c r="J816" s="5"/>
      <c r="K816" s="5"/>
      <c r="L816" s="5"/>
      <c r="M816" s="4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4"/>
      <c r="I817" s="4"/>
      <c r="J817" s="5"/>
      <c r="K817" s="5"/>
      <c r="L817" s="5"/>
      <c r="M817" s="4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4"/>
      <c r="I818" s="4"/>
      <c r="J818" s="5"/>
      <c r="K818" s="5"/>
      <c r="L818" s="5"/>
      <c r="M818" s="4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4"/>
      <c r="I819" s="4"/>
      <c r="J819" s="5"/>
      <c r="K819" s="5"/>
      <c r="L819" s="5"/>
      <c r="M819" s="4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4"/>
      <c r="I820" s="4"/>
      <c r="J820" s="5"/>
      <c r="K820" s="5"/>
      <c r="L820" s="5"/>
      <c r="M820" s="4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4"/>
      <c r="I821" s="4"/>
      <c r="J821" s="5"/>
      <c r="K821" s="5"/>
      <c r="L821" s="5"/>
      <c r="M821" s="4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4"/>
      <c r="I822" s="4"/>
      <c r="J822" s="5"/>
      <c r="K822" s="5"/>
      <c r="L822" s="5"/>
      <c r="M822" s="4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4"/>
      <c r="I823" s="4"/>
      <c r="J823" s="5"/>
      <c r="K823" s="5"/>
      <c r="L823" s="5"/>
      <c r="M823" s="4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4"/>
      <c r="I824" s="4"/>
      <c r="J824" s="5"/>
      <c r="K824" s="5"/>
      <c r="L824" s="5"/>
      <c r="M824" s="4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4"/>
      <c r="I825" s="4"/>
      <c r="J825" s="5"/>
      <c r="K825" s="5"/>
      <c r="L825" s="5"/>
      <c r="M825" s="4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4"/>
      <c r="I826" s="4"/>
      <c r="J826" s="5"/>
      <c r="K826" s="5"/>
      <c r="L826" s="5"/>
      <c r="M826" s="4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4"/>
      <c r="I827" s="4"/>
      <c r="J827" s="5"/>
      <c r="K827" s="5"/>
      <c r="L827" s="5"/>
      <c r="M827" s="4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4"/>
      <c r="I828" s="4"/>
      <c r="J828" s="5"/>
      <c r="K828" s="5"/>
      <c r="L828" s="5"/>
      <c r="M828" s="4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4"/>
      <c r="I829" s="4"/>
      <c r="J829" s="5"/>
      <c r="K829" s="5"/>
      <c r="L829" s="5"/>
      <c r="M829" s="4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4"/>
      <c r="I830" s="4"/>
      <c r="J830" s="5"/>
      <c r="K830" s="5"/>
      <c r="L830" s="5"/>
      <c r="M830" s="4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4"/>
      <c r="I831" s="4"/>
      <c r="J831" s="5"/>
      <c r="K831" s="5"/>
      <c r="L831" s="5"/>
      <c r="M831" s="4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4"/>
      <c r="I832" s="4"/>
      <c r="J832" s="5"/>
      <c r="K832" s="5"/>
      <c r="L832" s="5"/>
      <c r="M832" s="4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4"/>
      <c r="I833" s="4"/>
      <c r="J833" s="5"/>
      <c r="K833" s="5"/>
      <c r="L833" s="5"/>
      <c r="M833" s="4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4"/>
      <c r="I834" s="4"/>
      <c r="J834" s="5"/>
      <c r="K834" s="5"/>
      <c r="L834" s="5"/>
      <c r="M834" s="4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4"/>
      <c r="I835" s="4"/>
      <c r="J835" s="5"/>
      <c r="K835" s="5"/>
      <c r="L835" s="5"/>
      <c r="M835" s="4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4"/>
      <c r="I836" s="4"/>
      <c r="J836" s="5"/>
      <c r="K836" s="5"/>
      <c r="L836" s="5"/>
      <c r="M836" s="4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4"/>
      <c r="I837" s="4"/>
      <c r="J837" s="5"/>
      <c r="K837" s="5"/>
      <c r="L837" s="5"/>
      <c r="M837" s="4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4"/>
      <c r="I838" s="4"/>
      <c r="J838" s="5"/>
      <c r="K838" s="5"/>
      <c r="L838" s="5"/>
      <c r="M838" s="4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4"/>
      <c r="I839" s="4"/>
      <c r="J839" s="5"/>
      <c r="K839" s="5"/>
      <c r="L839" s="5"/>
      <c r="M839" s="4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4"/>
      <c r="I840" s="4"/>
      <c r="J840" s="5"/>
      <c r="K840" s="5"/>
      <c r="L840" s="5"/>
      <c r="M840" s="4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4"/>
      <c r="I841" s="4"/>
      <c r="J841" s="5"/>
      <c r="K841" s="5"/>
      <c r="L841" s="5"/>
      <c r="M841" s="4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4"/>
      <c r="I842" s="4"/>
      <c r="J842" s="5"/>
      <c r="K842" s="5"/>
      <c r="L842" s="5"/>
      <c r="M842" s="4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4"/>
      <c r="I843" s="4"/>
      <c r="J843" s="5"/>
      <c r="K843" s="5"/>
      <c r="L843" s="5"/>
      <c r="M843" s="4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4"/>
      <c r="I844" s="4"/>
      <c r="J844" s="5"/>
      <c r="K844" s="5"/>
      <c r="L844" s="5"/>
      <c r="M844" s="4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4"/>
      <c r="I845" s="4"/>
      <c r="J845" s="5"/>
      <c r="K845" s="5"/>
      <c r="L845" s="5"/>
      <c r="M845" s="4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4"/>
      <c r="I846" s="4"/>
      <c r="J846" s="5"/>
      <c r="K846" s="5"/>
      <c r="L846" s="5"/>
      <c r="M846" s="4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4"/>
      <c r="I847" s="4"/>
      <c r="J847" s="5"/>
      <c r="K847" s="5"/>
      <c r="L847" s="5"/>
      <c r="M847" s="4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4"/>
      <c r="I848" s="4"/>
      <c r="J848" s="5"/>
      <c r="K848" s="5"/>
      <c r="L848" s="5"/>
      <c r="M848" s="4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4"/>
      <c r="I849" s="4"/>
      <c r="J849" s="5"/>
      <c r="K849" s="5"/>
      <c r="L849" s="5"/>
      <c r="M849" s="4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4"/>
      <c r="I850" s="4"/>
      <c r="J850" s="5"/>
      <c r="K850" s="5"/>
      <c r="L850" s="5"/>
      <c r="M850" s="4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4"/>
      <c r="I851" s="4"/>
      <c r="J851" s="5"/>
      <c r="K851" s="5"/>
      <c r="L851" s="5"/>
      <c r="M851" s="4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4"/>
      <c r="I852" s="4"/>
      <c r="J852" s="5"/>
      <c r="K852" s="5"/>
      <c r="L852" s="5"/>
      <c r="M852" s="4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4"/>
      <c r="I853" s="4"/>
      <c r="J853" s="5"/>
      <c r="K853" s="5"/>
      <c r="L853" s="5"/>
      <c r="M853" s="4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4"/>
      <c r="I854" s="4"/>
      <c r="J854" s="5"/>
      <c r="K854" s="5"/>
      <c r="L854" s="5"/>
      <c r="M854" s="4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4"/>
      <c r="I855" s="4"/>
      <c r="J855" s="5"/>
      <c r="K855" s="5"/>
      <c r="L855" s="5"/>
      <c r="M855" s="4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4"/>
      <c r="I856" s="4"/>
      <c r="J856" s="5"/>
      <c r="K856" s="5"/>
      <c r="L856" s="5"/>
      <c r="M856" s="4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4"/>
      <c r="I857" s="4"/>
      <c r="J857" s="5"/>
      <c r="K857" s="5"/>
      <c r="L857" s="5"/>
      <c r="M857" s="4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4"/>
      <c r="I858" s="4"/>
      <c r="J858" s="5"/>
      <c r="K858" s="5"/>
      <c r="L858" s="5"/>
      <c r="M858" s="4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4"/>
      <c r="I859" s="4"/>
      <c r="J859" s="5"/>
      <c r="K859" s="5"/>
      <c r="L859" s="5"/>
      <c r="M859" s="4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4"/>
      <c r="I860" s="4"/>
      <c r="J860" s="5"/>
      <c r="K860" s="5"/>
      <c r="L860" s="5"/>
      <c r="M860" s="4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4"/>
      <c r="I861" s="4"/>
      <c r="J861" s="5"/>
      <c r="K861" s="5"/>
      <c r="L861" s="5"/>
      <c r="M861" s="4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4"/>
      <c r="I862" s="4"/>
      <c r="J862" s="5"/>
      <c r="K862" s="5"/>
      <c r="L862" s="5"/>
      <c r="M862" s="4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4"/>
      <c r="I863" s="4"/>
      <c r="J863" s="5"/>
      <c r="K863" s="5"/>
      <c r="L863" s="5"/>
      <c r="M863" s="4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4"/>
      <c r="I864" s="4"/>
      <c r="J864" s="5"/>
      <c r="K864" s="5"/>
      <c r="L864" s="5"/>
      <c r="M864" s="4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4"/>
      <c r="I865" s="4"/>
      <c r="J865" s="5"/>
      <c r="K865" s="5"/>
      <c r="L865" s="5"/>
      <c r="M865" s="4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4"/>
      <c r="I866" s="4"/>
      <c r="J866" s="5"/>
      <c r="K866" s="5"/>
      <c r="L866" s="5"/>
      <c r="M866" s="4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4"/>
      <c r="I867" s="4"/>
      <c r="J867" s="5"/>
      <c r="K867" s="5"/>
      <c r="L867" s="5"/>
      <c r="M867" s="4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4"/>
      <c r="I868" s="4"/>
      <c r="J868" s="5"/>
      <c r="K868" s="5"/>
      <c r="L868" s="5"/>
      <c r="M868" s="4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4"/>
      <c r="I869" s="4"/>
      <c r="J869" s="5"/>
      <c r="K869" s="5"/>
      <c r="L869" s="5"/>
      <c r="M869" s="4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4"/>
      <c r="I870" s="4"/>
      <c r="J870" s="5"/>
      <c r="K870" s="5"/>
      <c r="L870" s="5"/>
      <c r="M870" s="4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4"/>
      <c r="I871" s="4"/>
      <c r="J871" s="5"/>
      <c r="K871" s="5"/>
      <c r="L871" s="5"/>
      <c r="M871" s="4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4"/>
      <c r="I872" s="4"/>
      <c r="J872" s="5"/>
      <c r="K872" s="5"/>
      <c r="L872" s="5"/>
      <c r="M872" s="4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4"/>
      <c r="I873" s="4"/>
      <c r="J873" s="5"/>
      <c r="K873" s="5"/>
      <c r="L873" s="5"/>
      <c r="M873" s="4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4"/>
      <c r="I874" s="4"/>
      <c r="J874" s="5"/>
      <c r="K874" s="5"/>
      <c r="L874" s="5"/>
      <c r="M874" s="4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4"/>
      <c r="I875" s="4"/>
      <c r="J875" s="5"/>
      <c r="K875" s="5"/>
      <c r="L875" s="5"/>
      <c r="M875" s="4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4"/>
      <c r="I876" s="4"/>
      <c r="J876" s="5"/>
      <c r="K876" s="5"/>
      <c r="L876" s="5"/>
      <c r="M876" s="4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4"/>
      <c r="I877" s="4"/>
      <c r="J877" s="5"/>
      <c r="K877" s="5"/>
      <c r="L877" s="5"/>
      <c r="M877" s="4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4"/>
      <c r="I878" s="4"/>
      <c r="J878" s="5"/>
      <c r="K878" s="5"/>
      <c r="L878" s="5"/>
      <c r="M878" s="4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4"/>
      <c r="I879" s="4"/>
      <c r="J879" s="5"/>
      <c r="K879" s="5"/>
      <c r="L879" s="5"/>
      <c r="M879" s="4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4"/>
      <c r="I880" s="4"/>
      <c r="J880" s="5"/>
      <c r="K880" s="5"/>
      <c r="L880" s="5"/>
      <c r="M880" s="4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4"/>
      <c r="I881" s="4"/>
      <c r="J881" s="5"/>
      <c r="K881" s="5"/>
      <c r="L881" s="5"/>
      <c r="M881" s="4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4"/>
      <c r="I882" s="4"/>
      <c r="J882" s="5"/>
      <c r="K882" s="5"/>
      <c r="L882" s="5"/>
      <c r="M882" s="4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4"/>
      <c r="I883" s="4"/>
      <c r="J883" s="5"/>
      <c r="K883" s="5"/>
      <c r="L883" s="5"/>
      <c r="M883" s="4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4"/>
      <c r="I884" s="4"/>
      <c r="J884" s="5"/>
      <c r="K884" s="5"/>
      <c r="L884" s="5"/>
      <c r="M884" s="4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4"/>
      <c r="I885" s="4"/>
      <c r="J885" s="5"/>
      <c r="K885" s="5"/>
      <c r="L885" s="5"/>
      <c r="M885" s="4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4"/>
      <c r="I886" s="4"/>
      <c r="J886" s="5"/>
      <c r="K886" s="5"/>
      <c r="L886" s="5"/>
      <c r="M886" s="4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4"/>
      <c r="I887" s="4"/>
      <c r="J887" s="5"/>
      <c r="K887" s="5"/>
      <c r="L887" s="5"/>
      <c r="M887" s="4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4"/>
      <c r="I888" s="4"/>
      <c r="J888" s="5"/>
      <c r="K888" s="5"/>
      <c r="L888" s="5"/>
      <c r="M888" s="4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4"/>
      <c r="I889" s="4"/>
      <c r="J889" s="5"/>
      <c r="K889" s="5"/>
      <c r="L889" s="5"/>
      <c r="M889" s="4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4"/>
      <c r="I890" s="4"/>
      <c r="J890" s="5"/>
      <c r="K890" s="5"/>
      <c r="L890" s="5"/>
      <c r="M890" s="4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4"/>
      <c r="I891" s="4"/>
      <c r="J891" s="5"/>
      <c r="K891" s="5"/>
      <c r="L891" s="5"/>
      <c r="M891" s="4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4"/>
      <c r="I892" s="4"/>
      <c r="J892" s="5"/>
      <c r="K892" s="5"/>
      <c r="L892" s="5"/>
      <c r="M892" s="4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4"/>
      <c r="I893" s="4"/>
      <c r="J893" s="5"/>
      <c r="K893" s="5"/>
      <c r="L893" s="5"/>
      <c r="M893" s="4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4"/>
      <c r="I894" s="4"/>
      <c r="J894" s="5"/>
      <c r="K894" s="5"/>
      <c r="L894" s="5"/>
      <c r="M894" s="4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4"/>
      <c r="I895" s="4"/>
      <c r="J895" s="5"/>
      <c r="K895" s="5"/>
      <c r="L895" s="5"/>
      <c r="M895" s="4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4"/>
      <c r="I896" s="4"/>
      <c r="J896" s="5"/>
      <c r="K896" s="5"/>
      <c r="L896" s="5"/>
      <c r="M896" s="4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4"/>
      <c r="I897" s="4"/>
      <c r="J897" s="5"/>
      <c r="K897" s="5"/>
      <c r="L897" s="5"/>
      <c r="M897" s="4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4"/>
      <c r="I898" s="4"/>
      <c r="J898" s="5"/>
      <c r="K898" s="5"/>
      <c r="L898" s="5"/>
      <c r="M898" s="4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4"/>
      <c r="I899" s="4"/>
      <c r="J899" s="5"/>
      <c r="K899" s="5"/>
      <c r="L899" s="5"/>
      <c r="M899" s="4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4"/>
      <c r="I900" s="4"/>
      <c r="J900" s="5"/>
      <c r="K900" s="5"/>
      <c r="L900" s="5"/>
      <c r="M900" s="4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</sheetData>
  <autoFilter ref="$B$1:$B$900"/>
  <conditionalFormatting sqref="C1:C239 C297:C900">
    <cfRule type="expression" dxfId="1" priority="1">
      <formula>s</formula>
    </cfRule>
  </conditionalFormatting>
  <dataValidations>
    <dataValidation type="list" allowBlank="1" showErrorMessage="1" sqref="B10:B19 B297:B584">
      <formula1>"SS,BOS Ogi,AMR 1,AMR 2,BOS Andris"</formula1>
    </dataValidation>
    <dataValidation type="list" allowBlank="1" showErrorMessage="1" sqref="B3:B9 B20:B245">
      <formula1>"SS,BOS Ogi,AMR ,NIA"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71"/>
    <col customWidth="1" min="4" max="4" width="31.57"/>
    <col customWidth="1" min="5" max="5" width="4.29"/>
    <col customWidth="1" min="8" max="8" width="21.57"/>
  </cols>
  <sheetData>
    <row r="1" ht="30.0" customHeight="1">
      <c r="A1" s="34" t="b">
        <v>1</v>
      </c>
      <c r="B1" s="35"/>
      <c r="C1" s="35"/>
      <c r="D1" s="35"/>
      <c r="E1" s="35"/>
      <c r="F1" s="36"/>
      <c r="G1" s="37">
        <f>SUM(G3:G1021)</f>
        <v>1711309</v>
      </c>
      <c r="H1" s="38"/>
      <c r="I1" s="39"/>
      <c r="J1" s="40"/>
      <c r="K1" s="41"/>
      <c r="L1" s="42"/>
      <c r="M1" s="43"/>
      <c r="N1" s="44"/>
      <c r="O1" s="43"/>
      <c r="AB1" s="43"/>
      <c r="AC1" s="43"/>
      <c r="AD1" s="45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</row>
    <row r="2">
      <c r="A2" s="46" t="s">
        <v>1</v>
      </c>
      <c r="B2" s="46" t="s">
        <v>80</v>
      </c>
      <c r="C2" s="46" t="s">
        <v>81</v>
      </c>
      <c r="D2" s="46" t="s">
        <v>82</v>
      </c>
      <c r="E2" s="46" t="s">
        <v>83</v>
      </c>
      <c r="F2" s="47" t="s">
        <v>5</v>
      </c>
      <c r="G2" s="48" t="s">
        <v>6</v>
      </c>
      <c r="H2" s="46" t="s">
        <v>84</v>
      </c>
      <c r="I2" s="49"/>
      <c r="J2" s="40"/>
      <c r="K2" s="41" t="b">
        <v>1</v>
      </c>
      <c r="L2" s="42"/>
      <c r="M2" s="43"/>
      <c r="N2" s="43"/>
      <c r="O2" s="43"/>
      <c r="AB2" s="43"/>
      <c r="AC2" s="43"/>
      <c r="AD2" s="45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>
      <c r="A3" s="50">
        <v>46181.0</v>
      </c>
      <c r="B3" s="51">
        <v>1.0</v>
      </c>
      <c r="C3" s="52" t="s">
        <v>85</v>
      </c>
      <c r="D3" s="51" t="s">
        <v>86</v>
      </c>
      <c r="E3" s="51">
        <v>1.0</v>
      </c>
      <c r="F3" s="53">
        <v>103000.0</v>
      </c>
      <c r="G3" s="54">
        <f t="shared" ref="G3:G36" si="1">F3*E3</f>
        <v>103000</v>
      </c>
      <c r="H3" s="51" t="s">
        <v>87</v>
      </c>
      <c r="I3" s="55"/>
      <c r="J3" s="56"/>
      <c r="K3" s="41" t="b">
        <v>1</v>
      </c>
      <c r="L3" s="57"/>
    </row>
    <row r="4">
      <c r="A4" s="50">
        <v>46181.0</v>
      </c>
      <c r="B4" s="55"/>
      <c r="C4" s="52" t="s">
        <v>85</v>
      </c>
      <c r="D4" s="51" t="s">
        <v>88</v>
      </c>
      <c r="E4" s="51">
        <v>1.0</v>
      </c>
      <c r="F4" s="53">
        <v>188000.0</v>
      </c>
      <c r="G4" s="54">
        <f t="shared" si="1"/>
        <v>188000</v>
      </c>
      <c r="H4" s="51" t="s">
        <v>87</v>
      </c>
      <c r="I4" s="58">
        <f>SUM(G3:G4)</f>
        <v>291000</v>
      </c>
      <c r="J4" s="56"/>
      <c r="K4" s="41" t="b">
        <v>1</v>
      </c>
      <c r="L4" s="57"/>
    </row>
    <row r="5">
      <c r="A5" s="50">
        <v>46181.0</v>
      </c>
      <c r="B5" s="51">
        <v>2.0</v>
      </c>
      <c r="C5" s="52" t="s">
        <v>85</v>
      </c>
      <c r="D5" s="51" t="s">
        <v>89</v>
      </c>
      <c r="E5" s="51">
        <v>1.0</v>
      </c>
      <c r="F5" s="53">
        <v>150000.0</v>
      </c>
      <c r="G5" s="54">
        <f t="shared" si="1"/>
        <v>150000</v>
      </c>
      <c r="H5" s="51" t="s">
        <v>90</v>
      </c>
      <c r="I5" s="55"/>
      <c r="J5" s="56"/>
      <c r="K5" s="41" t="b">
        <v>1</v>
      </c>
      <c r="L5" s="57"/>
    </row>
    <row r="6">
      <c r="A6" s="50">
        <v>46181.0</v>
      </c>
      <c r="B6" s="51">
        <v>3.0</v>
      </c>
      <c r="C6" s="52" t="s">
        <v>85</v>
      </c>
      <c r="D6" s="51" t="s">
        <v>91</v>
      </c>
      <c r="E6" s="51">
        <v>3.0</v>
      </c>
      <c r="F6" s="59">
        <v>18000.0</v>
      </c>
      <c r="G6" s="54">
        <f t="shared" si="1"/>
        <v>54000</v>
      </c>
      <c r="H6" s="51" t="s">
        <v>92</v>
      </c>
      <c r="I6" s="55"/>
      <c r="J6" s="56"/>
      <c r="K6" s="41" t="b">
        <v>1</v>
      </c>
      <c r="L6" s="57"/>
    </row>
    <row r="7">
      <c r="A7" s="50">
        <v>46181.0</v>
      </c>
      <c r="B7" s="51">
        <v>4.0</v>
      </c>
      <c r="C7" s="52" t="s">
        <v>85</v>
      </c>
      <c r="D7" s="51" t="s">
        <v>93</v>
      </c>
      <c r="E7" s="51">
        <v>2.0</v>
      </c>
      <c r="F7" s="60">
        <v>12000.0</v>
      </c>
      <c r="G7" s="54">
        <f t="shared" si="1"/>
        <v>24000</v>
      </c>
      <c r="H7" s="51" t="s">
        <v>94</v>
      </c>
      <c r="I7" s="55"/>
      <c r="J7" s="56"/>
      <c r="K7" s="41" t="b">
        <v>1</v>
      </c>
      <c r="L7" s="57"/>
    </row>
    <row r="8">
      <c r="A8" s="50">
        <v>46181.0</v>
      </c>
      <c r="B8" s="51">
        <v>5.0</v>
      </c>
      <c r="C8" s="52" t="s">
        <v>85</v>
      </c>
      <c r="D8" s="51" t="s">
        <v>95</v>
      </c>
      <c r="E8" s="51">
        <v>1.0</v>
      </c>
      <c r="F8" s="60">
        <v>24000.0</v>
      </c>
      <c r="G8" s="54">
        <f t="shared" si="1"/>
        <v>24000</v>
      </c>
      <c r="H8" s="51" t="s">
        <v>94</v>
      </c>
      <c r="I8" s="58">
        <f>SUM(G7:G8)</f>
        <v>48000</v>
      </c>
      <c r="J8" s="56"/>
      <c r="K8" s="41" t="b">
        <v>1</v>
      </c>
      <c r="L8" s="57"/>
    </row>
    <row r="9">
      <c r="A9" s="50">
        <v>46181.0</v>
      </c>
      <c r="B9" s="61">
        <v>6.0</v>
      </c>
      <c r="C9" s="52" t="s">
        <v>85</v>
      </c>
      <c r="D9" s="61" t="s">
        <v>96</v>
      </c>
      <c r="E9" s="61">
        <v>1.0</v>
      </c>
      <c r="F9" s="62">
        <v>470000.0</v>
      </c>
      <c r="G9" s="54">
        <f t="shared" si="1"/>
        <v>470000</v>
      </c>
      <c r="H9" s="61" t="s">
        <v>97</v>
      </c>
      <c r="I9" s="63"/>
      <c r="K9" s="41" t="b">
        <v>1</v>
      </c>
    </row>
    <row r="10">
      <c r="A10" s="50">
        <v>46182.0</v>
      </c>
      <c r="B10" s="61">
        <v>7.0</v>
      </c>
      <c r="C10" s="52" t="s">
        <v>85</v>
      </c>
      <c r="D10" s="61" t="s">
        <v>98</v>
      </c>
      <c r="E10" s="61">
        <v>1.0</v>
      </c>
      <c r="F10" s="62">
        <v>668309.0</v>
      </c>
      <c r="G10" s="54">
        <f t="shared" si="1"/>
        <v>668309</v>
      </c>
      <c r="H10" s="61" t="s">
        <v>99</v>
      </c>
      <c r="I10" s="63"/>
      <c r="K10" s="41" t="b">
        <v>1</v>
      </c>
    </row>
    <row r="11">
      <c r="A11" s="50">
        <v>46183.0</v>
      </c>
      <c r="B11" s="61">
        <v>8.0</v>
      </c>
      <c r="C11" s="52" t="s">
        <v>85</v>
      </c>
      <c r="D11" s="61" t="s">
        <v>100</v>
      </c>
      <c r="E11" s="61">
        <v>1.0</v>
      </c>
      <c r="F11" s="62">
        <v>30000.0</v>
      </c>
      <c r="G11" s="54">
        <f t="shared" si="1"/>
        <v>30000</v>
      </c>
      <c r="H11" s="61" t="s">
        <v>101</v>
      </c>
      <c r="I11" s="63"/>
      <c r="K11" s="41" t="b">
        <v>1</v>
      </c>
    </row>
    <row r="12">
      <c r="C12" s="64"/>
      <c r="D12" s="65"/>
      <c r="E12" s="65"/>
      <c r="F12" s="66"/>
      <c r="G12" s="67">
        <f t="shared" si="1"/>
        <v>0</v>
      </c>
      <c r="H12" s="65"/>
    </row>
    <row r="13">
      <c r="C13" s="64"/>
      <c r="D13" s="68" t="s">
        <v>102</v>
      </c>
      <c r="E13" s="65"/>
      <c r="F13" s="66"/>
      <c r="G13" s="67">
        <f t="shared" si="1"/>
        <v>0</v>
      </c>
      <c r="H13" s="65"/>
    </row>
    <row r="14">
      <c r="C14" s="64"/>
      <c r="D14" s="65"/>
      <c r="E14" s="65"/>
      <c r="F14" s="66"/>
      <c r="G14" s="67">
        <f t="shared" si="1"/>
        <v>0</v>
      </c>
      <c r="H14" s="65"/>
    </row>
    <row r="15">
      <c r="C15" s="64"/>
      <c r="D15" s="65"/>
      <c r="E15" s="65"/>
      <c r="F15" s="66"/>
      <c r="G15" s="67">
        <f t="shared" si="1"/>
        <v>0</v>
      </c>
      <c r="H15" s="65"/>
    </row>
    <row r="16">
      <c r="C16" s="64"/>
      <c r="D16" s="65"/>
      <c r="E16" s="65"/>
      <c r="F16" s="66"/>
      <c r="G16" s="67">
        <f t="shared" si="1"/>
        <v>0</v>
      </c>
      <c r="H16" s="65"/>
    </row>
    <row r="17">
      <c r="C17" s="64"/>
      <c r="D17" s="65"/>
      <c r="E17" s="65"/>
      <c r="F17" s="66"/>
      <c r="G17" s="67">
        <f t="shared" si="1"/>
        <v>0</v>
      </c>
      <c r="H17" s="65"/>
    </row>
    <row r="18">
      <c r="C18" s="64"/>
      <c r="D18" s="65"/>
      <c r="E18" s="65"/>
      <c r="F18" s="66"/>
      <c r="G18" s="67">
        <f t="shared" si="1"/>
        <v>0</v>
      </c>
      <c r="H18" s="65"/>
    </row>
    <row r="19">
      <c r="D19" s="65"/>
      <c r="E19" s="65"/>
      <c r="F19" s="66"/>
      <c r="G19" s="67">
        <f t="shared" si="1"/>
        <v>0</v>
      </c>
      <c r="H19" s="65"/>
    </row>
    <row r="20">
      <c r="D20" s="65"/>
      <c r="E20" s="65"/>
      <c r="F20" s="66"/>
      <c r="G20" s="67">
        <f t="shared" si="1"/>
        <v>0</v>
      </c>
      <c r="H20" s="65"/>
    </row>
    <row r="21">
      <c r="D21" s="65"/>
      <c r="E21" s="65"/>
      <c r="F21" s="66"/>
      <c r="G21" s="67">
        <f t="shared" si="1"/>
        <v>0</v>
      </c>
      <c r="H21" s="65"/>
    </row>
    <row r="22">
      <c r="D22" s="65"/>
      <c r="E22" s="65"/>
      <c r="F22" s="66"/>
      <c r="G22" s="67">
        <f t="shared" si="1"/>
        <v>0</v>
      </c>
      <c r="H22" s="65"/>
    </row>
    <row r="23">
      <c r="D23" s="65"/>
      <c r="E23" s="65"/>
      <c r="F23" s="66"/>
      <c r="G23" s="67">
        <f t="shared" si="1"/>
        <v>0</v>
      </c>
      <c r="H23" s="65"/>
    </row>
    <row r="24">
      <c r="D24" s="65"/>
      <c r="E24" s="65"/>
      <c r="F24" s="66"/>
      <c r="G24" s="67">
        <f t="shared" si="1"/>
        <v>0</v>
      </c>
      <c r="H24" s="65"/>
    </row>
    <row r="25">
      <c r="D25" s="65"/>
      <c r="E25" s="65"/>
      <c r="F25" s="66"/>
      <c r="G25" s="67">
        <f t="shared" si="1"/>
        <v>0</v>
      </c>
      <c r="H25" s="65"/>
    </row>
    <row r="26">
      <c r="D26" s="65"/>
      <c r="E26" s="65"/>
      <c r="F26" s="66"/>
      <c r="G26" s="67">
        <f t="shared" si="1"/>
        <v>0</v>
      </c>
      <c r="H26" s="65"/>
    </row>
    <row r="27">
      <c r="D27" s="65"/>
      <c r="E27" s="65"/>
      <c r="F27" s="66"/>
      <c r="G27" s="67">
        <f t="shared" si="1"/>
        <v>0</v>
      </c>
      <c r="H27" s="65"/>
    </row>
    <row r="28">
      <c r="D28" s="65"/>
      <c r="E28" s="65"/>
      <c r="F28" s="66"/>
      <c r="G28" s="67">
        <f t="shared" si="1"/>
        <v>0</v>
      </c>
      <c r="H28" s="65"/>
    </row>
    <row r="29">
      <c r="D29" s="65"/>
      <c r="E29" s="65"/>
      <c r="F29" s="66"/>
      <c r="G29" s="67">
        <f t="shared" si="1"/>
        <v>0</v>
      </c>
      <c r="H29" s="65"/>
    </row>
    <row r="30">
      <c r="D30" s="65"/>
      <c r="E30" s="65"/>
      <c r="F30" s="66"/>
      <c r="G30" s="67">
        <f t="shared" si="1"/>
        <v>0</v>
      </c>
      <c r="H30" s="65"/>
    </row>
    <row r="31">
      <c r="D31" s="65"/>
      <c r="E31" s="65"/>
      <c r="F31" s="66"/>
      <c r="G31" s="67">
        <f t="shared" si="1"/>
        <v>0</v>
      </c>
      <c r="H31" s="65"/>
    </row>
    <row r="32">
      <c r="D32" s="65"/>
      <c r="E32" s="65"/>
      <c r="F32" s="66"/>
      <c r="G32" s="67">
        <f t="shared" si="1"/>
        <v>0</v>
      </c>
      <c r="H32" s="65"/>
    </row>
    <row r="33">
      <c r="D33" s="65"/>
      <c r="E33" s="65"/>
      <c r="F33" s="66"/>
      <c r="G33" s="67">
        <f t="shared" si="1"/>
        <v>0</v>
      </c>
      <c r="H33" s="65"/>
    </row>
    <row r="34">
      <c r="D34" s="65"/>
      <c r="E34" s="65"/>
      <c r="F34" s="66"/>
      <c r="G34" s="67">
        <f t="shared" si="1"/>
        <v>0</v>
      </c>
      <c r="H34" s="65"/>
    </row>
    <row r="35">
      <c r="D35" s="65"/>
      <c r="E35" s="65"/>
      <c r="F35" s="66"/>
      <c r="G35" s="67">
        <f t="shared" si="1"/>
        <v>0</v>
      </c>
      <c r="H35" s="65"/>
    </row>
    <row r="36">
      <c r="D36" s="65"/>
      <c r="E36" s="65"/>
      <c r="F36" s="66"/>
      <c r="G36" s="67">
        <f t="shared" si="1"/>
        <v>0</v>
      </c>
      <c r="H36" s="65"/>
    </row>
    <row r="37">
      <c r="D37" s="65"/>
      <c r="E37" s="65"/>
      <c r="F37" s="66"/>
      <c r="H37" s="65"/>
    </row>
    <row r="38">
      <c r="D38" s="65"/>
      <c r="E38" s="65"/>
      <c r="F38" s="66"/>
      <c r="H38" s="65"/>
    </row>
    <row r="39">
      <c r="D39" s="65"/>
      <c r="E39" s="65"/>
      <c r="F39" s="66"/>
      <c r="H39" s="65"/>
    </row>
    <row r="40">
      <c r="D40" s="65"/>
      <c r="E40" s="65"/>
      <c r="F40" s="66"/>
      <c r="H40" s="65"/>
    </row>
    <row r="41">
      <c r="D41" s="65"/>
      <c r="E41" s="65"/>
      <c r="F41" s="66"/>
      <c r="H41" s="65"/>
    </row>
    <row r="42">
      <c r="D42" s="65"/>
      <c r="E42" s="65"/>
      <c r="F42" s="66"/>
      <c r="H42" s="65"/>
    </row>
    <row r="43">
      <c r="D43" s="65"/>
      <c r="E43" s="65"/>
      <c r="F43" s="66"/>
      <c r="H43" s="65"/>
    </row>
    <row r="44">
      <c r="D44" s="65"/>
      <c r="E44" s="65"/>
      <c r="F44" s="66"/>
      <c r="H44" s="65"/>
    </row>
    <row r="45">
      <c r="D45" s="65"/>
      <c r="E45" s="65"/>
      <c r="F45" s="66"/>
      <c r="H45" s="65"/>
    </row>
    <row r="46">
      <c r="D46" s="65"/>
      <c r="E46" s="65"/>
      <c r="F46" s="66"/>
      <c r="H46" s="65"/>
    </row>
    <row r="47">
      <c r="D47" s="65"/>
      <c r="E47" s="65"/>
      <c r="F47" s="66"/>
      <c r="H47" s="65"/>
    </row>
    <row r="48">
      <c r="D48" s="65"/>
      <c r="E48" s="65"/>
      <c r="F48" s="66"/>
      <c r="H48" s="65"/>
    </row>
    <row r="49">
      <c r="D49" s="65"/>
      <c r="E49" s="65"/>
      <c r="F49" s="66"/>
      <c r="H49" s="65"/>
    </row>
    <row r="50">
      <c r="D50" s="65"/>
      <c r="E50" s="65"/>
      <c r="F50" s="66"/>
      <c r="H50" s="65"/>
    </row>
    <row r="51">
      <c r="D51" s="65"/>
      <c r="E51" s="65"/>
      <c r="F51" s="66"/>
      <c r="H51" s="65"/>
    </row>
    <row r="52">
      <c r="D52" s="65"/>
      <c r="E52" s="65"/>
      <c r="F52" s="66"/>
      <c r="H52" s="65"/>
    </row>
    <row r="53">
      <c r="D53" s="65"/>
      <c r="E53" s="65"/>
      <c r="F53" s="66"/>
      <c r="H53" s="65"/>
    </row>
    <row r="54">
      <c r="D54" s="65"/>
      <c r="E54" s="65"/>
      <c r="F54" s="66"/>
      <c r="H54" s="65"/>
    </row>
    <row r="55">
      <c r="D55" s="65"/>
      <c r="E55" s="65"/>
      <c r="F55" s="66"/>
      <c r="H55" s="65"/>
    </row>
    <row r="56">
      <c r="D56" s="65"/>
      <c r="E56" s="65"/>
      <c r="F56" s="66"/>
      <c r="H56" s="65"/>
    </row>
    <row r="57">
      <c r="D57" s="65"/>
      <c r="E57" s="65"/>
      <c r="F57" s="66"/>
      <c r="H57" s="65"/>
    </row>
    <row r="58">
      <c r="D58" s="65"/>
      <c r="E58" s="65"/>
      <c r="F58" s="66"/>
      <c r="H58" s="65"/>
    </row>
    <row r="59">
      <c r="D59" s="65"/>
      <c r="E59" s="65"/>
      <c r="F59" s="66"/>
      <c r="H59" s="65"/>
    </row>
    <row r="60">
      <c r="D60" s="65"/>
      <c r="E60" s="65"/>
      <c r="F60" s="66"/>
      <c r="H60" s="65"/>
    </row>
    <row r="61">
      <c r="D61" s="65"/>
      <c r="E61" s="65"/>
      <c r="F61" s="66"/>
      <c r="H61" s="65"/>
    </row>
    <row r="62">
      <c r="D62" s="65"/>
      <c r="E62" s="65"/>
      <c r="F62" s="66"/>
      <c r="H62" s="65"/>
    </row>
    <row r="63">
      <c r="D63" s="65"/>
      <c r="E63" s="65"/>
      <c r="F63" s="66"/>
      <c r="H63" s="65"/>
    </row>
    <row r="64">
      <c r="D64" s="65"/>
      <c r="E64" s="65"/>
      <c r="F64" s="66"/>
      <c r="H64" s="65"/>
    </row>
    <row r="65">
      <c r="D65" s="65"/>
      <c r="E65" s="65"/>
      <c r="F65" s="66"/>
      <c r="H65" s="65"/>
    </row>
    <row r="66">
      <c r="D66" s="65"/>
      <c r="E66" s="65"/>
      <c r="F66" s="66"/>
      <c r="H66" s="65"/>
    </row>
    <row r="67">
      <c r="D67" s="65"/>
      <c r="E67" s="65"/>
      <c r="F67" s="66"/>
      <c r="H67" s="65"/>
    </row>
    <row r="68">
      <c r="D68" s="65"/>
      <c r="E68" s="65"/>
      <c r="F68" s="66"/>
      <c r="H68" s="65"/>
    </row>
    <row r="69">
      <c r="D69" s="65"/>
      <c r="E69" s="65"/>
      <c r="F69" s="66"/>
      <c r="H69" s="65"/>
    </row>
    <row r="70">
      <c r="D70" s="65"/>
      <c r="E70" s="65"/>
      <c r="F70" s="66"/>
      <c r="H70" s="65"/>
    </row>
    <row r="71">
      <c r="D71" s="65"/>
      <c r="E71" s="65"/>
      <c r="F71" s="66"/>
      <c r="H71" s="65"/>
    </row>
    <row r="72">
      <c r="D72" s="65"/>
      <c r="E72" s="65"/>
      <c r="F72" s="66"/>
      <c r="H72" s="65"/>
    </row>
    <row r="73">
      <c r="D73" s="65"/>
      <c r="E73" s="65"/>
      <c r="F73" s="66"/>
      <c r="H73" s="65"/>
    </row>
    <row r="74">
      <c r="D74" s="65"/>
      <c r="E74" s="65"/>
      <c r="F74" s="66"/>
      <c r="H74" s="65"/>
    </row>
    <row r="75">
      <c r="D75" s="65"/>
      <c r="E75" s="65"/>
      <c r="F75" s="66"/>
      <c r="H75" s="65"/>
    </row>
    <row r="76">
      <c r="D76" s="65"/>
      <c r="E76" s="65"/>
      <c r="F76" s="66"/>
      <c r="H76" s="65"/>
    </row>
    <row r="77">
      <c r="D77" s="65"/>
      <c r="E77" s="65"/>
      <c r="F77" s="66"/>
      <c r="H77" s="65"/>
    </row>
    <row r="78">
      <c r="D78" s="65"/>
      <c r="E78" s="65"/>
      <c r="F78" s="66"/>
      <c r="H78" s="65"/>
    </row>
    <row r="79">
      <c r="D79" s="65"/>
      <c r="E79" s="65"/>
      <c r="F79" s="66"/>
      <c r="H79" s="65"/>
    </row>
    <row r="80">
      <c r="D80" s="65"/>
      <c r="E80" s="65"/>
      <c r="F80" s="66"/>
      <c r="H80" s="65"/>
    </row>
    <row r="81">
      <c r="D81" s="65"/>
      <c r="E81" s="65"/>
      <c r="F81" s="66"/>
      <c r="H81" s="65"/>
    </row>
    <row r="82">
      <c r="D82" s="65"/>
      <c r="E82" s="65"/>
      <c r="F82" s="66"/>
      <c r="H82" s="65"/>
    </row>
    <row r="83">
      <c r="D83" s="65"/>
      <c r="E83" s="65"/>
      <c r="F83" s="66"/>
      <c r="H83" s="65"/>
    </row>
    <row r="84">
      <c r="D84" s="65"/>
      <c r="E84" s="65"/>
      <c r="F84" s="66"/>
      <c r="H84" s="65"/>
    </row>
    <row r="85">
      <c r="D85" s="65"/>
      <c r="E85" s="65"/>
      <c r="F85" s="66"/>
      <c r="H85" s="65"/>
    </row>
    <row r="86">
      <c r="D86" s="65"/>
      <c r="E86" s="65"/>
      <c r="F86" s="66"/>
      <c r="H86" s="65"/>
    </row>
    <row r="87">
      <c r="D87" s="65"/>
      <c r="E87" s="65"/>
      <c r="F87" s="66"/>
      <c r="H87" s="65"/>
    </row>
    <row r="88">
      <c r="D88" s="65"/>
      <c r="E88" s="65"/>
      <c r="F88" s="66"/>
      <c r="H88" s="65"/>
    </row>
    <row r="89">
      <c r="D89" s="65"/>
      <c r="E89" s="65"/>
      <c r="F89" s="66"/>
      <c r="H89" s="65"/>
    </row>
    <row r="90">
      <c r="D90" s="65"/>
      <c r="E90" s="65"/>
      <c r="F90" s="66"/>
      <c r="H90" s="65"/>
    </row>
    <row r="91">
      <c r="D91" s="65"/>
      <c r="E91" s="65"/>
      <c r="F91" s="66"/>
      <c r="H91" s="65"/>
    </row>
    <row r="92">
      <c r="D92" s="65"/>
      <c r="E92" s="65"/>
      <c r="F92" s="66"/>
      <c r="H92" s="65"/>
    </row>
    <row r="93">
      <c r="D93" s="65"/>
      <c r="E93" s="65"/>
      <c r="F93" s="66"/>
      <c r="H93" s="65"/>
    </row>
    <row r="94">
      <c r="D94" s="65"/>
      <c r="E94" s="65"/>
      <c r="F94" s="66"/>
      <c r="H94" s="65"/>
    </row>
    <row r="95">
      <c r="D95" s="65"/>
      <c r="E95" s="65"/>
      <c r="F95" s="66"/>
      <c r="H95" s="65"/>
    </row>
    <row r="96">
      <c r="D96" s="65"/>
      <c r="E96" s="65"/>
      <c r="F96" s="66"/>
      <c r="H96" s="65"/>
    </row>
    <row r="97">
      <c r="D97" s="65"/>
      <c r="E97" s="65"/>
      <c r="F97" s="66"/>
      <c r="H97" s="65"/>
    </row>
    <row r="98">
      <c r="D98" s="65"/>
      <c r="E98" s="65"/>
      <c r="F98" s="66"/>
      <c r="H98" s="65"/>
    </row>
    <row r="99">
      <c r="D99" s="65"/>
      <c r="E99" s="65"/>
      <c r="F99" s="66"/>
      <c r="H99" s="65"/>
    </row>
    <row r="100">
      <c r="D100" s="65"/>
      <c r="E100" s="65"/>
      <c r="F100" s="66"/>
      <c r="H100" s="65"/>
    </row>
    <row r="101">
      <c r="D101" s="65"/>
      <c r="E101" s="65"/>
      <c r="F101" s="66"/>
      <c r="H101" s="65"/>
    </row>
    <row r="102">
      <c r="D102" s="65"/>
      <c r="E102" s="65"/>
      <c r="F102" s="66"/>
      <c r="H102" s="65"/>
    </row>
    <row r="103">
      <c r="D103" s="65"/>
      <c r="E103" s="65"/>
      <c r="F103" s="66"/>
      <c r="H103" s="65"/>
    </row>
    <row r="104">
      <c r="D104" s="65"/>
      <c r="E104" s="65"/>
      <c r="F104" s="66"/>
      <c r="H104" s="65"/>
    </row>
    <row r="105">
      <c r="D105" s="65"/>
      <c r="E105" s="65"/>
      <c r="F105" s="66"/>
      <c r="H105" s="65"/>
    </row>
    <row r="106">
      <c r="D106" s="65"/>
      <c r="E106" s="65"/>
      <c r="F106" s="66"/>
      <c r="H106" s="65"/>
    </row>
    <row r="107">
      <c r="D107" s="65"/>
      <c r="E107" s="65"/>
      <c r="F107" s="66"/>
      <c r="H107" s="65"/>
    </row>
    <row r="108">
      <c r="D108" s="65"/>
      <c r="E108" s="65"/>
      <c r="F108" s="66"/>
      <c r="H108" s="65"/>
    </row>
    <row r="109">
      <c r="D109" s="65"/>
      <c r="E109" s="65"/>
      <c r="F109" s="66"/>
      <c r="H109" s="65"/>
    </row>
    <row r="110">
      <c r="D110" s="65"/>
      <c r="E110" s="65"/>
      <c r="F110" s="66"/>
      <c r="H110" s="65"/>
    </row>
    <row r="111">
      <c r="D111" s="65"/>
      <c r="E111" s="65"/>
      <c r="F111" s="66"/>
      <c r="H111" s="65"/>
    </row>
    <row r="112">
      <c r="D112" s="65"/>
      <c r="E112" s="65"/>
      <c r="F112" s="66"/>
      <c r="H112" s="65"/>
    </row>
    <row r="113">
      <c r="D113" s="65"/>
      <c r="E113" s="65"/>
      <c r="F113" s="66"/>
      <c r="H113" s="65"/>
    </row>
    <row r="114">
      <c r="D114" s="65"/>
      <c r="E114" s="65"/>
      <c r="F114" s="66"/>
      <c r="H114" s="65"/>
    </row>
    <row r="115">
      <c r="D115" s="65"/>
      <c r="E115" s="65"/>
      <c r="F115" s="66"/>
      <c r="H115" s="65"/>
    </row>
    <row r="116">
      <c r="D116" s="65"/>
      <c r="E116" s="65"/>
      <c r="F116" s="66"/>
      <c r="H116" s="65"/>
    </row>
    <row r="117">
      <c r="D117" s="65"/>
      <c r="E117" s="65"/>
      <c r="F117" s="66"/>
      <c r="H117" s="65"/>
    </row>
    <row r="118">
      <c r="D118" s="65"/>
      <c r="E118" s="65"/>
      <c r="F118" s="66"/>
      <c r="H118" s="65"/>
    </row>
    <row r="119">
      <c r="D119" s="65"/>
      <c r="E119" s="65"/>
      <c r="F119" s="66"/>
      <c r="H119" s="65"/>
    </row>
    <row r="120">
      <c r="D120" s="65"/>
      <c r="E120" s="65"/>
      <c r="F120" s="66"/>
      <c r="H120" s="65"/>
    </row>
    <row r="121">
      <c r="D121" s="65"/>
      <c r="E121" s="65"/>
      <c r="F121" s="66"/>
      <c r="H121" s="65"/>
    </row>
    <row r="122">
      <c r="D122" s="65"/>
      <c r="E122" s="65"/>
      <c r="F122" s="66"/>
      <c r="H122" s="65"/>
    </row>
    <row r="123">
      <c r="D123" s="65"/>
      <c r="E123" s="65"/>
      <c r="F123" s="66"/>
      <c r="H123" s="65"/>
    </row>
    <row r="124">
      <c r="D124" s="65"/>
      <c r="E124" s="65"/>
      <c r="F124" s="66"/>
      <c r="H124" s="65"/>
    </row>
    <row r="125">
      <c r="D125" s="65"/>
      <c r="E125" s="65"/>
      <c r="F125" s="66"/>
      <c r="H125" s="65"/>
    </row>
    <row r="126">
      <c r="D126" s="65"/>
      <c r="E126" s="65"/>
      <c r="F126" s="66"/>
      <c r="H126" s="65"/>
    </row>
    <row r="127">
      <c r="D127" s="65"/>
      <c r="E127" s="65"/>
      <c r="F127" s="66"/>
      <c r="H127" s="65"/>
    </row>
    <row r="128">
      <c r="D128" s="65"/>
      <c r="E128" s="65"/>
      <c r="F128" s="66"/>
      <c r="H128" s="65"/>
    </row>
    <row r="129">
      <c r="D129" s="65"/>
      <c r="E129" s="65"/>
      <c r="F129" s="66"/>
      <c r="H129" s="65"/>
    </row>
    <row r="130">
      <c r="D130" s="65"/>
      <c r="E130" s="65"/>
      <c r="F130" s="66"/>
      <c r="H130" s="65"/>
    </row>
    <row r="131">
      <c r="D131" s="65"/>
      <c r="E131" s="65"/>
      <c r="F131" s="66"/>
      <c r="H131" s="65"/>
    </row>
    <row r="132">
      <c r="D132" s="65"/>
      <c r="E132" s="65"/>
      <c r="F132" s="66"/>
      <c r="H132" s="65"/>
    </row>
    <row r="133">
      <c r="D133" s="65"/>
      <c r="E133" s="65"/>
      <c r="F133" s="66"/>
      <c r="H133" s="65"/>
    </row>
    <row r="134">
      <c r="D134" s="65"/>
      <c r="E134" s="65"/>
      <c r="F134" s="66"/>
      <c r="H134" s="65"/>
    </row>
    <row r="135">
      <c r="D135" s="65"/>
      <c r="E135" s="65"/>
      <c r="F135" s="66"/>
      <c r="H135" s="65"/>
    </row>
    <row r="136">
      <c r="D136" s="65"/>
      <c r="E136" s="65"/>
      <c r="F136" s="66"/>
      <c r="H136" s="65"/>
    </row>
    <row r="137">
      <c r="D137" s="65"/>
      <c r="E137" s="65"/>
      <c r="F137" s="66"/>
      <c r="H137" s="65"/>
    </row>
    <row r="138">
      <c r="D138" s="65"/>
      <c r="E138" s="65"/>
      <c r="F138" s="66"/>
      <c r="H138" s="65"/>
    </row>
    <row r="139">
      <c r="D139" s="65"/>
      <c r="E139" s="65"/>
      <c r="F139" s="66"/>
      <c r="H139" s="65"/>
    </row>
    <row r="140">
      <c r="D140" s="65"/>
      <c r="E140" s="65"/>
      <c r="F140" s="66"/>
      <c r="H140" s="65"/>
    </row>
    <row r="141">
      <c r="D141" s="65"/>
      <c r="E141" s="65"/>
      <c r="F141" s="66"/>
      <c r="H141" s="65"/>
    </row>
    <row r="142">
      <c r="D142" s="65"/>
      <c r="E142" s="65"/>
      <c r="F142" s="66"/>
      <c r="H142" s="65"/>
    </row>
    <row r="143">
      <c r="D143" s="65"/>
      <c r="E143" s="65"/>
      <c r="F143" s="66"/>
      <c r="H143" s="65"/>
    </row>
    <row r="144">
      <c r="D144" s="65"/>
      <c r="E144" s="65"/>
      <c r="F144" s="66"/>
      <c r="H144" s="65"/>
    </row>
    <row r="145">
      <c r="D145" s="65"/>
      <c r="E145" s="65"/>
      <c r="F145" s="66"/>
      <c r="H145" s="65"/>
    </row>
    <row r="146">
      <c r="D146" s="65"/>
      <c r="E146" s="65"/>
      <c r="F146" s="66"/>
      <c r="H146" s="65"/>
    </row>
    <row r="147">
      <c r="D147" s="65"/>
      <c r="E147" s="65"/>
      <c r="F147" s="66"/>
      <c r="H147" s="65"/>
    </row>
    <row r="148">
      <c r="D148" s="65"/>
      <c r="E148" s="65"/>
      <c r="F148" s="66"/>
      <c r="H148" s="65"/>
    </row>
    <row r="149">
      <c r="D149" s="65"/>
      <c r="E149" s="65"/>
      <c r="F149" s="66"/>
      <c r="H149" s="65"/>
    </row>
    <row r="150">
      <c r="D150" s="65"/>
      <c r="E150" s="65"/>
      <c r="F150" s="66"/>
      <c r="H150" s="65"/>
    </row>
    <row r="151">
      <c r="D151" s="65"/>
      <c r="E151" s="65"/>
      <c r="F151" s="66"/>
      <c r="H151" s="65"/>
    </row>
    <row r="152">
      <c r="D152" s="65"/>
      <c r="E152" s="65"/>
      <c r="F152" s="66"/>
      <c r="H152" s="65"/>
    </row>
    <row r="153">
      <c r="D153" s="65"/>
      <c r="E153" s="65"/>
      <c r="F153" s="66"/>
      <c r="H153" s="65"/>
    </row>
    <row r="154">
      <c r="D154" s="65"/>
      <c r="E154" s="65"/>
      <c r="F154" s="66"/>
      <c r="H154" s="65"/>
    </row>
    <row r="155">
      <c r="D155" s="65"/>
      <c r="E155" s="65"/>
      <c r="F155" s="66"/>
      <c r="H155" s="65"/>
    </row>
    <row r="156">
      <c r="D156" s="65"/>
      <c r="E156" s="65"/>
      <c r="F156" s="66"/>
      <c r="H156" s="65"/>
    </row>
    <row r="157">
      <c r="D157" s="65"/>
      <c r="E157" s="65"/>
      <c r="F157" s="66"/>
      <c r="H157" s="65"/>
    </row>
    <row r="158">
      <c r="D158" s="65"/>
      <c r="E158" s="65"/>
      <c r="F158" s="66"/>
      <c r="H158" s="65"/>
    </row>
    <row r="159">
      <c r="D159" s="65"/>
      <c r="E159" s="65"/>
      <c r="F159" s="66"/>
      <c r="H159" s="65"/>
    </row>
    <row r="160">
      <c r="D160" s="65"/>
      <c r="E160" s="65"/>
      <c r="F160" s="66"/>
      <c r="H160" s="65"/>
    </row>
    <row r="161">
      <c r="D161" s="65"/>
      <c r="E161" s="65"/>
      <c r="F161" s="66"/>
      <c r="H161" s="65"/>
    </row>
    <row r="162">
      <c r="D162" s="65"/>
      <c r="E162" s="65"/>
      <c r="F162" s="66"/>
      <c r="H162" s="65"/>
    </row>
    <row r="163">
      <c r="D163" s="65"/>
      <c r="E163" s="65"/>
      <c r="F163" s="66"/>
      <c r="H163" s="65"/>
    </row>
    <row r="164">
      <c r="D164" s="65"/>
      <c r="E164" s="65"/>
      <c r="F164" s="66"/>
      <c r="H164" s="65"/>
    </row>
    <row r="165">
      <c r="D165" s="65"/>
      <c r="E165" s="65"/>
      <c r="F165" s="66"/>
      <c r="H165" s="65"/>
    </row>
    <row r="166">
      <c r="D166" s="65"/>
      <c r="E166" s="65"/>
      <c r="F166" s="66"/>
      <c r="H166" s="65"/>
    </row>
    <row r="167">
      <c r="D167" s="65"/>
      <c r="E167" s="65"/>
      <c r="F167" s="66"/>
      <c r="H167" s="65"/>
    </row>
    <row r="168">
      <c r="D168" s="65"/>
      <c r="E168" s="65"/>
      <c r="F168" s="66"/>
      <c r="H168" s="65"/>
    </row>
    <row r="169">
      <c r="D169" s="65"/>
      <c r="E169" s="65"/>
      <c r="F169" s="66"/>
      <c r="H169" s="65"/>
    </row>
    <row r="170">
      <c r="D170" s="65"/>
      <c r="E170" s="65"/>
      <c r="F170" s="66"/>
      <c r="H170" s="65"/>
    </row>
    <row r="171">
      <c r="D171" s="65"/>
      <c r="E171" s="65"/>
      <c r="F171" s="66"/>
      <c r="H171" s="65"/>
    </row>
    <row r="172">
      <c r="D172" s="65"/>
      <c r="E172" s="65"/>
      <c r="F172" s="66"/>
      <c r="H172" s="65"/>
    </row>
    <row r="173">
      <c r="D173" s="65"/>
      <c r="E173" s="65"/>
      <c r="F173" s="66"/>
      <c r="H173" s="65"/>
    </row>
    <row r="174">
      <c r="D174" s="65"/>
      <c r="E174" s="65"/>
      <c r="F174" s="66"/>
      <c r="H174" s="65"/>
    </row>
    <row r="175">
      <c r="D175" s="65"/>
      <c r="E175" s="65"/>
      <c r="F175" s="66"/>
      <c r="H175" s="65"/>
    </row>
    <row r="176">
      <c r="D176" s="65"/>
      <c r="E176" s="65"/>
      <c r="F176" s="66"/>
      <c r="H176" s="65"/>
    </row>
    <row r="177">
      <c r="D177" s="65"/>
      <c r="E177" s="65"/>
      <c r="F177" s="66"/>
      <c r="H177" s="65"/>
    </row>
    <row r="178">
      <c r="D178" s="65"/>
      <c r="E178" s="65"/>
      <c r="F178" s="66"/>
      <c r="H178" s="65"/>
    </row>
    <row r="179">
      <c r="D179" s="65"/>
      <c r="E179" s="65"/>
      <c r="F179" s="66"/>
      <c r="H179" s="65"/>
    </row>
    <row r="180">
      <c r="D180" s="65"/>
      <c r="E180" s="65"/>
      <c r="F180" s="66"/>
      <c r="H180" s="65"/>
    </row>
    <row r="181">
      <c r="D181" s="65"/>
      <c r="E181" s="65"/>
      <c r="F181" s="66"/>
      <c r="H181" s="65"/>
    </row>
    <row r="182">
      <c r="D182" s="65"/>
      <c r="E182" s="65"/>
      <c r="F182" s="66"/>
      <c r="H182" s="65"/>
    </row>
    <row r="183">
      <c r="D183" s="65"/>
      <c r="E183" s="65"/>
      <c r="F183" s="66"/>
      <c r="H183" s="65"/>
    </row>
    <row r="184">
      <c r="D184" s="65"/>
      <c r="E184" s="65"/>
      <c r="F184" s="66"/>
      <c r="H184" s="65"/>
    </row>
    <row r="185">
      <c r="D185" s="65"/>
      <c r="E185" s="65"/>
      <c r="F185" s="66"/>
      <c r="H185" s="65"/>
    </row>
    <row r="186">
      <c r="D186" s="65"/>
      <c r="E186" s="65"/>
      <c r="F186" s="66"/>
      <c r="H186" s="65"/>
    </row>
    <row r="187">
      <c r="D187" s="65"/>
      <c r="E187" s="65"/>
      <c r="F187" s="66"/>
      <c r="H187" s="65"/>
    </row>
    <row r="188">
      <c r="D188" s="65"/>
      <c r="E188" s="65"/>
      <c r="F188" s="66"/>
      <c r="H188" s="65"/>
    </row>
    <row r="189">
      <c r="D189" s="65"/>
      <c r="E189" s="65"/>
      <c r="F189" s="66"/>
      <c r="H189" s="65"/>
    </row>
    <row r="190">
      <c r="D190" s="65"/>
      <c r="E190" s="65"/>
      <c r="F190" s="66"/>
      <c r="H190" s="65"/>
    </row>
    <row r="191">
      <c r="D191" s="65"/>
      <c r="E191" s="65"/>
      <c r="F191" s="66"/>
      <c r="H191" s="65"/>
    </row>
    <row r="192">
      <c r="D192" s="65"/>
      <c r="E192" s="65"/>
      <c r="F192" s="66"/>
      <c r="H192" s="65"/>
    </row>
    <row r="193">
      <c r="D193" s="65"/>
      <c r="E193" s="65"/>
      <c r="F193" s="66"/>
      <c r="H193" s="65"/>
    </row>
    <row r="194">
      <c r="D194" s="65"/>
      <c r="E194" s="65"/>
      <c r="F194" s="66"/>
      <c r="H194" s="65"/>
    </row>
    <row r="195">
      <c r="D195" s="65"/>
      <c r="E195" s="65"/>
      <c r="F195" s="66"/>
      <c r="H195" s="65"/>
    </row>
    <row r="196">
      <c r="D196" s="65"/>
      <c r="E196" s="65"/>
      <c r="F196" s="66"/>
      <c r="H196" s="65"/>
    </row>
    <row r="197">
      <c r="D197" s="65"/>
      <c r="E197" s="65"/>
      <c r="F197" s="66"/>
      <c r="H197" s="65"/>
    </row>
    <row r="198">
      <c r="D198" s="65"/>
      <c r="E198" s="65"/>
      <c r="F198" s="66"/>
      <c r="H198" s="65"/>
    </row>
    <row r="199">
      <c r="D199" s="65"/>
      <c r="E199" s="65"/>
      <c r="F199" s="66"/>
      <c r="H199" s="65"/>
    </row>
    <row r="200">
      <c r="D200" s="65"/>
      <c r="E200" s="65"/>
      <c r="F200" s="66"/>
      <c r="H200" s="65"/>
    </row>
    <row r="201">
      <c r="D201" s="65"/>
      <c r="E201" s="65"/>
      <c r="F201" s="66"/>
      <c r="H201" s="65"/>
    </row>
    <row r="202">
      <c r="D202" s="65"/>
      <c r="E202" s="65"/>
      <c r="F202" s="66"/>
      <c r="H202" s="65"/>
    </row>
    <row r="203">
      <c r="D203" s="65"/>
      <c r="E203" s="65"/>
      <c r="F203" s="66"/>
      <c r="H203" s="65"/>
    </row>
    <row r="204">
      <c r="D204" s="65"/>
      <c r="E204" s="65"/>
      <c r="F204" s="66"/>
      <c r="H204" s="65"/>
    </row>
    <row r="205">
      <c r="D205" s="65"/>
      <c r="E205" s="65"/>
      <c r="F205" s="66"/>
      <c r="H205" s="65"/>
    </row>
    <row r="206">
      <c r="D206" s="65"/>
      <c r="E206" s="65"/>
      <c r="F206" s="66"/>
      <c r="H206" s="65"/>
    </row>
    <row r="207">
      <c r="D207" s="65"/>
      <c r="E207" s="65"/>
      <c r="F207" s="66"/>
      <c r="H207" s="65"/>
    </row>
    <row r="208">
      <c r="D208" s="65"/>
      <c r="E208" s="65"/>
      <c r="F208" s="66"/>
      <c r="H208" s="65"/>
    </row>
    <row r="209">
      <c r="D209" s="65"/>
      <c r="E209" s="65"/>
      <c r="F209" s="66"/>
      <c r="H209" s="65"/>
    </row>
    <row r="210">
      <c r="D210" s="65"/>
      <c r="E210" s="65"/>
      <c r="F210" s="66"/>
      <c r="H210" s="65"/>
    </row>
    <row r="211">
      <c r="D211" s="65"/>
      <c r="E211" s="65"/>
      <c r="F211" s="66"/>
      <c r="H211" s="65"/>
    </row>
    <row r="212">
      <c r="D212" s="65"/>
      <c r="E212" s="65"/>
      <c r="F212" s="66"/>
      <c r="H212" s="65"/>
    </row>
    <row r="213">
      <c r="D213" s="65"/>
      <c r="E213" s="65"/>
      <c r="F213" s="66"/>
      <c r="H213" s="65"/>
    </row>
    <row r="214">
      <c r="D214" s="65"/>
      <c r="E214" s="65"/>
      <c r="F214" s="66"/>
      <c r="H214" s="65"/>
    </row>
    <row r="215">
      <c r="D215" s="65"/>
      <c r="E215" s="65"/>
      <c r="F215" s="66"/>
      <c r="H215" s="65"/>
    </row>
    <row r="216">
      <c r="D216" s="65"/>
      <c r="E216" s="65"/>
      <c r="F216" s="66"/>
      <c r="H216" s="65"/>
    </row>
    <row r="217">
      <c r="D217" s="65"/>
      <c r="E217" s="65"/>
      <c r="F217" s="66"/>
      <c r="H217" s="65"/>
    </row>
    <row r="218">
      <c r="D218" s="65"/>
      <c r="E218" s="65"/>
      <c r="F218" s="66"/>
      <c r="H218" s="65"/>
    </row>
    <row r="219">
      <c r="D219" s="65"/>
      <c r="E219" s="65"/>
      <c r="F219" s="66"/>
      <c r="H219" s="65"/>
    </row>
    <row r="220">
      <c r="D220" s="65"/>
      <c r="E220" s="65"/>
      <c r="F220" s="66"/>
      <c r="H220" s="65"/>
    </row>
    <row r="221">
      <c r="D221" s="65"/>
      <c r="E221" s="65"/>
      <c r="F221" s="66"/>
      <c r="H221" s="65"/>
    </row>
    <row r="222">
      <c r="D222" s="65"/>
      <c r="E222" s="65"/>
      <c r="F222" s="66"/>
      <c r="H222" s="65"/>
    </row>
    <row r="223">
      <c r="D223" s="65"/>
      <c r="E223" s="65"/>
      <c r="F223" s="66"/>
      <c r="H223" s="65"/>
    </row>
    <row r="224">
      <c r="D224" s="65"/>
      <c r="E224" s="65"/>
      <c r="F224" s="66"/>
      <c r="H224" s="65"/>
    </row>
    <row r="225">
      <c r="D225" s="65"/>
      <c r="E225" s="65"/>
      <c r="F225" s="66"/>
      <c r="H225" s="65"/>
    </row>
    <row r="226">
      <c r="D226" s="65"/>
      <c r="E226" s="65"/>
      <c r="F226" s="66"/>
      <c r="H226" s="65"/>
    </row>
    <row r="227">
      <c r="D227" s="65"/>
      <c r="E227" s="65"/>
      <c r="F227" s="66"/>
      <c r="H227" s="65"/>
    </row>
    <row r="228">
      <c r="D228" s="65"/>
      <c r="E228" s="65"/>
      <c r="F228" s="66"/>
      <c r="H228" s="65"/>
    </row>
    <row r="229">
      <c r="D229" s="65"/>
      <c r="E229" s="65"/>
      <c r="F229" s="66"/>
      <c r="H229" s="65"/>
    </row>
    <row r="230">
      <c r="D230" s="65"/>
      <c r="E230" s="65"/>
      <c r="F230" s="66"/>
      <c r="H230" s="65"/>
    </row>
    <row r="231">
      <c r="D231" s="65"/>
      <c r="E231" s="65"/>
      <c r="F231" s="66"/>
      <c r="H231" s="65"/>
    </row>
    <row r="232">
      <c r="D232" s="65"/>
      <c r="E232" s="65"/>
      <c r="F232" s="66"/>
      <c r="H232" s="65"/>
    </row>
    <row r="233">
      <c r="D233" s="65"/>
      <c r="E233" s="65"/>
      <c r="F233" s="66"/>
      <c r="H233" s="65"/>
    </row>
    <row r="234">
      <c r="D234" s="65"/>
      <c r="E234" s="65"/>
      <c r="F234" s="66"/>
      <c r="H234" s="65"/>
    </row>
    <row r="235">
      <c r="D235" s="65"/>
      <c r="E235" s="65"/>
      <c r="F235" s="66"/>
      <c r="H235" s="65"/>
    </row>
    <row r="236">
      <c r="D236" s="65"/>
      <c r="E236" s="65"/>
      <c r="F236" s="66"/>
      <c r="H236" s="65"/>
    </row>
    <row r="237">
      <c r="D237" s="65"/>
      <c r="E237" s="65"/>
      <c r="F237" s="66"/>
      <c r="H237" s="65"/>
    </row>
    <row r="238">
      <c r="D238" s="65"/>
      <c r="E238" s="65"/>
      <c r="F238" s="66"/>
      <c r="H238" s="65"/>
    </row>
    <row r="239">
      <c r="D239" s="65"/>
      <c r="E239" s="65"/>
      <c r="F239" s="66"/>
      <c r="H239" s="65"/>
    </row>
    <row r="240">
      <c r="D240" s="65"/>
      <c r="E240" s="65"/>
      <c r="F240" s="66"/>
      <c r="H240" s="65"/>
    </row>
    <row r="241">
      <c r="D241" s="65"/>
      <c r="E241" s="65"/>
      <c r="F241" s="66"/>
      <c r="H241" s="65"/>
    </row>
    <row r="242">
      <c r="D242" s="65"/>
      <c r="E242" s="65"/>
      <c r="F242" s="66"/>
      <c r="H242" s="65"/>
    </row>
    <row r="243">
      <c r="D243" s="65"/>
      <c r="E243" s="65"/>
      <c r="F243" s="66"/>
      <c r="H243" s="65"/>
    </row>
    <row r="244">
      <c r="D244" s="65"/>
      <c r="E244" s="65"/>
      <c r="F244" s="66"/>
      <c r="H244" s="65"/>
    </row>
    <row r="245">
      <c r="D245" s="65"/>
      <c r="E245" s="65"/>
      <c r="F245" s="66"/>
      <c r="H245" s="65"/>
    </row>
    <row r="246">
      <c r="D246" s="65"/>
      <c r="E246" s="65"/>
      <c r="F246" s="66"/>
      <c r="H246" s="65"/>
    </row>
    <row r="247">
      <c r="D247" s="65"/>
      <c r="E247" s="65"/>
      <c r="F247" s="66"/>
      <c r="H247" s="65"/>
    </row>
    <row r="248">
      <c r="D248" s="65"/>
      <c r="E248" s="65"/>
      <c r="F248" s="66"/>
      <c r="H248" s="65"/>
    </row>
    <row r="249">
      <c r="D249" s="65"/>
      <c r="E249" s="65"/>
      <c r="F249" s="66"/>
      <c r="H249" s="65"/>
    </row>
    <row r="250">
      <c r="D250" s="65"/>
      <c r="E250" s="65"/>
      <c r="F250" s="66"/>
      <c r="H250" s="65"/>
    </row>
    <row r="251">
      <c r="D251" s="65"/>
      <c r="E251" s="65"/>
      <c r="F251" s="66"/>
      <c r="H251" s="65"/>
    </row>
    <row r="252">
      <c r="D252" s="65"/>
      <c r="E252" s="65"/>
      <c r="F252" s="66"/>
      <c r="H252" s="65"/>
    </row>
    <row r="253">
      <c r="D253" s="65"/>
      <c r="E253" s="65"/>
      <c r="F253" s="66"/>
      <c r="H253" s="65"/>
    </row>
    <row r="254">
      <c r="D254" s="65"/>
      <c r="E254" s="65"/>
      <c r="F254" s="66"/>
      <c r="H254" s="65"/>
    </row>
    <row r="255">
      <c r="D255" s="65"/>
      <c r="E255" s="65"/>
      <c r="F255" s="66"/>
      <c r="H255" s="65"/>
    </row>
    <row r="256">
      <c r="D256" s="65"/>
      <c r="E256" s="65"/>
      <c r="F256" s="66"/>
      <c r="H256" s="65"/>
    </row>
    <row r="257">
      <c r="D257" s="65"/>
      <c r="E257" s="65"/>
      <c r="F257" s="66"/>
      <c r="H257" s="65"/>
    </row>
    <row r="258">
      <c r="D258" s="65"/>
      <c r="E258" s="65"/>
      <c r="F258" s="66"/>
      <c r="H258" s="65"/>
    </row>
    <row r="259">
      <c r="D259" s="65"/>
      <c r="E259" s="65"/>
      <c r="F259" s="66"/>
      <c r="H259" s="65"/>
    </row>
    <row r="260">
      <c r="D260" s="65"/>
      <c r="E260" s="65"/>
      <c r="F260" s="66"/>
      <c r="H260" s="65"/>
    </row>
    <row r="261">
      <c r="D261" s="65"/>
      <c r="E261" s="65"/>
      <c r="F261" s="66"/>
      <c r="H261" s="65"/>
    </row>
    <row r="262">
      <c r="D262" s="65"/>
      <c r="E262" s="65"/>
      <c r="F262" s="66"/>
      <c r="H262" s="65"/>
    </row>
    <row r="263">
      <c r="D263" s="65"/>
      <c r="E263" s="65"/>
      <c r="F263" s="66"/>
      <c r="H263" s="65"/>
    </row>
    <row r="264">
      <c r="D264" s="65"/>
      <c r="E264" s="65"/>
      <c r="F264" s="66"/>
      <c r="H264" s="65"/>
    </row>
    <row r="265">
      <c r="D265" s="65"/>
      <c r="E265" s="65"/>
      <c r="F265" s="66"/>
      <c r="H265" s="65"/>
    </row>
    <row r="266">
      <c r="D266" s="65"/>
      <c r="E266" s="65"/>
      <c r="F266" s="66"/>
      <c r="H266" s="65"/>
    </row>
    <row r="267">
      <c r="D267" s="65"/>
      <c r="E267" s="65"/>
      <c r="F267" s="66"/>
      <c r="H267" s="65"/>
    </row>
    <row r="268">
      <c r="D268" s="65"/>
      <c r="E268" s="65"/>
      <c r="F268" s="66"/>
      <c r="H268" s="65"/>
    </row>
    <row r="269">
      <c r="D269" s="65"/>
      <c r="E269" s="65"/>
      <c r="F269" s="66"/>
      <c r="H269" s="65"/>
    </row>
    <row r="270">
      <c r="D270" s="65"/>
      <c r="E270" s="65"/>
      <c r="F270" s="66"/>
      <c r="H270" s="65"/>
    </row>
    <row r="271">
      <c r="D271" s="65"/>
      <c r="E271" s="65"/>
      <c r="F271" s="66"/>
      <c r="H271" s="65"/>
    </row>
    <row r="272">
      <c r="D272" s="65"/>
      <c r="E272" s="65"/>
      <c r="F272" s="66"/>
      <c r="H272" s="65"/>
    </row>
    <row r="273">
      <c r="D273" s="65"/>
      <c r="E273" s="65"/>
      <c r="F273" s="66"/>
      <c r="H273" s="65"/>
    </row>
    <row r="274">
      <c r="D274" s="65"/>
      <c r="E274" s="65"/>
      <c r="F274" s="66"/>
      <c r="H274" s="65"/>
    </row>
    <row r="275">
      <c r="D275" s="65"/>
      <c r="E275" s="65"/>
      <c r="F275" s="66"/>
      <c r="H275" s="65"/>
    </row>
    <row r="276">
      <c r="D276" s="65"/>
      <c r="E276" s="65"/>
      <c r="F276" s="66"/>
      <c r="H276" s="65"/>
    </row>
    <row r="277">
      <c r="D277" s="65"/>
      <c r="E277" s="65"/>
      <c r="F277" s="66"/>
      <c r="H277" s="65"/>
    </row>
    <row r="278">
      <c r="D278" s="65"/>
      <c r="E278" s="65"/>
      <c r="F278" s="66"/>
      <c r="H278" s="65"/>
    </row>
    <row r="279">
      <c r="D279" s="65"/>
      <c r="E279" s="65"/>
      <c r="F279" s="66"/>
      <c r="H279" s="65"/>
    </row>
    <row r="280">
      <c r="D280" s="65"/>
      <c r="E280" s="65"/>
      <c r="F280" s="66"/>
      <c r="H280" s="65"/>
    </row>
    <row r="281">
      <c r="D281" s="65"/>
      <c r="E281" s="65"/>
      <c r="F281" s="66"/>
      <c r="H281" s="65"/>
    </row>
    <row r="282">
      <c r="D282" s="65"/>
      <c r="E282" s="65"/>
      <c r="F282" s="66"/>
      <c r="H282" s="65"/>
    </row>
    <row r="283">
      <c r="D283" s="65"/>
      <c r="E283" s="65"/>
      <c r="F283" s="66"/>
      <c r="H283" s="65"/>
    </row>
    <row r="284">
      <c r="D284" s="65"/>
      <c r="E284" s="65"/>
      <c r="F284" s="66"/>
      <c r="H284" s="65"/>
    </row>
    <row r="285">
      <c r="D285" s="65"/>
      <c r="E285" s="65"/>
      <c r="F285" s="66"/>
      <c r="H285" s="65"/>
    </row>
    <row r="286">
      <c r="D286" s="65"/>
      <c r="E286" s="65"/>
      <c r="F286" s="66"/>
      <c r="H286" s="65"/>
    </row>
    <row r="287">
      <c r="D287" s="65"/>
      <c r="E287" s="65"/>
      <c r="F287" s="66"/>
      <c r="H287" s="65"/>
    </row>
    <row r="288">
      <c r="D288" s="65"/>
      <c r="E288" s="65"/>
      <c r="F288" s="66"/>
      <c r="H288" s="65"/>
    </row>
    <row r="289">
      <c r="D289" s="65"/>
      <c r="E289" s="65"/>
      <c r="F289" s="66"/>
      <c r="H289" s="65"/>
    </row>
    <row r="290">
      <c r="D290" s="65"/>
      <c r="E290" s="65"/>
      <c r="F290" s="66"/>
      <c r="H290" s="65"/>
    </row>
    <row r="291">
      <c r="D291" s="65"/>
      <c r="E291" s="65"/>
      <c r="F291" s="66"/>
      <c r="H291" s="65"/>
    </row>
    <row r="292">
      <c r="D292" s="65"/>
      <c r="E292" s="65"/>
      <c r="F292" s="66"/>
      <c r="H292" s="65"/>
    </row>
    <row r="293">
      <c r="D293" s="65"/>
      <c r="E293" s="65"/>
      <c r="F293" s="66"/>
      <c r="H293" s="65"/>
    </row>
    <row r="294">
      <c r="D294" s="65"/>
      <c r="E294" s="65"/>
      <c r="F294" s="66"/>
      <c r="H294" s="65"/>
    </row>
    <row r="295">
      <c r="D295" s="65"/>
      <c r="E295" s="65"/>
      <c r="F295" s="66"/>
      <c r="H295" s="65"/>
    </row>
    <row r="296">
      <c r="D296" s="65"/>
      <c r="E296" s="65"/>
      <c r="F296" s="66"/>
      <c r="H296" s="65"/>
    </row>
    <row r="297">
      <c r="D297" s="65"/>
      <c r="E297" s="65"/>
      <c r="F297" s="66"/>
      <c r="H297" s="65"/>
    </row>
    <row r="298">
      <c r="D298" s="65"/>
      <c r="E298" s="65"/>
      <c r="F298" s="66"/>
      <c r="H298" s="65"/>
    </row>
    <row r="299">
      <c r="D299" s="65"/>
      <c r="E299" s="65"/>
      <c r="F299" s="66"/>
      <c r="H299" s="65"/>
    </row>
    <row r="300">
      <c r="D300" s="65"/>
      <c r="E300" s="65"/>
      <c r="F300" s="66"/>
      <c r="H300" s="65"/>
    </row>
    <row r="301">
      <c r="D301" s="65"/>
      <c r="E301" s="65"/>
      <c r="F301" s="66"/>
      <c r="H301" s="65"/>
    </row>
    <row r="302">
      <c r="D302" s="65"/>
      <c r="E302" s="65"/>
      <c r="F302" s="66"/>
      <c r="H302" s="65"/>
    </row>
    <row r="303">
      <c r="D303" s="65"/>
      <c r="E303" s="65"/>
      <c r="F303" s="66"/>
      <c r="H303" s="65"/>
    </row>
    <row r="304">
      <c r="D304" s="65"/>
      <c r="E304" s="65"/>
      <c r="F304" s="66"/>
      <c r="H304" s="65"/>
    </row>
    <row r="305">
      <c r="D305" s="65"/>
      <c r="E305" s="65"/>
      <c r="F305" s="66"/>
      <c r="H305" s="65"/>
    </row>
    <row r="306">
      <c r="D306" s="65"/>
      <c r="E306" s="65"/>
      <c r="F306" s="66"/>
      <c r="H306" s="65"/>
    </row>
    <row r="307">
      <c r="D307" s="65"/>
      <c r="E307" s="65"/>
      <c r="F307" s="66"/>
      <c r="H307" s="65"/>
    </row>
    <row r="308">
      <c r="D308" s="65"/>
      <c r="E308" s="65"/>
      <c r="F308" s="66"/>
      <c r="H308" s="65"/>
    </row>
    <row r="309">
      <c r="D309" s="65"/>
      <c r="E309" s="65"/>
      <c r="F309" s="66"/>
      <c r="H309" s="65"/>
    </row>
    <row r="310">
      <c r="D310" s="65"/>
      <c r="E310" s="65"/>
      <c r="F310" s="66"/>
      <c r="H310" s="65"/>
    </row>
    <row r="311">
      <c r="D311" s="65"/>
      <c r="E311" s="65"/>
      <c r="F311" s="66"/>
      <c r="H311" s="65"/>
    </row>
    <row r="312">
      <c r="D312" s="65"/>
      <c r="E312" s="65"/>
      <c r="F312" s="66"/>
      <c r="H312" s="65"/>
    </row>
    <row r="313">
      <c r="D313" s="65"/>
      <c r="E313" s="65"/>
      <c r="F313" s="66"/>
      <c r="H313" s="65"/>
    </row>
    <row r="314">
      <c r="D314" s="65"/>
      <c r="E314" s="65"/>
      <c r="F314" s="66"/>
      <c r="H314" s="65"/>
    </row>
    <row r="315">
      <c r="D315" s="65"/>
      <c r="E315" s="65"/>
      <c r="F315" s="66"/>
      <c r="H315" s="65"/>
    </row>
    <row r="316">
      <c r="D316" s="65"/>
      <c r="E316" s="65"/>
      <c r="F316" s="66"/>
      <c r="H316" s="65"/>
    </row>
    <row r="317">
      <c r="D317" s="65"/>
      <c r="E317" s="65"/>
      <c r="F317" s="66"/>
      <c r="H317" s="65"/>
    </row>
    <row r="318">
      <c r="D318" s="65"/>
      <c r="E318" s="65"/>
      <c r="F318" s="66"/>
      <c r="H318" s="65"/>
    </row>
    <row r="319">
      <c r="D319" s="65"/>
      <c r="E319" s="65"/>
      <c r="F319" s="66"/>
      <c r="H319" s="65"/>
    </row>
    <row r="320">
      <c r="D320" s="65"/>
      <c r="E320" s="65"/>
      <c r="F320" s="66"/>
      <c r="H320" s="65"/>
    </row>
    <row r="321">
      <c r="D321" s="65"/>
      <c r="E321" s="65"/>
      <c r="F321" s="66"/>
      <c r="H321" s="65"/>
    </row>
    <row r="322">
      <c r="D322" s="65"/>
      <c r="E322" s="65"/>
      <c r="F322" s="66"/>
      <c r="H322" s="65"/>
    </row>
    <row r="323">
      <c r="D323" s="65"/>
      <c r="E323" s="65"/>
      <c r="F323" s="66"/>
      <c r="H323" s="65"/>
    </row>
    <row r="324">
      <c r="D324" s="65"/>
      <c r="E324" s="65"/>
      <c r="F324" s="66"/>
      <c r="H324" s="65"/>
    </row>
    <row r="325">
      <c r="D325" s="65"/>
      <c r="E325" s="65"/>
      <c r="F325" s="66"/>
      <c r="H325" s="65"/>
    </row>
    <row r="326">
      <c r="D326" s="65"/>
      <c r="E326" s="65"/>
      <c r="F326" s="66"/>
      <c r="H326" s="65"/>
    </row>
    <row r="327">
      <c r="D327" s="65"/>
      <c r="E327" s="65"/>
      <c r="F327" s="66"/>
      <c r="H327" s="65"/>
    </row>
    <row r="328">
      <c r="D328" s="65"/>
      <c r="E328" s="65"/>
      <c r="F328" s="66"/>
      <c r="H328" s="65"/>
    </row>
    <row r="329">
      <c r="D329" s="65"/>
      <c r="E329" s="65"/>
      <c r="F329" s="66"/>
      <c r="H329" s="65"/>
    </row>
    <row r="330">
      <c r="D330" s="65"/>
      <c r="E330" s="65"/>
      <c r="F330" s="66"/>
      <c r="H330" s="65"/>
    </row>
    <row r="331">
      <c r="D331" s="65"/>
      <c r="E331" s="65"/>
      <c r="F331" s="66"/>
      <c r="H331" s="65"/>
    </row>
    <row r="332">
      <c r="D332" s="65"/>
      <c r="E332" s="65"/>
      <c r="F332" s="66"/>
      <c r="H332" s="65"/>
    </row>
    <row r="333">
      <c r="D333" s="65"/>
      <c r="E333" s="65"/>
      <c r="F333" s="66"/>
      <c r="H333" s="65"/>
    </row>
    <row r="334">
      <c r="D334" s="65"/>
      <c r="E334" s="65"/>
      <c r="F334" s="66"/>
      <c r="H334" s="65"/>
    </row>
    <row r="335">
      <c r="D335" s="65"/>
      <c r="E335" s="65"/>
      <c r="F335" s="66"/>
      <c r="H335" s="65"/>
    </row>
    <row r="336">
      <c r="D336" s="65"/>
      <c r="E336" s="65"/>
      <c r="F336" s="66"/>
      <c r="H336" s="65"/>
    </row>
    <row r="337">
      <c r="D337" s="65"/>
      <c r="E337" s="65"/>
      <c r="F337" s="66"/>
      <c r="H337" s="65"/>
    </row>
    <row r="338">
      <c r="D338" s="65"/>
      <c r="E338" s="65"/>
      <c r="F338" s="66"/>
      <c r="H338" s="65"/>
    </row>
    <row r="339">
      <c r="D339" s="65"/>
      <c r="E339" s="65"/>
      <c r="F339" s="66"/>
      <c r="H339" s="65"/>
    </row>
    <row r="340">
      <c r="D340" s="65"/>
      <c r="E340" s="65"/>
      <c r="F340" s="66"/>
      <c r="H340" s="65"/>
    </row>
    <row r="341">
      <c r="D341" s="65"/>
      <c r="E341" s="65"/>
      <c r="F341" s="66"/>
      <c r="H341" s="65"/>
    </row>
    <row r="342">
      <c r="D342" s="65"/>
      <c r="E342" s="65"/>
      <c r="F342" s="66"/>
      <c r="H342" s="65"/>
    </row>
    <row r="343">
      <c r="D343" s="65"/>
      <c r="E343" s="65"/>
      <c r="F343" s="66"/>
      <c r="H343" s="65"/>
    </row>
    <row r="344">
      <c r="D344" s="65"/>
      <c r="E344" s="65"/>
      <c r="F344" s="66"/>
      <c r="H344" s="65"/>
    </row>
    <row r="345">
      <c r="D345" s="65"/>
      <c r="E345" s="65"/>
      <c r="F345" s="66"/>
      <c r="H345" s="65"/>
    </row>
    <row r="346">
      <c r="D346" s="65"/>
      <c r="E346" s="65"/>
      <c r="F346" s="66"/>
      <c r="H346" s="65"/>
    </row>
    <row r="347">
      <c r="D347" s="65"/>
      <c r="E347" s="65"/>
      <c r="F347" s="66"/>
      <c r="H347" s="65"/>
    </row>
    <row r="348">
      <c r="D348" s="65"/>
      <c r="E348" s="65"/>
      <c r="F348" s="66"/>
      <c r="H348" s="65"/>
    </row>
    <row r="349">
      <c r="D349" s="65"/>
      <c r="E349" s="65"/>
      <c r="F349" s="66"/>
      <c r="H349" s="65"/>
    </row>
    <row r="350">
      <c r="D350" s="65"/>
      <c r="E350" s="65"/>
      <c r="F350" s="66"/>
      <c r="H350" s="65"/>
    </row>
    <row r="351">
      <c r="D351" s="65"/>
      <c r="E351" s="65"/>
      <c r="F351" s="66"/>
      <c r="H351" s="65"/>
    </row>
    <row r="352">
      <c r="D352" s="65"/>
      <c r="E352" s="65"/>
      <c r="F352" s="66"/>
      <c r="H352" s="65"/>
    </row>
    <row r="353">
      <c r="D353" s="65"/>
      <c r="E353" s="65"/>
      <c r="F353" s="66"/>
      <c r="H353" s="65"/>
    </row>
    <row r="354">
      <c r="D354" s="65"/>
      <c r="E354" s="65"/>
      <c r="F354" s="66"/>
      <c r="H354" s="65"/>
    </row>
    <row r="355">
      <c r="D355" s="65"/>
      <c r="E355" s="65"/>
      <c r="F355" s="66"/>
      <c r="H355" s="65"/>
    </row>
    <row r="356">
      <c r="D356" s="65"/>
      <c r="E356" s="65"/>
      <c r="F356" s="66"/>
      <c r="H356" s="65"/>
    </row>
    <row r="357">
      <c r="D357" s="65"/>
      <c r="E357" s="65"/>
      <c r="F357" s="66"/>
      <c r="H357" s="65"/>
    </row>
    <row r="358">
      <c r="D358" s="65"/>
      <c r="E358" s="65"/>
      <c r="F358" s="66"/>
      <c r="H358" s="65"/>
    </row>
    <row r="359">
      <c r="D359" s="65"/>
      <c r="E359" s="65"/>
      <c r="F359" s="66"/>
      <c r="H359" s="65"/>
    </row>
    <row r="360">
      <c r="D360" s="65"/>
      <c r="E360" s="65"/>
      <c r="F360" s="66"/>
      <c r="H360" s="65"/>
    </row>
    <row r="361">
      <c r="D361" s="65"/>
      <c r="E361" s="65"/>
      <c r="F361" s="66"/>
      <c r="H361" s="65"/>
    </row>
    <row r="362">
      <c r="D362" s="65"/>
      <c r="E362" s="65"/>
      <c r="F362" s="66"/>
      <c r="H362" s="65"/>
    </row>
    <row r="363">
      <c r="D363" s="65"/>
      <c r="E363" s="65"/>
      <c r="F363" s="66"/>
      <c r="H363" s="65"/>
    </row>
    <row r="364">
      <c r="D364" s="65"/>
      <c r="E364" s="65"/>
      <c r="F364" s="66"/>
      <c r="H364" s="65"/>
    </row>
    <row r="365">
      <c r="D365" s="65"/>
      <c r="E365" s="65"/>
      <c r="F365" s="66"/>
      <c r="H365" s="65"/>
    </row>
    <row r="366">
      <c r="D366" s="65"/>
      <c r="E366" s="65"/>
      <c r="F366" s="66"/>
      <c r="H366" s="65"/>
    </row>
    <row r="367">
      <c r="D367" s="65"/>
      <c r="E367" s="65"/>
      <c r="F367" s="66"/>
      <c r="H367" s="65"/>
    </row>
    <row r="368">
      <c r="D368" s="65"/>
      <c r="E368" s="65"/>
      <c r="F368" s="66"/>
      <c r="H368" s="65"/>
    </row>
    <row r="369">
      <c r="D369" s="65"/>
      <c r="E369" s="65"/>
      <c r="F369" s="66"/>
      <c r="H369" s="65"/>
    </row>
    <row r="370">
      <c r="D370" s="65"/>
      <c r="E370" s="65"/>
      <c r="F370" s="66"/>
      <c r="H370" s="65"/>
    </row>
    <row r="371">
      <c r="D371" s="65"/>
      <c r="E371" s="65"/>
      <c r="F371" s="66"/>
      <c r="H371" s="65"/>
    </row>
    <row r="372">
      <c r="D372" s="65"/>
      <c r="E372" s="65"/>
      <c r="F372" s="66"/>
      <c r="H372" s="65"/>
    </row>
    <row r="373">
      <c r="D373" s="65"/>
      <c r="E373" s="65"/>
      <c r="F373" s="66"/>
      <c r="H373" s="65"/>
    </row>
    <row r="374">
      <c r="D374" s="65"/>
      <c r="E374" s="65"/>
      <c r="F374" s="66"/>
      <c r="H374" s="65"/>
    </row>
    <row r="375">
      <c r="D375" s="65"/>
      <c r="E375" s="65"/>
      <c r="F375" s="66"/>
      <c r="H375" s="65"/>
    </row>
    <row r="376">
      <c r="D376" s="65"/>
      <c r="E376" s="65"/>
      <c r="F376" s="66"/>
      <c r="H376" s="65"/>
    </row>
    <row r="377">
      <c r="D377" s="65"/>
      <c r="E377" s="65"/>
      <c r="F377" s="66"/>
      <c r="H377" s="65"/>
    </row>
    <row r="378">
      <c r="D378" s="65"/>
      <c r="E378" s="65"/>
      <c r="F378" s="66"/>
      <c r="H378" s="65"/>
    </row>
    <row r="379">
      <c r="D379" s="65"/>
      <c r="E379" s="65"/>
      <c r="F379" s="66"/>
      <c r="H379" s="65"/>
    </row>
    <row r="380">
      <c r="D380" s="65"/>
      <c r="E380" s="65"/>
      <c r="F380" s="66"/>
      <c r="H380" s="65"/>
    </row>
    <row r="381">
      <c r="D381" s="65"/>
      <c r="E381" s="65"/>
      <c r="F381" s="66"/>
      <c r="H381" s="65"/>
    </row>
    <row r="382">
      <c r="D382" s="65"/>
      <c r="E382" s="65"/>
      <c r="F382" s="66"/>
      <c r="H382" s="65"/>
    </row>
    <row r="383">
      <c r="D383" s="65"/>
      <c r="E383" s="65"/>
      <c r="F383" s="66"/>
      <c r="H383" s="65"/>
    </row>
    <row r="384">
      <c r="D384" s="65"/>
      <c r="E384" s="65"/>
      <c r="F384" s="66"/>
      <c r="H384" s="65"/>
    </row>
    <row r="385">
      <c r="D385" s="65"/>
      <c r="E385" s="65"/>
      <c r="F385" s="66"/>
      <c r="H385" s="65"/>
    </row>
    <row r="386">
      <c r="D386" s="65"/>
      <c r="E386" s="65"/>
      <c r="F386" s="66"/>
      <c r="H386" s="65"/>
    </row>
    <row r="387">
      <c r="D387" s="65"/>
      <c r="E387" s="65"/>
      <c r="F387" s="66"/>
      <c r="H387" s="65"/>
    </row>
    <row r="388">
      <c r="D388" s="65"/>
      <c r="E388" s="65"/>
      <c r="F388" s="66"/>
      <c r="H388" s="65"/>
    </row>
    <row r="389">
      <c r="D389" s="65"/>
      <c r="E389" s="65"/>
      <c r="F389" s="66"/>
      <c r="H389" s="65"/>
    </row>
    <row r="390">
      <c r="D390" s="65"/>
      <c r="E390" s="65"/>
      <c r="F390" s="66"/>
      <c r="H390" s="65"/>
    </row>
    <row r="391">
      <c r="D391" s="65"/>
      <c r="E391" s="65"/>
      <c r="F391" s="66"/>
      <c r="H391" s="65"/>
    </row>
    <row r="392">
      <c r="D392" s="65"/>
      <c r="E392" s="65"/>
      <c r="F392" s="66"/>
      <c r="H392" s="65"/>
    </row>
    <row r="393">
      <c r="D393" s="65"/>
      <c r="E393" s="65"/>
      <c r="F393" s="66"/>
      <c r="H393" s="65"/>
    </row>
    <row r="394">
      <c r="D394" s="65"/>
      <c r="E394" s="65"/>
      <c r="F394" s="66"/>
      <c r="H394" s="65"/>
    </row>
    <row r="395">
      <c r="D395" s="65"/>
      <c r="E395" s="65"/>
      <c r="F395" s="66"/>
      <c r="H395" s="65"/>
    </row>
    <row r="396">
      <c r="D396" s="65"/>
      <c r="E396" s="65"/>
      <c r="F396" s="66"/>
      <c r="H396" s="65"/>
    </row>
    <row r="397">
      <c r="D397" s="65"/>
      <c r="E397" s="65"/>
      <c r="F397" s="66"/>
      <c r="H397" s="65"/>
    </row>
    <row r="398">
      <c r="D398" s="65"/>
      <c r="E398" s="65"/>
      <c r="F398" s="66"/>
      <c r="H398" s="65"/>
    </row>
    <row r="399">
      <c r="D399" s="65"/>
      <c r="E399" s="65"/>
      <c r="F399" s="66"/>
      <c r="H399" s="65"/>
    </row>
    <row r="400">
      <c r="D400" s="65"/>
      <c r="E400" s="65"/>
      <c r="F400" s="66"/>
      <c r="H400" s="65"/>
    </row>
    <row r="401">
      <c r="D401" s="65"/>
      <c r="E401" s="65"/>
      <c r="F401" s="66"/>
      <c r="H401" s="65"/>
    </row>
    <row r="402">
      <c r="D402" s="65"/>
      <c r="E402" s="65"/>
      <c r="F402" s="66"/>
      <c r="H402" s="65"/>
    </row>
    <row r="403">
      <c r="D403" s="65"/>
      <c r="E403" s="65"/>
      <c r="F403" s="66"/>
      <c r="H403" s="65"/>
    </row>
    <row r="404">
      <c r="D404" s="65"/>
      <c r="E404" s="65"/>
      <c r="F404" s="66"/>
      <c r="H404" s="65"/>
    </row>
    <row r="405">
      <c r="D405" s="65"/>
      <c r="E405" s="65"/>
      <c r="F405" s="66"/>
      <c r="H405" s="65"/>
    </row>
    <row r="406">
      <c r="D406" s="65"/>
      <c r="E406" s="65"/>
      <c r="F406" s="66"/>
      <c r="H406" s="65"/>
    </row>
    <row r="407">
      <c r="D407" s="65"/>
      <c r="E407" s="65"/>
      <c r="F407" s="66"/>
      <c r="H407" s="65"/>
    </row>
    <row r="408">
      <c r="D408" s="65"/>
      <c r="E408" s="65"/>
      <c r="F408" s="66"/>
      <c r="H408" s="65"/>
    </row>
    <row r="409">
      <c r="D409" s="65"/>
      <c r="E409" s="65"/>
      <c r="F409" s="66"/>
      <c r="H409" s="65"/>
    </row>
    <row r="410">
      <c r="D410" s="65"/>
      <c r="E410" s="65"/>
      <c r="F410" s="66"/>
      <c r="H410" s="65"/>
    </row>
    <row r="411">
      <c r="D411" s="65"/>
      <c r="E411" s="65"/>
      <c r="F411" s="66"/>
      <c r="H411" s="65"/>
    </row>
    <row r="412">
      <c r="D412" s="65"/>
      <c r="E412" s="65"/>
      <c r="F412" s="66"/>
      <c r="H412" s="65"/>
    </row>
    <row r="413">
      <c r="D413" s="65"/>
      <c r="E413" s="65"/>
      <c r="F413" s="66"/>
      <c r="H413" s="65"/>
    </row>
    <row r="414">
      <c r="D414" s="65"/>
      <c r="E414" s="65"/>
      <c r="F414" s="66"/>
      <c r="H414" s="65"/>
    </row>
    <row r="415">
      <c r="D415" s="65"/>
      <c r="E415" s="65"/>
      <c r="F415" s="66"/>
      <c r="H415" s="65"/>
    </row>
    <row r="416">
      <c r="D416" s="65"/>
      <c r="E416" s="65"/>
      <c r="F416" s="66"/>
      <c r="H416" s="65"/>
    </row>
    <row r="417">
      <c r="D417" s="65"/>
      <c r="E417" s="65"/>
      <c r="F417" s="66"/>
      <c r="H417" s="65"/>
    </row>
    <row r="418">
      <c r="D418" s="65"/>
      <c r="E418" s="65"/>
      <c r="F418" s="66"/>
      <c r="H418" s="65"/>
    </row>
    <row r="419">
      <c r="D419" s="65"/>
      <c r="E419" s="65"/>
      <c r="F419" s="66"/>
      <c r="H419" s="65"/>
    </row>
    <row r="420">
      <c r="D420" s="65"/>
      <c r="E420" s="65"/>
      <c r="F420" s="66"/>
      <c r="H420" s="65"/>
    </row>
    <row r="421">
      <c r="D421" s="65"/>
      <c r="E421" s="65"/>
      <c r="F421" s="66"/>
      <c r="H421" s="65"/>
    </row>
    <row r="422">
      <c r="D422" s="65"/>
      <c r="E422" s="65"/>
      <c r="F422" s="66"/>
      <c r="H422" s="65"/>
    </row>
    <row r="423">
      <c r="D423" s="65"/>
      <c r="E423" s="65"/>
      <c r="F423" s="66"/>
      <c r="H423" s="65"/>
    </row>
    <row r="424">
      <c r="D424" s="65"/>
      <c r="E424" s="65"/>
      <c r="F424" s="66"/>
      <c r="H424" s="65"/>
    </row>
    <row r="425">
      <c r="D425" s="65"/>
      <c r="E425" s="65"/>
      <c r="F425" s="66"/>
      <c r="H425" s="65"/>
    </row>
    <row r="426">
      <c r="D426" s="65"/>
      <c r="E426" s="65"/>
      <c r="F426" s="66"/>
      <c r="H426" s="65"/>
    </row>
    <row r="427">
      <c r="D427" s="65"/>
      <c r="E427" s="65"/>
      <c r="F427" s="66"/>
      <c r="H427" s="65"/>
    </row>
    <row r="428">
      <c r="D428" s="65"/>
      <c r="E428" s="65"/>
      <c r="F428" s="66"/>
      <c r="H428" s="65"/>
    </row>
    <row r="429">
      <c r="D429" s="65"/>
      <c r="E429" s="65"/>
      <c r="F429" s="66"/>
      <c r="H429" s="65"/>
    </row>
    <row r="430">
      <c r="D430" s="65"/>
      <c r="E430" s="65"/>
      <c r="F430" s="66"/>
      <c r="H430" s="65"/>
    </row>
    <row r="431">
      <c r="D431" s="65"/>
      <c r="E431" s="65"/>
      <c r="F431" s="66"/>
      <c r="H431" s="65"/>
    </row>
    <row r="432">
      <c r="D432" s="65"/>
      <c r="E432" s="65"/>
      <c r="F432" s="66"/>
      <c r="H432" s="65"/>
    </row>
    <row r="433">
      <c r="D433" s="65"/>
      <c r="E433" s="65"/>
      <c r="F433" s="66"/>
      <c r="H433" s="65"/>
    </row>
    <row r="434">
      <c r="D434" s="65"/>
      <c r="E434" s="65"/>
      <c r="F434" s="66"/>
      <c r="H434" s="65"/>
    </row>
    <row r="435">
      <c r="D435" s="65"/>
      <c r="E435" s="65"/>
      <c r="F435" s="66"/>
      <c r="H435" s="65"/>
    </row>
    <row r="436">
      <c r="D436" s="65"/>
      <c r="E436" s="65"/>
      <c r="F436" s="66"/>
      <c r="H436" s="65"/>
    </row>
    <row r="437">
      <c r="D437" s="65"/>
      <c r="E437" s="65"/>
      <c r="F437" s="66"/>
      <c r="H437" s="65"/>
    </row>
    <row r="438">
      <c r="D438" s="65"/>
      <c r="E438" s="65"/>
      <c r="F438" s="66"/>
      <c r="H438" s="65"/>
    </row>
    <row r="439">
      <c r="D439" s="65"/>
      <c r="E439" s="65"/>
      <c r="F439" s="66"/>
      <c r="H439" s="65"/>
    </row>
    <row r="440">
      <c r="D440" s="65"/>
      <c r="E440" s="65"/>
      <c r="F440" s="66"/>
      <c r="H440" s="65"/>
    </row>
    <row r="441">
      <c r="D441" s="65"/>
      <c r="E441" s="65"/>
      <c r="F441" s="66"/>
      <c r="H441" s="65"/>
    </row>
    <row r="442">
      <c r="D442" s="65"/>
      <c r="E442" s="65"/>
      <c r="F442" s="66"/>
      <c r="H442" s="65"/>
    </row>
    <row r="443">
      <c r="D443" s="65"/>
      <c r="E443" s="65"/>
      <c r="F443" s="66"/>
      <c r="H443" s="65"/>
    </row>
    <row r="444">
      <c r="D444" s="65"/>
      <c r="E444" s="65"/>
      <c r="F444" s="66"/>
      <c r="H444" s="65"/>
    </row>
    <row r="445">
      <c r="D445" s="65"/>
      <c r="E445" s="65"/>
      <c r="F445" s="66"/>
      <c r="H445" s="65"/>
    </row>
    <row r="446">
      <c r="D446" s="65"/>
      <c r="E446" s="65"/>
      <c r="F446" s="66"/>
      <c r="H446" s="65"/>
    </row>
    <row r="447">
      <c r="D447" s="65"/>
      <c r="E447" s="65"/>
      <c r="F447" s="66"/>
      <c r="H447" s="65"/>
    </row>
    <row r="448">
      <c r="D448" s="65"/>
      <c r="E448" s="65"/>
      <c r="F448" s="66"/>
      <c r="H448" s="65"/>
    </row>
    <row r="449">
      <c r="D449" s="65"/>
      <c r="E449" s="65"/>
      <c r="F449" s="66"/>
      <c r="H449" s="65"/>
    </row>
    <row r="450">
      <c r="D450" s="65"/>
      <c r="E450" s="65"/>
      <c r="F450" s="66"/>
      <c r="H450" s="65"/>
    </row>
    <row r="451">
      <c r="D451" s="65"/>
      <c r="E451" s="65"/>
      <c r="F451" s="66"/>
      <c r="H451" s="65"/>
    </row>
    <row r="452">
      <c r="D452" s="65"/>
      <c r="E452" s="65"/>
      <c r="F452" s="66"/>
      <c r="H452" s="65"/>
    </row>
    <row r="453">
      <c r="D453" s="65"/>
      <c r="E453" s="65"/>
      <c r="F453" s="66"/>
      <c r="H453" s="65"/>
    </row>
    <row r="454">
      <c r="D454" s="65"/>
      <c r="E454" s="65"/>
      <c r="F454" s="66"/>
      <c r="H454" s="65"/>
    </row>
    <row r="455">
      <c r="D455" s="65"/>
      <c r="E455" s="65"/>
      <c r="F455" s="66"/>
      <c r="H455" s="65"/>
    </row>
    <row r="456">
      <c r="D456" s="65"/>
      <c r="E456" s="65"/>
      <c r="F456" s="66"/>
      <c r="H456" s="65"/>
    </row>
    <row r="457">
      <c r="D457" s="65"/>
      <c r="E457" s="65"/>
      <c r="F457" s="66"/>
      <c r="H457" s="65"/>
    </row>
    <row r="458">
      <c r="D458" s="65"/>
      <c r="E458" s="65"/>
      <c r="F458" s="66"/>
      <c r="H458" s="65"/>
    </row>
    <row r="459">
      <c r="D459" s="65"/>
      <c r="E459" s="65"/>
      <c r="F459" s="66"/>
      <c r="H459" s="65"/>
    </row>
    <row r="460">
      <c r="D460" s="65"/>
      <c r="E460" s="65"/>
      <c r="F460" s="66"/>
      <c r="H460" s="65"/>
    </row>
    <row r="461">
      <c r="D461" s="65"/>
      <c r="E461" s="65"/>
      <c r="F461" s="66"/>
      <c r="H461" s="65"/>
    </row>
    <row r="462">
      <c r="D462" s="65"/>
      <c r="E462" s="65"/>
      <c r="F462" s="66"/>
      <c r="H462" s="65"/>
    </row>
    <row r="463">
      <c r="D463" s="65"/>
      <c r="E463" s="65"/>
      <c r="F463" s="66"/>
      <c r="H463" s="65"/>
    </row>
    <row r="464">
      <c r="D464" s="65"/>
      <c r="E464" s="65"/>
      <c r="F464" s="66"/>
      <c r="H464" s="65"/>
    </row>
    <row r="465">
      <c r="D465" s="65"/>
      <c r="E465" s="65"/>
      <c r="F465" s="66"/>
      <c r="H465" s="65"/>
    </row>
    <row r="466">
      <c r="D466" s="65"/>
      <c r="E466" s="65"/>
      <c r="F466" s="66"/>
      <c r="H466" s="65"/>
    </row>
    <row r="467">
      <c r="D467" s="65"/>
      <c r="E467" s="65"/>
      <c r="F467" s="66"/>
      <c r="H467" s="65"/>
    </row>
    <row r="468">
      <c r="D468" s="65"/>
      <c r="E468" s="65"/>
      <c r="F468" s="66"/>
      <c r="H468" s="65"/>
    </row>
    <row r="469">
      <c r="D469" s="65"/>
      <c r="E469" s="65"/>
      <c r="F469" s="66"/>
      <c r="H469" s="65"/>
    </row>
    <row r="470">
      <c r="D470" s="65"/>
      <c r="E470" s="65"/>
      <c r="F470" s="66"/>
      <c r="H470" s="65"/>
    </row>
    <row r="471">
      <c r="D471" s="65"/>
      <c r="E471" s="65"/>
      <c r="F471" s="66"/>
      <c r="H471" s="65"/>
    </row>
    <row r="472">
      <c r="D472" s="65"/>
      <c r="E472" s="65"/>
      <c r="F472" s="66"/>
      <c r="H472" s="65"/>
    </row>
    <row r="473">
      <c r="D473" s="65"/>
      <c r="E473" s="65"/>
      <c r="F473" s="66"/>
      <c r="H473" s="65"/>
    </row>
    <row r="474">
      <c r="D474" s="65"/>
      <c r="E474" s="65"/>
      <c r="F474" s="66"/>
      <c r="H474" s="65"/>
    </row>
    <row r="475">
      <c r="D475" s="65"/>
      <c r="E475" s="65"/>
      <c r="F475" s="66"/>
      <c r="H475" s="65"/>
    </row>
    <row r="476">
      <c r="D476" s="65"/>
      <c r="E476" s="65"/>
      <c r="F476" s="66"/>
      <c r="H476" s="65"/>
    </row>
    <row r="477">
      <c r="D477" s="65"/>
      <c r="E477" s="65"/>
      <c r="F477" s="66"/>
      <c r="H477" s="65"/>
    </row>
    <row r="478">
      <c r="D478" s="65"/>
      <c r="E478" s="65"/>
      <c r="F478" s="66"/>
      <c r="H478" s="65"/>
    </row>
    <row r="479">
      <c r="D479" s="65"/>
      <c r="E479" s="65"/>
      <c r="F479" s="66"/>
      <c r="H479" s="65"/>
    </row>
    <row r="480">
      <c r="D480" s="65"/>
      <c r="E480" s="65"/>
      <c r="F480" s="66"/>
      <c r="H480" s="65"/>
    </row>
    <row r="481">
      <c r="D481" s="65"/>
      <c r="E481" s="65"/>
      <c r="F481" s="66"/>
      <c r="H481" s="65"/>
    </row>
    <row r="482">
      <c r="D482" s="65"/>
      <c r="E482" s="65"/>
      <c r="F482" s="66"/>
      <c r="H482" s="65"/>
    </row>
    <row r="483">
      <c r="D483" s="65"/>
      <c r="E483" s="65"/>
      <c r="F483" s="66"/>
      <c r="H483" s="65"/>
    </row>
    <row r="484">
      <c r="D484" s="65"/>
      <c r="E484" s="65"/>
      <c r="F484" s="66"/>
      <c r="H484" s="65"/>
    </row>
    <row r="485">
      <c r="D485" s="65"/>
      <c r="E485" s="65"/>
      <c r="F485" s="66"/>
      <c r="H485" s="65"/>
    </row>
    <row r="486">
      <c r="D486" s="65"/>
      <c r="E486" s="65"/>
      <c r="F486" s="66"/>
      <c r="H486" s="65"/>
    </row>
    <row r="487">
      <c r="D487" s="65"/>
      <c r="E487" s="65"/>
      <c r="F487" s="66"/>
      <c r="H487" s="65"/>
    </row>
    <row r="488">
      <c r="D488" s="65"/>
      <c r="E488" s="65"/>
      <c r="F488" s="66"/>
      <c r="H488" s="65"/>
    </row>
    <row r="489">
      <c r="D489" s="65"/>
      <c r="E489" s="65"/>
      <c r="F489" s="66"/>
      <c r="H489" s="65"/>
    </row>
    <row r="490">
      <c r="D490" s="65"/>
      <c r="E490" s="65"/>
      <c r="F490" s="66"/>
      <c r="H490" s="65"/>
    </row>
    <row r="491">
      <c r="D491" s="65"/>
      <c r="E491" s="65"/>
      <c r="F491" s="66"/>
      <c r="H491" s="65"/>
    </row>
    <row r="492">
      <c r="D492" s="65"/>
      <c r="E492" s="65"/>
      <c r="F492" s="66"/>
      <c r="H492" s="65"/>
    </row>
    <row r="493">
      <c r="D493" s="65"/>
      <c r="E493" s="65"/>
      <c r="F493" s="66"/>
      <c r="H493" s="65"/>
    </row>
    <row r="494">
      <c r="D494" s="65"/>
      <c r="E494" s="65"/>
      <c r="F494" s="66"/>
      <c r="H494" s="65"/>
    </row>
    <row r="495">
      <c r="D495" s="65"/>
      <c r="E495" s="65"/>
      <c r="F495" s="66"/>
      <c r="H495" s="65"/>
    </row>
    <row r="496">
      <c r="D496" s="65"/>
      <c r="E496" s="65"/>
      <c r="F496" s="66"/>
      <c r="H496" s="65"/>
    </row>
    <row r="497">
      <c r="D497" s="65"/>
      <c r="E497" s="65"/>
      <c r="F497" s="66"/>
      <c r="H497" s="65"/>
    </row>
    <row r="498">
      <c r="D498" s="65"/>
      <c r="E498" s="65"/>
      <c r="F498" s="66"/>
      <c r="H498" s="65"/>
    </row>
    <row r="499">
      <c r="D499" s="65"/>
      <c r="E499" s="65"/>
      <c r="F499" s="66"/>
      <c r="H499" s="65"/>
    </row>
    <row r="500">
      <c r="D500" s="65"/>
      <c r="E500" s="65"/>
      <c r="F500" s="66"/>
      <c r="H500" s="65"/>
    </row>
    <row r="501">
      <c r="D501" s="65"/>
      <c r="E501" s="65"/>
      <c r="F501" s="66"/>
      <c r="H501" s="65"/>
    </row>
    <row r="502">
      <c r="D502" s="65"/>
      <c r="E502" s="65"/>
      <c r="F502" s="66"/>
      <c r="H502" s="65"/>
    </row>
    <row r="503">
      <c r="D503" s="65"/>
      <c r="E503" s="65"/>
      <c r="F503" s="66"/>
      <c r="H503" s="65"/>
    </row>
    <row r="504">
      <c r="D504" s="65"/>
      <c r="E504" s="65"/>
      <c r="F504" s="66"/>
      <c r="H504" s="65"/>
    </row>
    <row r="505">
      <c r="D505" s="65"/>
      <c r="E505" s="65"/>
      <c r="F505" s="66"/>
      <c r="H505" s="65"/>
    </row>
    <row r="506">
      <c r="D506" s="65"/>
      <c r="E506" s="65"/>
      <c r="F506" s="66"/>
      <c r="H506" s="65"/>
    </row>
    <row r="507">
      <c r="D507" s="65"/>
      <c r="E507" s="65"/>
      <c r="F507" s="66"/>
      <c r="H507" s="65"/>
    </row>
    <row r="508">
      <c r="D508" s="65"/>
      <c r="E508" s="65"/>
      <c r="F508" s="66"/>
      <c r="H508" s="65"/>
    </row>
    <row r="509">
      <c r="D509" s="65"/>
      <c r="E509" s="65"/>
      <c r="F509" s="66"/>
      <c r="H509" s="65"/>
    </row>
    <row r="510">
      <c r="D510" s="65"/>
      <c r="E510" s="65"/>
      <c r="F510" s="66"/>
      <c r="H510" s="65"/>
    </row>
    <row r="511">
      <c r="D511" s="65"/>
      <c r="E511" s="65"/>
      <c r="F511" s="66"/>
      <c r="H511" s="65"/>
    </row>
    <row r="512">
      <c r="D512" s="65"/>
      <c r="E512" s="65"/>
      <c r="F512" s="66"/>
      <c r="H512" s="65"/>
    </row>
    <row r="513">
      <c r="D513" s="65"/>
      <c r="E513" s="65"/>
      <c r="F513" s="66"/>
      <c r="H513" s="65"/>
    </row>
    <row r="514">
      <c r="D514" s="65"/>
      <c r="E514" s="65"/>
      <c r="F514" s="66"/>
      <c r="H514" s="65"/>
    </row>
    <row r="515">
      <c r="D515" s="65"/>
      <c r="E515" s="65"/>
      <c r="F515" s="66"/>
      <c r="H515" s="65"/>
    </row>
    <row r="516">
      <c r="D516" s="65"/>
      <c r="E516" s="65"/>
      <c r="F516" s="66"/>
      <c r="H516" s="65"/>
    </row>
    <row r="517">
      <c r="D517" s="65"/>
      <c r="E517" s="65"/>
      <c r="F517" s="66"/>
      <c r="H517" s="65"/>
    </row>
    <row r="518">
      <c r="D518" s="65"/>
      <c r="E518" s="65"/>
      <c r="F518" s="66"/>
      <c r="H518" s="65"/>
    </row>
    <row r="519">
      <c r="D519" s="65"/>
      <c r="E519" s="65"/>
      <c r="F519" s="66"/>
      <c r="H519" s="65"/>
    </row>
    <row r="520">
      <c r="D520" s="65"/>
      <c r="E520" s="65"/>
      <c r="F520" s="66"/>
      <c r="H520" s="65"/>
    </row>
    <row r="521">
      <c r="D521" s="65"/>
      <c r="E521" s="65"/>
      <c r="F521" s="66"/>
      <c r="H521" s="65"/>
    </row>
    <row r="522">
      <c r="D522" s="65"/>
      <c r="E522" s="65"/>
      <c r="F522" s="66"/>
      <c r="H522" s="65"/>
    </row>
    <row r="523">
      <c r="D523" s="65"/>
      <c r="E523" s="65"/>
      <c r="F523" s="66"/>
      <c r="H523" s="65"/>
    </row>
    <row r="524">
      <c r="D524" s="65"/>
      <c r="E524" s="65"/>
      <c r="F524" s="66"/>
      <c r="H524" s="65"/>
    </row>
    <row r="525">
      <c r="D525" s="65"/>
      <c r="E525" s="65"/>
      <c r="F525" s="66"/>
      <c r="H525" s="65"/>
    </row>
    <row r="526">
      <c r="D526" s="65"/>
      <c r="E526" s="65"/>
      <c r="F526" s="66"/>
      <c r="H526" s="65"/>
    </row>
    <row r="527">
      <c r="D527" s="65"/>
      <c r="E527" s="65"/>
      <c r="F527" s="66"/>
      <c r="H527" s="65"/>
    </row>
    <row r="528">
      <c r="D528" s="65"/>
      <c r="E528" s="65"/>
      <c r="F528" s="66"/>
      <c r="H528" s="65"/>
    </row>
    <row r="529">
      <c r="D529" s="65"/>
      <c r="E529" s="65"/>
      <c r="F529" s="66"/>
      <c r="H529" s="65"/>
    </row>
    <row r="530">
      <c r="D530" s="65"/>
      <c r="E530" s="65"/>
      <c r="F530" s="66"/>
      <c r="H530" s="65"/>
    </row>
    <row r="531">
      <c r="D531" s="65"/>
      <c r="E531" s="65"/>
      <c r="F531" s="66"/>
      <c r="H531" s="65"/>
    </row>
    <row r="532">
      <c r="D532" s="65"/>
      <c r="E532" s="65"/>
      <c r="F532" s="66"/>
      <c r="H532" s="65"/>
    </row>
    <row r="533">
      <c r="D533" s="65"/>
      <c r="E533" s="65"/>
      <c r="F533" s="66"/>
      <c r="H533" s="65"/>
    </row>
    <row r="534">
      <c r="D534" s="65"/>
      <c r="E534" s="65"/>
      <c r="F534" s="66"/>
      <c r="H534" s="65"/>
    </row>
    <row r="535">
      <c r="D535" s="65"/>
      <c r="E535" s="65"/>
      <c r="F535" s="66"/>
      <c r="H535" s="65"/>
    </row>
    <row r="536">
      <c r="D536" s="65"/>
      <c r="E536" s="65"/>
      <c r="F536" s="66"/>
      <c r="H536" s="65"/>
    </row>
    <row r="537">
      <c r="D537" s="65"/>
      <c r="E537" s="65"/>
      <c r="F537" s="66"/>
      <c r="H537" s="65"/>
    </row>
    <row r="538">
      <c r="D538" s="65"/>
      <c r="E538" s="65"/>
      <c r="F538" s="66"/>
      <c r="H538" s="65"/>
    </row>
    <row r="539">
      <c r="D539" s="65"/>
      <c r="E539" s="65"/>
      <c r="F539" s="66"/>
      <c r="H539" s="65"/>
    </row>
    <row r="540">
      <c r="D540" s="65"/>
      <c r="E540" s="65"/>
      <c r="F540" s="66"/>
      <c r="H540" s="65"/>
    </row>
    <row r="541">
      <c r="D541" s="65"/>
      <c r="E541" s="65"/>
      <c r="F541" s="66"/>
      <c r="H541" s="65"/>
    </row>
    <row r="542">
      <c r="D542" s="65"/>
      <c r="E542" s="65"/>
      <c r="F542" s="66"/>
      <c r="H542" s="65"/>
    </row>
    <row r="543">
      <c r="D543" s="65"/>
      <c r="E543" s="65"/>
      <c r="F543" s="66"/>
      <c r="H543" s="65"/>
    </row>
    <row r="544">
      <c r="D544" s="65"/>
      <c r="E544" s="65"/>
      <c r="F544" s="66"/>
      <c r="H544" s="65"/>
    </row>
    <row r="545">
      <c r="D545" s="65"/>
      <c r="E545" s="65"/>
      <c r="F545" s="66"/>
      <c r="H545" s="65"/>
    </row>
    <row r="546">
      <c r="D546" s="65"/>
      <c r="E546" s="65"/>
      <c r="F546" s="66"/>
      <c r="H546" s="65"/>
    </row>
    <row r="547">
      <c r="D547" s="65"/>
      <c r="E547" s="65"/>
      <c r="F547" s="66"/>
      <c r="H547" s="65"/>
    </row>
    <row r="548">
      <c r="D548" s="65"/>
      <c r="E548" s="65"/>
      <c r="F548" s="66"/>
      <c r="H548" s="65"/>
    </row>
    <row r="549">
      <c r="D549" s="65"/>
      <c r="E549" s="65"/>
      <c r="F549" s="66"/>
      <c r="H549" s="65"/>
    </row>
    <row r="550">
      <c r="D550" s="65"/>
      <c r="E550" s="65"/>
      <c r="F550" s="66"/>
      <c r="H550" s="65"/>
    </row>
    <row r="551">
      <c r="D551" s="65"/>
      <c r="E551" s="65"/>
      <c r="F551" s="66"/>
      <c r="H551" s="65"/>
    </row>
    <row r="552">
      <c r="D552" s="65"/>
      <c r="E552" s="65"/>
      <c r="F552" s="66"/>
      <c r="H552" s="65"/>
    </row>
    <row r="553">
      <c r="D553" s="65"/>
      <c r="E553" s="65"/>
      <c r="F553" s="66"/>
      <c r="H553" s="65"/>
    </row>
    <row r="554">
      <c r="D554" s="65"/>
      <c r="E554" s="65"/>
      <c r="F554" s="66"/>
      <c r="H554" s="65"/>
    </row>
    <row r="555">
      <c r="D555" s="65"/>
      <c r="E555" s="65"/>
      <c r="F555" s="66"/>
      <c r="H555" s="65"/>
    </row>
    <row r="556">
      <c r="D556" s="65"/>
      <c r="E556" s="65"/>
      <c r="F556" s="66"/>
      <c r="H556" s="65"/>
    </row>
    <row r="557">
      <c r="D557" s="65"/>
      <c r="E557" s="65"/>
      <c r="F557" s="66"/>
      <c r="H557" s="65"/>
    </row>
    <row r="558">
      <c r="D558" s="65"/>
      <c r="E558" s="65"/>
      <c r="F558" s="66"/>
      <c r="H558" s="65"/>
    </row>
    <row r="559">
      <c r="D559" s="65"/>
      <c r="E559" s="65"/>
      <c r="F559" s="66"/>
      <c r="H559" s="65"/>
    </row>
    <row r="560">
      <c r="D560" s="65"/>
      <c r="E560" s="65"/>
      <c r="F560" s="66"/>
      <c r="H560" s="65"/>
    </row>
    <row r="561">
      <c r="D561" s="65"/>
      <c r="E561" s="65"/>
      <c r="F561" s="66"/>
      <c r="H561" s="65"/>
    </row>
    <row r="562">
      <c r="D562" s="65"/>
      <c r="E562" s="65"/>
      <c r="F562" s="66"/>
      <c r="H562" s="65"/>
    </row>
    <row r="563">
      <c r="D563" s="65"/>
      <c r="E563" s="65"/>
      <c r="F563" s="66"/>
      <c r="H563" s="65"/>
    </row>
    <row r="564">
      <c r="D564" s="65"/>
      <c r="E564" s="65"/>
      <c r="F564" s="66"/>
      <c r="H564" s="65"/>
    </row>
    <row r="565">
      <c r="D565" s="65"/>
      <c r="E565" s="65"/>
      <c r="F565" s="66"/>
      <c r="H565" s="65"/>
    </row>
    <row r="566">
      <c r="D566" s="65"/>
      <c r="E566" s="65"/>
      <c r="F566" s="66"/>
      <c r="H566" s="65"/>
    </row>
    <row r="567">
      <c r="D567" s="65"/>
      <c r="E567" s="65"/>
      <c r="F567" s="66"/>
      <c r="H567" s="65"/>
    </row>
    <row r="568">
      <c r="D568" s="65"/>
      <c r="E568" s="65"/>
      <c r="F568" s="66"/>
      <c r="H568" s="65"/>
    </row>
    <row r="569">
      <c r="D569" s="65"/>
      <c r="E569" s="65"/>
      <c r="F569" s="66"/>
      <c r="H569" s="65"/>
    </row>
    <row r="570">
      <c r="D570" s="65"/>
      <c r="E570" s="65"/>
      <c r="F570" s="66"/>
      <c r="H570" s="65"/>
    </row>
    <row r="571">
      <c r="D571" s="65"/>
      <c r="E571" s="65"/>
      <c r="F571" s="66"/>
      <c r="H571" s="65"/>
    </row>
    <row r="572">
      <c r="D572" s="65"/>
      <c r="E572" s="65"/>
      <c r="F572" s="66"/>
      <c r="H572" s="65"/>
    </row>
    <row r="573">
      <c r="D573" s="65"/>
      <c r="E573" s="65"/>
      <c r="F573" s="66"/>
      <c r="H573" s="65"/>
    </row>
    <row r="574">
      <c r="D574" s="65"/>
      <c r="E574" s="65"/>
      <c r="F574" s="66"/>
      <c r="H574" s="65"/>
    </row>
    <row r="575">
      <c r="D575" s="65"/>
      <c r="E575" s="65"/>
      <c r="F575" s="66"/>
      <c r="H575" s="65"/>
    </row>
    <row r="576">
      <c r="D576" s="65"/>
      <c r="E576" s="65"/>
      <c r="F576" s="66"/>
      <c r="H576" s="65"/>
    </row>
    <row r="577">
      <c r="D577" s="65"/>
      <c r="E577" s="65"/>
      <c r="F577" s="66"/>
      <c r="H577" s="65"/>
    </row>
    <row r="578">
      <c r="D578" s="65"/>
      <c r="E578" s="65"/>
      <c r="F578" s="66"/>
      <c r="H578" s="65"/>
    </row>
    <row r="579">
      <c r="D579" s="65"/>
      <c r="E579" s="65"/>
      <c r="F579" s="66"/>
      <c r="H579" s="65"/>
    </row>
    <row r="580">
      <c r="D580" s="65"/>
      <c r="E580" s="65"/>
      <c r="F580" s="66"/>
      <c r="H580" s="65"/>
    </row>
    <row r="581">
      <c r="D581" s="65"/>
      <c r="E581" s="65"/>
      <c r="F581" s="66"/>
      <c r="H581" s="65"/>
    </row>
    <row r="582">
      <c r="D582" s="65"/>
      <c r="E582" s="65"/>
      <c r="F582" s="66"/>
      <c r="H582" s="65"/>
    </row>
    <row r="583">
      <c r="D583" s="65"/>
      <c r="E583" s="65"/>
      <c r="F583" s="66"/>
      <c r="H583" s="65"/>
    </row>
    <row r="584">
      <c r="D584" s="65"/>
      <c r="E584" s="65"/>
      <c r="F584" s="66"/>
      <c r="H584" s="65"/>
    </row>
    <row r="585">
      <c r="D585" s="65"/>
      <c r="E585" s="65"/>
      <c r="F585" s="66"/>
      <c r="H585" s="65"/>
    </row>
    <row r="586">
      <c r="D586" s="65"/>
      <c r="E586" s="65"/>
      <c r="F586" s="66"/>
      <c r="H586" s="65"/>
    </row>
    <row r="587">
      <c r="D587" s="65"/>
      <c r="E587" s="65"/>
      <c r="F587" s="66"/>
      <c r="H587" s="65"/>
    </row>
    <row r="588">
      <c r="D588" s="65"/>
      <c r="E588" s="65"/>
      <c r="F588" s="66"/>
      <c r="H588" s="65"/>
    </row>
    <row r="589">
      <c r="D589" s="65"/>
      <c r="E589" s="65"/>
      <c r="F589" s="66"/>
      <c r="H589" s="65"/>
    </row>
    <row r="590">
      <c r="D590" s="65"/>
      <c r="E590" s="65"/>
      <c r="F590" s="66"/>
      <c r="H590" s="65"/>
    </row>
    <row r="591">
      <c r="D591" s="65"/>
      <c r="E591" s="65"/>
      <c r="F591" s="66"/>
      <c r="H591" s="65"/>
    </row>
    <row r="592">
      <c r="D592" s="65"/>
      <c r="E592" s="65"/>
      <c r="F592" s="66"/>
      <c r="H592" s="65"/>
    </row>
    <row r="593">
      <c r="D593" s="65"/>
      <c r="E593" s="65"/>
      <c r="F593" s="66"/>
      <c r="H593" s="65"/>
    </row>
    <row r="594">
      <c r="D594" s="65"/>
      <c r="E594" s="65"/>
      <c r="F594" s="66"/>
      <c r="H594" s="65"/>
    </row>
    <row r="595">
      <c r="D595" s="65"/>
      <c r="E595" s="65"/>
      <c r="F595" s="66"/>
      <c r="H595" s="65"/>
    </row>
    <row r="596">
      <c r="D596" s="65"/>
      <c r="E596" s="65"/>
      <c r="F596" s="66"/>
      <c r="H596" s="65"/>
    </row>
    <row r="597">
      <c r="D597" s="65"/>
      <c r="E597" s="65"/>
      <c r="F597" s="66"/>
      <c r="H597" s="65"/>
    </row>
    <row r="598">
      <c r="D598" s="65"/>
      <c r="E598" s="65"/>
      <c r="F598" s="66"/>
      <c r="H598" s="65"/>
    </row>
    <row r="599">
      <c r="D599" s="65"/>
      <c r="E599" s="65"/>
      <c r="F599" s="66"/>
      <c r="H599" s="65"/>
    </row>
    <row r="600">
      <c r="D600" s="65"/>
      <c r="E600" s="65"/>
      <c r="F600" s="66"/>
      <c r="H600" s="65"/>
    </row>
    <row r="601">
      <c r="D601" s="65"/>
      <c r="E601" s="65"/>
      <c r="F601" s="66"/>
      <c r="H601" s="65"/>
    </row>
    <row r="602">
      <c r="D602" s="65"/>
      <c r="E602" s="65"/>
      <c r="F602" s="66"/>
      <c r="H602" s="65"/>
    </row>
    <row r="603">
      <c r="D603" s="65"/>
      <c r="E603" s="65"/>
      <c r="F603" s="66"/>
      <c r="H603" s="65"/>
    </row>
    <row r="604">
      <c r="D604" s="65"/>
      <c r="E604" s="65"/>
      <c r="F604" s="66"/>
      <c r="H604" s="65"/>
    </row>
    <row r="605">
      <c r="D605" s="65"/>
      <c r="E605" s="65"/>
      <c r="F605" s="66"/>
      <c r="H605" s="65"/>
    </row>
    <row r="606">
      <c r="D606" s="65"/>
      <c r="E606" s="65"/>
      <c r="F606" s="66"/>
      <c r="H606" s="65"/>
    </row>
    <row r="607">
      <c r="D607" s="65"/>
      <c r="E607" s="65"/>
      <c r="F607" s="66"/>
      <c r="H607" s="65"/>
    </row>
    <row r="608">
      <c r="D608" s="65"/>
      <c r="E608" s="65"/>
      <c r="F608" s="66"/>
      <c r="H608" s="65"/>
    </row>
    <row r="609">
      <c r="D609" s="65"/>
      <c r="E609" s="65"/>
      <c r="F609" s="66"/>
      <c r="H609" s="65"/>
    </row>
    <row r="610">
      <c r="D610" s="65"/>
      <c r="E610" s="65"/>
      <c r="F610" s="66"/>
      <c r="H610" s="65"/>
    </row>
    <row r="611">
      <c r="D611" s="65"/>
      <c r="E611" s="65"/>
      <c r="F611" s="66"/>
      <c r="H611" s="65"/>
    </row>
    <row r="612">
      <c r="D612" s="65"/>
      <c r="E612" s="65"/>
      <c r="F612" s="66"/>
      <c r="H612" s="65"/>
    </row>
    <row r="613">
      <c r="D613" s="65"/>
      <c r="E613" s="65"/>
      <c r="F613" s="66"/>
      <c r="H613" s="65"/>
    </row>
    <row r="614">
      <c r="D614" s="65"/>
      <c r="E614" s="65"/>
      <c r="F614" s="66"/>
      <c r="H614" s="65"/>
    </row>
    <row r="615">
      <c r="D615" s="65"/>
      <c r="E615" s="65"/>
      <c r="F615" s="66"/>
      <c r="H615" s="65"/>
    </row>
    <row r="616">
      <c r="D616" s="65"/>
      <c r="E616" s="65"/>
      <c r="F616" s="66"/>
      <c r="H616" s="65"/>
    </row>
    <row r="617">
      <c r="D617" s="65"/>
      <c r="E617" s="65"/>
      <c r="F617" s="66"/>
      <c r="H617" s="65"/>
    </row>
    <row r="618">
      <c r="D618" s="65"/>
      <c r="E618" s="65"/>
      <c r="F618" s="66"/>
      <c r="H618" s="65"/>
    </row>
    <row r="619">
      <c r="D619" s="65"/>
      <c r="E619" s="65"/>
      <c r="F619" s="66"/>
      <c r="H619" s="65"/>
    </row>
    <row r="620">
      <c r="D620" s="65"/>
      <c r="E620" s="65"/>
      <c r="F620" s="66"/>
      <c r="H620" s="65"/>
    </row>
    <row r="621">
      <c r="D621" s="65"/>
      <c r="E621" s="65"/>
      <c r="F621" s="66"/>
      <c r="H621" s="65"/>
    </row>
    <row r="622">
      <c r="D622" s="65"/>
      <c r="E622" s="65"/>
      <c r="F622" s="66"/>
      <c r="H622" s="65"/>
    </row>
    <row r="623">
      <c r="D623" s="65"/>
      <c r="E623" s="65"/>
      <c r="F623" s="66"/>
      <c r="H623" s="65"/>
    </row>
    <row r="624">
      <c r="D624" s="65"/>
      <c r="E624" s="65"/>
      <c r="F624" s="66"/>
      <c r="H624" s="65"/>
    </row>
    <row r="625">
      <c r="D625" s="65"/>
      <c r="E625" s="65"/>
      <c r="F625" s="66"/>
      <c r="H625" s="65"/>
    </row>
    <row r="626">
      <c r="D626" s="65"/>
      <c r="E626" s="65"/>
      <c r="F626" s="66"/>
      <c r="H626" s="65"/>
    </row>
    <row r="627">
      <c r="D627" s="65"/>
      <c r="E627" s="65"/>
      <c r="F627" s="66"/>
      <c r="H627" s="65"/>
    </row>
    <row r="628">
      <c r="D628" s="65"/>
      <c r="E628" s="65"/>
      <c r="F628" s="66"/>
      <c r="H628" s="65"/>
    </row>
    <row r="629">
      <c r="D629" s="65"/>
      <c r="E629" s="65"/>
      <c r="F629" s="66"/>
      <c r="H629" s="65"/>
    </row>
    <row r="630">
      <c r="D630" s="65"/>
      <c r="E630" s="65"/>
      <c r="F630" s="66"/>
      <c r="H630" s="65"/>
    </row>
    <row r="631">
      <c r="D631" s="65"/>
      <c r="E631" s="65"/>
      <c r="F631" s="66"/>
      <c r="H631" s="65"/>
    </row>
    <row r="632">
      <c r="D632" s="65"/>
      <c r="E632" s="65"/>
      <c r="F632" s="66"/>
      <c r="H632" s="65"/>
    </row>
    <row r="633">
      <c r="D633" s="65"/>
      <c r="E633" s="65"/>
      <c r="F633" s="66"/>
      <c r="H633" s="65"/>
    </row>
    <row r="634">
      <c r="D634" s="65"/>
      <c r="E634" s="65"/>
      <c r="F634" s="66"/>
      <c r="H634" s="65"/>
    </row>
    <row r="635">
      <c r="D635" s="65"/>
      <c r="E635" s="65"/>
      <c r="F635" s="66"/>
      <c r="H635" s="65"/>
    </row>
    <row r="636">
      <c r="D636" s="65"/>
      <c r="E636" s="65"/>
      <c r="F636" s="66"/>
      <c r="H636" s="65"/>
    </row>
    <row r="637">
      <c r="D637" s="65"/>
      <c r="E637" s="65"/>
      <c r="F637" s="66"/>
      <c r="H637" s="65"/>
    </row>
    <row r="638">
      <c r="D638" s="65"/>
      <c r="E638" s="65"/>
      <c r="F638" s="66"/>
      <c r="H638" s="65"/>
    </row>
    <row r="639">
      <c r="D639" s="65"/>
      <c r="E639" s="65"/>
      <c r="F639" s="66"/>
      <c r="H639" s="65"/>
    </row>
    <row r="640">
      <c r="D640" s="65"/>
      <c r="E640" s="65"/>
      <c r="F640" s="66"/>
      <c r="H640" s="65"/>
    </row>
    <row r="641">
      <c r="D641" s="65"/>
      <c r="E641" s="65"/>
      <c r="F641" s="66"/>
      <c r="H641" s="65"/>
    </row>
    <row r="642">
      <c r="D642" s="65"/>
      <c r="E642" s="65"/>
      <c r="F642" s="66"/>
      <c r="H642" s="65"/>
    </row>
    <row r="643">
      <c r="D643" s="65"/>
      <c r="E643" s="65"/>
      <c r="F643" s="66"/>
      <c r="H643" s="65"/>
    </row>
    <row r="644">
      <c r="D644" s="65"/>
      <c r="E644" s="65"/>
      <c r="F644" s="66"/>
      <c r="H644" s="65"/>
    </row>
    <row r="645">
      <c r="D645" s="65"/>
      <c r="E645" s="65"/>
      <c r="F645" s="66"/>
      <c r="H645" s="65"/>
    </row>
    <row r="646">
      <c r="D646" s="65"/>
      <c r="E646" s="65"/>
      <c r="F646" s="66"/>
      <c r="H646" s="65"/>
    </row>
    <row r="647">
      <c r="D647" s="65"/>
      <c r="E647" s="65"/>
      <c r="F647" s="66"/>
      <c r="H647" s="65"/>
    </row>
    <row r="648">
      <c r="D648" s="65"/>
      <c r="E648" s="65"/>
      <c r="F648" s="66"/>
      <c r="H648" s="65"/>
    </row>
    <row r="649">
      <c r="D649" s="65"/>
      <c r="E649" s="65"/>
      <c r="F649" s="66"/>
      <c r="H649" s="65"/>
    </row>
    <row r="650">
      <c r="D650" s="65"/>
      <c r="E650" s="65"/>
      <c r="F650" s="66"/>
      <c r="H650" s="65"/>
    </row>
    <row r="651">
      <c r="D651" s="65"/>
      <c r="E651" s="65"/>
      <c r="F651" s="66"/>
      <c r="H651" s="65"/>
    </row>
    <row r="652">
      <c r="D652" s="65"/>
      <c r="E652" s="65"/>
      <c r="F652" s="66"/>
      <c r="H652" s="65"/>
    </row>
    <row r="653">
      <c r="D653" s="65"/>
      <c r="E653" s="65"/>
      <c r="F653" s="66"/>
      <c r="H653" s="65"/>
    </row>
    <row r="654">
      <c r="D654" s="65"/>
      <c r="E654" s="65"/>
      <c r="F654" s="66"/>
      <c r="H654" s="65"/>
    </row>
    <row r="655">
      <c r="D655" s="65"/>
      <c r="E655" s="65"/>
      <c r="F655" s="66"/>
      <c r="H655" s="65"/>
    </row>
    <row r="656">
      <c r="D656" s="65"/>
      <c r="E656" s="65"/>
      <c r="F656" s="66"/>
      <c r="H656" s="65"/>
    </row>
    <row r="657">
      <c r="D657" s="65"/>
      <c r="E657" s="65"/>
      <c r="F657" s="66"/>
      <c r="H657" s="65"/>
    </row>
    <row r="658">
      <c r="D658" s="65"/>
      <c r="E658" s="65"/>
      <c r="F658" s="66"/>
      <c r="H658" s="65"/>
    </row>
    <row r="659">
      <c r="D659" s="65"/>
      <c r="E659" s="65"/>
      <c r="F659" s="66"/>
      <c r="H659" s="65"/>
    </row>
    <row r="660">
      <c r="D660" s="65"/>
      <c r="E660" s="65"/>
      <c r="F660" s="66"/>
      <c r="H660" s="65"/>
    </row>
    <row r="661">
      <c r="D661" s="65"/>
      <c r="E661" s="65"/>
      <c r="F661" s="66"/>
      <c r="H661" s="65"/>
    </row>
    <row r="662">
      <c r="D662" s="65"/>
      <c r="E662" s="65"/>
      <c r="F662" s="66"/>
      <c r="H662" s="65"/>
    </row>
    <row r="663">
      <c r="D663" s="65"/>
      <c r="E663" s="65"/>
      <c r="F663" s="66"/>
      <c r="H663" s="65"/>
    </row>
    <row r="664">
      <c r="D664" s="65"/>
      <c r="E664" s="65"/>
      <c r="F664" s="66"/>
      <c r="H664" s="65"/>
    </row>
    <row r="665">
      <c r="D665" s="65"/>
      <c r="E665" s="65"/>
      <c r="F665" s="66"/>
      <c r="H665" s="65"/>
    </row>
    <row r="666">
      <c r="D666" s="65"/>
      <c r="E666" s="65"/>
      <c r="F666" s="66"/>
      <c r="H666" s="65"/>
    </row>
    <row r="667">
      <c r="D667" s="65"/>
      <c r="E667" s="65"/>
      <c r="F667" s="66"/>
      <c r="H667" s="65"/>
    </row>
    <row r="668">
      <c r="D668" s="65"/>
      <c r="E668" s="65"/>
      <c r="F668" s="66"/>
      <c r="H668" s="65"/>
    </row>
    <row r="669">
      <c r="D669" s="65"/>
      <c r="E669" s="65"/>
      <c r="F669" s="66"/>
      <c r="H669" s="65"/>
    </row>
    <row r="670">
      <c r="D670" s="65"/>
      <c r="E670" s="65"/>
      <c r="F670" s="66"/>
      <c r="H670" s="65"/>
    </row>
    <row r="671">
      <c r="D671" s="65"/>
      <c r="E671" s="65"/>
      <c r="F671" s="66"/>
      <c r="H671" s="65"/>
    </row>
    <row r="672">
      <c r="D672" s="65"/>
      <c r="E672" s="65"/>
      <c r="F672" s="66"/>
      <c r="H672" s="65"/>
    </row>
    <row r="673">
      <c r="D673" s="65"/>
      <c r="E673" s="65"/>
      <c r="F673" s="66"/>
      <c r="H673" s="65"/>
    </row>
    <row r="674">
      <c r="D674" s="65"/>
      <c r="E674" s="65"/>
      <c r="F674" s="66"/>
      <c r="H674" s="65"/>
    </row>
    <row r="675">
      <c r="D675" s="65"/>
      <c r="E675" s="65"/>
      <c r="F675" s="66"/>
      <c r="H675" s="65"/>
    </row>
    <row r="676">
      <c r="D676" s="65"/>
      <c r="E676" s="65"/>
      <c r="F676" s="66"/>
      <c r="H676" s="65"/>
    </row>
    <row r="677">
      <c r="D677" s="65"/>
      <c r="E677" s="65"/>
      <c r="F677" s="66"/>
      <c r="H677" s="65"/>
    </row>
    <row r="678">
      <c r="D678" s="65"/>
      <c r="E678" s="65"/>
      <c r="F678" s="66"/>
      <c r="H678" s="65"/>
    </row>
    <row r="679">
      <c r="D679" s="65"/>
      <c r="E679" s="65"/>
      <c r="F679" s="66"/>
      <c r="H679" s="65"/>
    </row>
    <row r="680">
      <c r="D680" s="65"/>
      <c r="E680" s="65"/>
      <c r="F680" s="66"/>
      <c r="H680" s="65"/>
    </row>
    <row r="681">
      <c r="D681" s="65"/>
      <c r="E681" s="65"/>
      <c r="F681" s="66"/>
      <c r="H681" s="65"/>
    </row>
    <row r="682">
      <c r="D682" s="65"/>
      <c r="E682" s="65"/>
      <c r="F682" s="66"/>
      <c r="H682" s="65"/>
    </row>
    <row r="683">
      <c r="D683" s="65"/>
      <c r="E683" s="65"/>
      <c r="F683" s="66"/>
      <c r="H683" s="65"/>
    </row>
    <row r="684">
      <c r="D684" s="65"/>
      <c r="E684" s="65"/>
      <c r="F684" s="66"/>
      <c r="H684" s="65"/>
    </row>
    <row r="685">
      <c r="D685" s="65"/>
      <c r="E685" s="65"/>
      <c r="F685" s="66"/>
      <c r="H685" s="65"/>
    </row>
    <row r="686">
      <c r="D686" s="65"/>
      <c r="E686" s="65"/>
      <c r="F686" s="66"/>
      <c r="H686" s="65"/>
    </row>
    <row r="687">
      <c r="D687" s="65"/>
      <c r="E687" s="65"/>
      <c r="F687" s="66"/>
      <c r="H687" s="65"/>
    </row>
    <row r="688">
      <c r="D688" s="65"/>
      <c r="E688" s="65"/>
      <c r="F688" s="66"/>
      <c r="H688" s="65"/>
    </row>
    <row r="689">
      <c r="D689" s="65"/>
      <c r="E689" s="65"/>
      <c r="F689" s="66"/>
      <c r="H689" s="65"/>
    </row>
    <row r="690">
      <c r="D690" s="65"/>
      <c r="E690" s="65"/>
      <c r="F690" s="66"/>
      <c r="H690" s="65"/>
    </row>
    <row r="691">
      <c r="D691" s="65"/>
      <c r="E691" s="65"/>
      <c r="F691" s="66"/>
      <c r="H691" s="65"/>
    </row>
    <row r="692">
      <c r="D692" s="65"/>
      <c r="E692" s="65"/>
      <c r="F692" s="66"/>
      <c r="H692" s="65"/>
    </row>
    <row r="693">
      <c r="D693" s="65"/>
      <c r="E693" s="65"/>
      <c r="F693" s="66"/>
      <c r="H693" s="65"/>
    </row>
    <row r="694">
      <c r="D694" s="65"/>
      <c r="E694" s="65"/>
      <c r="F694" s="66"/>
      <c r="H694" s="65"/>
    </row>
    <row r="695">
      <c r="D695" s="65"/>
      <c r="E695" s="65"/>
      <c r="F695" s="66"/>
      <c r="H695" s="65"/>
    </row>
    <row r="696">
      <c r="D696" s="65"/>
      <c r="E696" s="65"/>
      <c r="F696" s="66"/>
      <c r="H696" s="65"/>
    </row>
    <row r="697">
      <c r="D697" s="65"/>
      <c r="E697" s="65"/>
      <c r="F697" s="66"/>
      <c r="H697" s="65"/>
    </row>
    <row r="698">
      <c r="D698" s="65"/>
      <c r="E698" s="65"/>
      <c r="F698" s="66"/>
      <c r="H698" s="65"/>
    </row>
    <row r="699">
      <c r="D699" s="65"/>
      <c r="E699" s="65"/>
      <c r="F699" s="66"/>
      <c r="H699" s="65"/>
    </row>
    <row r="700">
      <c r="D700" s="65"/>
      <c r="E700" s="65"/>
      <c r="F700" s="66"/>
      <c r="H700" s="65"/>
    </row>
    <row r="701">
      <c r="D701" s="65"/>
      <c r="E701" s="65"/>
      <c r="F701" s="66"/>
      <c r="H701" s="65"/>
    </row>
    <row r="702">
      <c r="D702" s="65"/>
      <c r="E702" s="65"/>
      <c r="F702" s="66"/>
      <c r="H702" s="65"/>
    </row>
    <row r="703">
      <c r="D703" s="65"/>
      <c r="E703" s="65"/>
      <c r="F703" s="66"/>
      <c r="H703" s="65"/>
    </row>
    <row r="704">
      <c r="D704" s="65"/>
      <c r="E704" s="65"/>
      <c r="F704" s="66"/>
      <c r="H704" s="65"/>
    </row>
    <row r="705">
      <c r="D705" s="65"/>
      <c r="E705" s="65"/>
      <c r="F705" s="66"/>
      <c r="H705" s="65"/>
    </row>
    <row r="706">
      <c r="D706" s="65"/>
      <c r="E706" s="65"/>
      <c r="F706" s="66"/>
      <c r="H706" s="65"/>
    </row>
    <row r="707">
      <c r="D707" s="65"/>
      <c r="E707" s="65"/>
      <c r="F707" s="66"/>
      <c r="H707" s="65"/>
    </row>
    <row r="708">
      <c r="D708" s="65"/>
      <c r="E708" s="65"/>
      <c r="F708" s="66"/>
      <c r="H708" s="65"/>
    </row>
    <row r="709">
      <c r="D709" s="65"/>
      <c r="E709" s="65"/>
      <c r="F709" s="66"/>
      <c r="H709" s="65"/>
    </row>
    <row r="710">
      <c r="D710" s="65"/>
      <c r="E710" s="65"/>
      <c r="F710" s="66"/>
      <c r="H710" s="65"/>
    </row>
    <row r="711">
      <c r="D711" s="65"/>
      <c r="E711" s="65"/>
      <c r="F711" s="66"/>
      <c r="H711" s="65"/>
    </row>
    <row r="712">
      <c r="D712" s="65"/>
      <c r="E712" s="65"/>
      <c r="F712" s="66"/>
      <c r="H712" s="65"/>
    </row>
    <row r="713">
      <c r="D713" s="65"/>
      <c r="E713" s="65"/>
      <c r="F713" s="66"/>
      <c r="H713" s="65"/>
    </row>
    <row r="714">
      <c r="D714" s="65"/>
      <c r="E714" s="65"/>
      <c r="F714" s="66"/>
      <c r="H714" s="65"/>
    </row>
    <row r="715">
      <c r="D715" s="65"/>
      <c r="E715" s="65"/>
      <c r="F715" s="66"/>
      <c r="H715" s="65"/>
    </row>
    <row r="716">
      <c r="D716" s="65"/>
      <c r="E716" s="65"/>
      <c r="F716" s="66"/>
      <c r="H716" s="65"/>
    </row>
    <row r="717">
      <c r="D717" s="65"/>
      <c r="E717" s="65"/>
      <c r="F717" s="66"/>
      <c r="H717" s="65"/>
    </row>
    <row r="718">
      <c r="D718" s="65"/>
      <c r="E718" s="65"/>
      <c r="F718" s="66"/>
      <c r="H718" s="65"/>
    </row>
    <row r="719">
      <c r="D719" s="65"/>
      <c r="E719" s="65"/>
      <c r="F719" s="66"/>
      <c r="H719" s="65"/>
    </row>
    <row r="720">
      <c r="D720" s="65"/>
      <c r="E720" s="65"/>
      <c r="F720" s="66"/>
      <c r="H720" s="65"/>
    </row>
    <row r="721">
      <c r="D721" s="65"/>
      <c r="E721" s="65"/>
      <c r="F721" s="66"/>
      <c r="H721" s="65"/>
    </row>
    <row r="722">
      <c r="D722" s="65"/>
      <c r="E722" s="65"/>
      <c r="F722" s="66"/>
      <c r="H722" s="65"/>
    </row>
    <row r="723">
      <c r="D723" s="65"/>
      <c r="E723" s="65"/>
      <c r="F723" s="66"/>
      <c r="H723" s="65"/>
    </row>
    <row r="724">
      <c r="D724" s="65"/>
      <c r="E724" s="65"/>
      <c r="F724" s="66"/>
      <c r="H724" s="65"/>
    </row>
    <row r="725">
      <c r="D725" s="65"/>
      <c r="E725" s="65"/>
      <c r="F725" s="66"/>
      <c r="H725" s="65"/>
    </row>
    <row r="726">
      <c r="D726" s="65"/>
      <c r="E726" s="65"/>
      <c r="F726" s="66"/>
      <c r="H726" s="65"/>
    </row>
    <row r="727">
      <c r="D727" s="65"/>
      <c r="E727" s="65"/>
      <c r="F727" s="66"/>
      <c r="H727" s="65"/>
    </row>
    <row r="728">
      <c r="D728" s="65"/>
      <c r="E728" s="65"/>
      <c r="F728" s="66"/>
      <c r="H728" s="65"/>
    </row>
    <row r="729">
      <c r="D729" s="65"/>
      <c r="E729" s="65"/>
      <c r="F729" s="66"/>
      <c r="H729" s="65"/>
    </row>
    <row r="730">
      <c r="D730" s="65"/>
      <c r="E730" s="65"/>
      <c r="F730" s="66"/>
      <c r="H730" s="65"/>
    </row>
    <row r="731">
      <c r="D731" s="65"/>
      <c r="E731" s="65"/>
      <c r="F731" s="66"/>
      <c r="H731" s="65"/>
    </row>
    <row r="732">
      <c r="D732" s="65"/>
      <c r="E732" s="65"/>
      <c r="F732" s="66"/>
      <c r="H732" s="65"/>
    </row>
    <row r="733">
      <c r="D733" s="65"/>
      <c r="E733" s="65"/>
      <c r="F733" s="66"/>
      <c r="H733" s="65"/>
    </row>
    <row r="734">
      <c r="D734" s="65"/>
      <c r="E734" s="65"/>
      <c r="F734" s="66"/>
      <c r="H734" s="65"/>
    </row>
    <row r="735">
      <c r="D735" s="65"/>
      <c r="E735" s="65"/>
      <c r="F735" s="66"/>
      <c r="H735" s="65"/>
    </row>
    <row r="736">
      <c r="D736" s="65"/>
      <c r="E736" s="65"/>
      <c r="F736" s="66"/>
      <c r="H736" s="65"/>
    </row>
    <row r="737">
      <c r="D737" s="65"/>
      <c r="E737" s="65"/>
      <c r="F737" s="66"/>
      <c r="H737" s="65"/>
    </row>
    <row r="738">
      <c r="D738" s="65"/>
      <c r="E738" s="65"/>
      <c r="F738" s="66"/>
      <c r="H738" s="65"/>
    </row>
    <row r="739">
      <c r="D739" s="65"/>
      <c r="E739" s="65"/>
      <c r="F739" s="66"/>
      <c r="H739" s="65"/>
    </row>
    <row r="740">
      <c r="D740" s="65"/>
      <c r="E740" s="65"/>
      <c r="F740" s="66"/>
      <c r="H740" s="65"/>
    </row>
    <row r="741">
      <c r="D741" s="65"/>
      <c r="E741" s="65"/>
      <c r="F741" s="66"/>
      <c r="H741" s="65"/>
    </row>
    <row r="742">
      <c r="D742" s="65"/>
      <c r="E742" s="65"/>
      <c r="F742" s="66"/>
      <c r="H742" s="65"/>
    </row>
    <row r="743">
      <c r="D743" s="65"/>
      <c r="E743" s="65"/>
      <c r="F743" s="66"/>
      <c r="H743" s="65"/>
    </row>
    <row r="744">
      <c r="D744" s="65"/>
      <c r="E744" s="65"/>
      <c r="F744" s="66"/>
      <c r="H744" s="65"/>
    </row>
    <row r="745">
      <c r="D745" s="65"/>
      <c r="E745" s="65"/>
      <c r="F745" s="66"/>
      <c r="H745" s="65"/>
    </row>
    <row r="746">
      <c r="D746" s="65"/>
      <c r="E746" s="65"/>
      <c r="F746" s="66"/>
      <c r="H746" s="65"/>
    </row>
    <row r="747">
      <c r="D747" s="65"/>
      <c r="E747" s="65"/>
      <c r="F747" s="66"/>
      <c r="H747" s="65"/>
    </row>
    <row r="748">
      <c r="D748" s="65"/>
      <c r="E748" s="65"/>
      <c r="F748" s="66"/>
      <c r="H748" s="65"/>
    </row>
    <row r="749">
      <c r="D749" s="65"/>
      <c r="E749" s="65"/>
      <c r="F749" s="66"/>
      <c r="H749" s="65"/>
    </row>
    <row r="750">
      <c r="D750" s="65"/>
      <c r="E750" s="65"/>
      <c r="F750" s="66"/>
      <c r="H750" s="65"/>
    </row>
    <row r="751">
      <c r="D751" s="65"/>
      <c r="E751" s="65"/>
      <c r="F751" s="66"/>
      <c r="H751" s="65"/>
    </row>
    <row r="752">
      <c r="D752" s="65"/>
      <c r="E752" s="65"/>
      <c r="F752" s="66"/>
      <c r="H752" s="65"/>
    </row>
    <row r="753">
      <c r="D753" s="65"/>
      <c r="E753" s="65"/>
      <c r="F753" s="66"/>
      <c r="H753" s="65"/>
    </row>
    <row r="754">
      <c r="D754" s="65"/>
      <c r="E754" s="65"/>
      <c r="F754" s="66"/>
      <c r="H754" s="65"/>
    </row>
    <row r="755">
      <c r="D755" s="65"/>
      <c r="E755" s="65"/>
      <c r="F755" s="66"/>
      <c r="H755" s="65"/>
    </row>
    <row r="756">
      <c r="D756" s="65"/>
      <c r="E756" s="65"/>
      <c r="F756" s="66"/>
      <c r="H756" s="65"/>
    </row>
    <row r="757">
      <c r="D757" s="65"/>
      <c r="E757" s="65"/>
      <c r="F757" s="66"/>
      <c r="H757" s="65"/>
    </row>
    <row r="758">
      <c r="D758" s="65"/>
      <c r="E758" s="65"/>
      <c r="F758" s="66"/>
      <c r="H758" s="65"/>
    </row>
    <row r="759">
      <c r="D759" s="65"/>
      <c r="E759" s="65"/>
      <c r="F759" s="66"/>
      <c r="H759" s="65"/>
    </row>
    <row r="760">
      <c r="D760" s="65"/>
      <c r="E760" s="65"/>
      <c r="F760" s="66"/>
      <c r="H760" s="65"/>
    </row>
    <row r="761">
      <c r="D761" s="65"/>
      <c r="E761" s="65"/>
      <c r="F761" s="66"/>
      <c r="H761" s="65"/>
    </row>
    <row r="762">
      <c r="D762" s="65"/>
      <c r="E762" s="65"/>
      <c r="F762" s="66"/>
      <c r="H762" s="65"/>
    </row>
    <row r="763">
      <c r="D763" s="65"/>
      <c r="E763" s="65"/>
      <c r="F763" s="66"/>
      <c r="H763" s="65"/>
    </row>
    <row r="764">
      <c r="D764" s="65"/>
      <c r="E764" s="65"/>
      <c r="F764" s="66"/>
      <c r="H764" s="65"/>
    </row>
    <row r="765">
      <c r="D765" s="65"/>
      <c r="E765" s="65"/>
      <c r="F765" s="66"/>
      <c r="H765" s="65"/>
    </row>
    <row r="766">
      <c r="D766" s="65"/>
      <c r="E766" s="65"/>
      <c r="F766" s="66"/>
      <c r="H766" s="65"/>
    </row>
    <row r="767">
      <c r="D767" s="65"/>
      <c r="E767" s="65"/>
      <c r="F767" s="66"/>
      <c r="H767" s="65"/>
    </row>
    <row r="768">
      <c r="D768" s="65"/>
      <c r="E768" s="65"/>
      <c r="F768" s="66"/>
      <c r="H768" s="65"/>
    </row>
    <row r="769">
      <c r="D769" s="65"/>
      <c r="E769" s="65"/>
      <c r="F769" s="66"/>
      <c r="H769" s="65"/>
    </row>
    <row r="770">
      <c r="D770" s="65"/>
      <c r="E770" s="65"/>
      <c r="F770" s="66"/>
      <c r="H770" s="65"/>
    </row>
    <row r="771">
      <c r="D771" s="65"/>
      <c r="E771" s="65"/>
      <c r="F771" s="66"/>
      <c r="H771" s="65"/>
    </row>
    <row r="772">
      <c r="D772" s="65"/>
      <c r="E772" s="65"/>
      <c r="F772" s="66"/>
      <c r="H772" s="65"/>
    </row>
    <row r="773">
      <c r="D773" s="65"/>
      <c r="E773" s="65"/>
      <c r="F773" s="66"/>
      <c r="H773" s="65"/>
    </row>
    <row r="774">
      <c r="D774" s="65"/>
      <c r="E774" s="65"/>
      <c r="F774" s="66"/>
      <c r="H774" s="65"/>
    </row>
    <row r="775">
      <c r="D775" s="65"/>
      <c r="E775" s="65"/>
      <c r="F775" s="66"/>
      <c r="H775" s="65"/>
    </row>
    <row r="776">
      <c r="D776" s="65"/>
      <c r="E776" s="65"/>
      <c r="F776" s="66"/>
      <c r="H776" s="65"/>
    </row>
    <row r="777">
      <c r="D777" s="65"/>
      <c r="E777" s="65"/>
      <c r="F777" s="66"/>
      <c r="H777" s="65"/>
    </row>
    <row r="778">
      <c r="D778" s="65"/>
      <c r="E778" s="65"/>
      <c r="F778" s="66"/>
      <c r="H778" s="65"/>
    </row>
    <row r="779">
      <c r="D779" s="65"/>
      <c r="E779" s="65"/>
      <c r="F779" s="66"/>
      <c r="H779" s="65"/>
    </row>
    <row r="780">
      <c r="D780" s="65"/>
      <c r="E780" s="65"/>
      <c r="F780" s="66"/>
      <c r="H780" s="65"/>
    </row>
    <row r="781">
      <c r="D781" s="65"/>
      <c r="E781" s="65"/>
      <c r="F781" s="66"/>
      <c r="H781" s="65"/>
    </row>
    <row r="782">
      <c r="D782" s="65"/>
      <c r="E782" s="65"/>
      <c r="F782" s="66"/>
      <c r="H782" s="65"/>
    </row>
    <row r="783">
      <c r="D783" s="65"/>
      <c r="E783" s="65"/>
      <c r="F783" s="66"/>
      <c r="H783" s="65"/>
    </row>
    <row r="784">
      <c r="D784" s="65"/>
      <c r="E784" s="65"/>
      <c r="F784" s="66"/>
      <c r="H784" s="65"/>
    </row>
    <row r="785">
      <c r="D785" s="65"/>
      <c r="E785" s="65"/>
      <c r="F785" s="66"/>
      <c r="H785" s="65"/>
    </row>
    <row r="786">
      <c r="D786" s="65"/>
      <c r="E786" s="65"/>
      <c r="F786" s="66"/>
      <c r="H786" s="65"/>
    </row>
    <row r="787">
      <c r="D787" s="65"/>
      <c r="E787" s="65"/>
      <c r="F787" s="66"/>
      <c r="H787" s="65"/>
    </row>
    <row r="788">
      <c r="D788" s="65"/>
      <c r="E788" s="65"/>
      <c r="F788" s="66"/>
      <c r="H788" s="65"/>
    </row>
    <row r="789">
      <c r="D789" s="65"/>
      <c r="E789" s="65"/>
      <c r="F789" s="66"/>
      <c r="H789" s="65"/>
    </row>
    <row r="790">
      <c r="D790" s="65"/>
      <c r="E790" s="65"/>
      <c r="F790" s="66"/>
      <c r="H790" s="65"/>
    </row>
    <row r="791">
      <c r="D791" s="65"/>
      <c r="E791" s="65"/>
      <c r="F791" s="66"/>
      <c r="H791" s="65"/>
    </row>
    <row r="792">
      <c r="D792" s="65"/>
      <c r="E792" s="65"/>
      <c r="F792" s="66"/>
      <c r="H792" s="65"/>
    </row>
    <row r="793">
      <c r="D793" s="65"/>
      <c r="E793" s="65"/>
      <c r="F793" s="66"/>
      <c r="H793" s="65"/>
    </row>
    <row r="794">
      <c r="D794" s="65"/>
      <c r="E794" s="65"/>
      <c r="F794" s="66"/>
      <c r="H794" s="65"/>
    </row>
    <row r="795">
      <c r="D795" s="65"/>
      <c r="E795" s="65"/>
      <c r="F795" s="66"/>
      <c r="H795" s="65"/>
    </row>
    <row r="796">
      <c r="D796" s="65"/>
      <c r="E796" s="65"/>
      <c r="F796" s="66"/>
      <c r="H796" s="65"/>
    </row>
    <row r="797">
      <c r="D797" s="65"/>
      <c r="E797" s="65"/>
      <c r="F797" s="66"/>
      <c r="H797" s="65"/>
    </row>
    <row r="798">
      <c r="D798" s="65"/>
      <c r="E798" s="65"/>
      <c r="F798" s="66"/>
      <c r="H798" s="65"/>
    </row>
    <row r="799">
      <c r="D799" s="65"/>
      <c r="E799" s="65"/>
      <c r="F799" s="66"/>
      <c r="H799" s="65"/>
    </row>
    <row r="800">
      <c r="D800" s="65"/>
      <c r="E800" s="65"/>
      <c r="F800" s="66"/>
      <c r="H800" s="65"/>
    </row>
    <row r="801">
      <c r="D801" s="65"/>
      <c r="E801" s="65"/>
      <c r="F801" s="66"/>
      <c r="H801" s="65"/>
    </row>
    <row r="802">
      <c r="D802" s="65"/>
      <c r="E802" s="65"/>
      <c r="F802" s="66"/>
      <c r="H802" s="65"/>
    </row>
    <row r="803">
      <c r="D803" s="65"/>
      <c r="E803" s="65"/>
      <c r="F803" s="66"/>
      <c r="H803" s="65"/>
    </row>
    <row r="804">
      <c r="D804" s="65"/>
      <c r="E804" s="65"/>
      <c r="F804" s="66"/>
      <c r="H804" s="65"/>
    </row>
    <row r="805">
      <c r="D805" s="65"/>
      <c r="E805" s="65"/>
      <c r="F805" s="66"/>
      <c r="H805" s="65"/>
    </row>
    <row r="806">
      <c r="D806" s="65"/>
      <c r="E806" s="65"/>
      <c r="F806" s="66"/>
      <c r="H806" s="65"/>
    </row>
    <row r="807">
      <c r="D807" s="65"/>
      <c r="E807" s="65"/>
      <c r="F807" s="66"/>
      <c r="H807" s="65"/>
    </row>
    <row r="808">
      <c r="D808" s="65"/>
      <c r="E808" s="65"/>
      <c r="F808" s="66"/>
      <c r="H808" s="65"/>
    </row>
    <row r="809">
      <c r="D809" s="65"/>
      <c r="E809" s="65"/>
      <c r="F809" s="66"/>
      <c r="H809" s="65"/>
    </row>
    <row r="810">
      <c r="D810" s="65"/>
      <c r="E810" s="65"/>
      <c r="F810" s="66"/>
      <c r="H810" s="65"/>
    </row>
    <row r="811">
      <c r="D811" s="65"/>
      <c r="E811" s="65"/>
      <c r="F811" s="66"/>
      <c r="H811" s="65"/>
    </row>
    <row r="812">
      <c r="D812" s="65"/>
      <c r="E812" s="65"/>
      <c r="F812" s="66"/>
      <c r="H812" s="65"/>
    </row>
    <row r="813">
      <c r="D813" s="65"/>
      <c r="E813" s="65"/>
      <c r="F813" s="66"/>
      <c r="H813" s="65"/>
    </row>
    <row r="814">
      <c r="D814" s="65"/>
      <c r="E814" s="65"/>
      <c r="F814" s="66"/>
      <c r="H814" s="65"/>
    </row>
    <row r="815">
      <c r="D815" s="65"/>
      <c r="E815" s="65"/>
      <c r="F815" s="66"/>
      <c r="H815" s="65"/>
    </row>
    <row r="816">
      <c r="D816" s="65"/>
      <c r="E816" s="65"/>
      <c r="F816" s="66"/>
      <c r="H816" s="65"/>
    </row>
    <row r="817">
      <c r="D817" s="65"/>
      <c r="E817" s="65"/>
      <c r="F817" s="66"/>
      <c r="H817" s="65"/>
    </row>
    <row r="818">
      <c r="D818" s="65"/>
      <c r="E818" s="65"/>
      <c r="F818" s="66"/>
      <c r="H818" s="65"/>
    </row>
    <row r="819">
      <c r="D819" s="65"/>
      <c r="E819" s="65"/>
      <c r="F819" s="66"/>
      <c r="H819" s="65"/>
    </row>
    <row r="820">
      <c r="D820" s="65"/>
      <c r="E820" s="65"/>
      <c r="F820" s="66"/>
      <c r="H820" s="65"/>
    </row>
    <row r="821">
      <c r="D821" s="65"/>
      <c r="E821" s="65"/>
      <c r="F821" s="66"/>
      <c r="H821" s="65"/>
    </row>
    <row r="822">
      <c r="D822" s="65"/>
      <c r="E822" s="65"/>
      <c r="F822" s="66"/>
      <c r="H822" s="65"/>
    </row>
    <row r="823">
      <c r="D823" s="65"/>
      <c r="E823" s="65"/>
      <c r="F823" s="66"/>
      <c r="H823" s="65"/>
    </row>
    <row r="824">
      <c r="D824" s="65"/>
      <c r="E824" s="65"/>
      <c r="F824" s="66"/>
      <c r="H824" s="65"/>
    </row>
    <row r="825">
      <c r="D825" s="65"/>
      <c r="E825" s="65"/>
      <c r="F825" s="66"/>
      <c r="H825" s="65"/>
    </row>
    <row r="826">
      <c r="D826" s="65"/>
      <c r="E826" s="65"/>
      <c r="F826" s="66"/>
      <c r="H826" s="65"/>
    </row>
    <row r="827">
      <c r="D827" s="65"/>
      <c r="E827" s="65"/>
      <c r="F827" s="66"/>
      <c r="H827" s="65"/>
    </row>
    <row r="828">
      <c r="D828" s="65"/>
      <c r="E828" s="65"/>
      <c r="F828" s="66"/>
      <c r="H828" s="65"/>
    </row>
    <row r="829">
      <c r="D829" s="65"/>
      <c r="E829" s="65"/>
      <c r="F829" s="66"/>
      <c r="H829" s="65"/>
    </row>
    <row r="830">
      <c r="D830" s="65"/>
      <c r="E830" s="65"/>
      <c r="F830" s="66"/>
      <c r="H830" s="65"/>
    </row>
    <row r="831">
      <c r="D831" s="65"/>
      <c r="E831" s="65"/>
      <c r="F831" s="66"/>
      <c r="H831" s="65"/>
    </row>
    <row r="832">
      <c r="D832" s="65"/>
      <c r="E832" s="65"/>
      <c r="F832" s="66"/>
      <c r="H832" s="65"/>
    </row>
    <row r="833">
      <c r="D833" s="65"/>
      <c r="E833" s="65"/>
      <c r="F833" s="66"/>
      <c r="H833" s="65"/>
    </row>
    <row r="834">
      <c r="D834" s="65"/>
      <c r="E834" s="65"/>
      <c r="F834" s="66"/>
      <c r="H834" s="65"/>
    </row>
    <row r="835">
      <c r="D835" s="65"/>
      <c r="E835" s="65"/>
      <c r="F835" s="66"/>
      <c r="H835" s="65"/>
    </row>
    <row r="836">
      <c r="D836" s="65"/>
      <c r="E836" s="65"/>
      <c r="F836" s="66"/>
      <c r="H836" s="65"/>
    </row>
    <row r="837">
      <c r="D837" s="65"/>
      <c r="E837" s="65"/>
      <c r="F837" s="66"/>
      <c r="H837" s="65"/>
    </row>
    <row r="838">
      <c r="D838" s="65"/>
      <c r="E838" s="65"/>
      <c r="F838" s="66"/>
      <c r="H838" s="65"/>
    </row>
    <row r="839">
      <c r="D839" s="65"/>
      <c r="E839" s="65"/>
      <c r="F839" s="66"/>
      <c r="H839" s="65"/>
    </row>
    <row r="840">
      <c r="D840" s="65"/>
      <c r="E840" s="65"/>
      <c r="F840" s="66"/>
      <c r="H840" s="65"/>
    </row>
    <row r="841">
      <c r="D841" s="65"/>
      <c r="E841" s="65"/>
      <c r="F841" s="66"/>
      <c r="H841" s="65"/>
    </row>
    <row r="842">
      <c r="D842" s="65"/>
      <c r="E842" s="65"/>
      <c r="F842" s="66"/>
      <c r="H842" s="65"/>
    </row>
    <row r="843">
      <c r="D843" s="65"/>
      <c r="E843" s="65"/>
      <c r="F843" s="66"/>
      <c r="H843" s="65"/>
    </row>
    <row r="844">
      <c r="D844" s="65"/>
      <c r="E844" s="65"/>
      <c r="F844" s="66"/>
      <c r="H844" s="65"/>
    </row>
    <row r="845">
      <c r="D845" s="65"/>
      <c r="E845" s="65"/>
      <c r="F845" s="66"/>
      <c r="H845" s="65"/>
    </row>
    <row r="846">
      <c r="D846" s="65"/>
      <c r="E846" s="65"/>
      <c r="F846" s="66"/>
      <c r="H846" s="65"/>
    </row>
    <row r="847">
      <c r="D847" s="65"/>
      <c r="E847" s="65"/>
      <c r="F847" s="66"/>
      <c r="H847" s="65"/>
    </row>
    <row r="848">
      <c r="D848" s="65"/>
      <c r="E848" s="65"/>
      <c r="F848" s="66"/>
      <c r="H848" s="65"/>
    </row>
    <row r="849">
      <c r="D849" s="65"/>
      <c r="E849" s="65"/>
      <c r="F849" s="66"/>
      <c r="H849" s="65"/>
    </row>
    <row r="850">
      <c r="D850" s="65"/>
      <c r="E850" s="65"/>
      <c r="F850" s="66"/>
      <c r="H850" s="65"/>
    </row>
    <row r="851">
      <c r="D851" s="65"/>
      <c r="E851" s="65"/>
      <c r="F851" s="66"/>
      <c r="H851" s="65"/>
    </row>
    <row r="852">
      <c r="D852" s="65"/>
      <c r="E852" s="65"/>
      <c r="F852" s="66"/>
      <c r="H852" s="65"/>
    </row>
    <row r="853">
      <c r="D853" s="65"/>
      <c r="E853" s="65"/>
      <c r="F853" s="66"/>
      <c r="H853" s="65"/>
    </row>
    <row r="854">
      <c r="D854" s="65"/>
      <c r="E854" s="65"/>
      <c r="F854" s="66"/>
      <c r="H854" s="65"/>
    </row>
    <row r="855">
      <c r="D855" s="65"/>
      <c r="E855" s="65"/>
      <c r="F855" s="66"/>
      <c r="H855" s="65"/>
    </row>
    <row r="856">
      <c r="D856" s="65"/>
      <c r="E856" s="65"/>
      <c r="F856" s="66"/>
      <c r="H856" s="65"/>
    </row>
    <row r="857">
      <c r="D857" s="65"/>
      <c r="E857" s="65"/>
      <c r="F857" s="66"/>
      <c r="H857" s="65"/>
    </row>
    <row r="858">
      <c r="D858" s="65"/>
      <c r="E858" s="65"/>
      <c r="F858" s="66"/>
      <c r="H858" s="65"/>
    </row>
    <row r="859">
      <c r="D859" s="65"/>
      <c r="E859" s="65"/>
      <c r="F859" s="66"/>
      <c r="H859" s="65"/>
    </row>
    <row r="860">
      <c r="D860" s="65"/>
      <c r="E860" s="65"/>
      <c r="F860" s="66"/>
      <c r="H860" s="65"/>
    </row>
    <row r="861">
      <c r="D861" s="65"/>
      <c r="E861" s="65"/>
      <c r="F861" s="66"/>
      <c r="H861" s="65"/>
    </row>
    <row r="862">
      <c r="D862" s="65"/>
      <c r="E862" s="65"/>
      <c r="F862" s="66"/>
      <c r="H862" s="65"/>
    </row>
    <row r="863">
      <c r="D863" s="65"/>
      <c r="E863" s="65"/>
      <c r="F863" s="66"/>
      <c r="H863" s="65"/>
    </row>
    <row r="864">
      <c r="D864" s="65"/>
      <c r="E864" s="65"/>
      <c r="F864" s="66"/>
      <c r="H864" s="65"/>
    </row>
    <row r="865">
      <c r="D865" s="65"/>
      <c r="E865" s="65"/>
      <c r="F865" s="66"/>
      <c r="H865" s="65"/>
    </row>
    <row r="866">
      <c r="D866" s="65"/>
      <c r="E866" s="65"/>
      <c r="F866" s="66"/>
      <c r="H866" s="65"/>
    </row>
    <row r="867">
      <c r="D867" s="65"/>
      <c r="E867" s="65"/>
      <c r="F867" s="66"/>
      <c r="H867" s="65"/>
    </row>
    <row r="868">
      <c r="D868" s="65"/>
      <c r="E868" s="65"/>
      <c r="F868" s="66"/>
      <c r="H868" s="65"/>
    </row>
    <row r="869">
      <c r="D869" s="65"/>
      <c r="E869" s="65"/>
      <c r="F869" s="66"/>
      <c r="H869" s="65"/>
    </row>
    <row r="870">
      <c r="D870" s="65"/>
      <c r="E870" s="65"/>
      <c r="F870" s="66"/>
      <c r="H870" s="65"/>
    </row>
    <row r="871">
      <c r="D871" s="65"/>
      <c r="E871" s="65"/>
      <c r="F871" s="66"/>
      <c r="H871" s="65"/>
    </row>
    <row r="872">
      <c r="D872" s="65"/>
      <c r="E872" s="65"/>
      <c r="F872" s="66"/>
      <c r="H872" s="65"/>
    </row>
    <row r="873">
      <c r="D873" s="65"/>
      <c r="E873" s="65"/>
      <c r="F873" s="66"/>
      <c r="H873" s="65"/>
    </row>
    <row r="874">
      <c r="D874" s="65"/>
      <c r="E874" s="65"/>
      <c r="F874" s="66"/>
      <c r="H874" s="65"/>
    </row>
    <row r="875">
      <c r="D875" s="65"/>
      <c r="E875" s="65"/>
      <c r="F875" s="66"/>
      <c r="H875" s="65"/>
    </row>
    <row r="876">
      <c r="D876" s="65"/>
      <c r="E876" s="65"/>
      <c r="F876" s="66"/>
      <c r="H876" s="65"/>
    </row>
    <row r="877">
      <c r="D877" s="65"/>
      <c r="E877" s="65"/>
      <c r="F877" s="66"/>
      <c r="H877" s="65"/>
    </row>
    <row r="878">
      <c r="D878" s="65"/>
      <c r="E878" s="65"/>
      <c r="F878" s="66"/>
      <c r="H878" s="65"/>
    </row>
    <row r="879">
      <c r="D879" s="65"/>
      <c r="E879" s="65"/>
      <c r="F879" s="66"/>
      <c r="H879" s="65"/>
    </row>
    <row r="880">
      <c r="D880" s="65"/>
      <c r="E880" s="65"/>
      <c r="F880" s="66"/>
      <c r="H880" s="65"/>
    </row>
    <row r="881">
      <c r="D881" s="65"/>
      <c r="E881" s="65"/>
      <c r="F881" s="66"/>
      <c r="H881" s="65"/>
    </row>
    <row r="882">
      <c r="D882" s="65"/>
      <c r="E882" s="65"/>
      <c r="F882" s="66"/>
      <c r="H882" s="65"/>
    </row>
    <row r="883">
      <c r="D883" s="65"/>
      <c r="E883" s="65"/>
      <c r="F883" s="66"/>
      <c r="H883" s="65"/>
    </row>
    <row r="884">
      <c r="D884" s="65"/>
      <c r="E884" s="65"/>
      <c r="F884" s="66"/>
      <c r="H884" s="65"/>
    </row>
    <row r="885">
      <c r="D885" s="65"/>
      <c r="E885" s="65"/>
      <c r="F885" s="66"/>
      <c r="H885" s="65"/>
    </row>
    <row r="886">
      <c r="D886" s="65"/>
      <c r="E886" s="65"/>
      <c r="F886" s="66"/>
      <c r="H886" s="65"/>
    </row>
    <row r="887">
      <c r="D887" s="65"/>
      <c r="E887" s="65"/>
      <c r="F887" s="66"/>
      <c r="H887" s="65"/>
    </row>
    <row r="888">
      <c r="D888" s="65"/>
      <c r="E888" s="65"/>
      <c r="F888" s="66"/>
      <c r="H888" s="65"/>
    </row>
    <row r="889">
      <c r="D889" s="65"/>
      <c r="E889" s="65"/>
      <c r="F889" s="66"/>
      <c r="H889" s="65"/>
    </row>
    <row r="890">
      <c r="D890" s="65"/>
      <c r="E890" s="65"/>
      <c r="F890" s="66"/>
      <c r="H890" s="65"/>
    </row>
    <row r="891">
      <c r="D891" s="65"/>
      <c r="E891" s="65"/>
      <c r="F891" s="66"/>
      <c r="H891" s="65"/>
    </row>
    <row r="892">
      <c r="D892" s="65"/>
      <c r="E892" s="65"/>
      <c r="F892" s="66"/>
      <c r="H892" s="65"/>
    </row>
    <row r="893">
      <c r="D893" s="65"/>
      <c r="E893" s="65"/>
      <c r="F893" s="66"/>
      <c r="H893" s="65"/>
    </row>
    <row r="894">
      <c r="D894" s="65"/>
      <c r="E894" s="65"/>
      <c r="F894" s="66"/>
      <c r="H894" s="65"/>
    </row>
    <row r="895">
      <c r="D895" s="65"/>
      <c r="E895" s="65"/>
      <c r="F895" s="66"/>
      <c r="H895" s="65"/>
    </row>
    <row r="896">
      <c r="D896" s="65"/>
      <c r="E896" s="65"/>
      <c r="F896" s="66"/>
      <c r="H896" s="65"/>
    </row>
    <row r="897">
      <c r="D897" s="65"/>
      <c r="E897" s="65"/>
      <c r="F897" s="66"/>
      <c r="H897" s="65"/>
    </row>
    <row r="898">
      <c r="D898" s="65"/>
      <c r="E898" s="65"/>
      <c r="F898" s="66"/>
      <c r="H898" s="65"/>
    </row>
    <row r="899">
      <c r="D899" s="65"/>
      <c r="E899" s="65"/>
      <c r="F899" s="66"/>
      <c r="H899" s="65"/>
    </row>
    <row r="900">
      <c r="D900" s="65"/>
      <c r="E900" s="65"/>
      <c r="F900" s="66"/>
      <c r="H900" s="65"/>
    </row>
    <row r="901">
      <c r="D901" s="65"/>
      <c r="E901" s="65"/>
      <c r="F901" s="66"/>
      <c r="H901" s="65"/>
    </row>
    <row r="902">
      <c r="D902" s="65"/>
      <c r="E902" s="65"/>
      <c r="F902" s="66"/>
      <c r="H902" s="65"/>
    </row>
    <row r="903">
      <c r="D903" s="65"/>
      <c r="E903" s="65"/>
      <c r="F903" s="66"/>
      <c r="H903" s="65"/>
    </row>
    <row r="904">
      <c r="D904" s="65"/>
      <c r="E904" s="65"/>
      <c r="F904" s="66"/>
      <c r="H904" s="65"/>
    </row>
    <row r="905">
      <c r="D905" s="65"/>
      <c r="E905" s="65"/>
      <c r="F905" s="66"/>
      <c r="H905" s="65"/>
    </row>
    <row r="906">
      <c r="D906" s="65"/>
      <c r="E906" s="65"/>
      <c r="F906" s="66"/>
      <c r="H906" s="65"/>
    </row>
    <row r="907">
      <c r="D907" s="65"/>
      <c r="E907" s="65"/>
      <c r="F907" s="66"/>
      <c r="H907" s="65"/>
    </row>
    <row r="908">
      <c r="D908" s="65"/>
      <c r="E908" s="65"/>
      <c r="F908" s="66"/>
      <c r="H908" s="65"/>
    </row>
    <row r="909">
      <c r="D909" s="65"/>
      <c r="E909" s="65"/>
      <c r="F909" s="66"/>
      <c r="H909" s="65"/>
    </row>
    <row r="910">
      <c r="D910" s="65"/>
      <c r="E910" s="65"/>
      <c r="F910" s="66"/>
      <c r="H910" s="65"/>
    </row>
    <row r="911">
      <c r="D911" s="65"/>
      <c r="E911" s="65"/>
      <c r="F911" s="66"/>
      <c r="H911" s="65"/>
    </row>
    <row r="912">
      <c r="D912" s="65"/>
      <c r="E912" s="65"/>
      <c r="F912" s="66"/>
      <c r="H912" s="65"/>
    </row>
    <row r="913">
      <c r="D913" s="65"/>
      <c r="E913" s="65"/>
      <c r="F913" s="66"/>
      <c r="H913" s="65"/>
    </row>
    <row r="914">
      <c r="D914" s="65"/>
      <c r="E914" s="65"/>
      <c r="F914" s="66"/>
      <c r="H914" s="65"/>
    </row>
    <row r="915">
      <c r="D915" s="65"/>
      <c r="E915" s="65"/>
      <c r="F915" s="66"/>
      <c r="H915" s="65"/>
    </row>
    <row r="916">
      <c r="D916" s="65"/>
      <c r="E916" s="65"/>
      <c r="F916" s="66"/>
      <c r="H916" s="65"/>
    </row>
    <row r="917">
      <c r="D917" s="65"/>
      <c r="E917" s="65"/>
      <c r="F917" s="66"/>
      <c r="H917" s="65"/>
    </row>
    <row r="918">
      <c r="D918" s="65"/>
      <c r="E918" s="65"/>
      <c r="F918" s="66"/>
      <c r="H918" s="65"/>
    </row>
    <row r="919">
      <c r="D919" s="65"/>
      <c r="E919" s="65"/>
      <c r="F919" s="66"/>
      <c r="H919" s="65"/>
    </row>
    <row r="920">
      <c r="D920" s="65"/>
      <c r="E920" s="65"/>
      <c r="F920" s="66"/>
      <c r="H920" s="65"/>
    </row>
    <row r="921">
      <c r="D921" s="65"/>
      <c r="E921" s="65"/>
      <c r="F921" s="66"/>
      <c r="H921" s="65"/>
    </row>
    <row r="922">
      <c r="D922" s="65"/>
      <c r="E922" s="65"/>
      <c r="F922" s="66"/>
      <c r="H922" s="65"/>
    </row>
    <row r="923">
      <c r="D923" s="65"/>
      <c r="E923" s="65"/>
      <c r="F923" s="66"/>
      <c r="H923" s="65"/>
    </row>
    <row r="924">
      <c r="D924" s="65"/>
      <c r="E924" s="65"/>
      <c r="F924" s="66"/>
      <c r="H924" s="65"/>
    </row>
    <row r="925">
      <c r="D925" s="65"/>
      <c r="E925" s="65"/>
      <c r="F925" s="66"/>
      <c r="H925" s="65"/>
    </row>
    <row r="926">
      <c r="D926" s="65"/>
      <c r="E926" s="65"/>
      <c r="F926" s="66"/>
      <c r="H926" s="65"/>
    </row>
    <row r="927">
      <c r="D927" s="65"/>
      <c r="E927" s="65"/>
      <c r="F927" s="66"/>
      <c r="H927" s="65"/>
    </row>
    <row r="928">
      <c r="D928" s="65"/>
      <c r="E928" s="65"/>
      <c r="F928" s="66"/>
      <c r="H928" s="65"/>
    </row>
    <row r="929">
      <c r="D929" s="65"/>
      <c r="E929" s="65"/>
      <c r="F929" s="66"/>
      <c r="H929" s="65"/>
    </row>
    <row r="930">
      <c r="D930" s="65"/>
      <c r="E930" s="65"/>
      <c r="F930" s="66"/>
      <c r="H930" s="65"/>
    </row>
    <row r="931">
      <c r="D931" s="65"/>
      <c r="E931" s="65"/>
      <c r="F931" s="66"/>
      <c r="H931" s="65"/>
    </row>
    <row r="932">
      <c r="D932" s="65"/>
      <c r="E932" s="65"/>
      <c r="F932" s="66"/>
      <c r="H932" s="65"/>
    </row>
    <row r="933">
      <c r="D933" s="65"/>
      <c r="E933" s="65"/>
      <c r="F933" s="66"/>
      <c r="H933" s="65"/>
    </row>
    <row r="934">
      <c r="D934" s="65"/>
      <c r="E934" s="65"/>
      <c r="F934" s="66"/>
      <c r="H934" s="65"/>
    </row>
    <row r="935">
      <c r="D935" s="65"/>
      <c r="E935" s="65"/>
      <c r="F935" s="66"/>
      <c r="H935" s="65"/>
    </row>
    <row r="936">
      <c r="D936" s="65"/>
      <c r="E936" s="65"/>
      <c r="F936" s="66"/>
      <c r="H936" s="65"/>
    </row>
    <row r="937">
      <c r="D937" s="65"/>
      <c r="E937" s="65"/>
      <c r="F937" s="66"/>
      <c r="H937" s="65"/>
    </row>
    <row r="938">
      <c r="D938" s="65"/>
      <c r="E938" s="65"/>
      <c r="F938" s="66"/>
      <c r="H938" s="65"/>
    </row>
    <row r="939">
      <c r="D939" s="65"/>
      <c r="E939" s="65"/>
      <c r="F939" s="66"/>
      <c r="H939" s="65"/>
    </row>
    <row r="940">
      <c r="D940" s="65"/>
      <c r="E940" s="65"/>
      <c r="F940" s="66"/>
      <c r="H940" s="65"/>
    </row>
    <row r="941">
      <c r="D941" s="65"/>
      <c r="E941" s="65"/>
      <c r="F941" s="66"/>
      <c r="H941" s="65"/>
    </row>
    <row r="942">
      <c r="D942" s="65"/>
      <c r="E942" s="65"/>
      <c r="F942" s="66"/>
      <c r="H942" s="65"/>
    </row>
    <row r="943">
      <c r="D943" s="65"/>
      <c r="E943" s="65"/>
      <c r="F943" s="66"/>
      <c r="H943" s="65"/>
    </row>
    <row r="944">
      <c r="D944" s="65"/>
      <c r="E944" s="65"/>
      <c r="F944" s="66"/>
      <c r="H944" s="65"/>
    </row>
    <row r="945">
      <c r="D945" s="65"/>
      <c r="E945" s="65"/>
      <c r="F945" s="66"/>
      <c r="H945" s="65"/>
    </row>
    <row r="946">
      <c r="D946" s="65"/>
      <c r="E946" s="65"/>
      <c r="F946" s="66"/>
      <c r="H946" s="65"/>
    </row>
    <row r="947">
      <c r="D947" s="65"/>
      <c r="E947" s="65"/>
      <c r="F947" s="66"/>
      <c r="H947" s="65"/>
    </row>
    <row r="948">
      <c r="D948" s="65"/>
      <c r="E948" s="65"/>
      <c r="F948" s="66"/>
      <c r="H948" s="65"/>
    </row>
    <row r="949">
      <c r="D949" s="65"/>
      <c r="E949" s="65"/>
      <c r="F949" s="66"/>
      <c r="H949" s="65"/>
    </row>
    <row r="950">
      <c r="D950" s="65"/>
      <c r="E950" s="65"/>
      <c r="F950" s="66"/>
      <c r="H950" s="65"/>
    </row>
    <row r="951">
      <c r="D951" s="65"/>
      <c r="E951" s="65"/>
      <c r="F951" s="66"/>
      <c r="H951" s="65"/>
    </row>
    <row r="952">
      <c r="D952" s="65"/>
      <c r="E952" s="65"/>
      <c r="F952" s="66"/>
      <c r="H952" s="65"/>
    </row>
    <row r="953">
      <c r="D953" s="65"/>
      <c r="E953" s="65"/>
      <c r="F953" s="66"/>
      <c r="H953" s="65"/>
    </row>
    <row r="954">
      <c r="D954" s="65"/>
      <c r="E954" s="65"/>
      <c r="F954" s="66"/>
      <c r="H954" s="65"/>
    </row>
    <row r="955">
      <c r="D955" s="65"/>
      <c r="E955" s="65"/>
      <c r="F955" s="66"/>
      <c r="H955" s="65"/>
    </row>
    <row r="956">
      <c r="D956" s="65"/>
      <c r="E956" s="65"/>
      <c r="F956" s="66"/>
      <c r="H956" s="65"/>
    </row>
    <row r="957">
      <c r="D957" s="65"/>
      <c r="E957" s="65"/>
      <c r="F957" s="66"/>
      <c r="H957" s="65"/>
    </row>
    <row r="958">
      <c r="D958" s="65"/>
      <c r="E958" s="65"/>
      <c r="F958" s="66"/>
      <c r="H958" s="65"/>
    </row>
    <row r="959">
      <c r="D959" s="65"/>
      <c r="E959" s="65"/>
      <c r="F959" s="66"/>
      <c r="H959" s="65"/>
    </row>
    <row r="960">
      <c r="D960" s="65"/>
      <c r="E960" s="65"/>
      <c r="F960" s="66"/>
      <c r="H960" s="65"/>
    </row>
    <row r="961">
      <c r="D961" s="65"/>
      <c r="E961" s="65"/>
      <c r="F961" s="66"/>
      <c r="H961" s="65"/>
    </row>
    <row r="962">
      <c r="D962" s="65"/>
      <c r="E962" s="65"/>
      <c r="F962" s="66"/>
      <c r="H962" s="65"/>
    </row>
    <row r="963">
      <c r="D963" s="65"/>
      <c r="E963" s="65"/>
      <c r="F963" s="66"/>
      <c r="H963" s="65"/>
    </row>
    <row r="964">
      <c r="D964" s="65"/>
      <c r="E964" s="65"/>
      <c r="F964" s="66"/>
      <c r="H964" s="65"/>
    </row>
    <row r="965">
      <c r="D965" s="65"/>
      <c r="E965" s="65"/>
      <c r="F965" s="66"/>
      <c r="H965" s="65"/>
    </row>
    <row r="966">
      <c r="D966" s="65"/>
      <c r="E966" s="65"/>
      <c r="F966" s="66"/>
      <c r="H966" s="65"/>
    </row>
    <row r="967">
      <c r="D967" s="65"/>
      <c r="E967" s="65"/>
      <c r="F967" s="66"/>
      <c r="H967" s="65"/>
    </row>
    <row r="968">
      <c r="D968" s="65"/>
      <c r="E968" s="65"/>
      <c r="F968" s="66"/>
      <c r="H968" s="65"/>
    </row>
    <row r="969">
      <c r="D969" s="65"/>
      <c r="E969" s="65"/>
      <c r="F969" s="66"/>
      <c r="H969" s="65"/>
    </row>
    <row r="970">
      <c r="D970" s="65"/>
      <c r="E970" s="65"/>
      <c r="F970" s="66"/>
      <c r="H970" s="65"/>
    </row>
    <row r="971">
      <c r="D971" s="65"/>
      <c r="E971" s="65"/>
      <c r="F971" s="66"/>
      <c r="H971" s="65"/>
    </row>
    <row r="972">
      <c r="D972" s="65"/>
      <c r="E972" s="65"/>
      <c r="F972" s="66"/>
      <c r="H972" s="65"/>
    </row>
    <row r="973">
      <c r="D973" s="65"/>
      <c r="E973" s="65"/>
      <c r="F973" s="66"/>
      <c r="H973" s="65"/>
    </row>
    <row r="974">
      <c r="D974" s="65"/>
      <c r="E974" s="65"/>
      <c r="F974" s="66"/>
      <c r="H974" s="65"/>
    </row>
    <row r="975">
      <c r="D975" s="65"/>
      <c r="E975" s="65"/>
      <c r="F975" s="66"/>
      <c r="H975" s="65"/>
    </row>
    <row r="976">
      <c r="D976" s="65"/>
      <c r="E976" s="65"/>
      <c r="F976" s="66"/>
      <c r="H976" s="65"/>
    </row>
    <row r="977">
      <c r="D977" s="65"/>
      <c r="E977" s="65"/>
      <c r="F977" s="66"/>
      <c r="H977" s="65"/>
    </row>
    <row r="978">
      <c r="D978" s="65"/>
      <c r="E978" s="65"/>
      <c r="F978" s="66"/>
      <c r="H978" s="65"/>
    </row>
    <row r="979">
      <c r="D979" s="65"/>
      <c r="E979" s="65"/>
      <c r="F979" s="66"/>
      <c r="H979" s="65"/>
    </row>
    <row r="980">
      <c r="D980" s="65"/>
      <c r="E980" s="65"/>
      <c r="F980" s="66"/>
      <c r="H980" s="65"/>
    </row>
    <row r="981">
      <c r="D981" s="65"/>
      <c r="E981" s="65"/>
      <c r="F981" s="66"/>
      <c r="H981" s="65"/>
    </row>
    <row r="982">
      <c r="D982" s="65"/>
      <c r="E982" s="65"/>
      <c r="F982" s="66"/>
      <c r="H982" s="65"/>
    </row>
    <row r="983">
      <c r="D983" s="65"/>
      <c r="E983" s="65"/>
      <c r="F983" s="66"/>
      <c r="H983" s="65"/>
    </row>
    <row r="984">
      <c r="D984" s="65"/>
      <c r="E984" s="65"/>
      <c r="F984" s="66"/>
      <c r="H984" s="65"/>
    </row>
    <row r="985">
      <c r="D985" s="65"/>
      <c r="E985" s="65"/>
      <c r="F985" s="66"/>
      <c r="H985" s="65"/>
    </row>
    <row r="986">
      <c r="D986" s="65"/>
      <c r="E986" s="65"/>
      <c r="F986" s="66"/>
      <c r="H986" s="65"/>
    </row>
    <row r="987">
      <c r="D987" s="65"/>
      <c r="E987" s="65"/>
      <c r="F987" s="66"/>
      <c r="H987" s="65"/>
    </row>
    <row r="988">
      <c r="D988" s="65"/>
      <c r="E988" s="65"/>
      <c r="F988" s="66"/>
      <c r="H988" s="65"/>
    </row>
    <row r="989">
      <c r="D989" s="65"/>
      <c r="E989" s="65"/>
      <c r="F989" s="66"/>
      <c r="H989" s="65"/>
    </row>
    <row r="990">
      <c r="D990" s="65"/>
      <c r="E990" s="65"/>
      <c r="F990" s="66"/>
      <c r="H990" s="65"/>
    </row>
    <row r="991">
      <c r="D991" s="65"/>
      <c r="E991" s="65"/>
      <c r="F991" s="66"/>
      <c r="H991" s="65"/>
    </row>
    <row r="992">
      <c r="D992" s="65"/>
      <c r="E992" s="65"/>
      <c r="F992" s="66"/>
      <c r="H992" s="65"/>
    </row>
    <row r="993">
      <c r="D993" s="65"/>
      <c r="E993" s="65"/>
      <c r="F993" s="66"/>
      <c r="H993" s="65"/>
    </row>
    <row r="994">
      <c r="D994" s="65"/>
      <c r="E994" s="65"/>
      <c r="F994" s="66"/>
      <c r="H994" s="65"/>
    </row>
    <row r="995">
      <c r="D995" s="65"/>
      <c r="E995" s="65"/>
      <c r="F995" s="66"/>
      <c r="H995" s="65"/>
    </row>
    <row r="996">
      <c r="D996" s="65"/>
      <c r="E996" s="65"/>
      <c r="F996" s="66"/>
      <c r="H996" s="65"/>
    </row>
    <row r="997">
      <c r="D997" s="65"/>
      <c r="E997" s="65"/>
      <c r="F997" s="66"/>
      <c r="H997" s="65"/>
    </row>
    <row r="998">
      <c r="D998" s="65"/>
      <c r="E998" s="65"/>
      <c r="F998" s="66"/>
      <c r="H998" s="65"/>
    </row>
    <row r="999">
      <c r="D999" s="65"/>
      <c r="E999" s="65"/>
      <c r="F999" s="66"/>
      <c r="H999" s="65"/>
    </row>
    <row r="1000">
      <c r="D1000" s="65"/>
      <c r="E1000" s="65"/>
      <c r="F1000" s="66"/>
      <c r="H1000" s="65"/>
    </row>
    <row r="1001">
      <c r="D1001" s="65"/>
      <c r="E1001" s="65"/>
      <c r="F1001" s="66"/>
      <c r="H1001" s="65"/>
    </row>
  </sheetData>
  <dataValidations>
    <dataValidation type="list" allowBlank="1" showErrorMessage="1" sqref="C3:C18">
      <formula1>"Bahan Baku,Operasional,Peralatan,Lain-lain"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43"/>
    <col customWidth="1" min="3" max="3" width="16.71"/>
    <col customWidth="1" min="4" max="4" width="29.0"/>
    <col customWidth="1" min="5" max="5" width="4.29"/>
    <col customWidth="1" min="6" max="6" width="12.71"/>
    <col customWidth="1" min="7" max="7" width="13.0"/>
    <col customWidth="1" min="8" max="8" width="28.57"/>
    <col customWidth="1" min="9" max="9" width="12.86"/>
    <col customWidth="1" min="10" max="13" width="8.71"/>
    <col customWidth="1" min="14" max="14" width="27.86"/>
    <col customWidth="1" min="15" max="15" width="9.43"/>
    <col customWidth="1" min="16" max="16" width="23.29"/>
    <col customWidth="1" min="17" max="17" width="28.0"/>
    <col customWidth="1" min="18" max="18" width="21.29"/>
    <col customWidth="1" min="19" max="19" width="17.43"/>
    <col customWidth="1" min="20" max="20" width="14.57"/>
    <col customWidth="1" min="21" max="21" width="15.14"/>
    <col customWidth="1" min="22" max="22" width="17.29"/>
    <col customWidth="1" min="23" max="23" width="20.71"/>
    <col customWidth="1" min="24" max="99" width="8.71"/>
  </cols>
  <sheetData>
    <row r="1" ht="30.0" customHeight="1">
      <c r="A1" s="34" t="b">
        <v>1</v>
      </c>
      <c r="B1" s="35"/>
      <c r="C1" s="35"/>
      <c r="D1" s="35"/>
      <c r="E1" s="35"/>
      <c r="F1" s="37"/>
      <c r="G1" s="37">
        <f>SUM(G3:G1024)</f>
        <v>12984836</v>
      </c>
      <c r="H1" s="38"/>
      <c r="I1" s="39"/>
      <c r="J1" s="40"/>
      <c r="K1" s="41"/>
      <c r="L1" s="42"/>
      <c r="M1" s="43"/>
      <c r="N1" s="44"/>
      <c r="O1" s="43"/>
      <c r="AB1" s="43"/>
      <c r="AC1" s="43"/>
      <c r="AD1" s="45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</row>
    <row r="2">
      <c r="A2" s="69" t="s">
        <v>1</v>
      </c>
      <c r="B2" s="69" t="s">
        <v>80</v>
      </c>
      <c r="C2" s="69" t="s">
        <v>81</v>
      </c>
      <c r="D2" s="69" t="s">
        <v>82</v>
      </c>
      <c r="E2" s="69" t="s">
        <v>83</v>
      </c>
      <c r="F2" s="70" t="s">
        <v>5</v>
      </c>
      <c r="G2" s="70" t="s">
        <v>6</v>
      </c>
      <c r="H2" s="69" t="s">
        <v>84</v>
      </c>
      <c r="I2" s="39"/>
      <c r="J2" s="40"/>
      <c r="K2" s="41" t="b">
        <v>0</v>
      </c>
      <c r="L2" s="42"/>
      <c r="M2" s="43"/>
      <c r="N2" s="43"/>
      <c r="O2" s="43"/>
      <c r="AB2" s="43"/>
      <c r="AC2" s="43"/>
      <c r="AD2" s="45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</row>
    <row r="3">
      <c r="A3" s="71">
        <v>46209.0</v>
      </c>
      <c r="B3" s="72">
        <v>33.0</v>
      </c>
      <c r="C3" s="64" t="s">
        <v>103</v>
      </c>
      <c r="D3" s="73" t="s">
        <v>104</v>
      </c>
      <c r="E3" s="29">
        <v>6.0</v>
      </c>
      <c r="F3" s="74">
        <v>550000.0</v>
      </c>
      <c r="G3" s="67">
        <f t="shared" ref="G3:G178" si="1">F3*E3</f>
        <v>3300000</v>
      </c>
      <c r="H3" s="75" t="s">
        <v>105</v>
      </c>
      <c r="I3" s="76"/>
      <c r="J3" s="45"/>
    </row>
    <row r="4">
      <c r="A4" s="71">
        <v>46209.0</v>
      </c>
      <c r="B4" s="72">
        <v>33.0</v>
      </c>
      <c r="C4" s="64" t="s">
        <v>103</v>
      </c>
      <c r="D4" s="75" t="s">
        <v>106</v>
      </c>
      <c r="E4" s="29">
        <v>20.0</v>
      </c>
      <c r="F4" s="74">
        <v>80000.0</v>
      </c>
      <c r="G4" s="67">
        <f t="shared" si="1"/>
        <v>1600000</v>
      </c>
      <c r="H4" s="75" t="s">
        <v>105</v>
      </c>
      <c r="I4" s="76"/>
      <c r="J4" s="45"/>
    </row>
    <row r="5">
      <c r="A5" s="71">
        <v>46209.0</v>
      </c>
      <c r="B5" s="72">
        <v>33.0</v>
      </c>
      <c r="C5" s="64" t="s">
        <v>103</v>
      </c>
      <c r="D5" s="75" t="s">
        <v>107</v>
      </c>
      <c r="E5" s="29">
        <v>8.0</v>
      </c>
      <c r="F5" s="74">
        <v>225000.0</v>
      </c>
      <c r="G5" s="67">
        <f t="shared" si="1"/>
        <v>1800000</v>
      </c>
      <c r="H5" s="75" t="s">
        <v>105</v>
      </c>
      <c r="I5" s="76"/>
      <c r="J5" s="45"/>
    </row>
    <row r="6">
      <c r="A6" s="71">
        <v>46209.0</v>
      </c>
      <c r="B6" s="72">
        <v>33.0</v>
      </c>
      <c r="C6" s="64" t="s">
        <v>103</v>
      </c>
      <c r="D6" s="64" t="s">
        <v>108</v>
      </c>
      <c r="E6" s="64">
        <v>12.0</v>
      </c>
      <c r="F6" s="74">
        <v>225000.0</v>
      </c>
      <c r="G6" s="67">
        <f t="shared" si="1"/>
        <v>2700000</v>
      </c>
      <c r="H6" s="75" t="s">
        <v>105</v>
      </c>
      <c r="I6" s="77"/>
      <c r="J6" s="78"/>
    </row>
    <row r="7">
      <c r="A7" s="71">
        <v>46209.0</v>
      </c>
      <c r="B7" s="72">
        <v>33.0</v>
      </c>
      <c r="C7" s="64" t="s">
        <v>85</v>
      </c>
      <c r="D7" s="75" t="s">
        <v>109</v>
      </c>
      <c r="E7" s="75">
        <v>2.0</v>
      </c>
      <c r="F7" s="74">
        <v>100000.0</v>
      </c>
      <c r="G7" s="67">
        <f t="shared" si="1"/>
        <v>200000</v>
      </c>
      <c r="H7" s="75" t="s">
        <v>105</v>
      </c>
      <c r="I7" s="76"/>
      <c r="J7" s="45"/>
    </row>
    <row r="8">
      <c r="A8" s="71">
        <v>46209.0</v>
      </c>
      <c r="B8" s="72">
        <v>33.0</v>
      </c>
      <c r="C8" s="29" t="s">
        <v>85</v>
      </c>
      <c r="D8" s="73" t="s">
        <v>110</v>
      </c>
      <c r="E8" s="29">
        <v>1.0</v>
      </c>
      <c r="F8" s="74">
        <v>500000.0</v>
      </c>
      <c r="G8" s="67">
        <f t="shared" si="1"/>
        <v>500000</v>
      </c>
      <c r="H8" s="75" t="s">
        <v>105</v>
      </c>
      <c r="I8" s="79">
        <f>SUM(G3:G8)</f>
        <v>10100000</v>
      </c>
      <c r="J8" s="80"/>
    </row>
    <row r="9">
      <c r="A9" s="71">
        <v>46210.0</v>
      </c>
      <c r="B9" s="72">
        <v>34.0</v>
      </c>
      <c r="C9" s="64" t="s">
        <v>111</v>
      </c>
      <c r="D9" s="75" t="s">
        <v>112</v>
      </c>
      <c r="E9" s="75">
        <v>1.0</v>
      </c>
      <c r="F9" s="74">
        <v>201900.0</v>
      </c>
      <c r="G9" s="67">
        <f t="shared" si="1"/>
        <v>201900</v>
      </c>
      <c r="H9" s="64" t="s">
        <v>111</v>
      </c>
      <c r="I9" s="76"/>
      <c r="J9" s="45"/>
    </row>
    <row r="10">
      <c r="A10" s="71">
        <v>46210.0</v>
      </c>
      <c r="B10" s="72">
        <v>35.0</v>
      </c>
      <c r="C10" s="64" t="s">
        <v>103</v>
      </c>
      <c r="D10" s="73" t="s">
        <v>113</v>
      </c>
      <c r="E10" s="29">
        <v>1.0</v>
      </c>
      <c r="F10" s="74">
        <v>599000.0</v>
      </c>
      <c r="G10" s="67">
        <f t="shared" si="1"/>
        <v>599000</v>
      </c>
      <c r="H10" s="75" t="s">
        <v>114</v>
      </c>
      <c r="I10" s="76"/>
      <c r="J10" s="45"/>
    </row>
    <row r="11">
      <c r="A11" s="71">
        <v>46211.0</v>
      </c>
      <c r="B11" s="81">
        <v>36.0</v>
      </c>
      <c r="C11" s="64" t="s">
        <v>85</v>
      </c>
      <c r="D11" s="64" t="s">
        <v>115</v>
      </c>
      <c r="E11" s="64">
        <v>1.0</v>
      </c>
      <c r="F11" s="74">
        <v>100000.0</v>
      </c>
      <c r="G11" s="67">
        <f t="shared" si="1"/>
        <v>100000</v>
      </c>
      <c r="H11" s="64" t="s">
        <v>116</v>
      </c>
      <c r="I11" s="82"/>
      <c r="J11" s="78"/>
    </row>
    <row r="12">
      <c r="A12" s="71">
        <v>46211.0</v>
      </c>
      <c r="B12" s="72">
        <v>37.0</v>
      </c>
      <c r="C12" s="64" t="s">
        <v>111</v>
      </c>
      <c r="D12" s="75" t="s">
        <v>117</v>
      </c>
      <c r="E12" s="75">
        <v>1.0</v>
      </c>
      <c r="F12" s="74">
        <v>1463936.0</v>
      </c>
      <c r="G12" s="67">
        <f t="shared" si="1"/>
        <v>1463936</v>
      </c>
      <c r="H12" s="64" t="s">
        <v>111</v>
      </c>
      <c r="I12" s="76"/>
      <c r="J12" s="45"/>
    </row>
    <row r="13">
      <c r="A13" s="71">
        <v>46211.0</v>
      </c>
      <c r="B13" s="72">
        <v>38.0</v>
      </c>
      <c r="C13" s="64" t="s">
        <v>85</v>
      </c>
      <c r="D13" s="75" t="s">
        <v>118</v>
      </c>
      <c r="E13" s="29">
        <v>1.0</v>
      </c>
      <c r="F13" s="74">
        <v>520000.0</v>
      </c>
      <c r="G13" s="67">
        <f t="shared" si="1"/>
        <v>520000</v>
      </c>
      <c r="H13" s="64" t="s">
        <v>119</v>
      </c>
      <c r="I13" s="76"/>
      <c r="J13" s="45"/>
    </row>
    <row r="14">
      <c r="C14" s="64"/>
      <c r="D14" s="75"/>
      <c r="E14" s="29"/>
      <c r="F14" s="74">
        <v>0.0</v>
      </c>
      <c r="G14" s="67">
        <f t="shared" si="1"/>
        <v>0</v>
      </c>
    </row>
    <row r="15">
      <c r="C15" s="64"/>
      <c r="D15" s="75"/>
      <c r="E15" s="29"/>
      <c r="F15" s="74">
        <v>0.0</v>
      </c>
      <c r="G15" s="67">
        <f t="shared" si="1"/>
        <v>0</v>
      </c>
    </row>
    <row r="16">
      <c r="C16" s="64"/>
      <c r="D16" s="75"/>
      <c r="E16" s="29"/>
      <c r="F16" s="74">
        <v>0.0</v>
      </c>
      <c r="G16" s="67">
        <f t="shared" si="1"/>
        <v>0</v>
      </c>
    </row>
    <row r="17">
      <c r="C17" s="64"/>
      <c r="D17" s="75"/>
      <c r="E17" s="29"/>
      <c r="F17" s="74">
        <v>0.0</v>
      </c>
      <c r="G17" s="67">
        <f t="shared" si="1"/>
        <v>0</v>
      </c>
    </row>
    <row r="18">
      <c r="C18" s="64"/>
      <c r="D18" s="75"/>
      <c r="E18" s="29"/>
      <c r="F18" s="74">
        <v>0.0</v>
      </c>
      <c r="G18" s="67">
        <f t="shared" si="1"/>
        <v>0</v>
      </c>
    </row>
    <row r="19">
      <c r="C19" s="64"/>
      <c r="D19" s="75"/>
      <c r="E19" s="29"/>
      <c r="F19" s="74">
        <v>0.0</v>
      </c>
      <c r="G19" s="67">
        <f t="shared" si="1"/>
        <v>0</v>
      </c>
    </row>
    <row r="20">
      <c r="C20" s="64"/>
      <c r="D20" s="75"/>
      <c r="E20" s="29"/>
      <c r="F20" s="74">
        <v>0.0</v>
      </c>
      <c r="G20" s="67">
        <f t="shared" si="1"/>
        <v>0</v>
      </c>
    </row>
    <row r="21">
      <c r="C21" s="64"/>
      <c r="D21" s="75"/>
      <c r="E21" s="29"/>
      <c r="F21" s="74">
        <v>0.0</v>
      </c>
      <c r="G21" s="67">
        <f t="shared" si="1"/>
        <v>0</v>
      </c>
    </row>
    <row r="22">
      <c r="C22" s="64"/>
      <c r="D22" s="75"/>
      <c r="E22" s="29"/>
      <c r="F22" s="74">
        <v>0.0</v>
      </c>
      <c r="G22" s="67">
        <f t="shared" si="1"/>
        <v>0</v>
      </c>
    </row>
    <row r="23">
      <c r="C23" s="64"/>
      <c r="D23" s="75"/>
      <c r="E23" s="29"/>
      <c r="F23" s="74">
        <v>0.0</v>
      </c>
      <c r="G23" s="67">
        <f t="shared" si="1"/>
        <v>0</v>
      </c>
    </row>
    <row r="24">
      <c r="C24" s="64"/>
      <c r="D24" s="75"/>
      <c r="E24" s="29"/>
      <c r="F24" s="74">
        <v>0.0</v>
      </c>
      <c r="G24" s="67">
        <f t="shared" si="1"/>
        <v>0</v>
      </c>
    </row>
    <row r="25">
      <c r="C25" s="64"/>
      <c r="D25" s="75"/>
      <c r="E25" s="29"/>
      <c r="F25" s="74">
        <v>0.0</v>
      </c>
      <c r="G25" s="67">
        <f t="shared" si="1"/>
        <v>0</v>
      </c>
    </row>
    <row r="26">
      <c r="C26" s="64"/>
      <c r="D26" s="75"/>
      <c r="E26" s="29"/>
      <c r="F26" s="74">
        <v>0.0</v>
      </c>
      <c r="G26" s="67">
        <f t="shared" si="1"/>
        <v>0</v>
      </c>
    </row>
    <row r="27">
      <c r="C27" s="64"/>
      <c r="D27" s="75"/>
      <c r="E27" s="29"/>
      <c r="F27" s="74">
        <v>0.0</v>
      </c>
      <c r="G27" s="67">
        <f t="shared" si="1"/>
        <v>0</v>
      </c>
    </row>
    <row r="28">
      <c r="C28" s="64"/>
      <c r="D28" s="75"/>
      <c r="E28" s="29"/>
      <c r="F28" s="74">
        <v>0.0</v>
      </c>
      <c r="G28" s="67">
        <f t="shared" si="1"/>
        <v>0</v>
      </c>
    </row>
    <row r="29">
      <c r="C29" s="64"/>
      <c r="D29" s="75"/>
      <c r="E29" s="29"/>
      <c r="F29" s="74">
        <v>0.0</v>
      </c>
      <c r="G29" s="67">
        <f t="shared" si="1"/>
        <v>0</v>
      </c>
    </row>
    <row r="30">
      <c r="C30" s="64"/>
      <c r="D30" s="75"/>
      <c r="E30" s="29"/>
      <c r="F30" s="74">
        <v>0.0</v>
      </c>
      <c r="G30" s="67">
        <f t="shared" si="1"/>
        <v>0</v>
      </c>
    </row>
    <row r="31">
      <c r="C31" s="64"/>
      <c r="D31" s="75"/>
      <c r="E31" s="29"/>
      <c r="F31" s="74">
        <v>0.0</v>
      </c>
      <c r="G31" s="67">
        <f t="shared" si="1"/>
        <v>0</v>
      </c>
    </row>
    <row r="32">
      <c r="C32" s="64"/>
      <c r="D32" s="75"/>
      <c r="E32" s="29"/>
      <c r="F32" s="74">
        <v>0.0</v>
      </c>
      <c r="G32" s="67">
        <f t="shared" si="1"/>
        <v>0</v>
      </c>
    </row>
    <row r="33">
      <c r="C33" s="64"/>
      <c r="D33" s="75"/>
      <c r="E33" s="29"/>
      <c r="F33" s="74">
        <v>0.0</v>
      </c>
      <c r="G33" s="67">
        <f t="shared" si="1"/>
        <v>0</v>
      </c>
    </row>
    <row r="34">
      <c r="C34" s="64"/>
      <c r="D34" s="75"/>
      <c r="E34" s="29"/>
      <c r="F34" s="74">
        <v>0.0</v>
      </c>
      <c r="G34" s="67">
        <f t="shared" si="1"/>
        <v>0</v>
      </c>
    </row>
    <row r="35">
      <c r="C35" s="64"/>
      <c r="D35" s="75"/>
      <c r="E35" s="29"/>
      <c r="F35" s="74">
        <v>0.0</v>
      </c>
      <c r="G35" s="67">
        <f t="shared" si="1"/>
        <v>0</v>
      </c>
    </row>
    <row r="36">
      <c r="C36" s="64"/>
      <c r="D36" s="75"/>
      <c r="E36" s="29"/>
      <c r="F36" s="74">
        <v>0.0</v>
      </c>
      <c r="G36" s="67">
        <f t="shared" si="1"/>
        <v>0</v>
      </c>
    </row>
    <row r="37">
      <c r="C37" s="64"/>
      <c r="D37" s="75"/>
      <c r="E37" s="29"/>
      <c r="F37" s="74">
        <v>0.0</v>
      </c>
      <c r="G37" s="67">
        <f t="shared" si="1"/>
        <v>0</v>
      </c>
    </row>
    <row r="38">
      <c r="C38" s="64"/>
      <c r="D38" s="75"/>
      <c r="E38" s="29"/>
      <c r="F38" s="74">
        <v>0.0</v>
      </c>
      <c r="G38" s="67">
        <f t="shared" si="1"/>
        <v>0</v>
      </c>
    </row>
    <row r="39">
      <c r="C39" s="64"/>
      <c r="D39" s="75"/>
      <c r="E39" s="29"/>
      <c r="F39" s="74">
        <v>0.0</v>
      </c>
      <c r="G39" s="67">
        <f t="shared" si="1"/>
        <v>0</v>
      </c>
    </row>
    <row r="40">
      <c r="C40" s="64"/>
      <c r="D40" s="75"/>
      <c r="E40" s="29"/>
      <c r="F40" s="74">
        <v>0.0</v>
      </c>
      <c r="G40" s="67">
        <f t="shared" si="1"/>
        <v>0</v>
      </c>
    </row>
    <row r="41">
      <c r="C41" s="64"/>
      <c r="D41" s="75"/>
      <c r="E41" s="29"/>
      <c r="F41" s="74">
        <v>0.0</v>
      </c>
      <c r="G41" s="67">
        <f t="shared" si="1"/>
        <v>0</v>
      </c>
    </row>
    <row r="42">
      <c r="C42" s="64"/>
      <c r="D42" s="75"/>
      <c r="E42" s="29"/>
      <c r="F42" s="74">
        <v>0.0</v>
      </c>
      <c r="G42" s="67">
        <f t="shared" si="1"/>
        <v>0</v>
      </c>
    </row>
    <row r="43">
      <c r="C43" s="64"/>
      <c r="D43" s="75"/>
      <c r="E43" s="29"/>
      <c r="F43" s="74">
        <v>0.0</v>
      </c>
      <c r="G43" s="67">
        <f t="shared" si="1"/>
        <v>0</v>
      </c>
    </row>
    <row r="44">
      <c r="C44" s="64"/>
      <c r="D44" s="75"/>
      <c r="E44" s="29"/>
      <c r="F44" s="74">
        <v>0.0</v>
      </c>
      <c r="G44" s="67">
        <f t="shared" si="1"/>
        <v>0</v>
      </c>
    </row>
    <row r="45">
      <c r="C45" s="64"/>
      <c r="D45" s="75"/>
      <c r="E45" s="29"/>
      <c r="F45" s="74">
        <v>0.0</v>
      </c>
      <c r="G45" s="67">
        <f t="shared" si="1"/>
        <v>0</v>
      </c>
    </row>
    <row r="46">
      <c r="C46" s="64"/>
      <c r="D46" s="75"/>
      <c r="E46" s="29"/>
      <c r="F46" s="74">
        <v>0.0</v>
      </c>
      <c r="G46" s="67">
        <f t="shared" si="1"/>
        <v>0</v>
      </c>
    </row>
    <row r="47">
      <c r="C47" s="64"/>
      <c r="D47" s="75"/>
      <c r="E47" s="29"/>
      <c r="F47" s="74">
        <v>0.0</v>
      </c>
      <c r="G47" s="67">
        <f t="shared" si="1"/>
        <v>0</v>
      </c>
    </row>
    <row r="48">
      <c r="C48" s="64"/>
      <c r="D48" s="75"/>
      <c r="E48" s="29"/>
      <c r="F48" s="74">
        <v>0.0</v>
      </c>
      <c r="G48" s="67">
        <f t="shared" si="1"/>
        <v>0</v>
      </c>
      <c r="K48" s="41" t="b">
        <v>0</v>
      </c>
      <c r="L48" s="45"/>
      <c r="M48" s="43"/>
      <c r="N48" s="43"/>
      <c r="O48" s="43"/>
      <c r="P48" s="43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</row>
    <row r="49">
      <c r="C49" s="64"/>
      <c r="D49" s="75"/>
      <c r="E49" s="29"/>
      <c r="F49" s="74">
        <v>0.0</v>
      </c>
      <c r="G49" s="67">
        <f t="shared" si="1"/>
        <v>0</v>
      </c>
      <c r="K49" s="41" t="b">
        <v>0</v>
      </c>
      <c r="L49" s="45"/>
      <c r="M49" s="43"/>
      <c r="N49" s="43"/>
      <c r="O49" s="43"/>
      <c r="P49" s="43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</row>
    <row r="50">
      <c r="C50" s="64"/>
      <c r="D50" s="75"/>
      <c r="E50" s="29"/>
      <c r="F50" s="74">
        <v>0.0</v>
      </c>
      <c r="G50" s="67">
        <f t="shared" si="1"/>
        <v>0</v>
      </c>
      <c r="K50" s="41" t="b">
        <v>0</v>
      </c>
      <c r="L50" s="45"/>
      <c r="M50" s="43"/>
      <c r="N50" s="43"/>
      <c r="O50" s="43"/>
      <c r="P50" s="43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</row>
    <row r="51" ht="15.75" customHeight="1">
      <c r="C51" s="64"/>
      <c r="D51" s="75"/>
      <c r="E51" s="29"/>
      <c r="F51" s="74">
        <v>0.0</v>
      </c>
      <c r="G51" s="67">
        <f t="shared" si="1"/>
        <v>0</v>
      </c>
      <c r="K51" s="41" t="b">
        <v>0</v>
      </c>
      <c r="L51" s="45"/>
      <c r="M51" s="43"/>
      <c r="N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</row>
    <row r="52" ht="15.75" customHeight="1">
      <c r="C52" s="64"/>
      <c r="D52" s="75"/>
      <c r="E52" s="29"/>
      <c r="F52" s="74">
        <v>0.0</v>
      </c>
      <c r="G52" s="67">
        <f t="shared" si="1"/>
        <v>0</v>
      </c>
      <c r="K52" s="41" t="b">
        <v>0</v>
      </c>
      <c r="L52" s="45"/>
      <c r="M52" s="43"/>
      <c r="N52" s="43"/>
      <c r="O52" s="43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</row>
    <row r="53" ht="15.75" customHeight="1">
      <c r="C53" s="64"/>
      <c r="D53" s="75"/>
      <c r="E53" s="29"/>
      <c r="F53" s="74">
        <v>0.0</v>
      </c>
      <c r="G53" s="67">
        <f t="shared" si="1"/>
        <v>0</v>
      </c>
      <c r="K53" s="41" t="b">
        <v>0</v>
      </c>
      <c r="L53" s="45"/>
      <c r="M53" s="43"/>
      <c r="N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</row>
    <row r="54">
      <c r="C54" s="64"/>
      <c r="D54" s="75"/>
      <c r="E54" s="29"/>
      <c r="F54" s="74">
        <v>0.0</v>
      </c>
      <c r="G54" s="67">
        <f t="shared" si="1"/>
        <v>0</v>
      </c>
      <c r="K54" s="41" t="b">
        <v>0</v>
      </c>
      <c r="L54" s="45"/>
      <c r="M54" s="43"/>
      <c r="N54" s="43"/>
      <c r="O54" s="43"/>
      <c r="P54" s="43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</row>
    <row r="55">
      <c r="C55" s="64"/>
      <c r="D55" s="75"/>
      <c r="E55" s="29"/>
      <c r="F55" s="74">
        <v>0.0</v>
      </c>
      <c r="G55" s="67">
        <f t="shared" si="1"/>
        <v>0</v>
      </c>
      <c r="K55" s="41" t="b">
        <v>0</v>
      </c>
      <c r="L55" s="45"/>
      <c r="M55" s="43"/>
      <c r="N55" s="43"/>
      <c r="O55" s="43"/>
      <c r="P55" s="43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</row>
    <row r="56" ht="15.75" customHeight="1">
      <c r="C56" s="64"/>
      <c r="D56" s="75"/>
      <c r="E56" s="29"/>
      <c r="F56" s="74">
        <v>0.0</v>
      </c>
      <c r="G56" s="67">
        <f t="shared" si="1"/>
        <v>0</v>
      </c>
      <c r="K56" s="41"/>
      <c r="L56" s="45"/>
      <c r="M56" s="43"/>
      <c r="N56" s="5"/>
      <c r="V56" s="83"/>
      <c r="W56" s="45"/>
      <c r="X56" s="84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</row>
    <row r="57">
      <c r="C57" s="64"/>
      <c r="D57" s="75"/>
      <c r="E57" s="29"/>
      <c r="F57" s="74">
        <v>0.0</v>
      </c>
      <c r="G57" s="67">
        <f t="shared" si="1"/>
        <v>0</v>
      </c>
      <c r="K57" s="41" t="b">
        <v>0</v>
      </c>
      <c r="L57" s="45"/>
      <c r="M57" s="43"/>
      <c r="N57" s="43"/>
      <c r="O57" s="43"/>
      <c r="P57" s="43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</row>
    <row r="58" ht="15.75" customHeight="1">
      <c r="C58" s="64"/>
      <c r="D58" s="75"/>
      <c r="E58" s="29"/>
      <c r="F58" s="74">
        <v>0.0</v>
      </c>
      <c r="G58" s="67">
        <f t="shared" si="1"/>
        <v>0</v>
      </c>
      <c r="K58" s="41" t="b">
        <v>0</v>
      </c>
      <c r="L58" s="45"/>
      <c r="M58" s="43"/>
      <c r="N58" s="5"/>
      <c r="V58" s="83"/>
      <c r="W58" s="45"/>
      <c r="X58" s="84" t="b">
        <v>0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</row>
    <row r="59" ht="15.75" customHeight="1">
      <c r="A59" s="85"/>
      <c r="B59" s="72"/>
      <c r="C59" s="64"/>
      <c r="D59" s="75"/>
      <c r="E59" s="29"/>
      <c r="F59" s="74">
        <v>0.0</v>
      </c>
      <c r="G59" s="67">
        <f t="shared" si="1"/>
        <v>0</v>
      </c>
      <c r="H59" s="86"/>
      <c r="I59" s="45"/>
      <c r="J59" s="45"/>
      <c r="K59" s="41" t="b">
        <v>0</v>
      </c>
      <c r="L59" s="45"/>
      <c r="M59" s="43"/>
      <c r="N59" s="5"/>
      <c r="V59" s="83"/>
      <c r="W59" s="45"/>
      <c r="X59" s="84" t="b">
        <v>1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</row>
    <row r="60">
      <c r="A60" s="85"/>
      <c r="B60" s="72"/>
      <c r="C60" s="64"/>
      <c r="D60" s="73"/>
      <c r="E60" s="29"/>
      <c r="F60" s="74">
        <v>0.0</v>
      </c>
      <c r="G60" s="67">
        <f t="shared" si="1"/>
        <v>0</v>
      </c>
      <c r="H60" s="75"/>
      <c r="I60" s="76"/>
      <c r="J60" s="45"/>
      <c r="K60" s="41" t="b">
        <v>0</v>
      </c>
      <c r="L60" s="45"/>
      <c r="M60" s="5"/>
      <c r="N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</row>
    <row r="61">
      <c r="A61" s="85"/>
      <c r="B61" s="72"/>
      <c r="C61" s="64"/>
      <c r="D61" s="73"/>
      <c r="E61" s="29"/>
      <c r="F61" s="74">
        <v>0.0</v>
      </c>
      <c r="G61" s="67">
        <f t="shared" si="1"/>
        <v>0</v>
      </c>
      <c r="H61" s="75"/>
      <c r="I61" s="76"/>
      <c r="J61" s="45"/>
      <c r="K61" s="41" t="b">
        <v>0</v>
      </c>
      <c r="L61" s="45"/>
      <c r="M61" s="5"/>
      <c r="N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</row>
    <row r="62">
      <c r="A62" s="85"/>
      <c r="B62" s="72"/>
      <c r="C62" s="64"/>
      <c r="D62" s="75"/>
      <c r="E62" s="29"/>
      <c r="F62" s="74">
        <v>0.0</v>
      </c>
      <c r="G62" s="67">
        <f t="shared" si="1"/>
        <v>0</v>
      </c>
      <c r="H62" s="75"/>
      <c r="I62" s="76"/>
      <c r="J62" s="45"/>
      <c r="K62" s="41" t="b">
        <v>0</v>
      </c>
      <c r="L62" s="45"/>
      <c r="M62" s="5"/>
      <c r="N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</row>
    <row r="63">
      <c r="A63" s="85"/>
      <c r="B63" s="72"/>
      <c r="C63" s="64"/>
      <c r="D63" s="75"/>
      <c r="E63" s="29"/>
      <c r="F63" s="74">
        <v>0.0</v>
      </c>
      <c r="G63" s="67">
        <f t="shared" si="1"/>
        <v>0</v>
      </c>
      <c r="H63" s="75"/>
      <c r="I63" s="76"/>
      <c r="J63" s="45"/>
      <c r="K63" s="41" t="b">
        <v>0</v>
      </c>
      <c r="L63" s="45"/>
      <c r="M63" s="5"/>
      <c r="N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</row>
    <row r="64">
      <c r="A64" s="85"/>
      <c r="B64" s="72"/>
      <c r="C64" s="64"/>
      <c r="D64" s="75"/>
      <c r="E64" s="29"/>
      <c r="F64" s="74">
        <v>0.0</v>
      </c>
      <c r="G64" s="67">
        <f t="shared" si="1"/>
        <v>0</v>
      </c>
      <c r="H64" s="75"/>
      <c r="I64" s="76"/>
      <c r="J64" s="45"/>
      <c r="K64" s="41" t="b">
        <v>0</v>
      </c>
      <c r="L64" s="45"/>
      <c r="M64" s="5"/>
      <c r="N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</row>
    <row r="65">
      <c r="A65" s="85"/>
      <c r="B65" s="72"/>
      <c r="C65" s="64"/>
      <c r="D65" s="75"/>
      <c r="E65" s="29"/>
      <c r="F65" s="74">
        <v>0.0</v>
      </c>
      <c r="G65" s="67">
        <f t="shared" si="1"/>
        <v>0</v>
      </c>
      <c r="H65" s="75"/>
      <c r="I65" s="76"/>
      <c r="J65" s="45"/>
      <c r="K65" s="41" t="b">
        <v>0</v>
      </c>
      <c r="L65" s="45"/>
      <c r="M65" s="5"/>
      <c r="N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</row>
    <row r="66" ht="15.75" customHeight="1">
      <c r="A66" s="85"/>
      <c r="B66" s="72"/>
      <c r="C66" s="64"/>
      <c r="D66" s="75"/>
      <c r="E66" s="29"/>
      <c r="F66" s="74">
        <v>0.0</v>
      </c>
      <c r="G66" s="67">
        <f t="shared" si="1"/>
        <v>0</v>
      </c>
      <c r="H66" s="75"/>
      <c r="I66" s="76"/>
      <c r="J66" s="45"/>
      <c r="K66" s="41" t="b">
        <v>0</v>
      </c>
      <c r="L66" s="45"/>
      <c r="M66" s="26"/>
      <c r="N66" s="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</row>
    <row r="67" ht="15.75" customHeight="1">
      <c r="A67" s="85"/>
      <c r="B67" s="72"/>
      <c r="C67" s="64"/>
      <c r="D67" s="75"/>
      <c r="E67" s="29"/>
      <c r="F67" s="74">
        <v>0.0</v>
      </c>
      <c r="G67" s="67">
        <f t="shared" si="1"/>
        <v>0</v>
      </c>
      <c r="H67" s="75"/>
      <c r="I67" s="76"/>
      <c r="J67" s="45"/>
      <c r="K67" s="41" t="b">
        <v>0</v>
      </c>
      <c r="L67" s="45"/>
      <c r="M67" s="26"/>
      <c r="N67" s="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</row>
    <row r="68">
      <c r="A68" s="85"/>
      <c r="B68" s="72"/>
      <c r="C68" s="64"/>
      <c r="D68" s="75"/>
      <c r="E68" s="29"/>
      <c r="F68" s="74">
        <v>0.0</v>
      </c>
      <c r="G68" s="67">
        <f t="shared" si="1"/>
        <v>0</v>
      </c>
      <c r="H68" s="75"/>
      <c r="I68" s="76"/>
      <c r="J68" s="45"/>
      <c r="K68" s="41" t="b">
        <v>0</v>
      </c>
      <c r="L68" s="45"/>
      <c r="M68" s="5"/>
      <c r="N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</row>
    <row r="69" ht="15.75" customHeight="1">
      <c r="A69" s="72"/>
      <c r="B69" s="72"/>
      <c r="C69" s="64"/>
      <c r="D69" s="5"/>
      <c r="E69" s="29"/>
      <c r="F69" s="74">
        <v>0.0</v>
      </c>
      <c r="G69" s="67">
        <f t="shared" si="1"/>
        <v>0</v>
      </c>
      <c r="H69" s="75"/>
      <c r="I69" s="76"/>
      <c r="J69" s="45"/>
      <c r="K69" s="41" t="b">
        <v>0</v>
      </c>
      <c r="L69" s="45"/>
      <c r="M69" s="43"/>
      <c r="N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</row>
    <row r="70" ht="15.75" customHeight="1">
      <c r="A70" s="72"/>
      <c r="B70" s="72"/>
      <c r="C70" s="64"/>
      <c r="D70" s="5"/>
      <c r="E70" s="29"/>
      <c r="F70" s="74">
        <v>0.0</v>
      </c>
      <c r="G70" s="67">
        <f t="shared" si="1"/>
        <v>0</v>
      </c>
      <c r="H70" s="75"/>
      <c r="I70" s="76"/>
      <c r="J70" s="45"/>
      <c r="K70" s="41" t="b">
        <v>0</v>
      </c>
      <c r="L70" s="45"/>
      <c r="M70" s="43"/>
      <c r="N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</row>
    <row r="71" ht="15.75" customHeight="1">
      <c r="A71" s="72"/>
      <c r="B71" s="72"/>
      <c r="C71" s="64"/>
      <c r="D71" s="5"/>
      <c r="E71" s="29"/>
      <c r="F71" s="74">
        <v>0.0</v>
      </c>
      <c r="G71" s="67">
        <f t="shared" si="1"/>
        <v>0</v>
      </c>
      <c r="H71" s="75"/>
      <c r="I71" s="76"/>
      <c r="J71" s="45"/>
      <c r="K71" s="41" t="b">
        <v>0</v>
      </c>
      <c r="L71" s="45"/>
      <c r="M71" s="43"/>
      <c r="N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</row>
    <row r="72" ht="15.75" customHeight="1">
      <c r="A72" s="72"/>
      <c r="B72" s="72"/>
      <c r="C72" s="64"/>
      <c r="D72" s="5"/>
      <c r="E72" s="29"/>
      <c r="F72" s="74">
        <v>0.0</v>
      </c>
      <c r="G72" s="67">
        <f t="shared" si="1"/>
        <v>0</v>
      </c>
      <c r="H72" s="75"/>
      <c r="I72" s="76"/>
      <c r="J72" s="45"/>
      <c r="K72" s="41" t="b">
        <v>0</v>
      </c>
      <c r="L72" s="45"/>
      <c r="M72" s="43"/>
      <c r="N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</row>
    <row r="73" ht="15.75" customHeight="1">
      <c r="A73" s="72"/>
      <c r="B73" s="72"/>
      <c r="C73" s="64"/>
      <c r="D73" s="5"/>
      <c r="E73" s="29"/>
      <c r="F73" s="74">
        <v>0.0</v>
      </c>
      <c r="G73" s="67">
        <f t="shared" si="1"/>
        <v>0</v>
      </c>
      <c r="H73" s="75"/>
      <c r="I73" s="76"/>
      <c r="J73" s="45"/>
      <c r="K73" s="41" t="b">
        <v>0</v>
      </c>
      <c r="L73" s="45"/>
      <c r="M73" s="43"/>
      <c r="N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</row>
    <row r="74" ht="15.75" customHeight="1">
      <c r="A74" s="72"/>
      <c r="B74" s="72"/>
      <c r="C74" s="64"/>
      <c r="D74" s="5"/>
      <c r="E74" s="29"/>
      <c r="F74" s="74">
        <v>0.0</v>
      </c>
      <c r="G74" s="67">
        <f t="shared" si="1"/>
        <v>0</v>
      </c>
      <c r="H74" s="75"/>
      <c r="I74" s="76"/>
      <c r="J74" s="45"/>
      <c r="K74" s="84" t="b">
        <v>0</v>
      </c>
      <c r="L74" s="45"/>
      <c r="M74" s="43"/>
      <c r="N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</row>
    <row r="75" ht="15.75" customHeight="1">
      <c r="A75" s="72"/>
      <c r="B75" s="72"/>
      <c r="C75" s="64"/>
      <c r="D75" s="5"/>
      <c r="E75" s="29"/>
      <c r="F75" s="74">
        <v>0.0</v>
      </c>
      <c r="G75" s="67">
        <f t="shared" si="1"/>
        <v>0</v>
      </c>
      <c r="H75" s="75"/>
      <c r="I75" s="76"/>
      <c r="J75" s="45"/>
      <c r="K75" s="84" t="b">
        <v>0</v>
      </c>
      <c r="L75" s="45"/>
      <c r="M75" s="43"/>
      <c r="N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</row>
    <row r="76" ht="15.75" customHeight="1">
      <c r="A76" s="72"/>
      <c r="B76" s="72"/>
      <c r="C76" s="64"/>
      <c r="D76" s="5"/>
      <c r="E76" s="29"/>
      <c r="F76" s="74">
        <v>0.0</v>
      </c>
      <c r="G76" s="67">
        <f t="shared" si="1"/>
        <v>0</v>
      </c>
      <c r="H76" s="75"/>
      <c r="I76" s="76"/>
      <c r="J76" s="45"/>
      <c r="K76" s="84" t="b">
        <v>0</v>
      </c>
      <c r="L76" s="45"/>
      <c r="M76" s="43"/>
      <c r="N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</row>
    <row r="77" ht="15.75" customHeight="1">
      <c r="A77" s="72"/>
      <c r="B77" s="72"/>
      <c r="C77" s="64"/>
      <c r="D77" s="5"/>
      <c r="E77" s="29"/>
      <c r="F77" s="74">
        <v>0.0</v>
      </c>
      <c r="G77" s="67">
        <f t="shared" si="1"/>
        <v>0</v>
      </c>
      <c r="H77" s="75"/>
      <c r="I77" s="76"/>
      <c r="J77" s="45"/>
      <c r="K77" s="84" t="b">
        <v>0</v>
      </c>
      <c r="L77" s="45"/>
      <c r="M77" s="43"/>
      <c r="N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</row>
    <row r="78" ht="15.75" customHeight="1">
      <c r="A78" s="72"/>
      <c r="B78" s="72"/>
      <c r="C78" s="64"/>
      <c r="D78" s="5"/>
      <c r="E78" s="29"/>
      <c r="F78" s="74">
        <v>0.0</v>
      </c>
      <c r="G78" s="67">
        <f t="shared" si="1"/>
        <v>0</v>
      </c>
      <c r="H78" s="75"/>
      <c r="I78" s="76"/>
      <c r="J78" s="45"/>
      <c r="K78" s="84" t="b">
        <v>0</v>
      </c>
      <c r="L78" s="45"/>
      <c r="M78" s="43"/>
      <c r="N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</row>
    <row r="79" ht="15.75" customHeight="1">
      <c r="A79" s="72"/>
      <c r="B79" s="72"/>
      <c r="C79" s="64"/>
      <c r="D79" s="5"/>
      <c r="E79" s="29"/>
      <c r="F79" s="74">
        <v>0.0</v>
      </c>
      <c r="G79" s="67">
        <f t="shared" si="1"/>
        <v>0</v>
      </c>
      <c r="H79" s="75"/>
      <c r="I79" s="76"/>
      <c r="J79" s="45"/>
      <c r="K79" s="45" t="b">
        <v>0</v>
      </c>
      <c r="L79" s="45"/>
      <c r="M79" s="43"/>
      <c r="N79" s="43"/>
      <c r="O79" s="43"/>
      <c r="P79" s="43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</row>
    <row r="80" ht="15.75" customHeight="1">
      <c r="A80" s="72"/>
      <c r="B80" s="72"/>
      <c r="C80" s="64"/>
      <c r="D80" s="5"/>
      <c r="E80" s="29"/>
      <c r="F80" s="74">
        <v>0.0</v>
      </c>
      <c r="G80" s="67">
        <f t="shared" si="1"/>
        <v>0</v>
      </c>
      <c r="H80" s="75"/>
      <c r="I80" s="76"/>
      <c r="J80" s="45"/>
      <c r="K80" s="45" t="b">
        <v>0</v>
      </c>
      <c r="L80" s="45"/>
      <c r="M80" s="43"/>
      <c r="N80" s="43"/>
      <c r="O80" s="43"/>
      <c r="P80" s="43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</row>
    <row r="81" ht="15.75" customHeight="1">
      <c r="A81" s="72"/>
      <c r="B81" s="72"/>
      <c r="C81" s="64"/>
      <c r="D81" s="5"/>
      <c r="E81" s="29"/>
      <c r="F81" s="74">
        <v>0.0</v>
      </c>
      <c r="G81" s="67">
        <f t="shared" si="1"/>
        <v>0</v>
      </c>
      <c r="H81" s="75"/>
      <c r="I81" s="76"/>
      <c r="J81" s="45"/>
      <c r="K81" s="45" t="b">
        <v>0</v>
      </c>
      <c r="L81" s="45"/>
      <c r="M81" s="43"/>
      <c r="N81" s="43"/>
      <c r="O81" s="43"/>
      <c r="P81" s="43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</row>
    <row r="82" ht="15.75" customHeight="1">
      <c r="A82" s="72"/>
      <c r="B82" s="72"/>
      <c r="C82" s="64"/>
      <c r="D82" s="5"/>
      <c r="E82" s="29"/>
      <c r="F82" s="74">
        <v>0.0</v>
      </c>
      <c r="G82" s="67">
        <f t="shared" si="1"/>
        <v>0</v>
      </c>
      <c r="H82" s="75"/>
      <c r="I82" s="76"/>
      <c r="J82" s="45"/>
      <c r="K82" s="45" t="b">
        <v>0</v>
      </c>
      <c r="L82" s="45"/>
      <c r="M82" s="43"/>
      <c r="N82" s="43"/>
      <c r="O82" s="43"/>
      <c r="P82" s="43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</row>
    <row r="83" ht="15.75" customHeight="1">
      <c r="A83" s="72"/>
      <c r="B83" s="72"/>
      <c r="C83" s="64"/>
      <c r="D83" s="5"/>
      <c r="E83" s="29"/>
      <c r="F83" s="74">
        <v>0.0</v>
      </c>
      <c r="G83" s="67">
        <f t="shared" si="1"/>
        <v>0</v>
      </c>
      <c r="H83" s="75"/>
      <c r="I83" s="76"/>
      <c r="J83" s="45"/>
      <c r="K83" s="45" t="b">
        <v>0</v>
      </c>
      <c r="L83" s="45"/>
      <c r="M83" s="43"/>
      <c r="N83" s="43"/>
      <c r="O83" s="43"/>
      <c r="P83" s="43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</row>
    <row r="84" ht="15.75" customHeight="1">
      <c r="A84" s="72"/>
      <c r="B84" s="72"/>
      <c r="C84" s="64"/>
      <c r="D84" s="5"/>
      <c r="E84" s="29"/>
      <c r="F84" s="74">
        <v>0.0</v>
      </c>
      <c r="G84" s="67">
        <f t="shared" si="1"/>
        <v>0</v>
      </c>
      <c r="H84" s="75"/>
      <c r="I84" s="76"/>
      <c r="J84" s="45"/>
      <c r="K84" s="45" t="b">
        <v>0</v>
      </c>
      <c r="L84" s="45"/>
      <c r="M84" s="43"/>
      <c r="N84" s="43"/>
      <c r="O84" s="43"/>
      <c r="P84" s="43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</row>
    <row r="85" ht="15.75" customHeight="1">
      <c r="A85" s="72"/>
      <c r="B85" s="72"/>
      <c r="C85" s="64"/>
      <c r="D85" s="5"/>
      <c r="E85" s="29"/>
      <c r="F85" s="74">
        <v>0.0</v>
      </c>
      <c r="G85" s="67">
        <f t="shared" si="1"/>
        <v>0</v>
      </c>
      <c r="H85" s="75"/>
      <c r="I85" s="76"/>
      <c r="J85" s="45"/>
      <c r="K85" s="45" t="b">
        <v>0</v>
      </c>
      <c r="L85" s="45"/>
      <c r="M85" s="43"/>
      <c r="N85" s="43"/>
      <c r="O85" s="43"/>
      <c r="P85" s="43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</row>
    <row r="86" ht="15.75" customHeight="1">
      <c r="A86" s="72"/>
      <c r="B86" s="72"/>
      <c r="C86" s="64"/>
      <c r="D86" s="5"/>
      <c r="E86" s="29"/>
      <c r="F86" s="74">
        <v>0.0</v>
      </c>
      <c r="G86" s="67">
        <f t="shared" si="1"/>
        <v>0</v>
      </c>
      <c r="H86" s="75"/>
      <c r="I86" s="76"/>
      <c r="J86" s="45"/>
      <c r="K86" s="45" t="b">
        <v>0</v>
      </c>
      <c r="L86" s="45"/>
      <c r="M86" s="43"/>
      <c r="N86" s="43"/>
      <c r="O86" s="43"/>
      <c r="P86" s="43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</row>
    <row r="87" ht="15.75" customHeight="1">
      <c r="A87" s="72"/>
      <c r="B87" s="72"/>
      <c r="C87" s="64"/>
      <c r="D87" s="5"/>
      <c r="E87" s="29"/>
      <c r="F87" s="74">
        <v>0.0</v>
      </c>
      <c r="G87" s="67">
        <f t="shared" si="1"/>
        <v>0</v>
      </c>
      <c r="H87" s="75"/>
      <c r="I87" s="76"/>
      <c r="J87" s="45"/>
      <c r="K87" s="45" t="b">
        <v>0</v>
      </c>
      <c r="L87" s="45"/>
      <c r="M87" s="43"/>
      <c r="N87" s="43"/>
      <c r="O87" s="43"/>
      <c r="P87" s="43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</row>
    <row r="88" ht="15.75" customHeight="1">
      <c r="A88" s="72"/>
      <c r="B88" s="72"/>
      <c r="C88" s="64"/>
      <c r="D88" s="5"/>
      <c r="E88" s="29"/>
      <c r="F88" s="74">
        <v>0.0</v>
      </c>
      <c r="G88" s="67">
        <f t="shared" si="1"/>
        <v>0</v>
      </c>
      <c r="H88" s="75"/>
      <c r="I88" s="76"/>
      <c r="J88" s="45"/>
      <c r="K88" s="45" t="b">
        <v>0</v>
      </c>
      <c r="L88" s="45"/>
      <c r="M88" s="43"/>
      <c r="N88" s="43"/>
      <c r="O88" s="43"/>
      <c r="P88" s="43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</row>
    <row r="89" ht="15.75" customHeight="1">
      <c r="A89" s="72"/>
      <c r="B89" s="72"/>
      <c r="C89" s="64"/>
      <c r="D89" s="5"/>
      <c r="E89" s="29"/>
      <c r="F89" s="74">
        <v>0.0</v>
      </c>
      <c r="G89" s="67">
        <f t="shared" si="1"/>
        <v>0</v>
      </c>
      <c r="H89" s="75"/>
      <c r="I89" s="76"/>
      <c r="J89" s="45"/>
      <c r="K89" s="45" t="b">
        <v>0</v>
      </c>
      <c r="L89" s="45"/>
      <c r="M89" s="43"/>
      <c r="N89" s="43"/>
      <c r="O89" s="43"/>
      <c r="P89" s="43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</row>
    <row r="90" ht="15.75" customHeight="1">
      <c r="A90" s="72"/>
      <c r="B90" s="72"/>
      <c r="C90" s="64"/>
      <c r="D90" s="5"/>
      <c r="E90" s="29"/>
      <c r="F90" s="74">
        <v>0.0</v>
      </c>
      <c r="G90" s="67">
        <f t="shared" si="1"/>
        <v>0</v>
      </c>
      <c r="H90" s="75"/>
      <c r="I90" s="76"/>
      <c r="J90" s="45"/>
      <c r="K90" s="45" t="b">
        <v>0</v>
      </c>
      <c r="L90" s="45"/>
      <c r="M90" s="43"/>
      <c r="N90" s="43"/>
      <c r="O90" s="43"/>
      <c r="P90" s="43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</row>
    <row r="91" ht="15.75" customHeight="1">
      <c r="A91" s="72"/>
      <c r="B91" s="72"/>
      <c r="C91" s="64"/>
      <c r="D91" s="5"/>
      <c r="E91" s="29"/>
      <c r="F91" s="74">
        <v>0.0</v>
      </c>
      <c r="G91" s="67">
        <f t="shared" si="1"/>
        <v>0</v>
      </c>
      <c r="H91" s="75"/>
      <c r="I91" s="76"/>
      <c r="J91" s="45"/>
      <c r="K91" s="45" t="b">
        <v>0</v>
      </c>
      <c r="L91" s="45"/>
      <c r="M91" s="43"/>
      <c r="N91" s="43"/>
      <c r="O91" s="43"/>
      <c r="P91" s="43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</row>
    <row r="92" ht="15.75" customHeight="1">
      <c r="A92" s="72"/>
      <c r="B92" s="72"/>
      <c r="C92" s="64"/>
      <c r="D92" s="5"/>
      <c r="E92" s="29"/>
      <c r="F92" s="74">
        <v>0.0</v>
      </c>
      <c r="G92" s="67">
        <f t="shared" si="1"/>
        <v>0</v>
      </c>
      <c r="H92" s="75"/>
      <c r="I92" s="76"/>
      <c r="J92" s="45"/>
      <c r="K92" s="45" t="b">
        <v>0</v>
      </c>
      <c r="L92" s="45"/>
      <c r="M92" s="43"/>
      <c r="N92" s="43"/>
      <c r="O92" s="43"/>
      <c r="P92" s="43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</row>
    <row r="93" ht="15.75" customHeight="1">
      <c r="A93" s="72"/>
      <c r="B93" s="72"/>
      <c r="C93" s="64"/>
      <c r="D93" s="5"/>
      <c r="E93" s="29"/>
      <c r="F93" s="74">
        <v>0.0</v>
      </c>
      <c r="G93" s="67">
        <f t="shared" si="1"/>
        <v>0</v>
      </c>
      <c r="H93" s="75"/>
      <c r="I93" s="76"/>
      <c r="J93" s="45"/>
      <c r="K93" s="45" t="b">
        <v>0</v>
      </c>
      <c r="L93" s="45"/>
      <c r="M93" s="43"/>
      <c r="N93" s="43"/>
      <c r="O93" s="43"/>
      <c r="P93" s="43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</row>
    <row r="94" ht="15.75" customHeight="1">
      <c r="A94" s="72"/>
      <c r="B94" s="72"/>
      <c r="C94" s="64"/>
      <c r="D94" s="5"/>
      <c r="E94" s="29"/>
      <c r="F94" s="74">
        <v>0.0</v>
      </c>
      <c r="G94" s="67">
        <f t="shared" si="1"/>
        <v>0</v>
      </c>
      <c r="H94" s="75"/>
      <c r="I94" s="76"/>
      <c r="J94" s="45"/>
      <c r="K94" s="45" t="b">
        <v>0</v>
      </c>
      <c r="L94" s="45"/>
      <c r="M94" s="43"/>
      <c r="N94" s="43"/>
      <c r="O94" s="43"/>
      <c r="P94" s="43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</row>
    <row r="95" ht="15.75" customHeight="1">
      <c r="A95" s="72"/>
      <c r="B95" s="72"/>
      <c r="C95" s="64"/>
      <c r="D95" s="5"/>
      <c r="E95" s="29"/>
      <c r="F95" s="74">
        <v>0.0</v>
      </c>
      <c r="G95" s="67">
        <f t="shared" si="1"/>
        <v>0</v>
      </c>
      <c r="H95" s="75"/>
      <c r="I95" s="76"/>
      <c r="J95" s="45"/>
      <c r="K95" s="45" t="b">
        <v>0</v>
      </c>
      <c r="L95" s="45"/>
      <c r="M95" s="43"/>
      <c r="N95" s="43"/>
      <c r="O95" s="43"/>
      <c r="P95" s="43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</row>
    <row r="96" ht="15.75" customHeight="1">
      <c r="A96" s="72"/>
      <c r="B96" s="72"/>
      <c r="C96" s="64"/>
      <c r="D96" s="5"/>
      <c r="E96" s="29"/>
      <c r="F96" s="74">
        <v>0.0</v>
      </c>
      <c r="G96" s="67">
        <f t="shared" si="1"/>
        <v>0</v>
      </c>
      <c r="H96" s="75"/>
      <c r="I96" s="76"/>
      <c r="J96" s="45"/>
      <c r="K96" s="45" t="b">
        <v>0</v>
      </c>
      <c r="L96" s="45"/>
      <c r="M96" s="43"/>
      <c r="N96" s="43"/>
      <c r="O96" s="43"/>
      <c r="P96" s="43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</row>
    <row r="97" ht="15.75" customHeight="1">
      <c r="A97" s="72"/>
      <c r="B97" s="72"/>
      <c r="C97" s="64"/>
      <c r="D97" s="5"/>
      <c r="E97" s="29"/>
      <c r="F97" s="74">
        <v>0.0</v>
      </c>
      <c r="G97" s="67">
        <f t="shared" si="1"/>
        <v>0</v>
      </c>
      <c r="H97" s="75"/>
      <c r="I97" s="76"/>
      <c r="J97" s="45"/>
      <c r="K97" s="45" t="b">
        <v>0</v>
      </c>
      <c r="L97" s="45"/>
      <c r="M97" s="43"/>
      <c r="N97" s="43"/>
      <c r="O97" s="43"/>
      <c r="P97" s="43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</row>
    <row r="98" ht="15.75" customHeight="1">
      <c r="A98" s="72"/>
      <c r="B98" s="72"/>
      <c r="C98" s="64"/>
      <c r="D98" s="5"/>
      <c r="E98" s="29"/>
      <c r="F98" s="74">
        <v>0.0</v>
      </c>
      <c r="G98" s="67">
        <f t="shared" si="1"/>
        <v>0</v>
      </c>
      <c r="H98" s="75"/>
      <c r="I98" s="76"/>
      <c r="J98" s="45"/>
      <c r="K98" s="45" t="b">
        <v>0</v>
      </c>
      <c r="L98" s="45"/>
      <c r="M98" s="43"/>
      <c r="N98" s="43"/>
      <c r="O98" s="43"/>
      <c r="P98" s="43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</row>
    <row r="99" ht="15.75" customHeight="1">
      <c r="A99" s="72"/>
      <c r="B99" s="72"/>
      <c r="C99" s="64"/>
      <c r="D99" s="5"/>
      <c r="E99" s="29"/>
      <c r="F99" s="74">
        <v>0.0</v>
      </c>
      <c r="G99" s="67">
        <f t="shared" si="1"/>
        <v>0</v>
      </c>
      <c r="H99" s="75"/>
      <c r="I99" s="76"/>
      <c r="J99" s="45"/>
      <c r="K99" s="45" t="b">
        <v>0</v>
      </c>
      <c r="L99" s="45"/>
      <c r="M99" s="43"/>
      <c r="N99" s="43"/>
      <c r="O99" s="43"/>
      <c r="P99" s="43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</row>
    <row r="100" ht="15.75" customHeight="1">
      <c r="A100" s="72"/>
      <c r="B100" s="72"/>
      <c r="C100" s="64"/>
      <c r="D100" s="5"/>
      <c r="E100" s="29"/>
      <c r="F100" s="74">
        <v>0.0</v>
      </c>
      <c r="G100" s="67">
        <f t="shared" si="1"/>
        <v>0</v>
      </c>
      <c r="H100" s="75"/>
      <c r="I100" s="76"/>
      <c r="J100" s="45"/>
      <c r="K100" s="45" t="b">
        <v>0</v>
      </c>
      <c r="L100" s="45"/>
      <c r="M100" s="43"/>
      <c r="N100" s="43"/>
      <c r="O100" s="43"/>
      <c r="P100" s="43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</row>
    <row r="101" ht="15.75" customHeight="1">
      <c r="A101" s="72"/>
      <c r="B101" s="72"/>
      <c r="C101" s="64"/>
      <c r="D101" s="5"/>
      <c r="E101" s="29"/>
      <c r="F101" s="74">
        <v>0.0</v>
      </c>
      <c r="G101" s="67">
        <f t="shared" si="1"/>
        <v>0</v>
      </c>
      <c r="H101" s="75"/>
      <c r="I101" s="76"/>
      <c r="J101" s="45"/>
      <c r="K101" s="45" t="b">
        <v>0</v>
      </c>
      <c r="L101" s="45"/>
      <c r="M101" s="43"/>
      <c r="N101" s="43"/>
      <c r="O101" s="43"/>
      <c r="P101" s="43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</row>
    <row r="102" ht="15.75" customHeight="1">
      <c r="A102" s="72"/>
      <c r="B102" s="72"/>
      <c r="C102" s="64"/>
      <c r="D102" s="5"/>
      <c r="E102" s="29"/>
      <c r="F102" s="74">
        <v>0.0</v>
      </c>
      <c r="G102" s="67">
        <f t="shared" si="1"/>
        <v>0</v>
      </c>
      <c r="H102" s="75"/>
      <c r="I102" s="76"/>
      <c r="J102" s="45"/>
      <c r="K102" s="45" t="b">
        <v>0</v>
      </c>
      <c r="L102" s="45"/>
      <c r="M102" s="43"/>
      <c r="N102" s="43"/>
      <c r="O102" s="43"/>
      <c r="P102" s="43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</row>
    <row r="103" ht="15.75" customHeight="1">
      <c r="A103" s="72"/>
      <c r="B103" s="72"/>
      <c r="C103" s="64"/>
      <c r="D103" s="5"/>
      <c r="E103" s="29"/>
      <c r="F103" s="74">
        <v>0.0</v>
      </c>
      <c r="G103" s="67">
        <f t="shared" si="1"/>
        <v>0</v>
      </c>
      <c r="H103" s="75"/>
      <c r="I103" s="76"/>
      <c r="J103" s="45"/>
      <c r="K103" s="45" t="b">
        <v>0</v>
      </c>
      <c r="L103" s="45"/>
      <c r="M103" s="43"/>
      <c r="N103" s="43"/>
      <c r="O103" s="43"/>
      <c r="P103" s="43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</row>
    <row r="104" ht="15.75" customHeight="1">
      <c r="A104" s="72"/>
      <c r="B104" s="72"/>
      <c r="C104" s="64"/>
      <c r="D104" s="5"/>
      <c r="E104" s="29"/>
      <c r="F104" s="74">
        <v>0.0</v>
      </c>
      <c r="G104" s="67">
        <f t="shared" si="1"/>
        <v>0</v>
      </c>
      <c r="H104" s="75"/>
      <c r="I104" s="76"/>
      <c r="J104" s="45"/>
      <c r="K104" s="45" t="b">
        <v>0</v>
      </c>
      <c r="L104" s="45"/>
      <c r="M104" s="43"/>
      <c r="N104" s="43"/>
      <c r="O104" s="43"/>
      <c r="P104" s="43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</row>
    <row r="105" ht="15.75" customHeight="1">
      <c r="A105" s="72"/>
      <c r="B105" s="72"/>
      <c r="C105" s="64"/>
      <c r="D105" s="5"/>
      <c r="E105" s="29"/>
      <c r="F105" s="74">
        <v>0.0</v>
      </c>
      <c r="G105" s="67">
        <f t="shared" si="1"/>
        <v>0</v>
      </c>
      <c r="H105" s="75"/>
      <c r="I105" s="76"/>
      <c r="J105" s="45"/>
      <c r="K105" s="45" t="b">
        <v>0</v>
      </c>
      <c r="L105" s="45"/>
      <c r="M105" s="43"/>
      <c r="N105" s="43"/>
      <c r="O105" s="43"/>
      <c r="P105" s="43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</row>
    <row r="106" ht="15.75" customHeight="1">
      <c r="A106" s="72"/>
      <c r="B106" s="72"/>
      <c r="C106" s="64"/>
      <c r="D106" s="5"/>
      <c r="E106" s="29"/>
      <c r="F106" s="74">
        <v>0.0</v>
      </c>
      <c r="G106" s="67">
        <f t="shared" si="1"/>
        <v>0</v>
      </c>
      <c r="H106" s="75"/>
      <c r="I106" s="76"/>
      <c r="J106" s="45"/>
      <c r="K106" s="45" t="b">
        <v>0</v>
      </c>
      <c r="L106" s="45"/>
      <c r="M106" s="43"/>
      <c r="N106" s="43"/>
      <c r="O106" s="43"/>
      <c r="P106" s="43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</row>
    <row r="107" ht="15.75" customHeight="1">
      <c r="A107" s="72"/>
      <c r="B107" s="72"/>
      <c r="C107" s="64"/>
      <c r="D107" s="5"/>
      <c r="E107" s="29"/>
      <c r="F107" s="74">
        <v>0.0</v>
      </c>
      <c r="G107" s="67">
        <f t="shared" si="1"/>
        <v>0</v>
      </c>
      <c r="H107" s="75"/>
      <c r="I107" s="76"/>
      <c r="J107" s="45"/>
      <c r="K107" s="45" t="b">
        <v>0</v>
      </c>
      <c r="L107" s="45"/>
      <c r="M107" s="43"/>
      <c r="N107" s="43"/>
      <c r="O107" s="43"/>
      <c r="P107" s="43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</row>
    <row r="108" ht="15.75" customHeight="1">
      <c r="A108" s="72"/>
      <c r="B108" s="72"/>
      <c r="C108" s="64"/>
      <c r="D108" s="5"/>
      <c r="E108" s="29"/>
      <c r="F108" s="74">
        <v>0.0</v>
      </c>
      <c r="G108" s="67">
        <f t="shared" si="1"/>
        <v>0</v>
      </c>
      <c r="H108" s="75"/>
      <c r="I108" s="76"/>
      <c r="J108" s="45"/>
      <c r="K108" s="45" t="b">
        <v>0</v>
      </c>
      <c r="L108" s="45"/>
      <c r="M108" s="43"/>
      <c r="N108" s="43"/>
      <c r="O108" s="43"/>
      <c r="P108" s="43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</row>
    <row r="109" ht="15.75" customHeight="1">
      <c r="A109" s="72"/>
      <c r="B109" s="72"/>
      <c r="C109" s="64"/>
      <c r="D109" s="5"/>
      <c r="E109" s="29"/>
      <c r="F109" s="74">
        <v>0.0</v>
      </c>
      <c r="G109" s="67">
        <f t="shared" si="1"/>
        <v>0</v>
      </c>
      <c r="H109" s="75"/>
      <c r="I109" s="76"/>
      <c r="J109" s="45"/>
      <c r="K109" s="45" t="b">
        <v>0</v>
      </c>
      <c r="L109" s="45"/>
      <c r="M109" s="43"/>
      <c r="N109" s="43"/>
      <c r="O109" s="43"/>
      <c r="P109" s="43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</row>
    <row r="110" ht="15.75" customHeight="1">
      <c r="A110" s="72"/>
      <c r="B110" s="72"/>
      <c r="C110" s="64"/>
      <c r="D110" s="5"/>
      <c r="E110" s="29"/>
      <c r="F110" s="74">
        <v>0.0</v>
      </c>
      <c r="G110" s="67">
        <f t="shared" si="1"/>
        <v>0</v>
      </c>
      <c r="H110" s="75"/>
      <c r="I110" s="76"/>
      <c r="J110" s="45"/>
      <c r="K110" s="45" t="b">
        <v>0</v>
      </c>
      <c r="L110" s="45"/>
      <c r="M110" s="43"/>
      <c r="N110" s="43"/>
      <c r="O110" s="43"/>
      <c r="P110" s="43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</row>
    <row r="111" ht="15.75" customHeight="1">
      <c r="A111" s="72"/>
      <c r="B111" s="72"/>
      <c r="C111" s="64"/>
      <c r="D111" s="5"/>
      <c r="E111" s="29"/>
      <c r="F111" s="74">
        <v>0.0</v>
      </c>
      <c r="G111" s="67">
        <f t="shared" si="1"/>
        <v>0</v>
      </c>
      <c r="H111" s="75"/>
      <c r="I111" s="76"/>
      <c r="J111" s="45"/>
      <c r="K111" s="45" t="b">
        <v>0</v>
      </c>
      <c r="L111" s="45"/>
      <c r="M111" s="43"/>
      <c r="N111" s="43"/>
      <c r="O111" s="43"/>
      <c r="P111" s="43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</row>
    <row r="112" ht="15.75" customHeight="1">
      <c r="A112" s="72"/>
      <c r="B112" s="72"/>
      <c r="C112" s="64"/>
      <c r="D112" s="5"/>
      <c r="E112" s="29"/>
      <c r="F112" s="74">
        <v>0.0</v>
      </c>
      <c r="G112" s="67">
        <f t="shared" si="1"/>
        <v>0</v>
      </c>
      <c r="H112" s="75"/>
      <c r="I112" s="76"/>
      <c r="J112" s="45"/>
      <c r="K112" s="45" t="b">
        <v>0</v>
      </c>
      <c r="L112" s="45"/>
      <c r="M112" s="43"/>
      <c r="N112" s="43"/>
      <c r="O112" s="43"/>
      <c r="P112" s="43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</row>
    <row r="113" ht="15.75" customHeight="1">
      <c r="A113" s="72"/>
      <c r="B113" s="72"/>
      <c r="C113" s="64"/>
      <c r="D113" s="5"/>
      <c r="E113" s="29"/>
      <c r="F113" s="74">
        <v>0.0</v>
      </c>
      <c r="G113" s="67">
        <f t="shared" si="1"/>
        <v>0</v>
      </c>
      <c r="H113" s="75"/>
      <c r="I113" s="76"/>
      <c r="J113" s="45"/>
      <c r="K113" s="45" t="b">
        <v>0</v>
      </c>
      <c r="L113" s="45"/>
      <c r="M113" s="43"/>
      <c r="N113" s="43"/>
      <c r="O113" s="43"/>
      <c r="P113" s="43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</row>
    <row r="114" ht="15.75" customHeight="1">
      <c r="A114" s="72"/>
      <c r="B114" s="72"/>
      <c r="C114" s="64"/>
      <c r="D114" s="5"/>
      <c r="E114" s="29"/>
      <c r="F114" s="74">
        <v>0.0</v>
      </c>
      <c r="G114" s="67">
        <f t="shared" si="1"/>
        <v>0</v>
      </c>
      <c r="H114" s="75"/>
      <c r="I114" s="76"/>
      <c r="J114" s="45"/>
      <c r="K114" s="45" t="b">
        <v>0</v>
      </c>
      <c r="L114" s="45"/>
      <c r="M114" s="43"/>
      <c r="N114" s="43"/>
      <c r="O114" s="43"/>
      <c r="P114" s="43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</row>
    <row r="115" ht="15.75" customHeight="1">
      <c r="A115" s="72"/>
      <c r="B115" s="72"/>
      <c r="C115" s="64"/>
      <c r="D115" s="5"/>
      <c r="E115" s="29"/>
      <c r="F115" s="74">
        <v>0.0</v>
      </c>
      <c r="G115" s="67">
        <f t="shared" si="1"/>
        <v>0</v>
      </c>
      <c r="H115" s="75"/>
      <c r="I115" s="76"/>
      <c r="J115" s="45"/>
      <c r="K115" s="45" t="b">
        <v>0</v>
      </c>
      <c r="L115" s="45"/>
      <c r="M115" s="43"/>
      <c r="N115" s="43"/>
      <c r="O115" s="43"/>
      <c r="P115" s="43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</row>
    <row r="116" ht="15.75" customHeight="1">
      <c r="A116" s="72"/>
      <c r="B116" s="72"/>
      <c r="C116" s="64"/>
      <c r="D116" s="5"/>
      <c r="E116" s="29"/>
      <c r="F116" s="74">
        <v>0.0</v>
      </c>
      <c r="G116" s="67">
        <f t="shared" si="1"/>
        <v>0</v>
      </c>
      <c r="H116" s="75"/>
      <c r="I116" s="76"/>
      <c r="J116" s="45"/>
      <c r="K116" s="45" t="b">
        <v>0</v>
      </c>
      <c r="L116" s="45"/>
      <c r="M116" s="43"/>
      <c r="N116" s="43"/>
      <c r="O116" s="43"/>
      <c r="P116" s="43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</row>
    <row r="117" ht="15.75" customHeight="1">
      <c r="A117" s="72"/>
      <c r="B117" s="72"/>
      <c r="C117" s="64"/>
      <c r="D117" s="5"/>
      <c r="E117" s="29"/>
      <c r="F117" s="74">
        <v>0.0</v>
      </c>
      <c r="G117" s="67">
        <f t="shared" si="1"/>
        <v>0</v>
      </c>
      <c r="H117" s="75"/>
      <c r="I117" s="76"/>
      <c r="J117" s="45"/>
      <c r="K117" s="45" t="b">
        <v>0</v>
      </c>
      <c r="L117" s="45"/>
      <c r="M117" s="43"/>
      <c r="N117" s="43"/>
      <c r="O117" s="43"/>
      <c r="P117" s="43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</row>
    <row r="118" ht="15.75" customHeight="1">
      <c r="A118" s="72"/>
      <c r="B118" s="72"/>
      <c r="C118" s="64"/>
      <c r="D118" s="5"/>
      <c r="E118" s="29"/>
      <c r="F118" s="74">
        <v>0.0</v>
      </c>
      <c r="G118" s="67">
        <f t="shared" si="1"/>
        <v>0</v>
      </c>
      <c r="H118" s="75"/>
      <c r="I118" s="76"/>
      <c r="J118" s="45"/>
      <c r="K118" s="45" t="b">
        <v>0</v>
      </c>
      <c r="L118" s="45"/>
      <c r="M118" s="43"/>
      <c r="N118" s="43"/>
      <c r="O118" s="43"/>
      <c r="P118" s="43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</row>
    <row r="119" ht="15.75" customHeight="1">
      <c r="A119" s="72"/>
      <c r="B119" s="72"/>
      <c r="C119" s="64"/>
      <c r="D119" s="5"/>
      <c r="E119" s="29"/>
      <c r="F119" s="74">
        <v>0.0</v>
      </c>
      <c r="G119" s="67">
        <f t="shared" si="1"/>
        <v>0</v>
      </c>
      <c r="H119" s="75"/>
      <c r="I119" s="76"/>
      <c r="J119" s="45"/>
      <c r="K119" s="45" t="b">
        <v>0</v>
      </c>
      <c r="L119" s="45"/>
      <c r="M119" s="43"/>
      <c r="N119" s="43"/>
      <c r="O119" s="43"/>
      <c r="P119" s="43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</row>
    <row r="120" ht="15.75" customHeight="1">
      <c r="A120" s="72"/>
      <c r="B120" s="72"/>
      <c r="C120" s="64"/>
      <c r="D120" s="5"/>
      <c r="E120" s="29"/>
      <c r="F120" s="74">
        <v>0.0</v>
      </c>
      <c r="G120" s="67">
        <f t="shared" si="1"/>
        <v>0</v>
      </c>
      <c r="H120" s="75"/>
      <c r="I120" s="76"/>
      <c r="J120" s="45"/>
      <c r="K120" s="45" t="b">
        <v>0</v>
      </c>
      <c r="L120" s="45"/>
      <c r="M120" s="43"/>
      <c r="N120" s="43"/>
      <c r="O120" s="43"/>
      <c r="P120" s="43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</row>
    <row r="121" ht="15.75" customHeight="1">
      <c r="A121" s="72"/>
      <c r="B121" s="72"/>
      <c r="C121" s="64"/>
      <c r="D121" s="5"/>
      <c r="E121" s="29"/>
      <c r="F121" s="74">
        <v>0.0</v>
      </c>
      <c r="G121" s="67">
        <f t="shared" si="1"/>
        <v>0</v>
      </c>
      <c r="H121" s="75"/>
      <c r="I121" s="76"/>
      <c r="J121" s="45"/>
      <c r="K121" s="45" t="b">
        <v>0</v>
      </c>
      <c r="L121" s="45"/>
      <c r="M121" s="43"/>
      <c r="N121" s="43"/>
      <c r="O121" s="43"/>
      <c r="P121" s="43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</row>
    <row r="122" ht="15.75" customHeight="1">
      <c r="A122" s="72"/>
      <c r="B122" s="72"/>
      <c r="C122" s="64"/>
      <c r="D122" s="5"/>
      <c r="E122" s="29"/>
      <c r="F122" s="74">
        <v>0.0</v>
      </c>
      <c r="G122" s="67">
        <f t="shared" si="1"/>
        <v>0</v>
      </c>
      <c r="H122" s="75"/>
      <c r="I122" s="76"/>
      <c r="J122" s="45"/>
      <c r="K122" s="45" t="b">
        <v>0</v>
      </c>
      <c r="L122" s="45"/>
      <c r="M122" s="43"/>
      <c r="N122" s="43"/>
      <c r="O122" s="43"/>
      <c r="P122" s="43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</row>
    <row r="123" ht="15.75" customHeight="1">
      <c r="A123" s="72"/>
      <c r="B123" s="72"/>
      <c r="C123" s="64"/>
      <c r="D123" s="5"/>
      <c r="E123" s="29"/>
      <c r="F123" s="74">
        <v>0.0</v>
      </c>
      <c r="G123" s="67">
        <f t="shared" si="1"/>
        <v>0</v>
      </c>
      <c r="H123" s="75"/>
      <c r="I123" s="76"/>
      <c r="J123" s="45"/>
      <c r="K123" s="45" t="b">
        <v>0</v>
      </c>
      <c r="L123" s="45"/>
      <c r="M123" s="43"/>
      <c r="N123" s="43"/>
      <c r="O123" s="43"/>
      <c r="P123" s="43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</row>
    <row r="124" ht="15.75" customHeight="1">
      <c r="A124" s="72"/>
      <c r="B124" s="72"/>
      <c r="C124" s="64"/>
      <c r="D124" s="5"/>
      <c r="E124" s="29"/>
      <c r="F124" s="74">
        <v>0.0</v>
      </c>
      <c r="G124" s="67">
        <f t="shared" si="1"/>
        <v>0</v>
      </c>
      <c r="H124" s="75"/>
      <c r="I124" s="76"/>
      <c r="J124" s="45"/>
      <c r="K124" s="45" t="b">
        <v>0</v>
      </c>
      <c r="L124" s="45"/>
      <c r="M124" s="43"/>
      <c r="N124" s="43"/>
      <c r="O124" s="43"/>
      <c r="P124" s="43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</row>
    <row r="125" ht="15.75" customHeight="1">
      <c r="A125" s="72"/>
      <c r="B125" s="72"/>
      <c r="C125" s="64"/>
      <c r="D125" s="5"/>
      <c r="E125" s="29"/>
      <c r="F125" s="74">
        <v>0.0</v>
      </c>
      <c r="G125" s="67">
        <f t="shared" si="1"/>
        <v>0</v>
      </c>
      <c r="H125" s="75"/>
      <c r="I125" s="76"/>
      <c r="J125" s="45"/>
      <c r="K125" s="45" t="b">
        <v>0</v>
      </c>
      <c r="L125" s="45"/>
      <c r="M125" s="43"/>
      <c r="N125" s="43"/>
      <c r="O125" s="43"/>
      <c r="P125" s="43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</row>
    <row r="126" ht="15.75" customHeight="1">
      <c r="A126" s="72"/>
      <c r="B126" s="72"/>
      <c r="C126" s="64"/>
      <c r="D126" s="5"/>
      <c r="E126" s="29"/>
      <c r="F126" s="74">
        <v>0.0</v>
      </c>
      <c r="G126" s="67">
        <f t="shared" si="1"/>
        <v>0</v>
      </c>
      <c r="H126" s="75"/>
      <c r="I126" s="76"/>
      <c r="J126" s="45"/>
      <c r="K126" s="45" t="b">
        <v>0</v>
      </c>
      <c r="L126" s="45"/>
      <c r="M126" s="43"/>
      <c r="N126" s="43"/>
      <c r="O126" s="43"/>
      <c r="P126" s="43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</row>
    <row r="127" ht="15.75" customHeight="1">
      <c r="A127" s="72"/>
      <c r="B127" s="72"/>
      <c r="C127" s="64"/>
      <c r="D127" s="5"/>
      <c r="E127" s="29"/>
      <c r="F127" s="74">
        <v>0.0</v>
      </c>
      <c r="G127" s="67">
        <f t="shared" si="1"/>
        <v>0</v>
      </c>
      <c r="H127" s="75"/>
      <c r="I127" s="76"/>
      <c r="J127" s="45"/>
      <c r="K127" s="45" t="b">
        <v>0</v>
      </c>
      <c r="L127" s="45"/>
      <c r="M127" s="43"/>
      <c r="N127" s="43"/>
      <c r="O127" s="43"/>
      <c r="P127" s="43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</row>
    <row r="128" ht="15.75" customHeight="1">
      <c r="A128" s="72"/>
      <c r="B128" s="72"/>
      <c r="C128" s="64"/>
      <c r="D128" s="5"/>
      <c r="E128" s="29"/>
      <c r="F128" s="74">
        <v>0.0</v>
      </c>
      <c r="G128" s="67">
        <f t="shared" si="1"/>
        <v>0</v>
      </c>
      <c r="H128" s="75"/>
      <c r="I128" s="76"/>
      <c r="J128" s="45"/>
      <c r="K128" s="45" t="b">
        <v>0</v>
      </c>
      <c r="L128" s="45"/>
      <c r="M128" s="43"/>
      <c r="N128" s="43"/>
      <c r="O128" s="43"/>
      <c r="P128" s="43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</row>
    <row r="129" ht="15.75" customHeight="1">
      <c r="A129" s="72"/>
      <c r="B129" s="72"/>
      <c r="C129" s="64"/>
      <c r="D129" s="5"/>
      <c r="E129" s="29"/>
      <c r="F129" s="74">
        <v>0.0</v>
      </c>
      <c r="G129" s="67">
        <f t="shared" si="1"/>
        <v>0</v>
      </c>
      <c r="H129" s="75"/>
      <c r="I129" s="76"/>
      <c r="J129" s="45"/>
      <c r="K129" s="45" t="b">
        <v>0</v>
      </c>
      <c r="L129" s="45"/>
      <c r="M129" s="43"/>
      <c r="N129" s="43"/>
      <c r="O129" s="43"/>
      <c r="P129" s="43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</row>
    <row r="130" ht="15.75" customHeight="1">
      <c r="A130" s="72"/>
      <c r="B130" s="72"/>
      <c r="C130" s="64"/>
      <c r="D130" s="5"/>
      <c r="E130" s="29"/>
      <c r="F130" s="74">
        <v>0.0</v>
      </c>
      <c r="G130" s="67">
        <f t="shared" si="1"/>
        <v>0</v>
      </c>
      <c r="H130" s="75"/>
      <c r="I130" s="76"/>
      <c r="J130" s="45"/>
      <c r="K130" s="45" t="b">
        <v>0</v>
      </c>
      <c r="L130" s="45"/>
      <c r="M130" s="43"/>
      <c r="N130" s="43"/>
      <c r="O130" s="43"/>
      <c r="P130" s="43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</row>
    <row r="131" ht="15.75" customHeight="1">
      <c r="A131" s="72"/>
      <c r="B131" s="72"/>
      <c r="C131" s="64"/>
      <c r="D131" s="5"/>
      <c r="E131" s="29"/>
      <c r="F131" s="74">
        <v>0.0</v>
      </c>
      <c r="G131" s="67">
        <f t="shared" si="1"/>
        <v>0</v>
      </c>
      <c r="H131" s="75"/>
      <c r="I131" s="76"/>
      <c r="J131" s="45"/>
      <c r="K131" s="45" t="b">
        <v>0</v>
      </c>
      <c r="L131" s="45"/>
      <c r="M131" s="43"/>
      <c r="N131" s="43"/>
      <c r="O131" s="43"/>
      <c r="P131" s="43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</row>
    <row r="132" ht="15.75" customHeight="1">
      <c r="A132" s="72"/>
      <c r="B132" s="72"/>
      <c r="C132" s="64"/>
      <c r="D132" s="5"/>
      <c r="E132" s="29"/>
      <c r="F132" s="74">
        <v>0.0</v>
      </c>
      <c r="G132" s="67">
        <f t="shared" si="1"/>
        <v>0</v>
      </c>
      <c r="H132" s="75"/>
      <c r="I132" s="76"/>
      <c r="J132" s="45"/>
      <c r="K132" s="45" t="b">
        <v>0</v>
      </c>
      <c r="L132" s="45"/>
      <c r="M132" s="43"/>
      <c r="N132" s="43"/>
      <c r="O132" s="43"/>
      <c r="P132" s="43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</row>
    <row r="133" ht="15.75" customHeight="1">
      <c r="A133" s="72"/>
      <c r="B133" s="72"/>
      <c r="C133" s="64"/>
      <c r="D133" s="5"/>
      <c r="E133" s="29"/>
      <c r="F133" s="74">
        <v>0.0</v>
      </c>
      <c r="G133" s="67">
        <f t="shared" si="1"/>
        <v>0</v>
      </c>
      <c r="H133" s="75"/>
      <c r="I133" s="76"/>
      <c r="J133" s="45"/>
      <c r="K133" s="45" t="b">
        <v>0</v>
      </c>
      <c r="L133" s="45"/>
      <c r="M133" s="43"/>
      <c r="N133" s="43"/>
      <c r="O133" s="43"/>
      <c r="P133" s="43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</row>
    <row r="134" ht="15.75" customHeight="1">
      <c r="A134" s="87"/>
      <c r="B134" s="88"/>
      <c r="C134" s="64"/>
      <c r="D134" s="5"/>
      <c r="E134" s="29"/>
      <c r="F134" s="74">
        <v>0.0</v>
      </c>
      <c r="G134" s="67">
        <f t="shared" si="1"/>
        <v>0</v>
      </c>
      <c r="H134" s="87"/>
      <c r="I134" s="89"/>
      <c r="J134" s="90"/>
      <c r="K134" s="84" t="b">
        <v>0</v>
      </c>
      <c r="L134" s="45"/>
      <c r="M134" s="43"/>
      <c r="N134" s="43"/>
      <c r="O134" s="43"/>
      <c r="P134" s="43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</row>
    <row r="135" ht="15.75" customHeight="1">
      <c r="A135" s="87"/>
      <c r="B135" s="88"/>
      <c r="C135" s="64"/>
      <c r="D135" s="5"/>
      <c r="E135" s="29"/>
      <c r="F135" s="74">
        <v>0.0</v>
      </c>
      <c r="G135" s="67">
        <f t="shared" si="1"/>
        <v>0</v>
      </c>
      <c r="H135" s="87"/>
      <c r="I135" s="89"/>
      <c r="J135" s="90"/>
      <c r="K135" s="45" t="b">
        <v>0</v>
      </c>
      <c r="L135" s="45"/>
      <c r="M135" s="43"/>
      <c r="N135" s="43"/>
      <c r="O135" s="43"/>
      <c r="P135" s="43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</row>
    <row r="136" ht="15.75" customHeight="1">
      <c r="A136" s="87"/>
      <c r="B136" s="88"/>
      <c r="C136" s="64"/>
      <c r="D136" s="5"/>
      <c r="E136" s="29"/>
      <c r="F136" s="74">
        <v>0.0</v>
      </c>
      <c r="G136" s="67">
        <f t="shared" si="1"/>
        <v>0</v>
      </c>
      <c r="H136" s="87"/>
      <c r="I136" s="89"/>
      <c r="J136" s="90"/>
      <c r="K136" s="45" t="b">
        <v>0</v>
      </c>
      <c r="L136" s="45"/>
      <c r="M136" s="43"/>
      <c r="N136" s="43"/>
      <c r="O136" s="43"/>
      <c r="P136" s="43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</row>
    <row r="137" ht="15.75" customHeight="1">
      <c r="A137" s="87"/>
      <c r="B137" s="88"/>
      <c r="C137" s="64"/>
      <c r="D137" s="5"/>
      <c r="E137" s="29"/>
      <c r="F137" s="74">
        <v>0.0</v>
      </c>
      <c r="G137" s="67">
        <f t="shared" si="1"/>
        <v>0</v>
      </c>
      <c r="H137" s="87"/>
      <c r="I137" s="89"/>
      <c r="J137" s="90"/>
      <c r="K137" s="45" t="b">
        <v>0</v>
      </c>
      <c r="L137" s="45"/>
      <c r="M137" s="43"/>
      <c r="N137" s="43"/>
      <c r="O137" s="43"/>
      <c r="P137" s="43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</row>
    <row r="138" ht="15.75" customHeight="1">
      <c r="A138" s="87"/>
      <c r="B138" s="88"/>
      <c r="C138" s="64"/>
      <c r="D138" s="5"/>
      <c r="E138" s="29"/>
      <c r="F138" s="74">
        <v>0.0</v>
      </c>
      <c r="G138" s="67">
        <f t="shared" si="1"/>
        <v>0</v>
      </c>
      <c r="H138" s="87"/>
      <c r="I138" s="89"/>
      <c r="J138" s="90"/>
      <c r="K138" s="45" t="b">
        <v>0</v>
      </c>
      <c r="L138" s="45"/>
      <c r="M138" s="43"/>
      <c r="N138" s="43"/>
      <c r="O138" s="43"/>
      <c r="P138" s="43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</row>
    <row r="139" ht="15.75" customHeight="1">
      <c r="A139" s="87"/>
      <c r="B139" s="88"/>
      <c r="C139" s="64"/>
      <c r="D139" s="5"/>
      <c r="E139" s="29"/>
      <c r="F139" s="74">
        <v>0.0</v>
      </c>
      <c r="G139" s="67">
        <f t="shared" si="1"/>
        <v>0</v>
      </c>
      <c r="H139" s="87"/>
      <c r="I139" s="89"/>
      <c r="J139" s="90"/>
      <c r="K139" s="45" t="b">
        <v>0</v>
      </c>
      <c r="L139" s="45"/>
      <c r="M139" s="43"/>
      <c r="N139" s="43"/>
      <c r="O139" s="43"/>
      <c r="P139" s="43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</row>
    <row r="140" ht="15.75" customHeight="1">
      <c r="A140" s="87"/>
      <c r="B140" s="88"/>
      <c r="C140" s="64"/>
      <c r="D140" s="5"/>
      <c r="E140" s="29"/>
      <c r="F140" s="74">
        <v>0.0</v>
      </c>
      <c r="G140" s="67">
        <f t="shared" si="1"/>
        <v>0</v>
      </c>
      <c r="H140" s="87"/>
      <c r="I140" s="89"/>
      <c r="J140" s="90"/>
      <c r="K140" s="45" t="b">
        <v>0</v>
      </c>
      <c r="L140" s="45"/>
      <c r="M140" s="43"/>
      <c r="N140" s="43"/>
      <c r="O140" s="43"/>
      <c r="P140" s="43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</row>
    <row r="141" ht="15.75" customHeight="1">
      <c r="A141" s="87"/>
      <c r="B141" s="88"/>
      <c r="C141" s="64"/>
      <c r="D141" s="5"/>
      <c r="E141" s="29"/>
      <c r="F141" s="74">
        <v>0.0</v>
      </c>
      <c r="G141" s="67">
        <f t="shared" si="1"/>
        <v>0</v>
      </c>
      <c r="H141" s="87"/>
      <c r="I141" s="89"/>
      <c r="J141" s="90"/>
      <c r="K141" s="45" t="b">
        <v>0</v>
      </c>
      <c r="L141" s="45"/>
      <c r="M141" s="43"/>
      <c r="N141" s="43"/>
      <c r="O141" s="43"/>
      <c r="P141" s="43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</row>
    <row r="142" ht="15.75" customHeight="1">
      <c r="A142" s="87"/>
      <c r="B142" s="88"/>
      <c r="C142" s="64"/>
      <c r="D142" s="5"/>
      <c r="E142" s="29"/>
      <c r="F142" s="74">
        <v>0.0</v>
      </c>
      <c r="G142" s="67">
        <f t="shared" si="1"/>
        <v>0</v>
      </c>
      <c r="H142" s="87"/>
      <c r="I142" s="89"/>
      <c r="J142" s="90"/>
      <c r="K142" s="45" t="b">
        <v>0</v>
      </c>
      <c r="L142" s="45"/>
      <c r="M142" s="43"/>
      <c r="N142" s="43"/>
      <c r="O142" s="43"/>
      <c r="P142" s="43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</row>
    <row r="143" ht="15.75" customHeight="1">
      <c r="A143" s="87"/>
      <c r="B143" s="88"/>
      <c r="C143" s="64"/>
      <c r="D143" s="5"/>
      <c r="E143" s="29"/>
      <c r="F143" s="74">
        <v>0.0</v>
      </c>
      <c r="G143" s="67">
        <f t="shared" si="1"/>
        <v>0</v>
      </c>
      <c r="H143" s="87"/>
      <c r="I143" s="89"/>
      <c r="J143" s="90"/>
      <c r="K143" s="45" t="b">
        <v>0</v>
      </c>
      <c r="L143" s="45"/>
      <c r="M143" s="43"/>
      <c r="N143" s="43"/>
      <c r="O143" s="43"/>
      <c r="P143" s="43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</row>
    <row r="144" ht="15.75" customHeight="1">
      <c r="A144" s="87"/>
      <c r="B144" s="88"/>
      <c r="C144" s="64"/>
      <c r="D144" s="5"/>
      <c r="E144" s="29"/>
      <c r="F144" s="74">
        <v>0.0</v>
      </c>
      <c r="G144" s="67">
        <f t="shared" si="1"/>
        <v>0</v>
      </c>
      <c r="H144" s="87"/>
      <c r="I144" s="89"/>
      <c r="J144" s="90"/>
      <c r="K144" s="45" t="b">
        <v>0</v>
      </c>
      <c r="L144" s="45"/>
      <c r="M144" s="43"/>
      <c r="N144" s="43"/>
      <c r="O144" s="43"/>
      <c r="P144" s="43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</row>
    <row r="145" ht="15.75" customHeight="1">
      <c r="A145" s="87"/>
      <c r="B145" s="88"/>
      <c r="C145" s="64"/>
      <c r="D145" s="5"/>
      <c r="E145" s="29"/>
      <c r="F145" s="74">
        <v>0.0</v>
      </c>
      <c r="G145" s="67">
        <f t="shared" si="1"/>
        <v>0</v>
      </c>
      <c r="H145" s="87"/>
      <c r="I145" s="89"/>
      <c r="J145" s="90"/>
      <c r="K145" s="45" t="b">
        <v>0</v>
      </c>
      <c r="L145" s="45"/>
      <c r="M145" s="43"/>
      <c r="N145" s="43"/>
      <c r="O145" s="43"/>
      <c r="P145" s="43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</row>
    <row r="146" ht="15.75" customHeight="1">
      <c r="A146" s="87"/>
      <c r="B146" s="88"/>
      <c r="C146" s="64"/>
      <c r="D146" s="5"/>
      <c r="E146" s="29"/>
      <c r="F146" s="74">
        <v>0.0</v>
      </c>
      <c r="G146" s="67">
        <f t="shared" si="1"/>
        <v>0</v>
      </c>
      <c r="H146" s="87"/>
      <c r="I146" s="89"/>
      <c r="J146" s="90"/>
      <c r="K146" s="45" t="b">
        <v>0</v>
      </c>
      <c r="L146" s="45"/>
      <c r="M146" s="43"/>
      <c r="N146" s="43"/>
      <c r="O146" s="43"/>
      <c r="P146" s="43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</row>
    <row r="147" ht="15.75" customHeight="1">
      <c r="A147" s="87"/>
      <c r="B147" s="88"/>
      <c r="C147" s="64"/>
      <c r="D147" s="5"/>
      <c r="E147" s="29"/>
      <c r="F147" s="74">
        <v>0.0</v>
      </c>
      <c r="G147" s="67">
        <f t="shared" si="1"/>
        <v>0</v>
      </c>
      <c r="H147" s="87"/>
      <c r="I147" s="89"/>
      <c r="J147" s="90"/>
      <c r="K147" s="45" t="b">
        <v>0</v>
      </c>
      <c r="L147" s="45"/>
      <c r="M147" s="43"/>
      <c r="N147" s="43"/>
      <c r="O147" s="43"/>
      <c r="P147" s="43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</row>
    <row r="148" ht="15.75" customHeight="1">
      <c r="A148" s="87"/>
      <c r="B148" s="88"/>
      <c r="C148" s="64"/>
      <c r="D148" s="5"/>
      <c r="E148" s="29"/>
      <c r="F148" s="74">
        <v>0.0</v>
      </c>
      <c r="G148" s="67">
        <f t="shared" si="1"/>
        <v>0</v>
      </c>
      <c r="H148" s="87"/>
      <c r="I148" s="89"/>
      <c r="J148" s="90"/>
      <c r="K148" s="45" t="b">
        <v>0</v>
      </c>
      <c r="L148" s="45"/>
      <c r="M148" s="43"/>
      <c r="N148" s="43"/>
      <c r="O148" s="43"/>
      <c r="P148" s="43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</row>
    <row r="149" ht="15.75" customHeight="1">
      <c r="A149" s="87"/>
      <c r="B149" s="88"/>
      <c r="C149" s="64"/>
      <c r="D149" s="5"/>
      <c r="E149" s="29"/>
      <c r="F149" s="74">
        <v>0.0</v>
      </c>
      <c r="G149" s="67">
        <f t="shared" si="1"/>
        <v>0</v>
      </c>
      <c r="H149" s="87"/>
      <c r="I149" s="89"/>
      <c r="J149" s="90"/>
      <c r="K149" s="45" t="b">
        <v>0</v>
      </c>
      <c r="L149" s="45"/>
      <c r="M149" s="43"/>
      <c r="N149" s="43"/>
      <c r="O149" s="43"/>
      <c r="P149" s="43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</row>
    <row r="150" ht="15.75" customHeight="1">
      <c r="A150" s="87"/>
      <c r="B150" s="88"/>
      <c r="C150" s="64"/>
      <c r="D150" s="5"/>
      <c r="E150" s="29"/>
      <c r="F150" s="74">
        <v>0.0</v>
      </c>
      <c r="G150" s="67">
        <f t="shared" si="1"/>
        <v>0</v>
      </c>
      <c r="H150" s="87"/>
      <c r="I150" s="89"/>
      <c r="J150" s="90"/>
      <c r="K150" s="45" t="b">
        <v>0</v>
      </c>
      <c r="L150" s="45"/>
      <c r="M150" s="43"/>
      <c r="N150" s="43"/>
      <c r="O150" s="43"/>
      <c r="P150" s="43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</row>
    <row r="151" ht="15.75" customHeight="1">
      <c r="A151" s="87"/>
      <c r="B151" s="88"/>
      <c r="C151" s="64"/>
      <c r="D151" s="5"/>
      <c r="E151" s="29"/>
      <c r="F151" s="74">
        <v>0.0</v>
      </c>
      <c r="G151" s="67">
        <f t="shared" si="1"/>
        <v>0</v>
      </c>
      <c r="H151" s="87"/>
      <c r="I151" s="89"/>
      <c r="J151" s="90"/>
      <c r="K151" s="45" t="b">
        <v>0</v>
      </c>
      <c r="L151" s="45"/>
      <c r="M151" s="43"/>
      <c r="N151" s="43"/>
      <c r="O151" s="43"/>
      <c r="P151" s="43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</row>
    <row r="152" ht="15.75" customHeight="1">
      <c r="A152" s="87"/>
      <c r="B152" s="88"/>
      <c r="C152" s="64"/>
      <c r="D152" s="5"/>
      <c r="E152" s="29"/>
      <c r="F152" s="74">
        <v>0.0</v>
      </c>
      <c r="G152" s="67">
        <f t="shared" si="1"/>
        <v>0</v>
      </c>
      <c r="H152" s="87"/>
      <c r="I152" s="89"/>
      <c r="J152" s="90"/>
      <c r="K152" s="45" t="b">
        <v>0</v>
      </c>
      <c r="L152" s="45"/>
      <c r="M152" s="43"/>
      <c r="N152" s="43"/>
      <c r="O152" s="43"/>
      <c r="P152" s="43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</row>
    <row r="153" ht="15.75" customHeight="1">
      <c r="A153" s="87"/>
      <c r="B153" s="88"/>
      <c r="C153" s="64"/>
      <c r="D153" s="5"/>
      <c r="E153" s="29"/>
      <c r="F153" s="74">
        <v>0.0</v>
      </c>
      <c r="G153" s="67">
        <f t="shared" si="1"/>
        <v>0</v>
      </c>
      <c r="H153" s="87"/>
      <c r="I153" s="89"/>
      <c r="J153" s="90"/>
      <c r="K153" s="45" t="b">
        <v>0</v>
      </c>
      <c r="L153" s="45"/>
      <c r="M153" s="43"/>
      <c r="N153" s="43"/>
      <c r="O153" s="43"/>
      <c r="P153" s="43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</row>
    <row r="154" ht="15.75" customHeight="1">
      <c r="A154" s="87"/>
      <c r="B154" s="88"/>
      <c r="C154" s="64"/>
      <c r="D154" s="5"/>
      <c r="E154" s="29"/>
      <c r="F154" s="74">
        <v>0.0</v>
      </c>
      <c r="G154" s="67">
        <f t="shared" si="1"/>
        <v>0</v>
      </c>
      <c r="H154" s="87"/>
      <c r="I154" s="91"/>
      <c r="J154" s="87"/>
      <c r="K154" s="45" t="b">
        <v>0</v>
      </c>
      <c r="L154" s="45"/>
      <c r="M154" s="43"/>
      <c r="N154" s="43"/>
      <c r="O154" s="43"/>
      <c r="P154" s="43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</row>
    <row r="155" ht="15.75" customHeight="1">
      <c r="A155" s="87"/>
      <c r="B155" s="88"/>
      <c r="C155" s="64"/>
      <c r="D155" s="5"/>
      <c r="E155" s="29"/>
      <c r="F155" s="74">
        <v>0.0</v>
      </c>
      <c r="G155" s="67">
        <f t="shared" si="1"/>
        <v>0</v>
      </c>
      <c r="H155" s="87"/>
      <c r="I155" s="91"/>
      <c r="J155" s="87"/>
      <c r="K155" s="45" t="b">
        <v>0</v>
      </c>
      <c r="L155" s="45"/>
      <c r="M155" s="43"/>
      <c r="N155" s="43"/>
      <c r="O155" s="43"/>
      <c r="P155" s="43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</row>
    <row r="156" ht="15.75" customHeight="1">
      <c r="A156" s="87"/>
      <c r="B156" s="88"/>
      <c r="C156" s="64"/>
      <c r="D156" s="5"/>
      <c r="E156" s="29"/>
      <c r="F156" s="74">
        <v>0.0</v>
      </c>
      <c r="G156" s="67">
        <f t="shared" si="1"/>
        <v>0</v>
      </c>
      <c r="H156" s="87"/>
      <c r="I156" s="91"/>
      <c r="J156" s="87"/>
      <c r="K156" s="45" t="b">
        <v>0</v>
      </c>
      <c r="L156" s="45"/>
      <c r="M156" s="43"/>
      <c r="N156" s="43"/>
      <c r="O156" s="43"/>
      <c r="P156" s="43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</row>
    <row r="157" ht="15.75" customHeight="1">
      <c r="A157" s="87"/>
      <c r="B157" s="88"/>
      <c r="C157" s="64"/>
      <c r="D157" s="5"/>
      <c r="E157" s="29"/>
      <c r="F157" s="74">
        <v>0.0</v>
      </c>
      <c r="G157" s="67">
        <f t="shared" si="1"/>
        <v>0</v>
      </c>
      <c r="H157" s="87"/>
      <c r="I157" s="91"/>
      <c r="J157" s="87"/>
      <c r="K157" s="45" t="b">
        <v>0</v>
      </c>
      <c r="L157" s="45"/>
      <c r="M157" s="43"/>
      <c r="N157" s="43"/>
      <c r="O157" s="43"/>
      <c r="P157" s="43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</row>
    <row r="158" ht="15.75" customHeight="1">
      <c r="A158" s="87"/>
      <c r="B158" s="88"/>
      <c r="C158" s="64"/>
      <c r="D158" s="5"/>
      <c r="E158" s="29"/>
      <c r="F158" s="74">
        <v>0.0</v>
      </c>
      <c r="G158" s="67">
        <f t="shared" si="1"/>
        <v>0</v>
      </c>
      <c r="H158" s="87"/>
      <c r="I158" s="91"/>
      <c r="J158" s="87"/>
      <c r="K158" s="45" t="b">
        <v>0</v>
      </c>
      <c r="L158" s="45"/>
      <c r="M158" s="43"/>
      <c r="N158" s="43"/>
      <c r="O158" s="43"/>
      <c r="P158" s="43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</row>
    <row r="159" ht="15.75" customHeight="1">
      <c r="A159" s="87"/>
      <c r="B159" s="88"/>
      <c r="C159" s="64"/>
      <c r="D159" s="5"/>
      <c r="E159" s="29"/>
      <c r="F159" s="74">
        <v>0.0</v>
      </c>
      <c r="G159" s="67">
        <f t="shared" si="1"/>
        <v>0</v>
      </c>
      <c r="H159" s="87"/>
      <c r="I159" s="91"/>
      <c r="J159" s="87"/>
      <c r="K159" s="45" t="b">
        <v>0</v>
      </c>
      <c r="L159" s="45"/>
      <c r="M159" s="43"/>
      <c r="N159" s="43"/>
      <c r="O159" s="43"/>
      <c r="P159" s="43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</row>
    <row r="160" ht="15.75" customHeight="1">
      <c r="A160" s="87"/>
      <c r="B160" s="88"/>
      <c r="C160" s="64"/>
      <c r="D160" s="5"/>
      <c r="E160" s="29"/>
      <c r="F160" s="74">
        <v>0.0</v>
      </c>
      <c r="G160" s="67">
        <f t="shared" si="1"/>
        <v>0</v>
      </c>
      <c r="H160" s="87"/>
      <c r="I160" s="91"/>
      <c r="J160" s="87"/>
      <c r="K160" s="45" t="b">
        <v>0</v>
      </c>
      <c r="L160" s="45"/>
      <c r="M160" s="43"/>
      <c r="N160" s="43"/>
      <c r="O160" s="43"/>
      <c r="P160" s="43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</row>
    <row r="161" ht="15.75" customHeight="1">
      <c r="A161" s="87"/>
      <c r="B161" s="88"/>
      <c r="C161" s="64"/>
      <c r="D161" s="5"/>
      <c r="E161" s="29"/>
      <c r="F161" s="74">
        <v>0.0</v>
      </c>
      <c r="G161" s="67">
        <f t="shared" si="1"/>
        <v>0</v>
      </c>
      <c r="H161" s="87"/>
      <c r="I161" s="91"/>
      <c r="J161" s="87"/>
      <c r="K161" s="45" t="b">
        <v>0</v>
      </c>
      <c r="L161" s="45"/>
      <c r="M161" s="43"/>
      <c r="N161" s="43"/>
      <c r="O161" s="43"/>
      <c r="P161" s="43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</row>
    <row r="162" ht="15.75" customHeight="1">
      <c r="A162" s="87"/>
      <c r="B162" s="88"/>
      <c r="C162" s="64"/>
      <c r="D162" s="5"/>
      <c r="E162" s="29"/>
      <c r="F162" s="74">
        <v>0.0</v>
      </c>
      <c r="G162" s="67">
        <f t="shared" si="1"/>
        <v>0</v>
      </c>
      <c r="H162" s="87"/>
      <c r="I162" s="91"/>
      <c r="J162" s="87"/>
      <c r="K162" s="45" t="b">
        <v>0</v>
      </c>
      <c r="L162" s="45"/>
      <c r="M162" s="43"/>
      <c r="N162" s="43"/>
      <c r="O162" s="43"/>
      <c r="P162" s="43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</row>
    <row r="163" ht="15.75" customHeight="1">
      <c r="A163" s="87"/>
      <c r="B163" s="88"/>
      <c r="C163" s="64"/>
      <c r="D163" s="5"/>
      <c r="E163" s="29"/>
      <c r="F163" s="74">
        <v>0.0</v>
      </c>
      <c r="G163" s="67">
        <f t="shared" si="1"/>
        <v>0</v>
      </c>
      <c r="H163" s="87"/>
      <c r="I163" s="91"/>
      <c r="J163" s="87"/>
      <c r="K163" s="45" t="b">
        <v>0</v>
      </c>
      <c r="L163" s="45"/>
      <c r="M163" s="43"/>
      <c r="N163" s="43"/>
      <c r="O163" s="43"/>
      <c r="P163" s="43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</row>
    <row r="164" ht="15.75" customHeight="1">
      <c r="A164" s="87"/>
      <c r="B164" s="88"/>
      <c r="C164" s="64"/>
      <c r="D164" s="5"/>
      <c r="E164" s="29"/>
      <c r="F164" s="74">
        <v>0.0</v>
      </c>
      <c r="G164" s="67">
        <f t="shared" si="1"/>
        <v>0</v>
      </c>
      <c r="H164" s="87"/>
      <c r="I164" s="91"/>
      <c r="J164" s="87"/>
      <c r="K164" s="45" t="b">
        <v>0</v>
      </c>
      <c r="L164" s="45"/>
      <c r="M164" s="43"/>
      <c r="N164" s="43"/>
      <c r="O164" s="43"/>
      <c r="P164" s="43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</row>
    <row r="165" ht="15.75" customHeight="1">
      <c r="A165" s="87"/>
      <c r="B165" s="88"/>
      <c r="C165" s="64"/>
      <c r="D165" s="5"/>
      <c r="E165" s="29"/>
      <c r="F165" s="74">
        <v>0.0</v>
      </c>
      <c r="G165" s="67">
        <f t="shared" si="1"/>
        <v>0</v>
      </c>
      <c r="H165" s="87"/>
      <c r="I165" s="91"/>
      <c r="J165" s="87"/>
      <c r="K165" s="45" t="b">
        <v>0</v>
      </c>
      <c r="L165" s="45"/>
      <c r="M165" s="43"/>
      <c r="N165" s="43"/>
      <c r="O165" s="43"/>
      <c r="P165" s="43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</row>
    <row r="166" ht="15.75" customHeight="1">
      <c r="A166" s="87"/>
      <c r="B166" s="88"/>
      <c r="C166" s="64"/>
      <c r="D166" s="5"/>
      <c r="E166" s="29"/>
      <c r="F166" s="74">
        <v>0.0</v>
      </c>
      <c r="G166" s="67">
        <f t="shared" si="1"/>
        <v>0</v>
      </c>
      <c r="H166" s="87"/>
      <c r="I166" s="91"/>
      <c r="J166" s="87"/>
      <c r="K166" s="45" t="b">
        <v>0</v>
      </c>
      <c r="L166" s="45"/>
      <c r="M166" s="43"/>
      <c r="N166" s="43"/>
      <c r="O166" s="43"/>
      <c r="P166" s="43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</row>
    <row r="167" ht="15.75" customHeight="1">
      <c r="A167" s="87"/>
      <c r="B167" s="88"/>
      <c r="C167" s="64"/>
      <c r="D167" s="5"/>
      <c r="E167" s="29"/>
      <c r="F167" s="74">
        <v>0.0</v>
      </c>
      <c r="G167" s="67">
        <f t="shared" si="1"/>
        <v>0</v>
      </c>
      <c r="H167" s="87"/>
      <c r="I167" s="91"/>
      <c r="J167" s="87"/>
      <c r="K167" s="45" t="b">
        <v>0</v>
      </c>
      <c r="L167" s="45"/>
      <c r="M167" s="43"/>
      <c r="N167" s="43"/>
      <c r="O167" s="43"/>
      <c r="P167" s="43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</row>
    <row r="168" ht="15.75" customHeight="1">
      <c r="A168" s="87"/>
      <c r="B168" s="88"/>
      <c r="C168" s="64"/>
      <c r="D168" s="5"/>
      <c r="E168" s="29"/>
      <c r="F168" s="74">
        <v>0.0</v>
      </c>
      <c r="G168" s="67">
        <f t="shared" si="1"/>
        <v>0</v>
      </c>
      <c r="H168" s="87"/>
      <c r="I168" s="91"/>
      <c r="J168" s="87"/>
      <c r="K168" s="45" t="b">
        <v>0</v>
      </c>
      <c r="L168" s="45"/>
      <c r="M168" s="43"/>
      <c r="N168" s="43"/>
      <c r="O168" s="43"/>
      <c r="P168" s="43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</row>
    <row r="169" ht="15.75" customHeight="1">
      <c r="A169" s="87"/>
      <c r="B169" s="88"/>
      <c r="C169" s="64"/>
      <c r="D169" s="5"/>
      <c r="E169" s="29"/>
      <c r="F169" s="74">
        <v>0.0</v>
      </c>
      <c r="G169" s="67">
        <f t="shared" si="1"/>
        <v>0</v>
      </c>
      <c r="H169" s="87"/>
      <c r="I169" s="91"/>
      <c r="J169" s="87"/>
      <c r="K169" s="45" t="b">
        <v>0</v>
      </c>
      <c r="L169" s="45"/>
      <c r="M169" s="43"/>
      <c r="N169" s="43"/>
      <c r="O169" s="43"/>
      <c r="P169" s="43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</row>
    <row r="170" ht="15.75" customHeight="1">
      <c r="A170" s="87"/>
      <c r="B170" s="88"/>
      <c r="C170" s="64"/>
      <c r="D170" s="5"/>
      <c r="E170" s="29"/>
      <c r="F170" s="74">
        <v>0.0</v>
      </c>
      <c r="G170" s="67">
        <f t="shared" si="1"/>
        <v>0</v>
      </c>
      <c r="H170" s="87"/>
      <c r="I170" s="91"/>
      <c r="J170" s="87"/>
      <c r="K170" s="45" t="b">
        <v>0</v>
      </c>
      <c r="L170" s="45"/>
      <c r="M170" s="43"/>
      <c r="N170" s="43"/>
      <c r="O170" s="43"/>
      <c r="P170" s="43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</row>
    <row r="171" ht="15.75" customHeight="1">
      <c r="A171" s="87"/>
      <c r="B171" s="88"/>
      <c r="C171" s="64"/>
      <c r="D171" s="5"/>
      <c r="E171" s="29"/>
      <c r="F171" s="74">
        <v>0.0</v>
      </c>
      <c r="G171" s="67">
        <f t="shared" si="1"/>
        <v>0</v>
      </c>
      <c r="H171" s="87"/>
      <c r="I171" s="91"/>
      <c r="J171" s="87"/>
      <c r="K171" s="45" t="b">
        <v>0</v>
      </c>
      <c r="L171" s="45"/>
      <c r="M171" s="43"/>
      <c r="N171" s="43"/>
      <c r="O171" s="43"/>
      <c r="P171" s="43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</row>
    <row r="172" ht="15.75" customHeight="1">
      <c r="A172" s="87"/>
      <c r="B172" s="88"/>
      <c r="C172" s="87"/>
      <c r="D172" s="87"/>
      <c r="E172" s="87"/>
      <c r="F172" s="74">
        <v>0.0</v>
      </c>
      <c r="G172" s="67">
        <f t="shared" si="1"/>
        <v>0</v>
      </c>
      <c r="H172" s="87"/>
      <c r="I172" s="91"/>
      <c r="J172" s="87"/>
      <c r="K172" s="45" t="b">
        <v>0</v>
      </c>
      <c r="L172" s="45"/>
      <c r="M172" s="43"/>
      <c r="N172" s="43"/>
      <c r="O172" s="43"/>
      <c r="P172" s="43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</row>
    <row r="173" ht="15.75" customHeight="1">
      <c r="A173" s="87"/>
      <c r="B173" s="88"/>
      <c r="C173" s="87"/>
      <c r="D173" s="87"/>
      <c r="E173" s="87"/>
      <c r="F173" s="74">
        <v>0.0</v>
      </c>
      <c r="G173" s="67">
        <f t="shared" si="1"/>
        <v>0</v>
      </c>
      <c r="H173" s="87"/>
      <c r="I173" s="91"/>
      <c r="J173" s="87"/>
      <c r="K173" s="45" t="b">
        <v>0</v>
      </c>
      <c r="L173" s="45"/>
      <c r="M173" s="43"/>
      <c r="N173" s="43"/>
      <c r="O173" s="43"/>
      <c r="P173" s="43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</row>
    <row r="174" ht="15.75" customHeight="1">
      <c r="A174" s="87"/>
      <c r="B174" s="88"/>
      <c r="C174" s="87"/>
      <c r="D174" s="87"/>
      <c r="E174" s="87"/>
      <c r="F174" s="74">
        <v>0.0</v>
      </c>
      <c r="G174" s="67">
        <f t="shared" si="1"/>
        <v>0</v>
      </c>
      <c r="H174" s="87"/>
      <c r="I174" s="91"/>
      <c r="J174" s="87"/>
      <c r="K174" s="45" t="b">
        <v>0</v>
      </c>
      <c r="L174" s="45"/>
      <c r="M174" s="43"/>
      <c r="N174" s="43"/>
      <c r="O174" s="43"/>
      <c r="P174" s="43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</row>
    <row r="175" ht="15.75" customHeight="1">
      <c r="A175" s="87"/>
      <c r="B175" s="88"/>
      <c r="C175" s="87"/>
      <c r="D175" s="87"/>
      <c r="E175" s="87"/>
      <c r="F175" s="74">
        <v>0.0</v>
      </c>
      <c r="G175" s="67">
        <f t="shared" si="1"/>
        <v>0</v>
      </c>
      <c r="H175" s="87"/>
      <c r="I175" s="91"/>
      <c r="J175" s="87"/>
      <c r="K175" s="45" t="b">
        <v>0</v>
      </c>
      <c r="L175" s="45"/>
      <c r="M175" s="43"/>
      <c r="N175" s="43"/>
      <c r="O175" s="43"/>
      <c r="P175" s="43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</row>
    <row r="176" ht="15.75" customHeight="1">
      <c r="A176" s="87"/>
      <c r="B176" s="88"/>
      <c r="C176" s="87"/>
      <c r="D176" s="87"/>
      <c r="E176" s="87"/>
      <c r="F176" s="74">
        <v>0.0</v>
      </c>
      <c r="G176" s="67">
        <f t="shared" si="1"/>
        <v>0</v>
      </c>
      <c r="H176" s="87"/>
      <c r="I176" s="91"/>
      <c r="J176" s="87"/>
      <c r="K176" s="45" t="b">
        <v>0</v>
      </c>
      <c r="L176" s="45"/>
      <c r="M176" s="43"/>
      <c r="N176" s="43"/>
      <c r="O176" s="43"/>
      <c r="P176" s="43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</row>
    <row r="177" ht="15.75" customHeight="1">
      <c r="A177" s="87"/>
      <c r="B177" s="88"/>
      <c r="C177" s="87"/>
      <c r="D177" s="87"/>
      <c r="E177" s="87"/>
      <c r="F177" s="74">
        <v>0.0</v>
      </c>
      <c r="G177" s="67">
        <f t="shared" si="1"/>
        <v>0</v>
      </c>
      <c r="H177" s="87"/>
      <c r="I177" s="91"/>
      <c r="J177" s="87"/>
      <c r="K177" s="45" t="b">
        <v>0</v>
      </c>
      <c r="L177" s="45"/>
      <c r="M177" s="43"/>
      <c r="N177" s="43"/>
      <c r="O177" s="43"/>
      <c r="P177" s="43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</row>
    <row r="178" ht="15.75" customHeight="1">
      <c r="A178" s="87"/>
      <c r="B178" s="88"/>
      <c r="C178" s="87"/>
      <c r="D178" s="87"/>
      <c r="E178" s="87"/>
      <c r="F178" s="74">
        <v>0.0</v>
      </c>
      <c r="G178" s="67">
        <f t="shared" si="1"/>
        <v>0</v>
      </c>
      <c r="H178" s="87"/>
      <c r="I178" s="91"/>
      <c r="J178" s="87"/>
      <c r="K178" s="45" t="b">
        <v>0</v>
      </c>
      <c r="L178" s="45"/>
      <c r="M178" s="43"/>
      <c r="N178" s="43"/>
      <c r="O178" s="43"/>
      <c r="P178" s="43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</row>
    <row r="179" ht="15.75" customHeight="1">
      <c r="A179" s="87"/>
      <c r="B179" s="88"/>
      <c r="C179" s="87"/>
      <c r="D179" s="87"/>
      <c r="E179" s="87"/>
      <c r="F179" s="92"/>
      <c r="G179" s="92"/>
      <c r="H179" s="87"/>
      <c r="I179" s="91"/>
      <c r="J179" s="87"/>
      <c r="K179" s="45" t="b">
        <v>0</v>
      </c>
      <c r="L179" s="45"/>
      <c r="M179" s="43"/>
      <c r="N179" s="43"/>
      <c r="O179" s="43"/>
      <c r="P179" s="43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</row>
    <row r="180" ht="15.75" customHeight="1">
      <c r="A180" s="87"/>
      <c r="B180" s="88"/>
      <c r="C180" s="87"/>
      <c r="D180" s="87"/>
      <c r="E180" s="87"/>
      <c r="F180" s="92"/>
      <c r="G180" s="92"/>
      <c r="H180" s="87"/>
      <c r="I180" s="91"/>
      <c r="J180" s="87"/>
      <c r="K180" s="45" t="b">
        <v>0</v>
      </c>
      <c r="L180" s="45"/>
      <c r="M180" s="43"/>
      <c r="N180" s="43"/>
      <c r="O180" s="43"/>
      <c r="P180" s="43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</row>
    <row r="181" ht="15.75" customHeight="1">
      <c r="A181" s="87"/>
      <c r="B181" s="88"/>
      <c r="C181" s="87"/>
      <c r="D181" s="87"/>
      <c r="E181" s="87"/>
      <c r="F181" s="92"/>
      <c r="G181" s="92"/>
      <c r="H181" s="87"/>
      <c r="I181" s="91"/>
      <c r="J181" s="87"/>
      <c r="K181" s="45" t="b">
        <v>0</v>
      </c>
      <c r="L181" s="45"/>
      <c r="M181" s="43"/>
      <c r="N181" s="43"/>
      <c r="O181" s="43"/>
      <c r="P181" s="43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</row>
    <row r="182" ht="15.75" customHeight="1">
      <c r="A182" s="87"/>
      <c r="B182" s="88"/>
      <c r="C182" s="87"/>
      <c r="D182" s="87"/>
      <c r="E182" s="87"/>
      <c r="F182" s="92"/>
      <c r="G182" s="92"/>
      <c r="H182" s="87"/>
      <c r="I182" s="91"/>
      <c r="J182" s="87"/>
      <c r="K182" s="45" t="b">
        <v>0</v>
      </c>
      <c r="L182" s="45"/>
      <c r="M182" s="43"/>
      <c r="N182" s="43"/>
      <c r="O182" s="43"/>
      <c r="P182" s="43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</row>
    <row r="183" ht="15.75" customHeight="1">
      <c r="A183" s="87"/>
      <c r="B183" s="88"/>
      <c r="C183" s="87"/>
      <c r="D183" s="87"/>
      <c r="E183" s="87"/>
      <c r="F183" s="92"/>
      <c r="G183" s="92"/>
      <c r="H183" s="87"/>
      <c r="I183" s="91"/>
      <c r="J183" s="87"/>
      <c r="K183" s="45" t="b">
        <v>0</v>
      </c>
      <c r="L183" s="45"/>
      <c r="M183" s="43"/>
      <c r="N183" s="43"/>
      <c r="O183" s="43"/>
      <c r="P183" s="43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</row>
    <row r="184" ht="15.75" customHeight="1">
      <c r="A184" s="87"/>
      <c r="B184" s="88"/>
      <c r="C184" s="87"/>
      <c r="D184" s="87"/>
      <c r="E184" s="87"/>
      <c r="F184" s="92"/>
      <c r="G184" s="92"/>
      <c r="H184" s="87"/>
      <c r="I184" s="91"/>
      <c r="J184" s="87"/>
      <c r="K184" s="45" t="b">
        <v>0</v>
      </c>
      <c r="L184" s="45"/>
      <c r="M184" s="43"/>
      <c r="N184" s="43"/>
      <c r="O184" s="43"/>
      <c r="P184" s="43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</row>
    <row r="185" ht="15.75" customHeight="1">
      <c r="A185" s="87"/>
      <c r="B185" s="88"/>
      <c r="C185" s="87"/>
      <c r="D185" s="87"/>
      <c r="E185" s="87"/>
      <c r="F185" s="92"/>
      <c r="G185" s="92"/>
      <c r="H185" s="87"/>
      <c r="I185" s="91"/>
      <c r="J185" s="87"/>
      <c r="K185" s="45" t="b">
        <v>0</v>
      </c>
      <c r="L185" s="45"/>
      <c r="M185" s="43"/>
      <c r="N185" s="43"/>
      <c r="O185" s="43"/>
      <c r="P185" s="43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</row>
    <row r="186" ht="15.75" customHeight="1">
      <c r="A186" s="87"/>
      <c r="B186" s="88"/>
      <c r="C186" s="87"/>
      <c r="D186" s="87"/>
      <c r="E186" s="87"/>
      <c r="F186" s="92"/>
      <c r="G186" s="92"/>
      <c r="H186" s="87"/>
      <c r="I186" s="91"/>
      <c r="J186" s="87"/>
      <c r="K186" s="45" t="b">
        <v>0</v>
      </c>
      <c r="L186" s="45"/>
      <c r="M186" s="43"/>
      <c r="N186" s="43"/>
      <c r="O186" s="43"/>
      <c r="P186" s="43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</row>
    <row r="187" ht="15.75" customHeight="1">
      <c r="A187" s="87"/>
      <c r="B187" s="88"/>
      <c r="C187" s="87"/>
      <c r="D187" s="87"/>
      <c r="E187" s="87"/>
      <c r="F187" s="92"/>
      <c r="G187" s="92"/>
      <c r="H187" s="87"/>
      <c r="I187" s="91"/>
      <c r="J187" s="87"/>
      <c r="K187" s="45" t="b">
        <v>0</v>
      </c>
      <c r="L187" s="45"/>
      <c r="M187" s="43"/>
      <c r="N187" s="43"/>
      <c r="O187" s="43"/>
      <c r="P187" s="43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</row>
    <row r="188" ht="15.75" customHeight="1">
      <c r="A188" s="87"/>
      <c r="B188" s="88"/>
      <c r="C188" s="87"/>
      <c r="D188" s="87"/>
      <c r="E188" s="87"/>
      <c r="F188" s="92"/>
      <c r="G188" s="92"/>
      <c r="H188" s="87"/>
      <c r="I188" s="91"/>
      <c r="J188" s="87"/>
      <c r="K188" s="45" t="b">
        <v>0</v>
      </c>
      <c r="L188" s="45"/>
      <c r="M188" s="43"/>
      <c r="N188" s="43"/>
      <c r="O188" s="43"/>
      <c r="P188" s="43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</row>
    <row r="189" ht="15.75" customHeight="1">
      <c r="A189" s="87"/>
      <c r="B189" s="88"/>
      <c r="C189" s="87"/>
      <c r="D189" s="87"/>
      <c r="E189" s="87"/>
      <c r="F189" s="92"/>
      <c r="G189" s="92"/>
      <c r="H189" s="87"/>
      <c r="I189" s="91"/>
      <c r="J189" s="87"/>
      <c r="K189" s="45" t="b">
        <v>0</v>
      </c>
      <c r="L189" s="45"/>
      <c r="M189" s="43"/>
      <c r="N189" s="43"/>
      <c r="O189" s="43"/>
      <c r="P189" s="43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</row>
    <row r="190" ht="15.75" customHeight="1">
      <c r="A190" s="87"/>
      <c r="B190" s="88"/>
      <c r="C190" s="87"/>
      <c r="D190" s="87"/>
      <c r="E190" s="87"/>
      <c r="F190" s="92"/>
      <c r="G190" s="92"/>
      <c r="H190" s="87"/>
      <c r="I190" s="91"/>
      <c r="J190" s="87"/>
      <c r="K190" s="45" t="b">
        <v>0</v>
      </c>
      <c r="L190" s="45"/>
      <c r="M190" s="43"/>
      <c r="N190" s="43"/>
      <c r="O190" s="43"/>
      <c r="P190" s="43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</row>
    <row r="191" ht="15.75" customHeight="1">
      <c r="A191" s="87"/>
      <c r="B191" s="88"/>
      <c r="C191" s="87"/>
      <c r="D191" s="87"/>
      <c r="E191" s="87"/>
      <c r="F191" s="92"/>
      <c r="G191" s="92"/>
      <c r="H191" s="87"/>
      <c r="I191" s="91"/>
      <c r="J191" s="87"/>
      <c r="K191" s="45" t="b">
        <v>0</v>
      </c>
      <c r="L191" s="45"/>
      <c r="M191" s="43"/>
      <c r="N191" s="43"/>
      <c r="O191" s="43"/>
      <c r="P191" s="43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</row>
    <row r="192" ht="15.75" customHeight="1">
      <c r="A192" s="87"/>
      <c r="B192" s="88"/>
      <c r="C192" s="87"/>
      <c r="D192" s="87"/>
      <c r="E192" s="87"/>
      <c r="F192" s="92"/>
      <c r="G192" s="92"/>
      <c r="H192" s="87"/>
      <c r="I192" s="91"/>
      <c r="J192" s="87"/>
      <c r="K192" s="45" t="b">
        <v>0</v>
      </c>
      <c r="L192" s="45"/>
      <c r="M192" s="43"/>
      <c r="N192" s="43"/>
      <c r="O192" s="43"/>
      <c r="P192" s="43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</row>
    <row r="193" ht="15.75" customHeight="1">
      <c r="A193" s="87"/>
      <c r="B193" s="88"/>
      <c r="C193" s="87"/>
      <c r="D193" s="87"/>
      <c r="E193" s="87"/>
      <c r="F193" s="92"/>
      <c r="G193" s="92"/>
      <c r="H193" s="87"/>
      <c r="I193" s="91"/>
      <c r="J193" s="87"/>
      <c r="K193" s="45" t="b">
        <v>0</v>
      </c>
      <c r="L193" s="45"/>
      <c r="M193" s="43"/>
      <c r="N193" s="43"/>
      <c r="O193" s="43"/>
      <c r="P193" s="43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</row>
    <row r="194" ht="15.75" customHeight="1">
      <c r="A194" s="87"/>
      <c r="B194" s="88"/>
      <c r="C194" s="87"/>
      <c r="D194" s="87"/>
      <c r="E194" s="87"/>
      <c r="F194" s="92"/>
      <c r="G194" s="92"/>
      <c r="H194" s="87"/>
      <c r="I194" s="91"/>
      <c r="J194" s="87"/>
      <c r="K194" s="45" t="b">
        <v>0</v>
      </c>
      <c r="L194" s="45"/>
      <c r="M194" s="43"/>
      <c r="N194" s="43"/>
      <c r="O194" s="43"/>
      <c r="P194" s="43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</row>
    <row r="195" ht="15.75" customHeight="1">
      <c r="A195" s="87"/>
      <c r="B195" s="88"/>
      <c r="C195" s="87"/>
      <c r="D195" s="87"/>
      <c r="E195" s="87"/>
      <c r="F195" s="92"/>
      <c r="G195" s="92"/>
      <c r="H195" s="87"/>
      <c r="I195" s="91"/>
      <c r="J195" s="87"/>
      <c r="K195" s="45" t="b">
        <v>0</v>
      </c>
      <c r="L195" s="45"/>
      <c r="M195" s="43"/>
      <c r="N195" s="43"/>
      <c r="O195" s="43"/>
      <c r="P195" s="43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</row>
    <row r="196" ht="15.75" customHeight="1">
      <c r="A196" s="87"/>
      <c r="B196" s="88"/>
      <c r="C196" s="87"/>
      <c r="D196" s="87"/>
      <c r="E196" s="87"/>
      <c r="F196" s="92"/>
      <c r="G196" s="92"/>
      <c r="H196" s="87"/>
      <c r="I196" s="91"/>
      <c r="J196" s="87"/>
      <c r="K196" s="45" t="b">
        <v>0</v>
      </c>
      <c r="L196" s="45"/>
      <c r="M196" s="43"/>
      <c r="N196" s="43"/>
      <c r="O196" s="43"/>
      <c r="P196" s="43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</row>
    <row r="197" ht="15.75" customHeight="1">
      <c r="A197" s="87"/>
      <c r="B197" s="88"/>
      <c r="C197" s="87"/>
      <c r="D197" s="87"/>
      <c r="E197" s="87"/>
      <c r="F197" s="92"/>
      <c r="G197" s="92"/>
      <c r="H197" s="87"/>
      <c r="I197" s="91"/>
      <c r="J197" s="87"/>
      <c r="K197" s="45" t="b">
        <v>0</v>
      </c>
      <c r="L197" s="45"/>
      <c r="M197" s="43"/>
      <c r="N197" s="43"/>
      <c r="O197" s="43"/>
      <c r="P197" s="43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</row>
    <row r="198" ht="15.75" customHeight="1">
      <c r="A198" s="87"/>
      <c r="B198" s="88"/>
      <c r="C198" s="87"/>
      <c r="D198" s="87"/>
      <c r="E198" s="87"/>
      <c r="F198" s="92"/>
      <c r="G198" s="92"/>
      <c r="H198" s="87"/>
      <c r="I198" s="91"/>
      <c r="J198" s="87"/>
      <c r="K198" s="45" t="b">
        <v>0</v>
      </c>
      <c r="L198" s="45"/>
      <c r="M198" s="43"/>
      <c r="N198" s="43"/>
      <c r="O198" s="43"/>
      <c r="P198" s="43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</row>
    <row r="199" ht="15.75" customHeight="1">
      <c r="A199" s="87"/>
      <c r="B199" s="88"/>
      <c r="C199" s="87"/>
      <c r="D199" s="87"/>
      <c r="E199" s="87"/>
      <c r="F199" s="92"/>
      <c r="G199" s="92"/>
      <c r="H199" s="87"/>
      <c r="I199" s="91"/>
      <c r="J199" s="87"/>
      <c r="K199" s="45" t="b">
        <v>0</v>
      </c>
      <c r="L199" s="45"/>
      <c r="M199" s="43"/>
      <c r="N199" s="43"/>
      <c r="O199" s="43"/>
      <c r="P199" s="43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</row>
    <row r="200" ht="15.75" customHeight="1">
      <c r="A200" s="87"/>
      <c r="B200" s="88"/>
      <c r="C200" s="87"/>
      <c r="D200" s="87"/>
      <c r="E200" s="87"/>
      <c r="F200" s="92"/>
      <c r="G200" s="92"/>
      <c r="H200" s="87"/>
      <c r="I200" s="91"/>
      <c r="J200" s="87"/>
      <c r="K200" s="45" t="b">
        <v>0</v>
      </c>
      <c r="L200" s="45"/>
      <c r="M200" s="43"/>
      <c r="N200" s="43"/>
      <c r="O200" s="43"/>
      <c r="P200" s="43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</row>
    <row r="201" ht="15.75" customHeight="1">
      <c r="A201" s="87"/>
      <c r="B201" s="88"/>
      <c r="C201" s="87"/>
      <c r="D201" s="87"/>
      <c r="E201" s="87"/>
      <c r="F201" s="92"/>
      <c r="G201" s="92"/>
      <c r="H201" s="87"/>
      <c r="I201" s="91"/>
      <c r="J201" s="87"/>
      <c r="K201" s="45" t="b">
        <v>0</v>
      </c>
      <c r="L201" s="45"/>
      <c r="M201" s="43"/>
      <c r="N201" s="43"/>
      <c r="O201" s="43"/>
      <c r="P201" s="43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</row>
    <row r="202" ht="15.75" customHeight="1">
      <c r="A202" s="87"/>
      <c r="B202" s="88"/>
      <c r="C202" s="87"/>
      <c r="D202" s="87"/>
      <c r="E202" s="87"/>
      <c r="F202" s="92"/>
      <c r="G202" s="92"/>
      <c r="H202" s="87"/>
      <c r="I202" s="91"/>
      <c r="J202" s="87"/>
      <c r="K202" s="45" t="b">
        <v>0</v>
      </c>
      <c r="L202" s="45"/>
      <c r="M202" s="43"/>
      <c r="N202" s="43"/>
      <c r="O202" s="43"/>
      <c r="P202" s="43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</row>
    <row r="203" ht="15.75" customHeight="1">
      <c r="A203" s="87"/>
      <c r="B203" s="88"/>
      <c r="C203" s="87"/>
      <c r="D203" s="87"/>
      <c r="E203" s="87"/>
      <c r="F203" s="92"/>
      <c r="G203" s="92"/>
      <c r="H203" s="87"/>
      <c r="I203" s="91"/>
      <c r="J203" s="87"/>
      <c r="K203" s="45" t="b">
        <v>0</v>
      </c>
      <c r="L203" s="45"/>
      <c r="M203" s="43"/>
      <c r="N203" s="43"/>
      <c r="O203" s="43"/>
      <c r="P203" s="43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</row>
    <row r="204" ht="15.75" customHeight="1">
      <c r="A204" s="87"/>
      <c r="B204" s="88"/>
      <c r="C204" s="87"/>
      <c r="D204" s="87"/>
      <c r="E204" s="87"/>
      <c r="F204" s="92"/>
      <c r="G204" s="92"/>
      <c r="H204" s="87"/>
      <c r="I204" s="91"/>
      <c r="J204" s="87"/>
      <c r="K204" s="45" t="b">
        <v>0</v>
      </c>
      <c r="L204" s="45"/>
      <c r="M204" s="43"/>
      <c r="N204" s="43"/>
      <c r="O204" s="43"/>
      <c r="P204" s="43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</row>
    <row r="205" ht="15.75" customHeight="1">
      <c r="A205" s="87"/>
      <c r="B205" s="88"/>
      <c r="C205" s="87"/>
      <c r="D205" s="87"/>
      <c r="E205" s="87"/>
      <c r="F205" s="92"/>
      <c r="G205" s="92"/>
      <c r="H205" s="87"/>
      <c r="I205" s="91"/>
      <c r="J205" s="87"/>
      <c r="K205" s="45" t="b">
        <v>0</v>
      </c>
      <c r="L205" s="45"/>
      <c r="M205" s="43"/>
      <c r="N205" s="43"/>
      <c r="O205" s="43"/>
      <c r="P205" s="43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</row>
    <row r="206" ht="15.75" customHeight="1">
      <c r="A206" s="87"/>
      <c r="B206" s="88"/>
      <c r="C206" s="87"/>
      <c r="D206" s="87"/>
      <c r="E206" s="87"/>
      <c r="F206" s="92"/>
      <c r="G206" s="92"/>
      <c r="H206" s="87"/>
      <c r="I206" s="91"/>
      <c r="J206" s="87"/>
      <c r="K206" s="45" t="b">
        <v>0</v>
      </c>
      <c r="L206" s="45"/>
      <c r="M206" s="43"/>
      <c r="N206" s="43"/>
      <c r="O206" s="43"/>
      <c r="P206" s="43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</row>
    <row r="207" ht="15.75" customHeight="1">
      <c r="A207" s="87"/>
      <c r="B207" s="88"/>
      <c r="C207" s="87"/>
      <c r="D207" s="87"/>
      <c r="E207" s="87"/>
      <c r="F207" s="92"/>
      <c r="G207" s="92"/>
      <c r="H207" s="87"/>
      <c r="I207" s="91"/>
      <c r="J207" s="87"/>
      <c r="K207" s="45" t="b">
        <v>0</v>
      </c>
      <c r="L207" s="45"/>
      <c r="M207" s="43"/>
      <c r="N207" s="43"/>
      <c r="O207" s="43"/>
      <c r="P207" s="43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</row>
    <row r="208" ht="15.75" customHeight="1">
      <c r="A208" s="87"/>
      <c r="B208" s="88"/>
      <c r="C208" s="87"/>
      <c r="D208" s="87"/>
      <c r="E208" s="87"/>
      <c r="F208" s="92"/>
      <c r="G208" s="92"/>
      <c r="H208" s="87"/>
      <c r="I208" s="91"/>
      <c r="J208" s="87"/>
      <c r="K208" s="45" t="b">
        <v>0</v>
      </c>
      <c r="L208" s="45"/>
      <c r="M208" s="43"/>
      <c r="N208" s="43"/>
      <c r="O208" s="43"/>
      <c r="P208" s="43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</row>
    <row r="209" ht="15.75" customHeight="1">
      <c r="A209" s="87"/>
      <c r="B209" s="88"/>
      <c r="C209" s="87"/>
      <c r="D209" s="87"/>
      <c r="E209" s="87"/>
      <c r="F209" s="92"/>
      <c r="G209" s="92"/>
      <c r="H209" s="87"/>
      <c r="I209" s="91"/>
      <c r="J209" s="87"/>
      <c r="K209" s="45" t="b">
        <v>0</v>
      </c>
      <c r="L209" s="45"/>
      <c r="M209" s="43"/>
      <c r="N209" s="43"/>
      <c r="O209" s="43"/>
      <c r="P209" s="43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</row>
    <row r="210" ht="15.75" customHeight="1">
      <c r="A210" s="87"/>
      <c r="B210" s="88"/>
      <c r="C210" s="87"/>
      <c r="D210" s="87"/>
      <c r="E210" s="87"/>
      <c r="F210" s="92"/>
      <c r="G210" s="92"/>
      <c r="H210" s="87"/>
      <c r="I210" s="91"/>
      <c r="J210" s="87"/>
      <c r="K210" s="45" t="b">
        <v>0</v>
      </c>
      <c r="L210" s="45"/>
      <c r="M210" s="43"/>
      <c r="N210" s="43"/>
      <c r="O210" s="43"/>
      <c r="P210" s="43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</row>
    <row r="211" ht="15.75" customHeight="1">
      <c r="A211" s="87"/>
      <c r="B211" s="88"/>
      <c r="C211" s="87"/>
      <c r="D211" s="87"/>
      <c r="E211" s="87"/>
      <c r="F211" s="92"/>
      <c r="G211" s="92"/>
      <c r="H211" s="87"/>
      <c r="I211" s="91"/>
      <c r="J211" s="87"/>
      <c r="K211" s="45" t="b">
        <v>0</v>
      </c>
      <c r="L211" s="45"/>
      <c r="M211" s="43"/>
      <c r="N211" s="43"/>
      <c r="O211" s="43"/>
      <c r="P211" s="43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</row>
    <row r="212" ht="15.75" customHeight="1">
      <c r="A212" s="87"/>
      <c r="B212" s="88"/>
      <c r="C212" s="87"/>
      <c r="D212" s="87"/>
      <c r="E212" s="87"/>
      <c r="F212" s="92"/>
      <c r="G212" s="92"/>
      <c r="H212" s="87"/>
      <c r="I212" s="91"/>
      <c r="J212" s="87"/>
      <c r="K212" s="45" t="b">
        <v>0</v>
      </c>
      <c r="L212" s="45"/>
      <c r="M212" s="43"/>
      <c r="N212" s="43"/>
      <c r="O212" s="43"/>
      <c r="P212" s="43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</row>
    <row r="213" ht="15.75" customHeight="1">
      <c r="A213" s="87"/>
      <c r="B213" s="88"/>
      <c r="C213" s="87"/>
      <c r="D213" s="87"/>
      <c r="E213" s="87"/>
      <c r="F213" s="92"/>
      <c r="G213" s="92"/>
      <c r="H213" s="87"/>
      <c r="I213" s="91"/>
      <c r="J213" s="87"/>
      <c r="K213" s="45" t="b">
        <v>0</v>
      </c>
      <c r="L213" s="45"/>
      <c r="M213" s="43"/>
      <c r="N213" s="43"/>
      <c r="O213" s="43"/>
      <c r="P213" s="43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</row>
    <row r="214" ht="15.75" customHeight="1">
      <c r="A214" s="87"/>
      <c r="B214" s="88"/>
      <c r="C214" s="87"/>
      <c r="D214" s="87"/>
      <c r="E214" s="87"/>
      <c r="F214" s="92"/>
      <c r="G214" s="92"/>
      <c r="H214" s="87"/>
      <c r="I214" s="91"/>
      <c r="J214" s="87"/>
      <c r="K214" s="45" t="b">
        <v>0</v>
      </c>
      <c r="L214" s="45"/>
      <c r="M214" s="43"/>
      <c r="N214" s="43"/>
      <c r="O214" s="43"/>
      <c r="P214" s="43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</row>
    <row r="215" ht="15.75" customHeight="1">
      <c r="A215" s="87"/>
      <c r="B215" s="88"/>
      <c r="C215" s="87"/>
      <c r="D215" s="87"/>
      <c r="E215" s="87"/>
      <c r="F215" s="92"/>
      <c r="G215" s="92"/>
      <c r="H215" s="87"/>
      <c r="I215" s="91"/>
      <c r="J215" s="87"/>
      <c r="K215" s="45" t="b">
        <v>0</v>
      </c>
      <c r="L215" s="45"/>
      <c r="M215" s="43"/>
      <c r="N215" s="43"/>
      <c r="O215" s="43"/>
      <c r="P215" s="43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</row>
    <row r="216" ht="15.75" customHeight="1">
      <c r="A216" s="87"/>
      <c r="B216" s="88"/>
      <c r="C216" s="87"/>
      <c r="D216" s="87"/>
      <c r="E216" s="87"/>
      <c r="F216" s="92"/>
      <c r="G216" s="92"/>
      <c r="H216" s="87"/>
      <c r="I216" s="91"/>
      <c r="J216" s="87"/>
      <c r="K216" s="45" t="b">
        <v>0</v>
      </c>
      <c r="L216" s="45"/>
      <c r="M216" s="43"/>
      <c r="N216" s="43"/>
      <c r="O216" s="43"/>
      <c r="P216" s="43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</row>
    <row r="217" ht="15.75" customHeight="1">
      <c r="A217" s="87"/>
      <c r="B217" s="88"/>
      <c r="C217" s="87"/>
      <c r="D217" s="87"/>
      <c r="E217" s="87"/>
      <c r="F217" s="92"/>
      <c r="G217" s="92"/>
      <c r="H217" s="87"/>
      <c r="I217" s="91"/>
      <c r="J217" s="87"/>
      <c r="K217" s="45" t="b">
        <v>0</v>
      </c>
      <c r="L217" s="45"/>
      <c r="M217" s="43"/>
      <c r="N217" s="43"/>
      <c r="O217" s="43"/>
      <c r="P217" s="43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</row>
    <row r="218" ht="15.75" customHeight="1">
      <c r="A218" s="87"/>
      <c r="B218" s="88"/>
      <c r="C218" s="87"/>
      <c r="D218" s="87"/>
      <c r="E218" s="87"/>
      <c r="F218" s="92"/>
      <c r="G218" s="92"/>
      <c r="H218" s="87"/>
      <c r="I218" s="91"/>
      <c r="J218" s="87"/>
      <c r="K218" s="45" t="b">
        <v>0</v>
      </c>
      <c r="L218" s="45"/>
      <c r="M218" s="43"/>
      <c r="N218" s="43"/>
      <c r="O218" s="43"/>
      <c r="P218" s="43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</row>
    <row r="219" ht="15.75" customHeight="1">
      <c r="A219" s="87"/>
      <c r="B219" s="88"/>
      <c r="C219" s="87"/>
      <c r="D219" s="87"/>
      <c r="E219" s="87"/>
      <c r="F219" s="92"/>
      <c r="G219" s="92"/>
      <c r="H219" s="87"/>
      <c r="I219" s="91"/>
      <c r="J219" s="87"/>
      <c r="K219" s="45" t="b">
        <v>0</v>
      </c>
      <c r="L219" s="45"/>
      <c r="M219" s="43"/>
      <c r="N219" s="43"/>
      <c r="O219" s="43"/>
      <c r="P219" s="43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</row>
    <row r="220" ht="15.75" customHeight="1">
      <c r="A220" s="87"/>
      <c r="B220" s="88"/>
      <c r="C220" s="87"/>
      <c r="D220" s="87"/>
      <c r="E220" s="87"/>
      <c r="F220" s="92"/>
      <c r="G220" s="92"/>
      <c r="H220" s="87"/>
      <c r="I220" s="91"/>
      <c r="J220" s="87"/>
      <c r="K220" s="45" t="b">
        <v>0</v>
      </c>
      <c r="L220" s="45"/>
      <c r="M220" s="43"/>
      <c r="N220" s="43"/>
      <c r="O220" s="43"/>
      <c r="P220" s="43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</row>
    <row r="221" ht="15.75" customHeight="1">
      <c r="A221" s="87"/>
      <c r="B221" s="88"/>
      <c r="C221" s="87"/>
      <c r="D221" s="87"/>
      <c r="E221" s="87"/>
      <c r="F221" s="92"/>
      <c r="G221" s="92"/>
      <c r="H221" s="87"/>
      <c r="I221" s="91"/>
      <c r="J221" s="87"/>
      <c r="K221" s="45" t="b">
        <v>0</v>
      </c>
      <c r="L221" s="45"/>
      <c r="M221" s="43"/>
      <c r="N221" s="43"/>
      <c r="O221" s="43"/>
      <c r="P221" s="43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</row>
    <row r="222" ht="15.75" customHeight="1">
      <c r="A222" s="87"/>
      <c r="B222" s="88"/>
      <c r="C222" s="87"/>
      <c r="D222" s="87"/>
      <c r="E222" s="87"/>
      <c r="F222" s="92"/>
      <c r="G222" s="92"/>
      <c r="H222" s="87"/>
      <c r="I222" s="91"/>
      <c r="J222" s="87"/>
      <c r="K222" s="45" t="b">
        <v>0</v>
      </c>
      <c r="L222" s="45"/>
      <c r="M222" s="43"/>
      <c r="N222" s="43"/>
      <c r="O222" s="43"/>
      <c r="P222" s="43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</row>
    <row r="223" ht="15.75" customHeight="1">
      <c r="A223" s="87"/>
      <c r="B223" s="88"/>
      <c r="C223" s="87"/>
      <c r="D223" s="87"/>
      <c r="E223" s="87"/>
      <c r="F223" s="92"/>
      <c r="G223" s="92"/>
      <c r="H223" s="87"/>
      <c r="I223" s="91"/>
      <c r="J223" s="87"/>
      <c r="K223" s="45" t="b">
        <v>0</v>
      </c>
      <c r="L223" s="45"/>
      <c r="M223" s="43"/>
      <c r="N223" s="43"/>
      <c r="O223" s="43"/>
      <c r="P223" s="43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</row>
    <row r="224" ht="15.75" customHeight="1">
      <c r="A224" s="87"/>
      <c r="B224" s="88"/>
      <c r="C224" s="87"/>
      <c r="D224" s="87"/>
      <c r="E224" s="87"/>
      <c r="F224" s="92"/>
      <c r="G224" s="92"/>
      <c r="H224" s="87"/>
      <c r="I224" s="91"/>
      <c r="J224" s="87"/>
      <c r="K224" s="45" t="b">
        <v>0</v>
      </c>
      <c r="L224" s="45"/>
      <c r="M224" s="43"/>
      <c r="N224" s="43"/>
      <c r="O224" s="43"/>
      <c r="P224" s="43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</row>
    <row r="225" ht="15.75" customHeight="1">
      <c r="A225" s="87"/>
      <c r="B225" s="88"/>
      <c r="C225" s="87"/>
      <c r="D225" s="87"/>
      <c r="E225" s="87"/>
      <c r="F225" s="92"/>
      <c r="G225" s="92"/>
      <c r="H225" s="87"/>
      <c r="I225" s="91"/>
      <c r="J225" s="87"/>
      <c r="K225" s="45" t="b">
        <v>0</v>
      </c>
      <c r="L225" s="45"/>
      <c r="M225" s="43"/>
      <c r="N225" s="43"/>
      <c r="O225" s="43"/>
      <c r="P225" s="43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</row>
    <row r="226" ht="15.75" customHeight="1">
      <c r="A226" s="87"/>
      <c r="B226" s="88"/>
      <c r="C226" s="87"/>
      <c r="D226" s="87"/>
      <c r="E226" s="87"/>
      <c r="F226" s="92"/>
      <c r="G226" s="92"/>
      <c r="H226" s="87"/>
      <c r="I226" s="91"/>
      <c r="J226" s="87"/>
      <c r="K226" s="45" t="b">
        <v>0</v>
      </c>
      <c r="L226" s="45"/>
      <c r="M226" s="43"/>
      <c r="N226" s="43"/>
      <c r="O226" s="43"/>
      <c r="P226" s="43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</row>
    <row r="227" ht="15.75" customHeight="1">
      <c r="A227" s="87"/>
      <c r="B227" s="88"/>
      <c r="C227" s="87"/>
      <c r="D227" s="87"/>
      <c r="E227" s="87"/>
      <c r="F227" s="92"/>
      <c r="G227" s="92"/>
      <c r="H227" s="87"/>
      <c r="I227" s="91"/>
      <c r="J227" s="87"/>
      <c r="K227" s="45" t="b">
        <v>0</v>
      </c>
      <c r="L227" s="45"/>
      <c r="M227" s="43"/>
      <c r="N227" s="43"/>
      <c r="O227" s="43"/>
      <c r="P227" s="43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</row>
    <row r="228" ht="15.75" customHeight="1">
      <c r="A228" s="87"/>
      <c r="B228" s="88"/>
      <c r="C228" s="87"/>
      <c r="D228" s="87"/>
      <c r="E228" s="87"/>
      <c r="F228" s="92"/>
      <c r="G228" s="92"/>
      <c r="H228" s="87"/>
      <c r="I228" s="91"/>
      <c r="J228" s="87"/>
      <c r="K228" s="45" t="b">
        <v>0</v>
      </c>
      <c r="L228" s="45"/>
      <c r="M228" s="43"/>
      <c r="N228" s="43"/>
      <c r="O228" s="43"/>
      <c r="P228" s="43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</row>
    <row r="229" ht="15.75" customHeight="1">
      <c r="A229" s="87"/>
      <c r="B229" s="88"/>
      <c r="C229" s="87"/>
      <c r="D229" s="87"/>
      <c r="E229" s="87"/>
      <c r="F229" s="92"/>
      <c r="G229" s="92"/>
      <c r="H229" s="87"/>
      <c r="I229" s="91"/>
      <c r="J229" s="87"/>
      <c r="K229" s="45" t="b">
        <v>0</v>
      </c>
      <c r="L229" s="45"/>
      <c r="M229" s="43"/>
      <c r="N229" s="43"/>
      <c r="O229" s="43"/>
      <c r="P229" s="43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</row>
    <row r="230" ht="15.75" customHeight="1">
      <c r="A230" s="87"/>
      <c r="B230" s="88"/>
      <c r="C230" s="87"/>
      <c r="D230" s="87"/>
      <c r="E230" s="87"/>
      <c r="F230" s="92"/>
      <c r="G230" s="92"/>
      <c r="H230" s="87"/>
      <c r="I230" s="91"/>
      <c r="J230" s="87"/>
      <c r="K230" s="45" t="b">
        <v>0</v>
      </c>
      <c r="L230" s="45"/>
      <c r="M230" s="43"/>
      <c r="N230" s="43"/>
      <c r="O230" s="43"/>
      <c r="P230" s="43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</row>
    <row r="231" ht="15.75" customHeight="1">
      <c r="A231" s="87"/>
      <c r="B231" s="88"/>
      <c r="C231" s="87"/>
      <c r="D231" s="87"/>
      <c r="E231" s="87"/>
      <c r="F231" s="92"/>
      <c r="G231" s="92"/>
      <c r="H231" s="87"/>
      <c r="I231" s="91"/>
      <c r="J231" s="87"/>
      <c r="K231" s="45" t="b">
        <v>0</v>
      </c>
      <c r="L231" s="45"/>
      <c r="M231" s="43"/>
      <c r="N231" s="43"/>
      <c r="O231" s="43"/>
      <c r="P231" s="43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</row>
    <row r="232" ht="15.75" customHeight="1">
      <c r="A232" s="87"/>
      <c r="B232" s="88"/>
      <c r="C232" s="87"/>
      <c r="D232" s="87"/>
      <c r="E232" s="87"/>
      <c r="F232" s="92"/>
      <c r="G232" s="92"/>
      <c r="H232" s="87"/>
      <c r="I232" s="91"/>
      <c r="J232" s="87"/>
      <c r="K232" s="45" t="b">
        <v>0</v>
      </c>
      <c r="L232" s="45"/>
      <c r="M232" s="43"/>
      <c r="N232" s="43"/>
      <c r="O232" s="43"/>
      <c r="P232" s="43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</row>
    <row r="233" ht="15.75" customHeight="1">
      <c r="A233" s="87"/>
      <c r="B233" s="88"/>
      <c r="C233" s="87"/>
      <c r="D233" s="87"/>
      <c r="E233" s="87"/>
      <c r="F233" s="92"/>
      <c r="G233" s="92"/>
      <c r="H233" s="87"/>
      <c r="I233" s="91"/>
      <c r="J233" s="87"/>
      <c r="K233" s="45" t="b">
        <v>0</v>
      </c>
      <c r="L233" s="45"/>
      <c r="M233" s="43"/>
      <c r="N233" s="43"/>
      <c r="O233" s="43"/>
      <c r="P233" s="43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</row>
    <row r="234" ht="15.75" customHeight="1">
      <c r="A234" s="87"/>
      <c r="B234" s="88"/>
      <c r="C234" s="87"/>
      <c r="D234" s="87"/>
      <c r="E234" s="87"/>
      <c r="F234" s="92"/>
      <c r="G234" s="92"/>
      <c r="H234" s="87"/>
      <c r="I234" s="91"/>
      <c r="J234" s="87"/>
      <c r="K234" s="45" t="b">
        <v>0</v>
      </c>
      <c r="L234" s="45"/>
      <c r="M234" s="43"/>
      <c r="N234" s="43"/>
      <c r="O234" s="43"/>
      <c r="P234" s="43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</row>
    <row r="235" ht="15.75" customHeight="1">
      <c r="A235" s="87"/>
      <c r="B235" s="88"/>
      <c r="C235" s="87"/>
      <c r="D235" s="87"/>
      <c r="E235" s="87"/>
      <c r="F235" s="92"/>
      <c r="G235" s="92"/>
      <c r="H235" s="87"/>
      <c r="I235" s="91"/>
      <c r="J235" s="87"/>
      <c r="K235" s="45" t="b">
        <v>0</v>
      </c>
      <c r="L235" s="45"/>
      <c r="M235" s="43"/>
      <c r="N235" s="43"/>
      <c r="O235" s="43"/>
      <c r="P235" s="43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</row>
    <row r="236" ht="15.75" customHeight="1">
      <c r="A236" s="87"/>
      <c r="B236" s="88"/>
      <c r="C236" s="87"/>
      <c r="D236" s="87"/>
      <c r="E236" s="87"/>
      <c r="F236" s="92"/>
      <c r="G236" s="92"/>
      <c r="H236" s="87"/>
      <c r="I236" s="91"/>
      <c r="J236" s="87"/>
      <c r="K236" s="45" t="b">
        <v>0</v>
      </c>
      <c r="L236" s="45"/>
      <c r="M236" s="43"/>
      <c r="N236" s="43"/>
      <c r="O236" s="43"/>
      <c r="P236" s="43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</row>
    <row r="237" ht="15.75" customHeight="1">
      <c r="A237" s="87"/>
      <c r="B237" s="88"/>
      <c r="C237" s="87"/>
      <c r="D237" s="87"/>
      <c r="E237" s="87"/>
      <c r="F237" s="92"/>
      <c r="G237" s="92"/>
      <c r="H237" s="87"/>
      <c r="I237" s="91"/>
      <c r="J237" s="87"/>
      <c r="K237" s="45" t="b">
        <v>0</v>
      </c>
      <c r="L237" s="45"/>
      <c r="M237" s="43"/>
      <c r="N237" s="43"/>
      <c r="O237" s="43"/>
      <c r="P237" s="43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</row>
    <row r="238" ht="15.75" customHeight="1">
      <c r="A238" s="87"/>
      <c r="B238" s="88"/>
      <c r="C238" s="87"/>
      <c r="D238" s="87"/>
      <c r="E238" s="87"/>
      <c r="F238" s="92"/>
      <c r="G238" s="92"/>
      <c r="H238" s="87"/>
      <c r="I238" s="91"/>
      <c r="J238" s="87"/>
      <c r="K238" s="45" t="b">
        <v>0</v>
      </c>
      <c r="L238" s="45"/>
      <c r="M238" s="43"/>
      <c r="N238" s="43"/>
      <c r="O238" s="43"/>
      <c r="P238" s="43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</row>
    <row r="239" ht="15.75" customHeight="1">
      <c r="A239" s="87"/>
      <c r="B239" s="88"/>
      <c r="C239" s="87"/>
      <c r="D239" s="87"/>
      <c r="E239" s="87"/>
      <c r="F239" s="92"/>
      <c r="G239" s="92"/>
      <c r="H239" s="87"/>
      <c r="I239" s="91"/>
      <c r="J239" s="87"/>
      <c r="K239" s="45" t="b">
        <v>0</v>
      </c>
      <c r="L239" s="45"/>
      <c r="M239" s="43"/>
      <c r="N239" s="43"/>
      <c r="O239" s="43"/>
      <c r="P239" s="43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</row>
    <row r="240" ht="15.75" customHeight="1">
      <c r="A240" s="87"/>
      <c r="B240" s="88"/>
      <c r="C240" s="87"/>
      <c r="D240" s="87"/>
      <c r="E240" s="87"/>
      <c r="F240" s="92"/>
      <c r="G240" s="92"/>
      <c r="H240" s="87"/>
      <c r="I240" s="91"/>
      <c r="J240" s="87"/>
      <c r="K240" s="45" t="b">
        <v>0</v>
      </c>
      <c r="L240" s="45"/>
      <c r="M240" s="43"/>
      <c r="N240" s="43"/>
      <c r="O240" s="43"/>
      <c r="P240" s="43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</row>
    <row r="241" ht="15.75" customHeight="1">
      <c r="A241" s="87"/>
      <c r="B241" s="88"/>
      <c r="C241" s="87"/>
      <c r="D241" s="87"/>
      <c r="E241" s="87"/>
      <c r="F241" s="92"/>
      <c r="G241" s="92"/>
      <c r="H241" s="87"/>
      <c r="I241" s="91"/>
      <c r="J241" s="87"/>
      <c r="K241" s="45" t="b">
        <v>0</v>
      </c>
      <c r="L241" s="45"/>
      <c r="M241" s="43"/>
      <c r="N241" s="43"/>
      <c r="O241" s="43"/>
      <c r="P241" s="43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</row>
    <row r="242" ht="15.75" customHeight="1">
      <c r="A242" s="87"/>
      <c r="B242" s="88"/>
      <c r="C242" s="87"/>
      <c r="D242" s="87"/>
      <c r="E242" s="87"/>
      <c r="F242" s="92"/>
      <c r="G242" s="92"/>
      <c r="H242" s="87"/>
      <c r="I242" s="91"/>
      <c r="J242" s="87"/>
      <c r="K242" s="45" t="b">
        <v>0</v>
      </c>
      <c r="L242" s="45"/>
      <c r="M242" s="43"/>
      <c r="N242" s="43"/>
      <c r="O242" s="43"/>
      <c r="P242" s="43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</row>
    <row r="243" ht="15.75" customHeight="1">
      <c r="A243" s="87"/>
      <c r="B243" s="88"/>
      <c r="C243" s="87"/>
      <c r="D243" s="87"/>
      <c r="E243" s="87"/>
      <c r="F243" s="92"/>
      <c r="G243" s="92"/>
      <c r="H243" s="87"/>
      <c r="I243" s="91"/>
      <c r="J243" s="87"/>
      <c r="K243" s="45" t="b">
        <v>0</v>
      </c>
      <c r="L243" s="45"/>
      <c r="M243" s="43"/>
      <c r="N243" s="43"/>
      <c r="O243" s="43"/>
      <c r="P243" s="43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</row>
    <row r="244" ht="15.75" customHeight="1">
      <c r="A244" s="87"/>
      <c r="B244" s="88"/>
      <c r="C244" s="87"/>
      <c r="D244" s="87"/>
      <c r="E244" s="87"/>
      <c r="F244" s="92"/>
      <c r="G244" s="92"/>
      <c r="H244" s="87"/>
      <c r="I244" s="91"/>
      <c r="J244" s="87"/>
      <c r="K244" s="45" t="b">
        <v>0</v>
      </c>
      <c r="L244" s="45"/>
      <c r="M244" s="43"/>
      <c r="N244" s="43"/>
      <c r="O244" s="43"/>
      <c r="P244" s="43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</row>
    <row r="245" ht="15.75" customHeight="1">
      <c r="A245" s="87"/>
      <c r="B245" s="88"/>
      <c r="C245" s="87"/>
      <c r="D245" s="87"/>
      <c r="E245" s="87"/>
      <c r="F245" s="92"/>
      <c r="G245" s="92"/>
      <c r="H245" s="87"/>
      <c r="I245" s="91"/>
      <c r="J245" s="87"/>
      <c r="K245" s="45" t="b">
        <v>0</v>
      </c>
      <c r="L245" s="45"/>
      <c r="M245" s="43"/>
      <c r="N245" s="43"/>
      <c r="O245" s="43"/>
      <c r="P245" s="43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</row>
    <row r="246" ht="15.75" customHeight="1">
      <c r="A246" s="87"/>
      <c r="B246" s="88"/>
      <c r="C246" s="87"/>
      <c r="D246" s="87"/>
      <c r="E246" s="87"/>
      <c r="F246" s="92"/>
      <c r="G246" s="92"/>
      <c r="H246" s="87"/>
      <c r="I246" s="91"/>
      <c r="J246" s="87"/>
      <c r="K246" s="45" t="b">
        <v>0</v>
      </c>
      <c r="L246" s="45"/>
      <c r="M246" s="43"/>
      <c r="N246" s="43"/>
      <c r="O246" s="43"/>
      <c r="P246" s="43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</row>
    <row r="247" ht="15.75" customHeight="1">
      <c r="A247" s="87"/>
      <c r="B247" s="88"/>
      <c r="C247" s="87"/>
      <c r="D247" s="87"/>
      <c r="E247" s="87"/>
      <c r="F247" s="92"/>
      <c r="G247" s="92"/>
      <c r="H247" s="87"/>
      <c r="I247" s="91"/>
      <c r="J247" s="87"/>
      <c r="K247" s="45" t="b">
        <v>0</v>
      </c>
      <c r="L247" s="45"/>
      <c r="M247" s="43"/>
      <c r="N247" s="43"/>
      <c r="O247" s="43"/>
      <c r="P247" s="43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</row>
    <row r="248" ht="15.75" customHeight="1">
      <c r="A248" s="87"/>
      <c r="B248" s="88"/>
      <c r="C248" s="87"/>
      <c r="D248" s="87"/>
      <c r="E248" s="87"/>
      <c r="F248" s="92"/>
      <c r="G248" s="92"/>
      <c r="H248" s="87"/>
      <c r="I248" s="91"/>
      <c r="J248" s="87"/>
      <c r="K248" s="45" t="b">
        <v>0</v>
      </c>
      <c r="L248" s="45"/>
      <c r="M248" s="43"/>
      <c r="N248" s="43"/>
      <c r="O248" s="43"/>
      <c r="P248" s="43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</row>
    <row r="249" ht="15.75" customHeight="1">
      <c r="A249" s="87"/>
      <c r="B249" s="88"/>
      <c r="C249" s="87"/>
      <c r="D249" s="87"/>
      <c r="E249" s="87"/>
      <c r="F249" s="92"/>
      <c r="G249" s="92"/>
      <c r="H249" s="87"/>
      <c r="I249" s="91"/>
      <c r="J249" s="87"/>
      <c r="K249" s="45" t="b">
        <v>0</v>
      </c>
      <c r="L249" s="45"/>
      <c r="M249" s="43"/>
      <c r="N249" s="43"/>
      <c r="O249" s="43"/>
      <c r="P249" s="43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</row>
    <row r="250" ht="15.75" customHeight="1">
      <c r="A250" s="87"/>
      <c r="B250" s="88"/>
      <c r="C250" s="87"/>
      <c r="D250" s="87"/>
      <c r="E250" s="87"/>
      <c r="F250" s="92"/>
      <c r="G250" s="92"/>
      <c r="H250" s="87"/>
      <c r="I250" s="91"/>
      <c r="J250" s="87"/>
      <c r="K250" s="45" t="b">
        <v>0</v>
      </c>
      <c r="L250" s="45"/>
      <c r="M250" s="43"/>
      <c r="N250" s="43"/>
      <c r="O250" s="43"/>
      <c r="P250" s="43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</row>
    <row r="251" ht="15.75" customHeight="1">
      <c r="A251" s="87"/>
      <c r="B251" s="88"/>
      <c r="C251" s="87"/>
      <c r="D251" s="87"/>
      <c r="E251" s="87"/>
      <c r="F251" s="92"/>
      <c r="G251" s="92"/>
      <c r="H251" s="87"/>
      <c r="I251" s="91"/>
      <c r="J251" s="87"/>
      <c r="K251" s="45" t="b">
        <v>0</v>
      </c>
      <c r="L251" s="45"/>
      <c r="M251" s="43"/>
      <c r="N251" s="43"/>
      <c r="O251" s="43"/>
      <c r="P251" s="43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</row>
    <row r="252" ht="15.75" customHeight="1">
      <c r="A252" s="87"/>
      <c r="B252" s="88"/>
      <c r="C252" s="87"/>
      <c r="D252" s="87"/>
      <c r="E252" s="87"/>
      <c r="F252" s="92"/>
      <c r="G252" s="92"/>
      <c r="H252" s="87"/>
      <c r="I252" s="91"/>
      <c r="J252" s="87"/>
      <c r="K252" s="45" t="b">
        <v>0</v>
      </c>
      <c r="L252" s="45"/>
      <c r="M252" s="43"/>
      <c r="N252" s="43"/>
      <c r="O252" s="43"/>
      <c r="P252" s="43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</row>
    <row r="253" ht="15.75" customHeight="1">
      <c r="A253" s="87"/>
      <c r="B253" s="88"/>
      <c r="C253" s="87"/>
      <c r="D253" s="87"/>
      <c r="E253" s="87"/>
      <c r="F253" s="92"/>
      <c r="G253" s="92"/>
      <c r="H253" s="87"/>
      <c r="I253" s="91"/>
      <c r="J253" s="87"/>
      <c r="K253" s="45" t="b">
        <v>0</v>
      </c>
      <c r="L253" s="45"/>
      <c r="M253" s="43"/>
      <c r="N253" s="43"/>
      <c r="O253" s="43"/>
      <c r="P253" s="43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</row>
    <row r="254" ht="15.75" customHeight="1">
      <c r="A254" s="87"/>
      <c r="B254" s="88"/>
      <c r="C254" s="87"/>
      <c r="D254" s="87"/>
      <c r="E254" s="87"/>
      <c r="F254" s="92"/>
      <c r="G254" s="92"/>
      <c r="H254" s="87"/>
      <c r="I254" s="91"/>
      <c r="J254" s="87"/>
      <c r="K254" s="45" t="b">
        <v>0</v>
      </c>
      <c r="L254" s="45"/>
      <c r="M254" s="43"/>
      <c r="N254" s="43"/>
      <c r="O254" s="43"/>
      <c r="P254" s="43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</row>
    <row r="255" ht="15.75" customHeight="1">
      <c r="A255" s="87"/>
      <c r="B255" s="88"/>
      <c r="C255" s="87"/>
      <c r="D255" s="87"/>
      <c r="E255" s="87"/>
      <c r="F255" s="92"/>
      <c r="G255" s="92"/>
      <c r="H255" s="87"/>
      <c r="I255" s="91"/>
      <c r="J255" s="87"/>
      <c r="K255" s="45" t="b">
        <v>0</v>
      </c>
      <c r="L255" s="45"/>
      <c r="M255" s="43"/>
      <c r="N255" s="43"/>
      <c r="O255" s="43"/>
      <c r="P255" s="43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</row>
    <row r="256" ht="15.75" customHeight="1">
      <c r="A256" s="87"/>
      <c r="B256" s="88"/>
      <c r="C256" s="87"/>
      <c r="D256" s="87"/>
      <c r="E256" s="87"/>
      <c r="F256" s="92"/>
      <c r="G256" s="92"/>
      <c r="H256" s="87"/>
      <c r="I256" s="91"/>
      <c r="J256" s="87"/>
      <c r="K256" s="45" t="b">
        <v>0</v>
      </c>
      <c r="L256" s="45"/>
      <c r="M256" s="43"/>
      <c r="N256" s="43"/>
      <c r="O256" s="43"/>
      <c r="P256" s="43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</row>
    <row r="257" ht="15.75" customHeight="1">
      <c r="A257" s="87"/>
      <c r="B257" s="88"/>
      <c r="C257" s="87"/>
      <c r="D257" s="87"/>
      <c r="E257" s="87"/>
      <c r="F257" s="92"/>
      <c r="G257" s="92"/>
      <c r="H257" s="87"/>
      <c r="I257" s="91"/>
      <c r="J257" s="87"/>
      <c r="K257" s="45" t="b">
        <v>0</v>
      </c>
      <c r="L257" s="45"/>
      <c r="M257" s="43"/>
      <c r="N257" s="43"/>
      <c r="O257" s="43"/>
      <c r="P257" s="43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</row>
    <row r="258" ht="15.75" customHeight="1">
      <c r="A258" s="87"/>
      <c r="B258" s="88"/>
      <c r="C258" s="87"/>
      <c r="D258" s="87"/>
      <c r="E258" s="87"/>
      <c r="F258" s="92"/>
      <c r="G258" s="92"/>
      <c r="H258" s="87"/>
      <c r="I258" s="91"/>
      <c r="J258" s="87"/>
      <c r="K258" s="45" t="b">
        <v>0</v>
      </c>
      <c r="L258" s="45"/>
      <c r="M258" s="43"/>
      <c r="N258" s="43"/>
      <c r="O258" s="43"/>
      <c r="P258" s="43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</row>
    <row r="259" ht="15.75" customHeight="1">
      <c r="A259" s="87"/>
      <c r="B259" s="88"/>
      <c r="C259" s="87"/>
      <c r="D259" s="87"/>
      <c r="E259" s="87"/>
      <c r="F259" s="92"/>
      <c r="G259" s="92"/>
      <c r="H259" s="87"/>
      <c r="I259" s="91"/>
      <c r="J259" s="87"/>
      <c r="K259" s="45" t="b">
        <v>0</v>
      </c>
      <c r="L259" s="45"/>
      <c r="M259" s="43"/>
      <c r="N259" s="43"/>
      <c r="O259" s="43"/>
      <c r="P259" s="43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</row>
    <row r="260" ht="15.75" customHeight="1">
      <c r="A260" s="87"/>
      <c r="B260" s="88"/>
      <c r="C260" s="87"/>
      <c r="D260" s="87"/>
      <c r="E260" s="87"/>
      <c r="F260" s="92"/>
      <c r="G260" s="92"/>
      <c r="H260" s="87"/>
      <c r="I260" s="91"/>
      <c r="J260" s="87"/>
      <c r="K260" s="45" t="b">
        <v>0</v>
      </c>
      <c r="L260" s="45"/>
      <c r="M260" s="43"/>
      <c r="N260" s="43"/>
      <c r="O260" s="43"/>
      <c r="P260" s="43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</row>
    <row r="261" ht="15.75" customHeight="1">
      <c r="A261" s="87"/>
      <c r="B261" s="88"/>
      <c r="C261" s="87"/>
      <c r="D261" s="87"/>
      <c r="E261" s="87"/>
      <c r="F261" s="92"/>
      <c r="G261" s="92"/>
      <c r="H261" s="87"/>
      <c r="I261" s="91"/>
      <c r="J261" s="87"/>
      <c r="K261" s="45" t="b">
        <v>0</v>
      </c>
      <c r="L261" s="45"/>
      <c r="M261" s="43"/>
      <c r="N261" s="43"/>
      <c r="O261" s="43"/>
      <c r="P261" s="43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</row>
    <row r="262" ht="15.75" customHeight="1">
      <c r="A262" s="87"/>
      <c r="B262" s="88"/>
      <c r="C262" s="87"/>
      <c r="D262" s="87"/>
      <c r="E262" s="87"/>
      <c r="F262" s="92"/>
      <c r="G262" s="92"/>
      <c r="H262" s="87"/>
      <c r="I262" s="91"/>
      <c r="J262" s="87"/>
      <c r="K262" s="45" t="b">
        <v>0</v>
      </c>
      <c r="L262" s="45"/>
      <c r="M262" s="43"/>
      <c r="N262" s="43"/>
      <c r="O262" s="43"/>
      <c r="P262" s="43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</row>
    <row r="263" ht="15.75" customHeight="1">
      <c r="A263" s="87"/>
      <c r="B263" s="88"/>
      <c r="C263" s="87"/>
      <c r="D263" s="87"/>
      <c r="E263" s="87"/>
      <c r="F263" s="92"/>
      <c r="G263" s="92"/>
      <c r="H263" s="87"/>
      <c r="I263" s="91"/>
      <c r="J263" s="87"/>
      <c r="K263" s="45" t="b">
        <v>0</v>
      </c>
      <c r="L263" s="45"/>
      <c r="M263" s="43"/>
      <c r="N263" s="43"/>
      <c r="O263" s="43"/>
      <c r="P263" s="43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</row>
    <row r="264" ht="15.75" customHeight="1">
      <c r="A264" s="87"/>
      <c r="B264" s="88"/>
      <c r="C264" s="87"/>
      <c r="D264" s="87"/>
      <c r="E264" s="87"/>
      <c r="F264" s="92"/>
      <c r="G264" s="92"/>
      <c r="H264" s="87"/>
      <c r="I264" s="91"/>
      <c r="J264" s="87"/>
      <c r="K264" s="45" t="b">
        <v>0</v>
      </c>
      <c r="L264" s="45"/>
      <c r="M264" s="43"/>
      <c r="N264" s="43"/>
      <c r="O264" s="43"/>
      <c r="P264" s="43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</row>
    <row r="265" ht="15.75" customHeight="1">
      <c r="A265" s="87"/>
      <c r="B265" s="88"/>
      <c r="C265" s="87"/>
      <c r="D265" s="87"/>
      <c r="E265" s="87"/>
      <c r="F265" s="92"/>
      <c r="G265" s="92"/>
      <c r="H265" s="87"/>
      <c r="I265" s="91"/>
      <c r="J265" s="87"/>
      <c r="K265" s="45" t="b">
        <v>0</v>
      </c>
      <c r="L265" s="45"/>
      <c r="M265" s="43"/>
      <c r="N265" s="43"/>
      <c r="O265" s="43"/>
      <c r="P265" s="43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</row>
    <row r="266" ht="15.75" customHeight="1">
      <c r="A266" s="87"/>
      <c r="B266" s="88"/>
      <c r="C266" s="87"/>
      <c r="D266" s="87"/>
      <c r="E266" s="87"/>
      <c r="F266" s="92"/>
      <c r="G266" s="92"/>
      <c r="H266" s="87"/>
      <c r="I266" s="91"/>
      <c r="J266" s="87"/>
      <c r="K266" s="45" t="b">
        <v>0</v>
      </c>
      <c r="L266" s="45"/>
      <c r="M266" s="43"/>
      <c r="N266" s="43"/>
      <c r="O266" s="43"/>
      <c r="P266" s="43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</row>
    <row r="267" ht="15.75" customHeight="1">
      <c r="A267" s="87"/>
      <c r="B267" s="88"/>
      <c r="C267" s="87"/>
      <c r="D267" s="87"/>
      <c r="E267" s="87"/>
      <c r="F267" s="92"/>
      <c r="G267" s="92"/>
      <c r="H267" s="87"/>
      <c r="I267" s="91"/>
      <c r="J267" s="87"/>
      <c r="K267" s="45" t="b">
        <v>0</v>
      </c>
      <c r="L267" s="45"/>
      <c r="M267" s="43"/>
      <c r="N267" s="43"/>
      <c r="O267" s="43"/>
      <c r="P267" s="43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</row>
    <row r="268" ht="15.75" customHeight="1">
      <c r="A268" s="87"/>
      <c r="B268" s="88"/>
      <c r="C268" s="87"/>
      <c r="D268" s="87"/>
      <c r="E268" s="87"/>
      <c r="F268" s="92"/>
      <c r="G268" s="92"/>
      <c r="H268" s="87"/>
      <c r="I268" s="91"/>
      <c r="J268" s="87"/>
      <c r="K268" s="45" t="b">
        <v>0</v>
      </c>
      <c r="L268" s="45"/>
      <c r="M268" s="43"/>
      <c r="N268" s="43"/>
      <c r="O268" s="43"/>
      <c r="P268" s="43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</row>
    <row r="269" ht="15.75" customHeight="1">
      <c r="A269" s="87"/>
      <c r="B269" s="88"/>
      <c r="C269" s="87"/>
      <c r="D269" s="87"/>
      <c r="E269" s="87"/>
      <c r="F269" s="92"/>
      <c r="G269" s="92"/>
      <c r="H269" s="87"/>
      <c r="I269" s="91"/>
      <c r="J269" s="87"/>
      <c r="K269" s="45" t="b">
        <v>0</v>
      </c>
      <c r="L269" s="45"/>
      <c r="M269" s="43"/>
      <c r="N269" s="43"/>
      <c r="O269" s="43"/>
      <c r="P269" s="43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</row>
    <row r="270" ht="15.75" customHeight="1">
      <c r="A270" s="87"/>
      <c r="B270" s="88"/>
      <c r="C270" s="87"/>
      <c r="D270" s="87"/>
      <c r="E270" s="87"/>
      <c r="F270" s="92"/>
      <c r="G270" s="92"/>
      <c r="H270" s="87"/>
      <c r="I270" s="91"/>
      <c r="J270" s="87"/>
      <c r="K270" s="45" t="b">
        <v>0</v>
      </c>
      <c r="L270" s="45"/>
      <c r="M270" s="43"/>
      <c r="N270" s="43"/>
      <c r="O270" s="43"/>
      <c r="P270" s="43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</row>
    <row r="271" ht="15.75" customHeight="1">
      <c r="A271" s="87"/>
      <c r="B271" s="88"/>
      <c r="C271" s="87"/>
      <c r="D271" s="87"/>
      <c r="E271" s="87"/>
      <c r="F271" s="92"/>
      <c r="G271" s="92"/>
      <c r="H271" s="87"/>
      <c r="I271" s="91"/>
      <c r="J271" s="87"/>
      <c r="K271" s="45" t="b">
        <v>0</v>
      </c>
      <c r="L271" s="45"/>
      <c r="M271" s="43"/>
      <c r="N271" s="43"/>
      <c r="O271" s="43"/>
      <c r="P271" s="43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</row>
    <row r="272" ht="15.75" customHeight="1">
      <c r="A272" s="87"/>
      <c r="B272" s="88"/>
      <c r="C272" s="87"/>
      <c r="D272" s="87"/>
      <c r="E272" s="87"/>
      <c r="F272" s="92"/>
      <c r="G272" s="92"/>
      <c r="H272" s="87"/>
      <c r="I272" s="91"/>
      <c r="J272" s="87"/>
      <c r="K272" s="45" t="b">
        <v>0</v>
      </c>
      <c r="L272" s="45"/>
      <c r="M272" s="43"/>
      <c r="N272" s="43"/>
      <c r="O272" s="43"/>
      <c r="P272" s="43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</row>
    <row r="273" ht="15.75" customHeight="1">
      <c r="A273" s="87"/>
      <c r="B273" s="88"/>
      <c r="C273" s="87"/>
      <c r="D273" s="87"/>
      <c r="E273" s="87"/>
      <c r="F273" s="92"/>
      <c r="G273" s="92"/>
      <c r="H273" s="87"/>
      <c r="I273" s="91"/>
      <c r="J273" s="87"/>
      <c r="K273" s="45" t="b">
        <v>0</v>
      </c>
      <c r="L273" s="45"/>
      <c r="M273" s="43"/>
      <c r="N273" s="43"/>
      <c r="O273" s="43"/>
      <c r="P273" s="43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</row>
    <row r="274" ht="15.75" customHeight="1">
      <c r="A274" s="87"/>
      <c r="B274" s="88"/>
      <c r="C274" s="87"/>
      <c r="D274" s="87"/>
      <c r="E274" s="87"/>
      <c r="F274" s="92"/>
      <c r="G274" s="92"/>
      <c r="H274" s="87"/>
      <c r="I274" s="91"/>
      <c r="J274" s="87"/>
      <c r="K274" s="45" t="b">
        <v>0</v>
      </c>
      <c r="L274" s="45"/>
      <c r="M274" s="43"/>
      <c r="N274" s="43"/>
      <c r="O274" s="43"/>
      <c r="P274" s="43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</row>
    <row r="275" ht="15.75" customHeight="1">
      <c r="A275" s="87"/>
      <c r="B275" s="88"/>
      <c r="C275" s="87"/>
      <c r="D275" s="87"/>
      <c r="E275" s="87"/>
      <c r="F275" s="92"/>
      <c r="G275" s="92"/>
      <c r="H275" s="87"/>
      <c r="I275" s="91"/>
      <c r="J275" s="87"/>
      <c r="K275" s="45" t="b">
        <v>0</v>
      </c>
      <c r="L275" s="45"/>
      <c r="M275" s="43"/>
      <c r="N275" s="43"/>
      <c r="O275" s="43"/>
      <c r="P275" s="43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</row>
    <row r="276" ht="15.75" customHeight="1">
      <c r="A276" s="87"/>
      <c r="B276" s="88"/>
      <c r="C276" s="87"/>
      <c r="D276" s="87"/>
      <c r="E276" s="87"/>
      <c r="F276" s="92"/>
      <c r="G276" s="92"/>
      <c r="H276" s="87"/>
      <c r="I276" s="91"/>
      <c r="J276" s="87"/>
      <c r="K276" s="45" t="b">
        <v>0</v>
      </c>
      <c r="L276" s="45"/>
      <c r="M276" s="43"/>
      <c r="N276" s="43"/>
      <c r="O276" s="43"/>
      <c r="P276" s="43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</row>
    <row r="277" ht="15.75" customHeight="1">
      <c r="A277" s="87"/>
      <c r="B277" s="88"/>
      <c r="C277" s="87"/>
      <c r="D277" s="87"/>
      <c r="E277" s="87"/>
      <c r="F277" s="92"/>
      <c r="G277" s="92"/>
      <c r="H277" s="87"/>
      <c r="I277" s="91"/>
      <c r="J277" s="87"/>
      <c r="K277" s="45" t="b">
        <v>0</v>
      </c>
      <c r="L277" s="45"/>
      <c r="M277" s="43"/>
      <c r="N277" s="43"/>
      <c r="O277" s="43"/>
      <c r="P277" s="43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</row>
    <row r="278" ht="15.75" customHeight="1">
      <c r="A278" s="87"/>
      <c r="B278" s="88"/>
      <c r="C278" s="87"/>
      <c r="D278" s="87"/>
      <c r="E278" s="87"/>
      <c r="F278" s="92"/>
      <c r="G278" s="92"/>
      <c r="H278" s="87"/>
      <c r="I278" s="91"/>
      <c r="J278" s="87"/>
      <c r="K278" s="45" t="b">
        <v>0</v>
      </c>
      <c r="L278" s="45"/>
      <c r="M278" s="43"/>
      <c r="N278" s="43"/>
      <c r="O278" s="43"/>
      <c r="P278" s="43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</row>
    <row r="279" ht="15.75" customHeight="1">
      <c r="A279" s="87"/>
      <c r="B279" s="88"/>
      <c r="C279" s="87"/>
      <c r="D279" s="87"/>
      <c r="E279" s="87"/>
      <c r="F279" s="92"/>
      <c r="G279" s="92"/>
      <c r="H279" s="87"/>
      <c r="I279" s="91"/>
      <c r="J279" s="87"/>
      <c r="K279" s="45" t="b">
        <v>0</v>
      </c>
      <c r="L279" s="45"/>
      <c r="M279" s="43"/>
      <c r="N279" s="43"/>
      <c r="O279" s="43"/>
      <c r="P279" s="43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</row>
    <row r="280" ht="15.75" customHeight="1">
      <c r="A280" s="87"/>
      <c r="B280" s="88"/>
      <c r="C280" s="87"/>
      <c r="D280" s="87"/>
      <c r="E280" s="87"/>
      <c r="F280" s="92"/>
      <c r="G280" s="92"/>
      <c r="H280" s="87"/>
      <c r="I280" s="91"/>
      <c r="J280" s="87"/>
      <c r="K280" s="45" t="b">
        <v>0</v>
      </c>
      <c r="L280" s="45"/>
      <c r="M280" s="43"/>
      <c r="N280" s="43"/>
      <c r="O280" s="43"/>
      <c r="P280" s="43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</row>
    <row r="281" ht="15.75" customHeight="1">
      <c r="A281" s="87"/>
      <c r="B281" s="88"/>
      <c r="C281" s="87"/>
      <c r="D281" s="87"/>
      <c r="E281" s="87"/>
      <c r="F281" s="92"/>
      <c r="G281" s="92"/>
      <c r="H281" s="87"/>
      <c r="I281" s="91"/>
      <c r="J281" s="87"/>
      <c r="K281" s="45" t="b">
        <v>0</v>
      </c>
      <c r="L281" s="45"/>
      <c r="M281" s="43"/>
      <c r="N281" s="43"/>
      <c r="O281" s="43"/>
      <c r="P281" s="43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</row>
    <row r="282" ht="15.75" customHeight="1">
      <c r="A282" s="87"/>
      <c r="B282" s="88"/>
      <c r="C282" s="87"/>
      <c r="D282" s="87"/>
      <c r="E282" s="87"/>
      <c r="F282" s="92"/>
      <c r="G282" s="92"/>
      <c r="H282" s="87"/>
      <c r="I282" s="91"/>
      <c r="J282" s="87"/>
      <c r="K282" s="45" t="b">
        <v>0</v>
      </c>
      <c r="L282" s="45"/>
      <c r="M282" s="43"/>
      <c r="N282" s="43"/>
      <c r="O282" s="43"/>
      <c r="P282" s="43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</row>
    <row r="283" ht="15.75" customHeight="1">
      <c r="A283" s="87"/>
      <c r="B283" s="88"/>
      <c r="C283" s="87"/>
      <c r="D283" s="87"/>
      <c r="E283" s="87"/>
      <c r="F283" s="92"/>
      <c r="G283" s="92"/>
      <c r="H283" s="87"/>
      <c r="I283" s="91"/>
      <c r="J283" s="87"/>
      <c r="K283" s="45" t="b">
        <v>0</v>
      </c>
      <c r="L283" s="45"/>
      <c r="M283" s="43"/>
      <c r="N283" s="43"/>
      <c r="O283" s="43"/>
      <c r="P283" s="43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</row>
    <row r="284" ht="15.75" customHeight="1">
      <c r="A284" s="87"/>
      <c r="B284" s="88"/>
      <c r="C284" s="87"/>
      <c r="D284" s="87"/>
      <c r="E284" s="87"/>
      <c r="F284" s="92"/>
      <c r="G284" s="92"/>
      <c r="H284" s="87"/>
      <c r="I284" s="91"/>
      <c r="J284" s="87"/>
      <c r="K284" s="45" t="b">
        <v>0</v>
      </c>
      <c r="L284" s="45"/>
      <c r="M284" s="43"/>
      <c r="N284" s="43"/>
      <c r="O284" s="43"/>
      <c r="P284" s="43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</row>
    <row r="285" ht="15.75" customHeight="1">
      <c r="A285" s="87"/>
      <c r="B285" s="88"/>
      <c r="C285" s="87"/>
      <c r="D285" s="87"/>
      <c r="E285" s="87"/>
      <c r="F285" s="92"/>
      <c r="G285" s="92"/>
      <c r="H285" s="87"/>
      <c r="I285" s="91"/>
      <c r="J285" s="87"/>
      <c r="K285" s="45" t="b">
        <v>0</v>
      </c>
      <c r="L285" s="45"/>
      <c r="M285" s="43"/>
      <c r="N285" s="43"/>
      <c r="O285" s="43"/>
      <c r="P285" s="43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</row>
    <row r="286" ht="15.75" customHeight="1">
      <c r="A286" s="87"/>
      <c r="B286" s="88"/>
      <c r="C286" s="87"/>
      <c r="D286" s="87"/>
      <c r="E286" s="87"/>
      <c r="F286" s="92"/>
      <c r="G286" s="92"/>
      <c r="H286" s="87"/>
      <c r="I286" s="91"/>
      <c r="J286" s="87"/>
      <c r="K286" s="45" t="b">
        <v>0</v>
      </c>
      <c r="L286" s="45"/>
      <c r="M286" s="43"/>
      <c r="N286" s="43"/>
      <c r="O286" s="43"/>
      <c r="P286" s="43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</row>
    <row r="287" ht="15.75" customHeight="1">
      <c r="A287" s="87"/>
      <c r="B287" s="88"/>
      <c r="C287" s="87"/>
      <c r="D287" s="87"/>
      <c r="E287" s="87"/>
      <c r="F287" s="92"/>
      <c r="G287" s="92"/>
      <c r="H287" s="87"/>
      <c r="I287" s="91"/>
      <c r="J287" s="87"/>
      <c r="K287" s="45" t="b">
        <v>0</v>
      </c>
      <c r="L287" s="45"/>
      <c r="M287" s="43"/>
      <c r="N287" s="43"/>
      <c r="O287" s="43"/>
      <c r="P287" s="43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</row>
    <row r="288" ht="15.75" customHeight="1">
      <c r="A288" s="87"/>
      <c r="B288" s="88"/>
      <c r="C288" s="87"/>
      <c r="D288" s="87"/>
      <c r="E288" s="87"/>
      <c r="F288" s="92"/>
      <c r="G288" s="92"/>
      <c r="H288" s="87"/>
      <c r="I288" s="91"/>
      <c r="J288" s="87"/>
      <c r="K288" s="45" t="b">
        <v>0</v>
      </c>
      <c r="L288" s="45"/>
      <c r="M288" s="43"/>
      <c r="N288" s="43"/>
      <c r="O288" s="43"/>
      <c r="P288" s="43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</row>
    <row r="289" ht="15.75" customHeight="1">
      <c r="A289" s="87"/>
      <c r="B289" s="88"/>
      <c r="C289" s="87"/>
      <c r="D289" s="87"/>
      <c r="E289" s="87"/>
      <c r="F289" s="92"/>
      <c r="G289" s="92"/>
      <c r="H289" s="87"/>
      <c r="I289" s="91"/>
      <c r="J289" s="87"/>
      <c r="K289" s="45" t="b">
        <v>0</v>
      </c>
      <c r="L289" s="45"/>
      <c r="M289" s="43"/>
      <c r="N289" s="43"/>
      <c r="O289" s="43"/>
      <c r="P289" s="43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</row>
    <row r="290" ht="15.75" customHeight="1">
      <c r="A290" s="87"/>
      <c r="B290" s="88"/>
      <c r="C290" s="87"/>
      <c r="D290" s="87"/>
      <c r="E290" s="87"/>
      <c r="F290" s="92"/>
      <c r="G290" s="92"/>
      <c r="H290" s="87"/>
      <c r="I290" s="91"/>
      <c r="J290" s="87"/>
      <c r="K290" s="45" t="b">
        <v>0</v>
      </c>
      <c r="L290" s="45"/>
      <c r="M290" s="43"/>
      <c r="N290" s="43"/>
      <c r="O290" s="43"/>
      <c r="P290" s="43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</row>
    <row r="291" ht="15.75" customHeight="1">
      <c r="A291" s="87"/>
      <c r="B291" s="88"/>
      <c r="C291" s="87"/>
      <c r="D291" s="87"/>
      <c r="E291" s="87"/>
      <c r="F291" s="92"/>
      <c r="G291" s="92"/>
      <c r="H291" s="87"/>
      <c r="I291" s="91"/>
      <c r="J291" s="87"/>
      <c r="K291" s="45" t="b">
        <v>0</v>
      </c>
      <c r="L291" s="45"/>
      <c r="M291" s="43"/>
      <c r="N291" s="43"/>
      <c r="O291" s="43"/>
      <c r="P291" s="43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</row>
    <row r="292" ht="15.75" customHeight="1">
      <c r="A292" s="87"/>
      <c r="B292" s="88"/>
      <c r="C292" s="87"/>
      <c r="D292" s="87"/>
      <c r="E292" s="87"/>
      <c r="F292" s="92"/>
      <c r="G292" s="92"/>
      <c r="H292" s="87"/>
      <c r="I292" s="91"/>
      <c r="J292" s="87"/>
      <c r="K292" s="45" t="b">
        <v>0</v>
      </c>
      <c r="L292" s="45"/>
      <c r="M292" s="43"/>
      <c r="N292" s="43"/>
      <c r="O292" s="43"/>
      <c r="P292" s="43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</row>
    <row r="293" ht="15.75" customHeight="1">
      <c r="A293" s="87"/>
      <c r="B293" s="88"/>
      <c r="C293" s="87"/>
      <c r="D293" s="87"/>
      <c r="E293" s="87"/>
      <c r="F293" s="92"/>
      <c r="G293" s="92"/>
      <c r="H293" s="87"/>
      <c r="I293" s="91"/>
      <c r="J293" s="87"/>
      <c r="K293" s="45" t="b">
        <v>0</v>
      </c>
      <c r="L293" s="45"/>
      <c r="M293" s="43"/>
      <c r="N293" s="43"/>
      <c r="O293" s="43"/>
      <c r="P293" s="43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</row>
    <row r="294" ht="15.75" customHeight="1">
      <c r="A294" s="87"/>
      <c r="B294" s="88"/>
      <c r="C294" s="87"/>
      <c r="D294" s="87"/>
      <c r="E294" s="87"/>
      <c r="F294" s="92"/>
      <c r="G294" s="92"/>
      <c r="H294" s="87"/>
      <c r="I294" s="91"/>
      <c r="J294" s="87"/>
      <c r="K294" s="45" t="b">
        <v>0</v>
      </c>
      <c r="L294" s="45"/>
      <c r="M294" s="43"/>
      <c r="N294" s="43"/>
      <c r="O294" s="43"/>
      <c r="P294" s="43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</row>
    <row r="295" ht="15.75" customHeight="1">
      <c r="A295" s="87"/>
      <c r="B295" s="88"/>
      <c r="C295" s="87"/>
      <c r="D295" s="87"/>
      <c r="E295" s="87"/>
      <c r="F295" s="92"/>
      <c r="G295" s="92"/>
      <c r="H295" s="87"/>
      <c r="I295" s="91"/>
      <c r="J295" s="87"/>
      <c r="K295" s="45" t="b">
        <v>0</v>
      </c>
      <c r="L295" s="45"/>
      <c r="M295" s="43"/>
      <c r="N295" s="43"/>
      <c r="O295" s="43"/>
      <c r="P295" s="43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</row>
    <row r="296" ht="15.75" customHeight="1">
      <c r="A296" s="87"/>
      <c r="B296" s="88"/>
      <c r="C296" s="87"/>
      <c r="D296" s="87"/>
      <c r="E296" s="87"/>
      <c r="F296" s="92"/>
      <c r="G296" s="92"/>
      <c r="H296" s="87"/>
      <c r="I296" s="91"/>
      <c r="J296" s="87"/>
      <c r="K296" s="45" t="b">
        <v>0</v>
      </c>
      <c r="L296" s="45"/>
      <c r="M296" s="43"/>
      <c r="N296" s="43"/>
      <c r="O296" s="43"/>
      <c r="P296" s="43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</row>
    <row r="297" ht="15.75" customHeight="1">
      <c r="A297" s="87"/>
      <c r="B297" s="88"/>
      <c r="C297" s="87"/>
      <c r="D297" s="87"/>
      <c r="E297" s="87"/>
      <c r="F297" s="92"/>
      <c r="G297" s="92"/>
      <c r="H297" s="87"/>
      <c r="I297" s="91"/>
      <c r="J297" s="87"/>
      <c r="K297" s="45" t="b">
        <v>0</v>
      </c>
      <c r="L297" s="45"/>
      <c r="M297" s="43"/>
      <c r="N297" s="43"/>
      <c r="O297" s="43"/>
      <c r="P297" s="43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</row>
    <row r="298" ht="15.75" customHeight="1">
      <c r="A298" s="87"/>
      <c r="B298" s="88"/>
      <c r="C298" s="87"/>
      <c r="D298" s="87"/>
      <c r="E298" s="87"/>
      <c r="F298" s="92"/>
      <c r="G298" s="92"/>
      <c r="H298" s="87"/>
      <c r="I298" s="91"/>
      <c r="J298" s="87"/>
      <c r="K298" s="45" t="b">
        <v>0</v>
      </c>
      <c r="L298" s="45"/>
      <c r="M298" s="43"/>
      <c r="N298" s="43"/>
      <c r="O298" s="43"/>
      <c r="P298" s="43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</row>
    <row r="299" ht="15.75" customHeight="1">
      <c r="A299" s="87"/>
      <c r="B299" s="88"/>
      <c r="C299" s="87"/>
      <c r="D299" s="87"/>
      <c r="E299" s="87"/>
      <c r="F299" s="92"/>
      <c r="G299" s="92"/>
      <c r="H299" s="87"/>
      <c r="I299" s="91"/>
      <c r="J299" s="87"/>
      <c r="K299" s="45" t="b">
        <v>0</v>
      </c>
      <c r="L299" s="45"/>
      <c r="M299" s="43"/>
      <c r="N299" s="43"/>
      <c r="O299" s="43"/>
      <c r="P299" s="43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</row>
    <row r="300" ht="15.75" customHeight="1">
      <c r="A300" s="87"/>
      <c r="B300" s="88"/>
      <c r="C300" s="87"/>
      <c r="D300" s="87"/>
      <c r="E300" s="87"/>
      <c r="F300" s="92"/>
      <c r="G300" s="92"/>
      <c r="H300" s="87"/>
      <c r="I300" s="91"/>
      <c r="J300" s="87"/>
      <c r="K300" s="45" t="b">
        <v>0</v>
      </c>
      <c r="L300" s="45"/>
      <c r="M300" s="43"/>
      <c r="N300" s="43"/>
      <c r="O300" s="43"/>
      <c r="P300" s="43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</row>
    <row r="301" ht="15.75" customHeight="1">
      <c r="A301" s="87"/>
      <c r="B301" s="88"/>
      <c r="C301" s="87"/>
      <c r="D301" s="87"/>
      <c r="E301" s="87"/>
      <c r="F301" s="92"/>
      <c r="G301" s="92"/>
      <c r="H301" s="87"/>
      <c r="I301" s="91"/>
      <c r="J301" s="87"/>
      <c r="K301" s="45" t="b">
        <v>0</v>
      </c>
      <c r="L301" s="45"/>
      <c r="M301" s="43"/>
      <c r="N301" s="43"/>
      <c r="O301" s="43"/>
      <c r="P301" s="43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</row>
    <row r="302" ht="15.75" customHeight="1">
      <c r="A302" s="87"/>
      <c r="B302" s="88"/>
      <c r="C302" s="87"/>
      <c r="D302" s="87"/>
      <c r="E302" s="87"/>
      <c r="F302" s="92"/>
      <c r="G302" s="92"/>
      <c r="H302" s="87"/>
      <c r="I302" s="91"/>
      <c r="J302" s="87"/>
      <c r="K302" s="45" t="b">
        <v>0</v>
      </c>
      <c r="L302" s="45"/>
      <c r="M302" s="43"/>
      <c r="N302" s="43"/>
      <c r="O302" s="43"/>
      <c r="P302" s="43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</row>
    <row r="303" ht="15.75" customHeight="1">
      <c r="A303" s="87"/>
      <c r="B303" s="88"/>
      <c r="C303" s="87"/>
      <c r="D303" s="87"/>
      <c r="E303" s="87"/>
      <c r="F303" s="92"/>
      <c r="G303" s="92"/>
      <c r="H303" s="87"/>
      <c r="I303" s="91"/>
      <c r="J303" s="87"/>
      <c r="K303" s="45" t="b">
        <v>0</v>
      </c>
      <c r="L303" s="45"/>
      <c r="M303" s="43"/>
      <c r="N303" s="43"/>
      <c r="O303" s="43"/>
      <c r="P303" s="43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</row>
    <row r="304" ht="15.75" customHeight="1">
      <c r="A304" s="87"/>
      <c r="B304" s="88"/>
      <c r="C304" s="87"/>
      <c r="D304" s="87"/>
      <c r="E304" s="87"/>
      <c r="F304" s="92"/>
      <c r="G304" s="92"/>
      <c r="H304" s="87"/>
      <c r="I304" s="91"/>
      <c r="J304" s="87"/>
      <c r="K304" s="45" t="b">
        <v>0</v>
      </c>
      <c r="L304" s="45"/>
      <c r="M304" s="43"/>
      <c r="N304" s="43"/>
      <c r="O304" s="43"/>
      <c r="P304" s="43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</row>
    <row r="305" ht="15.75" customHeight="1">
      <c r="A305" s="87"/>
      <c r="B305" s="88"/>
      <c r="C305" s="87"/>
      <c r="D305" s="87"/>
      <c r="E305" s="87"/>
      <c r="F305" s="92"/>
      <c r="G305" s="92"/>
      <c r="H305" s="87"/>
      <c r="I305" s="91"/>
      <c r="J305" s="87"/>
      <c r="K305" s="45" t="b">
        <v>0</v>
      </c>
      <c r="L305" s="45"/>
      <c r="M305" s="43"/>
      <c r="N305" s="43"/>
      <c r="O305" s="43"/>
      <c r="P305" s="43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</row>
    <row r="306" ht="15.75" customHeight="1">
      <c r="A306" s="87"/>
      <c r="B306" s="88"/>
      <c r="C306" s="87"/>
      <c r="D306" s="87"/>
      <c r="E306" s="87"/>
      <c r="F306" s="92"/>
      <c r="G306" s="92"/>
      <c r="H306" s="87"/>
      <c r="I306" s="91"/>
      <c r="J306" s="87"/>
      <c r="K306" s="45" t="b">
        <v>0</v>
      </c>
      <c r="L306" s="45"/>
      <c r="M306" s="43"/>
      <c r="N306" s="43"/>
      <c r="O306" s="43"/>
      <c r="P306" s="43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</row>
    <row r="307" ht="15.75" customHeight="1">
      <c r="A307" s="87"/>
      <c r="B307" s="88"/>
      <c r="C307" s="87"/>
      <c r="D307" s="87"/>
      <c r="E307" s="87"/>
      <c r="F307" s="92"/>
      <c r="G307" s="92"/>
      <c r="H307" s="87"/>
      <c r="I307" s="91"/>
      <c r="J307" s="87"/>
      <c r="K307" s="45" t="b">
        <v>0</v>
      </c>
      <c r="L307" s="45"/>
      <c r="M307" s="43"/>
      <c r="N307" s="43"/>
      <c r="O307" s="43"/>
      <c r="P307" s="43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</row>
    <row r="308" ht="15.75" customHeight="1">
      <c r="A308" s="87"/>
      <c r="B308" s="88"/>
      <c r="C308" s="87"/>
      <c r="D308" s="87"/>
      <c r="E308" s="87"/>
      <c r="F308" s="92"/>
      <c r="G308" s="92"/>
      <c r="H308" s="87"/>
      <c r="I308" s="91"/>
      <c r="J308" s="87"/>
      <c r="K308" s="45" t="b">
        <v>0</v>
      </c>
      <c r="L308" s="45"/>
      <c r="M308" s="43"/>
      <c r="N308" s="43"/>
      <c r="O308" s="43"/>
      <c r="P308" s="43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</row>
    <row r="309" ht="15.75" customHeight="1">
      <c r="A309" s="87"/>
      <c r="B309" s="88"/>
      <c r="C309" s="87"/>
      <c r="D309" s="87"/>
      <c r="E309" s="87"/>
      <c r="F309" s="92"/>
      <c r="G309" s="92"/>
      <c r="H309" s="87"/>
      <c r="I309" s="91"/>
      <c r="J309" s="87"/>
      <c r="K309" s="45" t="b">
        <v>0</v>
      </c>
      <c r="L309" s="45"/>
      <c r="M309" s="43"/>
      <c r="N309" s="43"/>
      <c r="O309" s="43"/>
      <c r="P309" s="43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</row>
    <row r="310" ht="15.75" customHeight="1">
      <c r="A310" s="87"/>
      <c r="B310" s="88"/>
      <c r="C310" s="87"/>
      <c r="D310" s="87"/>
      <c r="E310" s="87"/>
      <c r="F310" s="92"/>
      <c r="G310" s="92"/>
      <c r="H310" s="87"/>
      <c r="I310" s="91"/>
      <c r="J310" s="87"/>
      <c r="K310" s="45" t="b">
        <v>0</v>
      </c>
      <c r="L310" s="45"/>
      <c r="M310" s="43"/>
      <c r="N310" s="43"/>
      <c r="O310" s="43"/>
      <c r="P310" s="43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</row>
    <row r="311" ht="15.75" customHeight="1">
      <c r="A311" s="87"/>
      <c r="B311" s="88"/>
      <c r="C311" s="87"/>
      <c r="D311" s="87"/>
      <c r="E311" s="87"/>
      <c r="F311" s="92"/>
      <c r="G311" s="92"/>
      <c r="H311" s="87"/>
      <c r="I311" s="91"/>
      <c r="J311" s="87"/>
      <c r="K311" s="45" t="b">
        <v>0</v>
      </c>
      <c r="L311" s="45"/>
      <c r="M311" s="43"/>
      <c r="N311" s="43"/>
      <c r="O311" s="43"/>
      <c r="P311" s="43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</row>
    <row r="312" ht="15.75" customHeight="1">
      <c r="A312" s="87"/>
      <c r="B312" s="88"/>
      <c r="C312" s="87"/>
      <c r="D312" s="87"/>
      <c r="E312" s="87"/>
      <c r="F312" s="92"/>
      <c r="G312" s="92"/>
      <c r="H312" s="87"/>
      <c r="I312" s="91"/>
      <c r="J312" s="87"/>
      <c r="K312" s="45" t="b">
        <v>0</v>
      </c>
      <c r="L312" s="45"/>
      <c r="M312" s="43"/>
      <c r="N312" s="43"/>
      <c r="O312" s="43"/>
      <c r="P312" s="43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</row>
    <row r="313" ht="15.75" customHeight="1">
      <c r="A313" s="87"/>
      <c r="B313" s="88"/>
      <c r="C313" s="87"/>
      <c r="D313" s="87"/>
      <c r="E313" s="87"/>
      <c r="F313" s="92"/>
      <c r="G313" s="92"/>
      <c r="H313" s="87"/>
      <c r="I313" s="91"/>
      <c r="J313" s="87"/>
      <c r="K313" s="45" t="b">
        <v>0</v>
      </c>
      <c r="L313" s="45"/>
      <c r="M313" s="43"/>
      <c r="N313" s="43"/>
      <c r="O313" s="43"/>
      <c r="P313" s="43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</row>
    <row r="314" ht="15.75" customHeight="1">
      <c r="A314" s="87"/>
      <c r="B314" s="88"/>
      <c r="C314" s="87"/>
      <c r="D314" s="87"/>
      <c r="E314" s="87"/>
      <c r="F314" s="92"/>
      <c r="G314" s="92"/>
      <c r="H314" s="87"/>
      <c r="I314" s="91"/>
      <c r="J314" s="87"/>
      <c r="K314" s="45" t="b">
        <v>0</v>
      </c>
      <c r="L314" s="45"/>
      <c r="M314" s="43"/>
      <c r="N314" s="43"/>
      <c r="O314" s="43"/>
      <c r="P314" s="43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</row>
    <row r="315" ht="15.75" customHeight="1">
      <c r="A315" s="87"/>
      <c r="B315" s="88"/>
      <c r="C315" s="87"/>
      <c r="D315" s="87"/>
      <c r="E315" s="87"/>
      <c r="F315" s="92"/>
      <c r="G315" s="92"/>
      <c r="H315" s="87"/>
      <c r="I315" s="91"/>
      <c r="J315" s="87"/>
      <c r="K315" s="45" t="b">
        <v>0</v>
      </c>
      <c r="L315" s="45"/>
      <c r="M315" s="43"/>
      <c r="N315" s="43"/>
      <c r="O315" s="43"/>
      <c r="P315" s="43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</row>
    <row r="316" ht="15.75" customHeight="1">
      <c r="A316" s="87"/>
      <c r="B316" s="88"/>
      <c r="C316" s="87"/>
      <c r="D316" s="87"/>
      <c r="E316" s="87"/>
      <c r="F316" s="92"/>
      <c r="G316" s="92"/>
      <c r="H316" s="87"/>
      <c r="I316" s="91"/>
      <c r="J316" s="87"/>
      <c r="K316" s="45" t="b">
        <v>0</v>
      </c>
      <c r="L316" s="45"/>
      <c r="M316" s="43"/>
      <c r="N316" s="43"/>
      <c r="O316" s="43"/>
      <c r="P316" s="43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</row>
    <row r="317" ht="15.75" customHeight="1">
      <c r="A317" s="87"/>
      <c r="B317" s="88"/>
      <c r="C317" s="87"/>
      <c r="D317" s="87"/>
      <c r="E317" s="87"/>
      <c r="F317" s="92"/>
      <c r="G317" s="92"/>
      <c r="H317" s="87"/>
      <c r="I317" s="91"/>
      <c r="J317" s="87"/>
      <c r="K317" s="45" t="b">
        <v>0</v>
      </c>
      <c r="L317" s="45"/>
      <c r="M317" s="43"/>
      <c r="N317" s="43"/>
      <c r="O317" s="43"/>
      <c r="P317" s="43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</row>
    <row r="318" ht="15.75" customHeight="1">
      <c r="A318" s="87"/>
      <c r="B318" s="88"/>
      <c r="C318" s="87"/>
      <c r="D318" s="87"/>
      <c r="E318" s="87"/>
      <c r="F318" s="92"/>
      <c r="G318" s="92"/>
      <c r="H318" s="87"/>
      <c r="I318" s="91"/>
      <c r="J318" s="87"/>
      <c r="K318" s="45" t="b">
        <v>0</v>
      </c>
      <c r="L318" s="45"/>
      <c r="M318" s="43"/>
      <c r="N318" s="43"/>
      <c r="O318" s="43"/>
      <c r="P318" s="43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</row>
    <row r="319" ht="15.75" customHeight="1">
      <c r="A319" s="87"/>
      <c r="B319" s="88"/>
      <c r="C319" s="87"/>
      <c r="D319" s="87"/>
      <c r="E319" s="87"/>
      <c r="F319" s="92"/>
      <c r="G319" s="92"/>
      <c r="H319" s="87"/>
      <c r="I319" s="91"/>
      <c r="J319" s="87"/>
      <c r="K319" s="45" t="b">
        <v>0</v>
      </c>
      <c r="L319" s="45"/>
      <c r="M319" s="43"/>
      <c r="N319" s="43"/>
      <c r="O319" s="43"/>
      <c r="P319" s="43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</row>
    <row r="320" ht="15.75" customHeight="1">
      <c r="A320" s="87"/>
      <c r="B320" s="88"/>
      <c r="C320" s="87"/>
      <c r="D320" s="87"/>
      <c r="E320" s="87"/>
      <c r="F320" s="92"/>
      <c r="G320" s="92"/>
      <c r="H320" s="87"/>
      <c r="I320" s="91"/>
      <c r="J320" s="87"/>
      <c r="K320" s="45" t="b">
        <v>0</v>
      </c>
      <c r="L320" s="45"/>
      <c r="M320" s="43"/>
      <c r="N320" s="43"/>
      <c r="O320" s="43"/>
      <c r="P320" s="43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</row>
    <row r="321" ht="15.75" customHeight="1">
      <c r="A321" s="87"/>
      <c r="B321" s="88"/>
      <c r="C321" s="87"/>
      <c r="D321" s="87"/>
      <c r="E321" s="87"/>
      <c r="F321" s="92"/>
      <c r="G321" s="92"/>
      <c r="H321" s="87"/>
      <c r="I321" s="91"/>
      <c r="J321" s="87"/>
      <c r="K321" s="45" t="b">
        <v>0</v>
      </c>
      <c r="L321" s="45"/>
      <c r="M321" s="43"/>
      <c r="N321" s="43"/>
      <c r="O321" s="43"/>
      <c r="P321" s="43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</row>
    <row r="322" ht="15.75" customHeight="1">
      <c r="A322" s="87"/>
      <c r="B322" s="88"/>
      <c r="C322" s="87"/>
      <c r="D322" s="87"/>
      <c r="E322" s="87"/>
      <c r="F322" s="92"/>
      <c r="G322" s="92"/>
      <c r="H322" s="87"/>
      <c r="I322" s="91"/>
      <c r="J322" s="87"/>
      <c r="K322" s="45" t="b">
        <v>0</v>
      </c>
      <c r="L322" s="45"/>
      <c r="M322" s="43"/>
      <c r="N322" s="43"/>
      <c r="O322" s="43"/>
      <c r="P322" s="43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</row>
    <row r="323" ht="15.75" customHeight="1">
      <c r="A323" s="87"/>
      <c r="B323" s="88"/>
      <c r="C323" s="87"/>
      <c r="D323" s="87"/>
      <c r="E323" s="87"/>
      <c r="F323" s="92"/>
      <c r="G323" s="92"/>
      <c r="H323" s="87"/>
      <c r="I323" s="91"/>
      <c r="J323" s="87"/>
      <c r="K323" s="45" t="b">
        <v>0</v>
      </c>
      <c r="L323" s="45"/>
      <c r="M323" s="43"/>
      <c r="N323" s="43"/>
      <c r="O323" s="43"/>
      <c r="P323" s="43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</row>
    <row r="324" ht="15.75" customHeight="1">
      <c r="A324" s="87"/>
      <c r="B324" s="88"/>
      <c r="C324" s="87"/>
      <c r="D324" s="87"/>
      <c r="E324" s="87"/>
      <c r="F324" s="92"/>
      <c r="G324" s="92"/>
      <c r="H324" s="87"/>
      <c r="I324" s="91"/>
      <c r="J324" s="87"/>
      <c r="K324" s="45" t="b">
        <v>0</v>
      </c>
      <c r="L324" s="45"/>
      <c r="M324" s="43"/>
      <c r="N324" s="43"/>
      <c r="O324" s="43"/>
      <c r="P324" s="43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</row>
    <row r="325" ht="15.75" customHeight="1">
      <c r="A325" s="87"/>
      <c r="B325" s="88"/>
      <c r="C325" s="87"/>
      <c r="D325" s="87"/>
      <c r="E325" s="87"/>
      <c r="F325" s="92"/>
      <c r="G325" s="92"/>
      <c r="H325" s="87"/>
      <c r="I325" s="91"/>
      <c r="J325" s="87"/>
      <c r="K325" s="45" t="b">
        <v>0</v>
      </c>
      <c r="L325" s="45"/>
      <c r="M325" s="43"/>
      <c r="N325" s="43"/>
      <c r="O325" s="43"/>
      <c r="P325" s="43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</row>
    <row r="326" ht="15.75" customHeight="1">
      <c r="A326" s="87"/>
      <c r="B326" s="88"/>
      <c r="C326" s="87"/>
      <c r="D326" s="87"/>
      <c r="E326" s="87"/>
      <c r="F326" s="92"/>
      <c r="G326" s="92"/>
      <c r="H326" s="87"/>
      <c r="I326" s="91"/>
      <c r="J326" s="87"/>
      <c r="K326" s="45" t="b">
        <v>0</v>
      </c>
      <c r="L326" s="45"/>
      <c r="M326" s="43"/>
      <c r="N326" s="43"/>
      <c r="O326" s="43"/>
      <c r="P326" s="43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</row>
    <row r="327" ht="15.75" customHeight="1">
      <c r="A327" s="87"/>
      <c r="B327" s="88"/>
      <c r="C327" s="87"/>
      <c r="D327" s="87"/>
      <c r="E327" s="87"/>
      <c r="F327" s="92"/>
      <c r="G327" s="92"/>
      <c r="H327" s="87"/>
      <c r="I327" s="91"/>
      <c r="J327" s="87"/>
      <c r="K327" s="45" t="b">
        <v>0</v>
      </c>
      <c r="L327" s="45"/>
      <c r="M327" s="43"/>
      <c r="N327" s="43"/>
      <c r="O327" s="43"/>
      <c r="P327" s="43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</row>
    <row r="328" ht="15.75" customHeight="1">
      <c r="A328" s="87"/>
      <c r="B328" s="88"/>
      <c r="C328" s="87"/>
      <c r="D328" s="87"/>
      <c r="E328" s="87"/>
      <c r="F328" s="92"/>
      <c r="G328" s="92"/>
      <c r="H328" s="87"/>
      <c r="I328" s="91"/>
      <c r="J328" s="87"/>
      <c r="K328" s="45" t="b">
        <v>0</v>
      </c>
      <c r="L328" s="45"/>
      <c r="M328" s="43"/>
      <c r="N328" s="43"/>
      <c r="O328" s="43"/>
      <c r="P328" s="43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</row>
    <row r="329" ht="15.75" customHeight="1">
      <c r="A329" s="87"/>
      <c r="B329" s="88"/>
      <c r="C329" s="87"/>
      <c r="D329" s="87"/>
      <c r="E329" s="87"/>
      <c r="F329" s="92"/>
      <c r="G329" s="92"/>
      <c r="H329" s="87"/>
      <c r="I329" s="91"/>
      <c r="J329" s="87"/>
      <c r="K329" s="45" t="b">
        <v>0</v>
      </c>
      <c r="L329" s="45"/>
      <c r="M329" s="43"/>
      <c r="N329" s="43"/>
      <c r="O329" s="43"/>
      <c r="P329" s="43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</row>
    <row r="330" ht="15.75" customHeight="1">
      <c r="A330" s="87"/>
      <c r="B330" s="88"/>
      <c r="C330" s="87"/>
      <c r="D330" s="87"/>
      <c r="E330" s="87"/>
      <c r="F330" s="92"/>
      <c r="G330" s="92"/>
      <c r="H330" s="87"/>
      <c r="I330" s="91"/>
      <c r="J330" s="87"/>
      <c r="K330" s="45" t="b">
        <v>0</v>
      </c>
      <c r="L330" s="45"/>
      <c r="M330" s="43"/>
      <c r="N330" s="43"/>
      <c r="O330" s="43"/>
      <c r="P330" s="43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</row>
    <row r="331" ht="15.75" customHeight="1">
      <c r="A331" s="87"/>
      <c r="B331" s="88"/>
      <c r="C331" s="87"/>
      <c r="D331" s="87"/>
      <c r="E331" s="87"/>
      <c r="F331" s="92"/>
      <c r="G331" s="92"/>
      <c r="H331" s="87"/>
      <c r="I331" s="91"/>
      <c r="J331" s="87"/>
      <c r="K331" s="45" t="b">
        <v>0</v>
      </c>
      <c r="L331" s="45"/>
      <c r="M331" s="43"/>
      <c r="N331" s="43"/>
      <c r="O331" s="43"/>
      <c r="P331" s="43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</row>
    <row r="332" ht="15.75" customHeight="1">
      <c r="A332" s="87"/>
      <c r="B332" s="88"/>
      <c r="C332" s="87"/>
      <c r="D332" s="87"/>
      <c r="E332" s="87"/>
      <c r="F332" s="92"/>
      <c r="G332" s="92"/>
      <c r="H332" s="87"/>
      <c r="I332" s="91"/>
      <c r="J332" s="87"/>
      <c r="K332" s="45" t="b">
        <v>0</v>
      </c>
      <c r="L332" s="45"/>
      <c r="M332" s="43"/>
      <c r="N332" s="43"/>
      <c r="O332" s="43"/>
      <c r="P332" s="43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</row>
    <row r="333" ht="15.75" customHeight="1">
      <c r="A333" s="87"/>
      <c r="B333" s="88"/>
      <c r="C333" s="87"/>
      <c r="D333" s="87"/>
      <c r="E333" s="87"/>
      <c r="F333" s="92"/>
      <c r="G333" s="92"/>
      <c r="H333" s="87"/>
      <c r="I333" s="91"/>
      <c r="J333" s="87"/>
      <c r="K333" s="45" t="b">
        <v>0</v>
      </c>
      <c r="L333" s="45"/>
      <c r="M333" s="43"/>
      <c r="N333" s="43"/>
      <c r="O333" s="43"/>
      <c r="P333" s="43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</row>
    <row r="334" ht="15.75" customHeight="1">
      <c r="A334" s="87"/>
      <c r="B334" s="88"/>
      <c r="C334" s="87"/>
      <c r="D334" s="87"/>
      <c r="E334" s="87"/>
      <c r="F334" s="92"/>
      <c r="G334" s="92"/>
      <c r="H334" s="87"/>
      <c r="I334" s="91"/>
      <c r="J334" s="87"/>
      <c r="K334" s="45" t="b">
        <v>0</v>
      </c>
      <c r="L334" s="45"/>
      <c r="M334" s="43"/>
      <c r="N334" s="43"/>
      <c r="O334" s="43"/>
      <c r="P334" s="43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</row>
    <row r="335" ht="15.75" customHeight="1">
      <c r="A335" s="87"/>
      <c r="B335" s="88"/>
      <c r="C335" s="87"/>
      <c r="D335" s="87"/>
      <c r="E335" s="87"/>
      <c r="F335" s="92"/>
      <c r="G335" s="92"/>
      <c r="H335" s="87"/>
      <c r="I335" s="91"/>
      <c r="J335" s="87"/>
      <c r="K335" s="45" t="b">
        <v>0</v>
      </c>
      <c r="L335" s="45"/>
      <c r="M335" s="43"/>
      <c r="N335" s="43"/>
      <c r="O335" s="43"/>
      <c r="P335" s="43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</row>
    <row r="336" ht="15.75" customHeight="1">
      <c r="A336" s="87"/>
      <c r="B336" s="88"/>
      <c r="C336" s="87"/>
      <c r="D336" s="87"/>
      <c r="E336" s="87"/>
      <c r="F336" s="92"/>
      <c r="G336" s="92"/>
      <c r="H336" s="87"/>
      <c r="I336" s="91"/>
      <c r="J336" s="87"/>
      <c r="K336" s="45" t="b">
        <v>0</v>
      </c>
      <c r="L336" s="45"/>
      <c r="M336" s="43"/>
      <c r="N336" s="43"/>
      <c r="O336" s="43"/>
      <c r="P336" s="43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</row>
    <row r="337" ht="15.75" customHeight="1">
      <c r="A337" s="87"/>
      <c r="B337" s="88"/>
      <c r="C337" s="87"/>
      <c r="D337" s="87"/>
      <c r="E337" s="87"/>
      <c r="F337" s="92"/>
      <c r="G337" s="92"/>
      <c r="H337" s="87"/>
      <c r="I337" s="91"/>
      <c r="J337" s="87"/>
      <c r="K337" s="45" t="b">
        <v>0</v>
      </c>
      <c r="L337" s="45"/>
      <c r="M337" s="43"/>
      <c r="N337" s="43"/>
      <c r="O337" s="43"/>
      <c r="P337" s="43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</row>
    <row r="338" ht="15.75" customHeight="1">
      <c r="A338" s="87"/>
      <c r="B338" s="88"/>
      <c r="C338" s="87"/>
      <c r="D338" s="87"/>
      <c r="E338" s="87"/>
      <c r="F338" s="92"/>
      <c r="G338" s="92"/>
      <c r="H338" s="87"/>
      <c r="I338" s="91"/>
      <c r="J338" s="87"/>
      <c r="K338" s="45" t="b">
        <v>0</v>
      </c>
      <c r="L338" s="45"/>
      <c r="M338" s="43"/>
      <c r="N338" s="43"/>
      <c r="O338" s="43"/>
      <c r="P338" s="43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</row>
    <row r="339" ht="15.75" customHeight="1">
      <c r="A339" s="87"/>
      <c r="B339" s="88"/>
      <c r="C339" s="87"/>
      <c r="D339" s="87"/>
      <c r="E339" s="87"/>
      <c r="F339" s="92"/>
      <c r="G339" s="92"/>
      <c r="H339" s="87"/>
      <c r="I339" s="91"/>
      <c r="J339" s="87"/>
      <c r="K339" s="45" t="b">
        <v>0</v>
      </c>
      <c r="L339" s="45"/>
      <c r="M339" s="43"/>
      <c r="N339" s="43"/>
      <c r="O339" s="43"/>
      <c r="P339" s="43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</row>
    <row r="340" ht="15.75" customHeight="1">
      <c r="A340" s="87"/>
      <c r="B340" s="88"/>
      <c r="C340" s="87"/>
      <c r="D340" s="87"/>
      <c r="E340" s="87"/>
      <c r="F340" s="92"/>
      <c r="G340" s="92"/>
      <c r="H340" s="87"/>
      <c r="I340" s="91"/>
      <c r="J340" s="87"/>
      <c r="K340" s="45" t="b">
        <v>0</v>
      </c>
      <c r="L340" s="45"/>
      <c r="M340" s="43"/>
      <c r="N340" s="43"/>
      <c r="O340" s="43"/>
      <c r="P340" s="43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</row>
    <row r="341" ht="15.75" customHeight="1">
      <c r="A341" s="87"/>
      <c r="B341" s="88"/>
      <c r="C341" s="87"/>
      <c r="D341" s="87"/>
      <c r="E341" s="87"/>
      <c r="F341" s="92"/>
      <c r="G341" s="92"/>
      <c r="H341" s="87"/>
      <c r="I341" s="91"/>
      <c r="J341" s="87"/>
      <c r="K341" s="45" t="b">
        <v>0</v>
      </c>
      <c r="L341" s="45"/>
      <c r="M341" s="43"/>
      <c r="N341" s="43"/>
      <c r="O341" s="43"/>
      <c r="P341" s="43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</row>
    <row r="342" ht="15.75" customHeight="1">
      <c r="A342" s="87"/>
      <c r="B342" s="88"/>
      <c r="C342" s="87"/>
      <c r="D342" s="87"/>
      <c r="E342" s="87"/>
      <c r="F342" s="92"/>
      <c r="G342" s="92"/>
      <c r="H342" s="87"/>
      <c r="I342" s="91"/>
      <c r="J342" s="87"/>
      <c r="K342" s="45" t="b">
        <v>0</v>
      </c>
      <c r="L342" s="45"/>
      <c r="M342" s="43"/>
      <c r="N342" s="43"/>
      <c r="O342" s="43"/>
      <c r="P342" s="43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</row>
    <row r="343" ht="15.75" customHeight="1">
      <c r="A343" s="87"/>
      <c r="B343" s="88"/>
      <c r="C343" s="87"/>
      <c r="D343" s="87"/>
      <c r="E343" s="87"/>
      <c r="F343" s="92"/>
      <c r="G343" s="92"/>
      <c r="H343" s="87"/>
      <c r="I343" s="91"/>
      <c r="J343" s="87"/>
      <c r="K343" s="45" t="b">
        <v>0</v>
      </c>
      <c r="L343" s="45"/>
      <c r="M343" s="43"/>
      <c r="N343" s="43"/>
      <c r="O343" s="43"/>
      <c r="P343" s="43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</row>
    <row r="344" ht="15.75" customHeight="1">
      <c r="A344" s="87"/>
      <c r="B344" s="88"/>
      <c r="C344" s="87"/>
      <c r="D344" s="87"/>
      <c r="E344" s="87"/>
      <c r="F344" s="92"/>
      <c r="G344" s="92"/>
      <c r="H344" s="87"/>
      <c r="I344" s="91"/>
      <c r="J344" s="87"/>
      <c r="K344" s="45" t="b">
        <v>0</v>
      </c>
      <c r="L344" s="45"/>
      <c r="M344" s="43"/>
      <c r="N344" s="43"/>
      <c r="O344" s="43"/>
      <c r="P344" s="43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</row>
    <row r="345" ht="15.75" customHeight="1">
      <c r="A345" s="87"/>
      <c r="B345" s="88"/>
      <c r="C345" s="87"/>
      <c r="D345" s="87"/>
      <c r="E345" s="87"/>
      <c r="F345" s="92"/>
      <c r="G345" s="92"/>
      <c r="H345" s="87"/>
      <c r="I345" s="91"/>
      <c r="J345" s="87"/>
      <c r="K345" s="45" t="b">
        <v>0</v>
      </c>
      <c r="L345" s="45"/>
      <c r="M345" s="43"/>
      <c r="N345" s="43"/>
      <c r="O345" s="43"/>
      <c r="P345" s="43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</row>
    <row r="346" ht="15.75" customHeight="1">
      <c r="A346" s="87"/>
      <c r="B346" s="88"/>
      <c r="C346" s="87"/>
      <c r="D346" s="87"/>
      <c r="E346" s="87"/>
      <c r="F346" s="92"/>
      <c r="G346" s="92"/>
      <c r="H346" s="87"/>
      <c r="I346" s="91"/>
      <c r="J346" s="87"/>
      <c r="K346" s="45" t="b">
        <v>0</v>
      </c>
      <c r="L346" s="45"/>
      <c r="M346" s="43"/>
      <c r="N346" s="43"/>
      <c r="O346" s="43"/>
      <c r="P346" s="43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</row>
    <row r="347" ht="15.75" customHeight="1">
      <c r="A347" s="87"/>
      <c r="B347" s="88"/>
      <c r="C347" s="87"/>
      <c r="D347" s="87"/>
      <c r="E347" s="87"/>
      <c r="F347" s="92"/>
      <c r="G347" s="92"/>
      <c r="H347" s="87"/>
      <c r="I347" s="91"/>
      <c r="J347" s="87"/>
      <c r="K347" s="45" t="b">
        <v>0</v>
      </c>
      <c r="L347" s="45"/>
      <c r="M347" s="43"/>
      <c r="N347" s="43"/>
      <c r="O347" s="43"/>
      <c r="P347" s="43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</row>
    <row r="348" ht="15.75" customHeight="1">
      <c r="A348" s="87"/>
      <c r="B348" s="88"/>
      <c r="C348" s="87"/>
      <c r="D348" s="87"/>
      <c r="E348" s="87"/>
      <c r="F348" s="92"/>
      <c r="G348" s="92"/>
      <c r="H348" s="87"/>
      <c r="I348" s="91"/>
      <c r="J348" s="87"/>
      <c r="K348" s="45" t="b">
        <v>0</v>
      </c>
      <c r="L348" s="45"/>
      <c r="M348" s="43"/>
      <c r="N348" s="43"/>
      <c r="O348" s="43"/>
      <c r="P348" s="43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</row>
    <row r="349" ht="15.75" customHeight="1">
      <c r="A349" s="87"/>
      <c r="B349" s="88"/>
      <c r="C349" s="87"/>
      <c r="D349" s="87"/>
      <c r="E349" s="87"/>
      <c r="F349" s="92"/>
      <c r="G349" s="92"/>
      <c r="H349" s="87"/>
      <c r="I349" s="91"/>
      <c r="J349" s="87"/>
      <c r="K349" s="45" t="b">
        <v>0</v>
      </c>
      <c r="L349" s="45"/>
      <c r="M349" s="43"/>
      <c r="N349" s="43"/>
      <c r="O349" s="43"/>
      <c r="P349" s="43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</row>
    <row r="350" ht="15.75" customHeight="1">
      <c r="A350" s="87"/>
      <c r="B350" s="88"/>
      <c r="C350" s="87"/>
      <c r="D350" s="87"/>
      <c r="E350" s="87"/>
      <c r="F350" s="92"/>
      <c r="G350" s="92"/>
      <c r="H350" s="87"/>
      <c r="I350" s="91"/>
      <c r="J350" s="87"/>
      <c r="K350" s="45" t="b">
        <v>0</v>
      </c>
      <c r="L350" s="45"/>
      <c r="M350" s="43"/>
      <c r="N350" s="43"/>
      <c r="O350" s="43"/>
      <c r="P350" s="43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</row>
    <row r="351" ht="15.75" customHeight="1">
      <c r="A351" s="87"/>
      <c r="B351" s="88"/>
      <c r="C351" s="87"/>
      <c r="D351" s="87"/>
      <c r="E351" s="87"/>
      <c r="F351" s="92"/>
      <c r="G351" s="92"/>
      <c r="H351" s="87"/>
      <c r="I351" s="91"/>
      <c r="J351" s="87"/>
      <c r="K351" s="45" t="b">
        <v>0</v>
      </c>
      <c r="L351" s="45"/>
      <c r="M351" s="43"/>
      <c r="N351" s="43"/>
      <c r="O351" s="43"/>
      <c r="P351" s="43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</row>
    <row r="352" ht="15.75" customHeight="1">
      <c r="A352" s="87"/>
      <c r="B352" s="88"/>
      <c r="C352" s="87"/>
      <c r="D352" s="87"/>
      <c r="E352" s="87"/>
      <c r="F352" s="92"/>
      <c r="G352" s="92"/>
      <c r="H352" s="87"/>
      <c r="I352" s="91"/>
      <c r="J352" s="87"/>
      <c r="K352" s="45" t="b">
        <v>0</v>
      </c>
      <c r="L352" s="45"/>
      <c r="M352" s="43"/>
      <c r="N352" s="43"/>
      <c r="O352" s="43"/>
      <c r="P352" s="43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</row>
    <row r="353" ht="15.75" customHeight="1">
      <c r="A353" s="87"/>
      <c r="B353" s="88"/>
      <c r="C353" s="87"/>
      <c r="D353" s="87"/>
      <c r="E353" s="87"/>
      <c r="F353" s="92"/>
      <c r="G353" s="92"/>
      <c r="H353" s="87"/>
      <c r="I353" s="91"/>
      <c r="J353" s="87"/>
      <c r="K353" s="45" t="b">
        <v>0</v>
      </c>
      <c r="L353" s="45"/>
      <c r="M353" s="43"/>
      <c r="N353" s="43"/>
      <c r="O353" s="43"/>
      <c r="P353" s="43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</row>
    <row r="354" ht="15.75" customHeight="1">
      <c r="A354" s="87"/>
      <c r="B354" s="88"/>
      <c r="C354" s="87"/>
      <c r="D354" s="87"/>
      <c r="E354" s="87"/>
      <c r="F354" s="92"/>
      <c r="G354" s="92"/>
      <c r="H354" s="87"/>
      <c r="I354" s="91"/>
      <c r="J354" s="87"/>
      <c r="K354" s="45" t="b">
        <v>0</v>
      </c>
      <c r="L354" s="45"/>
      <c r="M354" s="43"/>
      <c r="N354" s="43"/>
      <c r="O354" s="43"/>
      <c r="P354" s="43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</row>
    <row r="355" ht="15.75" customHeight="1">
      <c r="A355" s="87"/>
      <c r="B355" s="88"/>
      <c r="C355" s="87"/>
      <c r="D355" s="87"/>
      <c r="E355" s="87"/>
      <c r="F355" s="92"/>
      <c r="G355" s="92"/>
      <c r="H355" s="87"/>
      <c r="I355" s="91"/>
      <c r="J355" s="87"/>
      <c r="K355" s="45" t="b">
        <v>0</v>
      </c>
      <c r="L355" s="45"/>
      <c r="M355" s="43"/>
      <c r="N355" s="43"/>
      <c r="O355" s="43"/>
      <c r="P355" s="43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</row>
    <row r="356" ht="15.75" customHeight="1">
      <c r="A356" s="87"/>
      <c r="B356" s="88"/>
      <c r="C356" s="87"/>
      <c r="D356" s="87"/>
      <c r="E356" s="87"/>
      <c r="F356" s="92"/>
      <c r="G356" s="92"/>
      <c r="H356" s="87"/>
      <c r="I356" s="91"/>
      <c r="J356" s="87"/>
      <c r="K356" s="45" t="b">
        <v>0</v>
      </c>
      <c r="L356" s="45"/>
      <c r="M356" s="43"/>
      <c r="N356" s="43"/>
      <c r="O356" s="43"/>
      <c r="P356" s="43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</row>
    <row r="357" ht="15.75" customHeight="1">
      <c r="A357" s="87"/>
      <c r="B357" s="88"/>
      <c r="C357" s="87"/>
      <c r="D357" s="87"/>
      <c r="E357" s="87"/>
      <c r="F357" s="92"/>
      <c r="G357" s="92"/>
      <c r="H357" s="87"/>
      <c r="I357" s="91"/>
      <c r="J357" s="87"/>
      <c r="K357" s="45" t="b">
        <v>0</v>
      </c>
      <c r="L357" s="45"/>
      <c r="M357" s="43"/>
      <c r="N357" s="43"/>
      <c r="O357" s="43"/>
      <c r="P357" s="43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</row>
    <row r="358" ht="15.75" customHeight="1">
      <c r="A358" s="87"/>
      <c r="B358" s="88"/>
      <c r="C358" s="87"/>
      <c r="D358" s="87"/>
      <c r="E358" s="87"/>
      <c r="F358" s="92"/>
      <c r="G358" s="92"/>
      <c r="H358" s="87"/>
      <c r="I358" s="91"/>
      <c r="J358" s="87"/>
      <c r="K358" s="45" t="b">
        <v>0</v>
      </c>
      <c r="L358" s="45"/>
      <c r="M358" s="43"/>
      <c r="N358" s="43"/>
      <c r="O358" s="43"/>
      <c r="P358" s="43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</row>
    <row r="359" ht="15.75" customHeight="1">
      <c r="A359" s="87"/>
      <c r="B359" s="88"/>
      <c r="C359" s="87"/>
      <c r="D359" s="87"/>
      <c r="E359" s="87"/>
      <c r="F359" s="92"/>
      <c r="G359" s="92"/>
      <c r="H359" s="87"/>
      <c r="I359" s="91"/>
      <c r="J359" s="87"/>
      <c r="K359" s="45" t="b">
        <v>0</v>
      </c>
      <c r="L359" s="45"/>
      <c r="M359" s="43"/>
      <c r="N359" s="43"/>
      <c r="O359" s="43"/>
      <c r="P359" s="43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</row>
    <row r="360" ht="15.75" customHeight="1">
      <c r="A360" s="87"/>
      <c r="B360" s="88"/>
      <c r="C360" s="87"/>
      <c r="D360" s="87"/>
      <c r="E360" s="87"/>
      <c r="F360" s="92"/>
      <c r="G360" s="92"/>
      <c r="H360" s="87"/>
      <c r="I360" s="91"/>
      <c r="J360" s="87"/>
      <c r="K360" s="45" t="b">
        <v>0</v>
      </c>
      <c r="L360" s="45"/>
      <c r="M360" s="43"/>
      <c r="N360" s="43"/>
      <c r="O360" s="43"/>
      <c r="P360" s="43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</row>
    <row r="361" ht="15.75" customHeight="1">
      <c r="A361" s="87"/>
      <c r="B361" s="88"/>
      <c r="C361" s="87"/>
      <c r="D361" s="87"/>
      <c r="E361" s="87"/>
      <c r="F361" s="92"/>
      <c r="G361" s="92"/>
      <c r="H361" s="87"/>
      <c r="I361" s="91"/>
      <c r="J361" s="87"/>
      <c r="K361" s="45" t="b">
        <v>0</v>
      </c>
      <c r="L361" s="45"/>
      <c r="M361" s="43"/>
      <c r="N361" s="43"/>
      <c r="O361" s="43"/>
      <c r="P361" s="43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</row>
    <row r="362" ht="15.75" customHeight="1">
      <c r="A362" s="87"/>
      <c r="B362" s="88"/>
      <c r="C362" s="87"/>
      <c r="D362" s="87"/>
      <c r="E362" s="87"/>
      <c r="F362" s="92"/>
      <c r="G362" s="92"/>
      <c r="H362" s="87"/>
      <c r="I362" s="91"/>
      <c r="J362" s="87"/>
      <c r="K362" s="45" t="b">
        <v>0</v>
      </c>
      <c r="L362" s="45"/>
      <c r="M362" s="43"/>
      <c r="N362" s="43"/>
      <c r="O362" s="43"/>
      <c r="P362" s="43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</row>
    <row r="363" ht="15.75" customHeight="1">
      <c r="A363" s="87"/>
      <c r="B363" s="88"/>
      <c r="C363" s="87"/>
      <c r="D363" s="87"/>
      <c r="E363" s="87"/>
      <c r="F363" s="92"/>
      <c r="G363" s="92"/>
      <c r="H363" s="87"/>
      <c r="I363" s="91"/>
      <c r="J363" s="87"/>
      <c r="K363" s="45" t="b">
        <v>0</v>
      </c>
      <c r="L363" s="45"/>
      <c r="M363" s="43"/>
      <c r="N363" s="43"/>
      <c r="O363" s="43"/>
      <c r="P363" s="43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</row>
    <row r="364" ht="15.75" customHeight="1">
      <c r="A364" s="87"/>
      <c r="B364" s="88"/>
      <c r="C364" s="87"/>
      <c r="D364" s="87"/>
      <c r="E364" s="87"/>
      <c r="F364" s="92"/>
      <c r="G364" s="92"/>
      <c r="H364" s="87"/>
      <c r="I364" s="91"/>
      <c r="J364" s="87"/>
      <c r="K364" s="45" t="b">
        <v>0</v>
      </c>
      <c r="L364" s="45"/>
      <c r="M364" s="43"/>
      <c r="N364" s="43"/>
      <c r="O364" s="43"/>
      <c r="P364" s="43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</row>
    <row r="365" ht="15.75" customHeight="1">
      <c r="A365" s="87"/>
      <c r="B365" s="88"/>
      <c r="C365" s="87"/>
      <c r="D365" s="87"/>
      <c r="E365" s="87"/>
      <c r="F365" s="92"/>
      <c r="G365" s="92"/>
      <c r="H365" s="87"/>
      <c r="I365" s="91"/>
      <c r="J365" s="87"/>
      <c r="K365" s="45" t="b">
        <v>0</v>
      </c>
      <c r="L365" s="45"/>
      <c r="M365" s="43"/>
      <c r="N365" s="43"/>
      <c r="O365" s="43"/>
      <c r="P365" s="43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</row>
    <row r="366" ht="15.75" customHeight="1">
      <c r="A366" s="87"/>
      <c r="B366" s="88"/>
      <c r="C366" s="87"/>
      <c r="D366" s="87"/>
      <c r="E366" s="87"/>
      <c r="F366" s="92"/>
      <c r="G366" s="92"/>
      <c r="H366" s="87"/>
      <c r="I366" s="91"/>
      <c r="J366" s="87"/>
      <c r="K366" s="45" t="b">
        <v>0</v>
      </c>
      <c r="L366" s="45"/>
      <c r="M366" s="43"/>
      <c r="N366" s="43"/>
      <c r="O366" s="43"/>
      <c r="P366" s="43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</row>
    <row r="367" ht="15.75" customHeight="1">
      <c r="A367" s="87"/>
      <c r="B367" s="88"/>
      <c r="C367" s="87"/>
      <c r="D367" s="87"/>
      <c r="E367" s="87"/>
      <c r="F367" s="92"/>
      <c r="G367" s="92"/>
      <c r="H367" s="87"/>
      <c r="I367" s="91"/>
      <c r="J367" s="87"/>
      <c r="K367" s="45" t="b">
        <v>0</v>
      </c>
      <c r="L367" s="45"/>
      <c r="M367" s="43"/>
      <c r="N367" s="43"/>
      <c r="O367" s="43"/>
      <c r="P367" s="43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</row>
    <row r="368" ht="15.75" customHeight="1">
      <c r="A368" s="87"/>
      <c r="B368" s="88"/>
      <c r="C368" s="87"/>
      <c r="D368" s="87"/>
      <c r="E368" s="87"/>
      <c r="F368" s="92"/>
      <c r="G368" s="92"/>
      <c r="H368" s="87"/>
      <c r="I368" s="91"/>
      <c r="J368" s="87"/>
      <c r="K368" s="45" t="b">
        <v>0</v>
      </c>
      <c r="L368" s="45"/>
      <c r="M368" s="43"/>
      <c r="N368" s="43"/>
      <c r="O368" s="43"/>
      <c r="P368" s="43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</row>
    <row r="369" ht="15.75" customHeight="1">
      <c r="A369" s="87"/>
      <c r="B369" s="88"/>
      <c r="C369" s="87"/>
      <c r="D369" s="87"/>
      <c r="E369" s="87"/>
      <c r="F369" s="92"/>
      <c r="G369" s="92"/>
      <c r="H369" s="87"/>
      <c r="I369" s="91"/>
      <c r="J369" s="87"/>
      <c r="K369" s="45" t="b">
        <v>0</v>
      </c>
      <c r="L369" s="45"/>
      <c r="M369" s="43"/>
      <c r="N369" s="43"/>
      <c r="O369" s="43"/>
      <c r="P369" s="43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</row>
    <row r="370" ht="15.75" customHeight="1">
      <c r="A370" s="87"/>
      <c r="B370" s="88"/>
      <c r="C370" s="87"/>
      <c r="D370" s="87"/>
      <c r="E370" s="87"/>
      <c r="F370" s="92"/>
      <c r="G370" s="92"/>
      <c r="H370" s="87"/>
      <c r="I370" s="91"/>
      <c r="J370" s="87"/>
      <c r="K370" s="45" t="b">
        <v>0</v>
      </c>
      <c r="L370" s="45"/>
      <c r="M370" s="43"/>
      <c r="N370" s="43"/>
      <c r="O370" s="43"/>
      <c r="P370" s="43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</row>
    <row r="371" ht="15.75" customHeight="1">
      <c r="A371" s="87"/>
      <c r="B371" s="88"/>
      <c r="C371" s="87"/>
      <c r="D371" s="87"/>
      <c r="E371" s="87"/>
      <c r="F371" s="92"/>
      <c r="G371" s="92"/>
      <c r="H371" s="87"/>
      <c r="I371" s="91"/>
      <c r="J371" s="87"/>
      <c r="K371" s="45" t="b">
        <v>0</v>
      </c>
      <c r="L371" s="45"/>
      <c r="M371" s="43"/>
      <c r="N371" s="43"/>
      <c r="O371" s="43"/>
      <c r="P371" s="43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</row>
    <row r="372" ht="15.75" customHeight="1">
      <c r="A372" s="87"/>
      <c r="B372" s="88"/>
      <c r="C372" s="87"/>
      <c r="D372" s="87"/>
      <c r="E372" s="87"/>
      <c r="F372" s="92"/>
      <c r="G372" s="92"/>
      <c r="H372" s="87"/>
      <c r="I372" s="91"/>
      <c r="J372" s="87"/>
      <c r="K372" s="45" t="b">
        <v>0</v>
      </c>
      <c r="L372" s="45"/>
      <c r="M372" s="43"/>
      <c r="N372" s="43"/>
      <c r="O372" s="43"/>
      <c r="P372" s="43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</row>
    <row r="373" ht="15.75" customHeight="1">
      <c r="A373" s="87"/>
      <c r="B373" s="88"/>
      <c r="C373" s="87"/>
      <c r="D373" s="87"/>
      <c r="E373" s="87"/>
      <c r="F373" s="92"/>
      <c r="G373" s="92"/>
      <c r="H373" s="87"/>
      <c r="I373" s="91"/>
      <c r="J373" s="87"/>
      <c r="K373" s="45" t="b">
        <v>0</v>
      </c>
      <c r="L373" s="45"/>
      <c r="M373" s="43"/>
      <c r="N373" s="43"/>
      <c r="O373" s="43"/>
      <c r="P373" s="43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</row>
    <row r="374" ht="15.75" customHeight="1">
      <c r="A374" s="87"/>
      <c r="B374" s="88"/>
      <c r="C374" s="87"/>
      <c r="D374" s="87"/>
      <c r="E374" s="87"/>
      <c r="F374" s="92"/>
      <c r="G374" s="92"/>
      <c r="H374" s="87"/>
      <c r="I374" s="91"/>
      <c r="J374" s="87"/>
      <c r="K374" s="45" t="b">
        <v>0</v>
      </c>
      <c r="L374" s="45"/>
      <c r="M374" s="43"/>
      <c r="N374" s="43"/>
      <c r="O374" s="43"/>
      <c r="P374" s="43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</row>
    <row r="375" ht="15.75" customHeight="1">
      <c r="A375" s="87"/>
      <c r="B375" s="88"/>
      <c r="C375" s="87"/>
      <c r="D375" s="87"/>
      <c r="E375" s="87"/>
      <c r="F375" s="92"/>
      <c r="G375" s="92"/>
      <c r="H375" s="87"/>
      <c r="I375" s="91"/>
      <c r="J375" s="87"/>
      <c r="K375" s="45" t="b">
        <v>0</v>
      </c>
      <c r="L375" s="45"/>
      <c r="M375" s="43"/>
      <c r="N375" s="43"/>
      <c r="O375" s="43"/>
      <c r="P375" s="43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</row>
    <row r="376" ht="15.75" customHeight="1">
      <c r="A376" s="87"/>
      <c r="B376" s="88"/>
      <c r="C376" s="87"/>
      <c r="D376" s="87"/>
      <c r="E376" s="87"/>
      <c r="F376" s="92"/>
      <c r="G376" s="92"/>
      <c r="H376" s="87"/>
      <c r="I376" s="91"/>
      <c r="J376" s="87"/>
      <c r="K376" s="45" t="b">
        <v>0</v>
      </c>
      <c r="L376" s="45"/>
      <c r="M376" s="43"/>
      <c r="N376" s="43"/>
      <c r="O376" s="43"/>
      <c r="P376" s="43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</row>
    <row r="377" ht="15.75" customHeight="1">
      <c r="A377" s="87"/>
      <c r="B377" s="88"/>
      <c r="C377" s="87"/>
      <c r="D377" s="87"/>
      <c r="E377" s="87"/>
      <c r="F377" s="92"/>
      <c r="G377" s="92"/>
      <c r="H377" s="87"/>
      <c r="I377" s="91"/>
      <c r="J377" s="87"/>
      <c r="K377" s="45" t="b">
        <v>0</v>
      </c>
      <c r="L377" s="45"/>
      <c r="M377" s="43"/>
      <c r="N377" s="43"/>
      <c r="O377" s="43"/>
      <c r="P377" s="43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</row>
    <row r="378" ht="15.75" customHeight="1">
      <c r="A378" s="87"/>
      <c r="B378" s="88"/>
      <c r="C378" s="87"/>
      <c r="D378" s="87"/>
      <c r="E378" s="87"/>
      <c r="F378" s="92"/>
      <c r="G378" s="92"/>
      <c r="H378" s="87"/>
      <c r="I378" s="91"/>
      <c r="J378" s="87"/>
      <c r="K378" s="45" t="b">
        <v>0</v>
      </c>
      <c r="L378" s="45"/>
      <c r="M378" s="43"/>
      <c r="N378" s="43"/>
      <c r="O378" s="43"/>
      <c r="P378" s="43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</row>
    <row r="379" ht="15.75" customHeight="1">
      <c r="A379" s="87"/>
      <c r="B379" s="88"/>
      <c r="C379" s="87"/>
      <c r="D379" s="87"/>
      <c r="E379" s="87"/>
      <c r="F379" s="92"/>
      <c r="G379" s="92"/>
      <c r="H379" s="87"/>
      <c r="I379" s="91"/>
      <c r="J379" s="87"/>
      <c r="K379" s="45" t="b">
        <v>0</v>
      </c>
      <c r="L379" s="45"/>
      <c r="M379" s="43"/>
      <c r="N379" s="43"/>
      <c r="O379" s="43"/>
      <c r="P379" s="43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</row>
    <row r="380" ht="15.75" customHeight="1">
      <c r="A380" s="87"/>
      <c r="B380" s="88"/>
      <c r="C380" s="87"/>
      <c r="D380" s="87"/>
      <c r="E380" s="87"/>
      <c r="F380" s="92"/>
      <c r="G380" s="92"/>
      <c r="H380" s="87"/>
      <c r="I380" s="91"/>
      <c r="J380" s="87"/>
      <c r="K380" s="45" t="b">
        <v>0</v>
      </c>
      <c r="L380" s="45"/>
      <c r="M380" s="43"/>
      <c r="N380" s="43"/>
      <c r="O380" s="43"/>
      <c r="P380" s="43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</row>
    <row r="381" ht="15.75" customHeight="1">
      <c r="A381" s="87"/>
      <c r="B381" s="88"/>
      <c r="C381" s="87"/>
      <c r="D381" s="87"/>
      <c r="E381" s="87"/>
      <c r="F381" s="92"/>
      <c r="G381" s="92"/>
      <c r="H381" s="87"/>
      <c r="I381" s="91"/>
      <c r="J381" s="87"/>
      <c r="K381" s="45" t="b">
        <v>0</v>
      </c>
      <c r="L381" s="45"/>
      <c r="M381" s="43"/>
      <c r="N381" s="43"/>
      <c r="O381" s="43"/>
      <c r="P381" s="43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</row>
    <row r="382" ht="15.75" customHeight="1">
      <c r="A382" s="87"/>
      <c r="B382" s="88"/>
      <c r="C382" s="87"/>
      <c r="D382" s="87"/>
      <c r="E382" s="87"/>
      <c r="F382" s="92"/>
      <c r="G382" s="92"/>
      <c r="H382" s="87"/>
      <c r="I382" s="91"/>
      <c r="J382" s="87"/>
      <c r="K382" s="45" t="b">
        <v>0</v>
      </c>
      <c r="L382" s="45"/>
      <c r="M382" s="43"/>
      <c r="N382" s="43"/>
      <c r="O382" s="43"/>
      <c r="P382" s="43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</row>
    <row r="383" ht="15.75" customHeight="1">
      <c r="A383" s="87"/>
      <c r="B383" s="88"/>
      <c r="C383" s="87"/>
      <c r="D383" s="87"/>
      <c r="E383" s="87"/>
      <c r="F383" s="92"/>
      <c r="G383" s="92"/>
      <c r="H383" s="87"/>
      <c r="I383" s="91"/>
      <c r="J383" s="87"/>
      <c r="K383" s="45" t="b">
        <v>0</v>
      </c>
      <c r="L383" s="45"/>
      <c r="M383" s="43"/>
      <c r="N383" s="43"/>
      <c r="O383" s="43"/>
      <c r="P383" s="43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</row>
    <row r="384" ht="15.75" customHeight="1">
      <c r="A384" s="87"/>
      <c r="B384" s="88"/>
      <c r="C384" s="87"/>
      <c r="D384" s="87"/>
      <c r="E384" s="87"/>
      <c r="F384" s="92"/>
      <c r="G384" s="92"/>
      <c r="H384" s="87"/>
      <c r="I384" s="91"/>
      <c r="J384" s="87"/>
      <c r="K384" s="45" t="b">
        <v>0</v>
      </c>
      <c r="L384" s="45"/>
      <c r="M384" s="43"/>
      <c r="N384" s="43"/>
      <c r="O384" s="43"/>
      <c r="P384" s="43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</row>
    <row r="385" ht="15.75" customHeight="1">
      <c r="A385" s="87"/>
      <c r="B385" s="88"/>
      <c r="C385" s="87"/>
      <c r="D385" s="87"/>
      <c r="E385" s="87"/>
      <c r="F385" s="92"/>
      <c r="G385" s="92"/>
      <c r="H385" s="87"/>
      <c r="I385" s="91"/>
      <c r="J385" s="87"/>
      <c r="K385" s="45" t="b">
        <v>0</v>
      </c>
      <c r="L385" s="45"/>
      <c r="M385" s="43"/>
      <c r="N385" s="43"/>
      <c r="O385" s="43"/>
      <c r="P385" s="43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</row>
    <row r="386" ht="15.75" customHeight="1">
      <c r="A386" s="87"/>
      <c r="B386" s="88"/>
      <c r="C386" s="87"/>
      <c r="D386" s="87"/>
      <c r="E386" s="87"/>
      <c r="F386" s="92"/>
      <c r="G386" s="92"/>
      <c r="H386" s="87"/>
      <c r="I386" s="91"/>
      <c r="J386" s="87"/>
      <c r="K386" s="45" t="b">
        <v>0</v>
      </c>
      <c r="L386" s="45"/>
      <c r="M386" s="43"/>
      <c r="N386" s="43"/>
      <c r="O386" s="43"/>
      <c r="P386" s="43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</row>
    <row r="387" ht="15.75" customHeight="1">
      <c r="A387" s="87"/>
      <c r="B387" s="88"/>
      <c r="C387" s="87"/>
      <c r="D387" s="87"/>
      <c r="E387" s="87"/>
      <c r="F387" s="92"/>
      <c r="G387" s="92"/>
      <c r="H387" s="87"/>
      <c r="I387" s="91"/>
      <c r="J387" s="87"/>
      <c r="K387" s="45" t="b">
        <v>0</v>
      </c>
      <c r="L387" s="45"/>
      <c r="M387" s="43"/>
      <c r="N387" s="43"/>
      <c r="O387" s="43"/>
      <c r="P387" s="43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</row>
    <row r="388" ht="15.75" customHeight="1">
      <c r="A388" s="87"/>
      <c r="B388" s="88"/>
      <c r="C388" s="87"/>
      <c r="D388" s="87"/>
      <c r="E388" s="87"/>
      <c r="F388" s="92"/>
      <c r="G388" s="92"/>
      <c r="H388" s="87"/>
      <c r="I388" s="91"/>
      <c r="J388" s="87"/>
      <c r="K388" s="45" t="b">
        <v>0</v>
      </c>
      <c r="L388" s="45"/>
      <c r="M388" s="43"/>
      <c r="N388" s="43"/>
      <c r="O388" s="43"/>
      <c r="P388" s="43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</row>
    <row r="389" ht="15.75" customHeight="1">
      <c r="A389" s="87"/>
      <c r="B389" s="88"/>
      <c r="C389" s="87"/>
      <c r="D389" s="87"/>
      <c r="E389" s="87"/>
      <c r="F389" s="92"/>
      <c r="G389" s="92"/>
      <c r="H389" s="87"/>
      <c r="I389" s="91"/>
      <c r="J389" s="87"/>
      <c r="K389" s="45" t="b">
        <v>0</v>
      </c>
      <c r="L389" s="45"/>
      <c r="M389" s="43"/>
      <c r="N389" s="43"/>
      <c r="O389" s="43"/>
      <c r="P389" s="43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</row>
    <row r="390" ht="15.75" customHeight="1">
      <c r="A390" s="87"/>
      <c r="B390" s="88"/>
      <c r="C390" s="87"/>
      <c r="D390" s="87"/>
      <c r="E390" s="87"/>
      <c r="F390" s="92"/>
      <c r="G390" s="92"/>
      <c r="H390" s="87"/>
      <c r="I390" s="91"/>
      <c r="J390" s="87"/>
      <c r="K390" s="45" t="b">
        <v>0</v>
      </c>
      <c r="L390" s="45"/>
      <c r="M390" s="43"/>
      <c r="N390" s="43"/>
      <c r="O390" s="43"/>
      <c r="P390" s="43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</row>
    <row r="391" ht="15.75" customHeight="1">
      <c r="A391" s="87"/>
      <c r="B391" s="88"/>
      <c r="C391" s="87"/>
      <c r="D391" s="87"/>
      <c r="E391" s="87"/>
      <c r="F391" s="92"/>
      <c r="G391" s="92"/>
      <c r="H391" s="87"/>
      <c r="I391" s="91"/>
      <c r="J391" s="87"/>
      <c r="K391" s="45" t="b">
        <v>0</v>
      </c>
      <c r="L391" s="45"/>
      <c r="M391" s="43"/>
      <c r="N391" s="43"/>
      <c r="O391" s="43"/>
      <c r="P391" s="43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</row>
    <row r="392" ht="15.75" customHeight="1">
      <c r="A392" s="87"/>
      <c r="B392" s="88"/>
      <c r="C392" s="87"/>
      <c r="D392" s="87"/>
      <c r="E392" s="87"/>
      <c r="F392" s="92"/>
      <c r="G392" s="92"/>
      <c r="H392" s="87"/>
      <c r="I392" s="91"/>
      <c r="J392" s="87"/>
      <c r="K392" s="45" t="b">
        <v>0</v>
      </c>
      <c r="L392" s="45"/>
      <c r="M392" s="43"/>
      <c r="N392" s="43"/>
      <c r="O392" s="43"/>
      <c r="P392" s="43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</row>
    <row r="393" ht="15.75" customHeight="1">
      <c r="A393" s="87"/>
      <c r="B393" s="88"/>
      <c r="C393" s="87"/>
      <c r="D393" s="87"/>
      <c r="E393" s="87"/>
      <c r="F393" s="92"/>
      <c r="G393" s="92"/>
      <c r="H393" s="87"/>
      <c r="I393" s="91"/>
      <c r="J393" s="87"/>
      <c r="K393" s="45" t="b">
        <v>0</v>
      </c>
      <c r="L393" s="45"/>
      <c r="M393" s="43"/>
      <c r="N393" s="43"/>
      <c r="O393" s="43"/>
      <c r="P393" s="43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</row>
    <row r="394" ht="15.75" customHeight="1">
      <c r="A394" s="87"/>
      <c r="B394" s="88"/>
      <c r="C394" s="87"/>
      <c r="D394" s="87"/>
      <c r="E394" s="87"/>
      <c r="F394" s="92"/>
      <c r="G394" s="92"/>
      <c r="H394" s="87"/>
      <c r="I394" s="91"/>
      <c r="J394" s="87"/>
      <c r="K394" s="45" t="b">
        <v>0</v>
      </c>
      <c r="L394" s="45"/>
      <c r="M394" s="43"/>
      <c r="N394" s="43"/>
      <c r="O394" s="43"/>
      <c r="P394" s="43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</row>
    <row r="395" ht="15.75" customHeight="1">
      <c r="A395" s="87"/>
      <c r="B395" s="88"/>
      <c r="C395" s="87"/>
      <c r="D395" s="87"/>
      <c r="E395" s="87"/>
      <c r="F395" s="92"/>
      <c r="G395" s="92"/>
      <c r="H395" s="87"/>
      <c r="I395" s="91"/>
      <c r="J395" s="87"/>
      <c r="K395" s="45" t="b">
        <v>0</v>
      </c>
      <c r="L395" s="45"/>
      <c r="M395" s="43"/>
      <c r="N395" s="43"/>
      <c r="O395" s="43"/>
      <c r="P395" s="43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</row>
    <row r="396" ht="15.75" customHeight="1">
      <c r="A396" s="87"/>
      <c r="B396" s="88"/>
      <c r="C396" s="87"/>
      <c r="D396" s="87"/>
      <c r="E396" s="87"/>
      <c r="F396" s="92"/>
      <c r="G396" s="92"/>
      <c r="H396" s="87"/>
      <c r="I396" s="91"/>
      <c r="J396" s="87"/>
      <c r="K396" s="45" t="b">
        <v>0</v>
      </c>
      <c r="L396" s="45"/>
      <c r="M396" s="43"/>
      <c r="N396" s="43"/>
      <c r="O396" s="43"/>
      <c r="P396" s="43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</row>
    <row r="397" ht="15.75" customHeight="1">
      <c r="A397" s="87"/>
      <c r="B397" s="88"/>
      <c r="C397" s="87"/>
      <c r="D397" s="87"/>
      <c r="E397" s="87"/>
      <c r="F397" s="92"/>
      <c r="G397" s="92"/>
      <c r="H397" s="87"/>
      <c r="I397" s="91"/>
      <c r="J397" s="87"/>
      <c r="K397" s="45" t="b">
        <v>0</v>
      </c>
      <c r="L397" s="45"/>
      <c r="M397" s="43"/>
      <c r="N397" s="43"/>
      <c r="O397" s="43"/>
      <c r="P397" s="43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</row>
    <row r="398" ht="15.75" customHeight="1">
      <c r="A398" s="87"/>
      <c r="B398" s="88"/>
      <c r="C398" s="87"/>
      <c r="D398" s="87"/>
      <c r="E398" s="87"/>
      <c r="F398" s="92"/>
      <c r="G398" s="92"/>
      <c r="H398" s="87"/>
      <c r="I398" s="91"/>
      <c r="J398" s="87"/>
      <c r="K398" s="45" t="b">
        <v>0</v>
      </c>
      <c r="L398" s="45"/>
      <c r="M398" s="43"/>
      <c r="N398" s="43"/>
      <c r="O398" s="43"/>
      <c r="P398" s="43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</row>
    <row r="399" ht="15.75" customHeight="1">
      <c r="A399" s="87"/>
      <c r="B399" s="88"/>
      <c r="C399" s="87"/>
      <c r="D399" s="87"/>
      <c r="E399" s="87"/>
      <c r="F399" s="92"/>
      <c r="G399" s="92"/>
      <c r="H399" s="87"/>
      <c r="I399" s="91"/>
      <c r="J399" s="87"/>
      <c r="K399" s="45" t="b">
        <v>0</v>
      </c>
      <c r="L399" s="45"/>
      <c r="M399" s="43"/>
      <c r="N399" s="43"/>
      <c r="O399" s="43"/>
      <c r="P399" s="43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</row>
    <row r="400" ht="15.75" customHeight="1">
      <c r="A400" s="87"/>
      <c r="B400" s="88"/>
      <c r="C400" s="87"/>
      <c r="D400" s="87"/>
      <c r="E400" s="87"/>
      <c r="F400" s="92"/>
      <c r="G400" s="92"/>
      <c r="H400" s="87"/>
      <c r="I400" s="91"/>
      <c r="J400" s="87"/>
      <c r="K400" s="45" t="b">
        <v>0</v>
      </c>
      <c r="L400" s="45"/>
      <c r="M400" s="43"/>
      <c r="N400" s="43"/>
      <c r="O400" s="43"/>
      <c r="P400" s="43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</row>
    <row r="401" ht="15.75" customHeight="1">
      <c r="A401" s="87"/>
      <c r="B401" s="88"/>
      <c r="C401" s="87"/>
      <c r="D401" s="87"/>
      <c r="E401" s="87"/>
      <c r="F401" s="92"/>
      <c r="G401" s="92"/>
      <c r="H401" s="87"/>
      <c r="I401" s="91"/>
      <c r="J401" s="87"/>
      <c r="K401" s="45" t="b">
        <v>0</v>
      </c>
      <c r="L401" s="45"/>
      <c r="M401" s="43"/>
      <c r="N401" s="43"/>
      <c r="O401" s="43"/>
      <c r="P401" s="43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</row>
    <row r="402" ht="15.75" customHeight="1">
      <c r="A402" s="87"/>
      <c r="B402" s="88"/>
      <c r="C402" s="87"/>
      <c r="D402" s="87"/>
      <c r="E402" s="87"/>
      <c r="F402" s="92"/>
      <c r="G402" s="92"/>
      <c r="H402" s="87"/>
      <c r="I402" s="91"/>
      <c r="J402" s="87"/>
      <c r="K402" s="45" t="b">
        <v>0</v>
      </c>
      <c r="L402" s="45"/>
      <c r="M402" s="43"/>
      <c r="N402" s="43"/>
      <c r="O402" s="43"/>
      <c r="P402" s="43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</row>
    <row r="403" ht="15.75" customHeight="1">
      <c r="A403" s="87"/>
      <c r="B403" s="88"/>
      <c r="C403" s="87"/>
      <c r="D403" s="87"/>
      <c r="E403" s="87"/>
      <c r="F403" s="92"/>
      <c r="G403" s="92"/>
      <c r="H403" s="87"/>
      <c r="I403" s="91"/>
      <c r="J403" s="87"/>
      <c r="K403" s="45" t="b">
        <v>0</v>
      </c>
      <c r="L403" s="45"/>
      <c r="M403" s="43"/>
      <c r="N403" s="43"/>
      <c r="O403" s="43"/>
      <c r="P403" s="43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</row>
    <row r="404" ht="15.75" customHeight="1">
      <c r="A404" s="87"/>
      <c r="B404" s="88"/>
      <c r="C404" s="87"/>
      <c r="D404" s="87"/>
      <c r="E404" s="87"/>
      <c r="F404" s="92"/>
      <c r="G404" s="92"/>
      <c r="H404" s="87"/>
      <c r="I404" s="91"/>
      <c r="J404" s="87"/>
      <c r="K404" s="45" t="b">
        <v>0</v>
      </c>
      <c r="L404" s="45"/>
      <c r="M404" s="43"/>
      <c r="N404" s="43"/>
      <c r="O404" s="43"/>
      <c r="P404" s="43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</row>
    <row r="405" ht="15.75" customHeight="1">
      <c r="A405" s="87"/>
      <c r="B405" s="88"/>
      <c r="C405" s="87"/>
      <c r="D405" s="87"/>
      <c r="E405" s="87"/>
      <c r="F405" s="92"/>
      <c r="G405" s="92"/>
      <c r="H405" s="87"/>
      <c r="I405" s="91"/>
      <c r="J405" s="87"/>
      <c r="K405" s="45" t="b">
        <v>0</v>
      </c>
      <c r="L405" s="45"/>
      <c r="M405" s="43"/>
      <c r="N405" s="43"/>
      <c r="O405" s="43"/>
      <c r="P405" s="43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</row>
    <row r="406" ht="15.75" customHeight="1">
      <c r="A406" s="87"/>
      <c r="B406" s="88"/>
      <c r="C406" s="87"/>
      <c r="D406" s="87"/>
      <c r="E406" s="87"/>
      <c r="F406" s="92"/>
      <c r="G406" s="92"/>
      <c r="H406" s="87"/>
      <c r="I406" s="91"/>
      <c r="J406" s="87"/>
      <c r="K406" s="45" t="b">
        <v>0</v>
      </c>
      <c r="L406" s="45"/>
      <c r="M406" s="43"/>
      <c r="N406" s="43"/>
      <c r="O406" s="43"/>
      <c r="P406" s="43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</row>
    <row r="407" ht="15.75" customHeight="1">
      <c r="A407" s="87"/>
      <c r="B407" s="88"/>
      <c r="C407" s="87"/>
      <c r="D407" s="87"/>
      <c r="E407" s="87"/>
      <c r="F407" s="92"/>
      <c r="G407" s="92"/>
      <c r="H407" s="87"/>
      <c r="I407" s="91"/>
      <c r="J407" s="87"/>
      <c r="K407" s="45" t="b">
        <v>0</v>
      </c>
      <c r="L407" s="45"/>
      <c r="M407" s="43"/>
      <c r="N407" s="43"/>
      <c r="O407" s="43"/>
      <c r="P407" s="43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</row>
    <row r="408" ht="15.75" customHeight="1">
      <c r="A408" s="87"/>
      <c r="B408" s="88"/>
      <c r="C408" s="87"/>
      <c r="D408" s="87"/>
      <c r="E408" s="87"/>
      <c r="F408" s="92"/>
      <c r="G408" s="92"/>
      <c r="H408" s="87"/>
      <c r="I408" s="91"/>
      <c r="J408" s="87"/>
      <c r="K408" s="45" t="b">
        <v>0</v>
      </c>
      <c r="L408" s="45"/>
      <c r="M408" s="43"/>
      <c r="N408" s="43"/>
      <c r="O408" s="43"/>
      <c r="P408" s="43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</row>
    <row r="409" ht="15.75" customHeight="1">
      <c r="A409" s="87"/>
      <c r="B409" s="88"/>
      <c r="C409" s="87"/>
      <c r="D409" s="87"/>
      <c r="E409" s="87"/>
      <c r="F409" s="92"/>
      <c r="G409" s="92"/>
      <c r="H409" s="87"/>
      <c r="I409" s="91"/>
      <c r="J409" s="87"/>
      <c r="K409" s="45" t="b">
        <v>0</v>
      </c>
      <c r="L409" s="45"/>
      <c r="M409" s="43"/>
      <c r="N409" s="43"/>
      <c r="O409" s="43"/>
      <c r="P409" s="43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</row>
    <row r="410" ht="15.75" customHeight="1">
      <c r="A410" s="87"/>
      <c r="B410" s="88"/>
      <c r="C410" s="87"/>
      <c r="D410" s="87"/>
      <c r="E410" s="87"/>
      <c r="F410" s="92"/>
      <c r="G410" s="92"/>
      <c r="H410" s="87"/>
      <c r="I410" s="91"/>
      <c r="J410" s="87"/>
      <c r="K410" s="45" t="b">
        <v>0</v>
      </c>
      <c r="L410" s="45"/>
      <c r="M410" s="43"/>
      <c r="N410" s="43"/>
      <c r="O410" s="43"/>
      <c r="P410" s="43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</row>
    <row r="411" ht="15.75" customHeight="1">
      <c r="A411" s="87"/>
      <c r="B411" s="88"/>
      <c r="C411" s="87"/>
      <c r="D411" s="87"/>
      <c r="E411" s="87"/>
      <c r="F411" s="92"/>
      <c r="G411" s="92"/>
      <c r="H411" s="87"/>
      <c r="I411" s="91"/>
      <c r="J411" s="87"/>
      <c r="K411" s="45" t="b">
        <v>0</v>
      </c>
      <c r="L411" s="45"/>
      <c r="M411" s="43"/>
      <c r="N411" s="43"/>
      <c r="O411" s="43"/>
      <c r="P411" s="43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</row>
    <row r="412" ht="15.75" customHeight="1">
      <c r="A412" s="87"/>
      <c r="B412" s="88"/>
      <c r="C412" s="87"/>
      <c r="D412" s="87"/>
      <c r="E412" s="87"/>
      <c r="F412" s="92"/>
      <c r="G412" s="92"/>
      <c r="H412" s="87"/>
      <c r="I412" s="91"/>
      <c r="J412" s="87"/>
      <c r="K412" s="45" t="b">
        <v>0</v>
      </c>
      <c r="L412" s="45"/>
      <c r="M412" s="43"/>
      <c r="N412" s="43"/>
      <c r="O412" s="43"/>
      <c r="P412" s="43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</row>
    <row r="413" ht="15.75" customHeight="1">
      <c r="A413" s="87"/>
      <c r="B413" s="88"/>
      <c r="C413" s="87"/>
      <c r="D413" s="87"/>
      <c r="E413" s="87"/>
      <c r="F413" s="92"/>
      <c r="G413" s="92"/>
      <c r="H413" s="87"/>
      <c r="I413" s="91"/>
      <c r="J413" s="87"/>
      <c r="K413" s="45" t="b">
        <v>0</v>
      </c>
      <c r="L413" s="45"/>
      <c r="M413" s="43"/>
      <c r="N413" s="43"/>
      <c r="O413" s="43"/>
      <c r="P413" s="43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</row>
    <row r="414" ht="15.75" customHeight="1">
      <c r="A414" s="87"/>
      <c r="B414" s="88"/>
      <c r="C414" s="87"/>
      <c r="D414" s="87"/>
      <c r="E414" s="87"/>
      <c r="F414" s="92"/>
      <c r="G414" s="92"/>
      <c r="H414" s="87"/>
      <c r="I414" s="91"/>
      <c r="J414" s="87"/>
      <c r="K414" s="45" t="b">
        <v>0</v>
      </c>
      <c r="L414" s="45"/>
      <c r="M414" s="43"/>
      <c r="N414" s="43"/>
      <c r="O414" s="43"/>
      <c r="P414" s="43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</row>
    <row r="415" ht="15.75" customHeight="1">
      <c r="A415" s="87"/>
      <c r="B415" s="88"/>
      <c r="C415" s="87"/>
      <c r="D415" s="87"/>
      <c r="E415" s="87"/>
      <c r="F415" s="92"/>
      <c r="G415" s="92"/>
      <c r="H415" s="87"/>
      <c r="I415" s="91"/>
      <c r="J415" s="87"/>
      <c r="K415" s="45" t="b">
        <v>0</v>
      </c>
      <c r="L415" s="45"/>
      <c r="M415" s="43"/>
      <c r="N415" s="43"/>
      <c r="O415" s="43"/>
      <c r="P415" s="43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</row>
    <row r="416" ht="15.75" customHeight="1">
      <c r="A416" s="87"/>
      <c r="B416" s="88"/>
      <c r="C416" s="87"/>
      <c r="D416" s="87"/>
      <c r="E416" s="87"/>
      <c r="F416" s="92"/>
      <c r="G416" s="92"/>
      <c r="H416" s="87"/>
      <c r="I416" s="91"/>
      <c r="J416" s="87"/>
      <c r="K416" s="45" t="b">
        <v>0</v>
      </c>
      <c r="L416" s="45"/>
      <c r="M416" s="43"/>
      <c r="N416" s="43"/>
      <c r="O416" s="43"/>
      <c r="P416" s="43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</row>
    <row r="417" ht="15.75" customHeight="1">
      <c r="A417" s="87"/>
      <c r="B417" s="88"/>
      <c r="C417" s="87"/>
      <c r="D417" s="87"/>
      <c r="E417" s="87"/>
      <c r="F417" s="92"/>
      <c r="G417" s="92"/>
      <c r="H417" s="87"/>
      <c r="I417" s="91"/>
      <c r="J417" s="87"/>
      <c r="K417" s="45" t="b">
        <v>0</v>
      </c>
      <c r="L417" s="45"/>
      <c r="M417" s="43"/>
      <c r="N417" s="43"/>
      <c r="O417" s="43"/>
      <c r="P417" s="43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</row>
    <row r="418" ht="15.75" customHeight="1">
      <c r="A418" s="87"/>
      <c r="B418" s="88"/>
      <c r="C418" s="87"/>
      <c r="D418" s="87"/>
      <c r="E418" s="87"/>
      <c r="F418" s="92"/>
      <c r="G418" s="92"/>
      <c r="H418" s="87"/>
      <c r="I418" s="91"/>
      <c r="J418" s="87"/>
      <c r="K418" s="45" t="b">
        <v>0</v>
      </c>
      <c r="L418" s="45"/>
      <c r="M418" s="43"/>
      <c r="N418" s="43"/>
      <c r="O418" s="43"/>
      <c r="P418" s="43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</row>
    <row r="419" ht="15.75" customHeight="1">
      <c r="A419" s="87"/>
      <c r="B419" s="88"/>
      <c r="C419" s="87"/>
      <c r="D419" s="87"/>
      <c r="E419" s="87"/>
      <c r="F419" s="92"/>
      <c r="G419" s="92"/>
      <c r="H419" s="87"/>
      <c r="I419" s="91"/>
      <c r="J419" s="87"/>
      <c r="K419" s="45" t="b">
        <v>0</v>
      </c>
      <c r="L419" s="45"/>
      <c r="M419" s="43"/>
      <c r="N419" s="43"/>
      <c r="O419" s="43"/>
      <c r="P419" s="43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</row>
    <row r="420" ht="15.75" customHeight="1">
      <c r="A420" s="87"/>
      <c r="B420" s="88"/>
      <c r="C420" s="87"/>
      <c r="D420" s="87"/>
      <c r="E420" s="87"/>
      <c r="F420" s="92"/>
      <c r="G420" s="92"/>
      <c r="H420" s="87"/>
      <c r="I420" s="91"/>
      <c r="J420" s="87"/>
      <c r="K420" s="45" t="b">
        <v>0</v>
      </c>
      <c r="L420" s="45"/>
      <c r="M420" s="43"/>
      <c r="N420" s="43"/>
      <c r="O420" s="43"/>
      <c r="P420" s="43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</row>
    <row r="421" ht="15.75" customHeight="1">
      <c r="A421" s="87"/>
      <c r="B421" s="88"/>
      <c r="C421" s="87"/>
      <c r="D421" s="87"/>
      <c r="E421" s="87"/>
      <c r="F421" s="92"/>
      <c r="G421" s="92"/>
      <c r="H421" s="87"/>
      <c r="I421" s="91"/>
      <c r="J421" s="87"/>
      <c r="K421" s="45" t="b">
        <v>0</v>
      </c>
      <c r="L421" s="45"/>
      <c r="M421" s="43"/>
      <c r="N421" s="43"/>
      <c r="O421" s="43"/>
      <c r="P421" s="43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</row>
    <row r="422" ht="15.75" customHeight="1">
      <c r="A422" s="87"/>
      <c r="B422" s="88"/>
      <c r="C422" s="87"/>
      <c r="D422" s="87"/>
      <c r="E422" s="87"/>
      <c r="F422" s="92"/>
      <c r="G422" s="92"/>
      <c r="H422" s="87"/>
      <c r="I422" s="91"/>
      <c r="J422" s="87"/>
      <c r="K422" s="45" t="b">
        <v>0</v>
      </c>
      <c r="L422" s="45"/>
      <c r="M422" s="43"/>
      <c r="N422" s="43"/>
      <c r="O422" s="43"/>
      <c r="P422" s="43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</row>
    <row r="423" ht="15.75" customHeight="1">
      <c r="A423" s="87"/>
      <c r="B423" s="88"/>
      <c r="C423" s="87"/>
      <c r="D423" s="87"/>
      <c r="E423" s="87"/>
      <c r="F423" s="92"/>
      <c r="G423" s="92"/>
      <c r="H423" s="87"/>
      <c r="I423" s="91"/>
      <c r="J423" s="87"/>
      <c r="K423" s="45" t="b">
        <v>0</v>
      </c>
      <c r="L423" s="45"/>
      <c r="M423" s="43"/>
      <c r="N423" s="43"/>
      <c r="O423" s="43"/>
      <c r="P423" s="43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</row>
    <row r="424" ht="15.75" customHeight="1">
      <c r="A424" s="87"/>
      <c r="B424" s="88"/>
      <c r="C424" s="87"/>
      <c r="D424" s="87"/>
      <c r="E424" s="87"/>
      <c r="F424" s="92"/>
      <c r="G424" s="92"/>
      <c r="H424" s="87"/>
      <c r="I424" s="91"/>
      <c r="J424" s="87"/>
      <c r="K424" s="45" t="b">
        <v>0</v>
      </c>
      <c r="L424" s="45"/>
      <c r="M424" s="43"/>
      <c r="N424" s="43"/>
      <c r="O424" s="43"/>
      <c r="P424" s="43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</row>
    <row r="425" ht="15.75" customHeight="1">
      <c r="A425" s="87"/>
      <c r="B425" s="88"/>
      <c r="C425" s="87"/>
      <c r="D425" s="87"/>
      <c r="E425" s="87"/>
      <c r="F425" s="92"/>
      <c r="G425" s="92"/>
      <c r="H425" s="87"/>
      <c r="I425" s="91"/>
      <c r="J425" s="87"/>
      <c r="K425" s="45" t="b">
        <v>0</v>
      </c>
      <c r="L425" s="45"/>
      <c r="M425" s="43"/>
      <c r="N425" s="43"/>
      <c r="O425" s="43"/>
      <c r="P425" s="43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</row>
    <row r="426" ht="15.75" customHeight="1">
      <c r="A426" s="87"/>
      <c r="B426" s="88"/>
      <c r="C426" s="87"/>
      <c r="D426" s="87"/>
      <c r="E426" s="87"/>
      <c r="F426" s="92"/>
      <c r="G426" s="92"/>
      <c r="H426" s="87"/>
      <c r="I426" s="91"/>
      <c r="J426" s="87"/>
      <c r="K426" s="45" t="b">
        <v>0</v>
      </c>
      <c r="L426" s="45"/>
      <c r="M426" s="43"/>
      <c r="N426" s="43"/>
      <c r="O426" s="43"/>
      <c r="P426" s="43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</row>
    <row r="427" ht="15.75" customHeight="1">
      <c r="A427" s="87"/>
      <c r="B427" s="88"/>
      <c r="C427" s="87"/>
      <c r="D427" s="87"/>
      <c r="E427" s="87"/>
      <c r="F427" s="92"/>
      <c r="G427" s="92"/>
      <c r="H427" s="87"/>
      <c r="I427" s="91"/>
      <c r="J427" s="87"/>
      <c r="K427" s="45" t="b">
        <v>0</v>
      </c>
      <c r="L427" s="45"/>
      <c r="M427" s="43"/>
      <c r="N427" s="43"/>
      <c r="O427" s="43"/>
      <c r="P427" s="43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</row>
    <row r="428" ht="15.75" customHeight="1">
      <c r="A428" s="87"/>
      <c r="B428" s="88"/>
      <c r="C428" s="87"/>
      <c r="D428" s="87"/>
      <c r="E428" s="87"/>
      <c r="F428" s="92"/>
      <c r="G428" s="92"/>
      <c r="H428" s="87"/>
      <c r="I428" s="91"/>
      <c r="J428" s="87"/>
      <c r="K428" s="45" t="b">
        <v>0</v>
      </c>
      <c r="L428" s="45"/>
      <c r="M428" s="43"/>
      <c r="N428" s="43"/>
      <c r="O428" s="43"/>
      <c r="P428" s="43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</row>
    <row r="429" ht="15.75" customHeight="1">
      <c r="A429" s="87"/>
      <c r="B429" s="88"/>
      <c r="C429" s="87"/>
      <c r="D429" s="87"/>
      <c r="E429" s="87"/>
      <c r="F429" s="92"/>
      <c r="G429" s="92"/>
      <c r="H429" s="87"/>
      <c r="I429" s="91"/>
      <c r="J429" s="87"/>
      <c r="K429" s="45" t="b">
        <v>0</v>
      </c>
      <c r="L429" s="45"/>
      <c r="M429" s="43"/>
      <c r="N429" s="43"/>
      <c r="O429" s="43"/>
      <c r="P429" s="43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</row>
    <row r="430" ht="15.75" customHeight="1">
      <c r="A430" s="87"/>
      <c r="B430" s="88"/>
      <c r="C430" s="87"/>
      <c r="D430" s="87"/>
      <c r="E430" s="87"/>
      <c r="F430" s="92"/>
      <c r="G430" s="92"/>
      <c r="H430" s="87"/>
      <c r="I430" s="91"/>
      <c r="J430" s="87"/>
      <c r="K430" s="45" t="b">
        <v>0</v>
      </c>
      <c r="L430" s="45"/>
      <c r="M430" s="43"/>
      <c r="N430" s="43"/>
      <c r="O430" s="43"/>
      <c r="P430" s="43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</row>
    <row r="431" ht="15.75" customHeight="1">
      <c r="A431" s="87"/>
      <c r="B431" s="88"/>
      <c r="C431" s="87"/>
      <c r="D431" s="87"/>
      <c r="E431" s="87"/>
      <c r="F431" s="92"/>
      <c r="G431" s="92"/>
      <c r="H431" s="87"/>
      <c r="I431" s="91"/>
      <c r="J431" s="87"/>
      <c r="K431" s="45" t="b">
        <v>0</v>
      </c>
      <c r="L431" s="45"/>
      <c r="M431" s="43"/>
      <c r="N431" s="43"/>
      <c r="O431" s="43"/>
      <c r="P431" s="43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</row>
    <row r="432" ht="15.75" customHeight="1">
      <c r="A432" s="87"/>
      <c r="B432" s="88"/>
      <c r="C432" s="87"/>
      <c r="D432" s="87"/>
      <c r="E432" s="87"/>
      <c r="F432" s="92"/>
      <c r="G432" s="92"/>
      <c r="H432" s="87"/>
      <c r="I432" s="91"/>
      <c r="J432" s="87"/>
      <c r="K432" s="45" t="b">
        <v>0</v>
      </c>
      <c r="L432" s="45"/>
      <c r="M432" s="43"/>
      <c r="N432" s="43"/>
      <c r="O432" s="43"/>
      <c r="P432" s="43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</row>
    <row r="433" ht="15.75" customHeight="1">
      <c r="A433" s="87"/>
      <c r="B433" s="88"/>
      <c r="C433" s="87"/>
      <c r="D433" s="87"/>
      <c r="E433" s="87"/>
      <c r="F433" s="92"/>
      <c r="G433" s="92"/>
      <c r="H433" s="87"/>
      <c r="I433" s="91"/>
      <c r="J433" s="87"/>
      <c r="K433" s="45" t="b">
        <v>0</v>
      </c>
      <c r="L433" s="45"/>
      <c r="M433" s="43"/>
      <c r="N433" s="43"/>
      <c r="O433" s="43"/>
      <c r="P433" s="43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</row>
    <row r="434" ht="15.75" customHeight="1">
      <c r="A434" s="87"/>
      <c r="B434" s="88"/>
      <c r="C434" s="87"/>
      <c r="D434" s="87"/>
      <c r="E434" s="87"/>
      <c r="F434" s="92"/>
      <c r="G434" s="92"/>
      <c r="H434" s="87"/>
      <c r="I434" s="91"/>
      <c r="J434" s="87"/>
      <c r="K434" s="45" t="b">
        <v>0</v>
      </c>
      <c r="L434" s="45"/>
      <c r="M434" s="43"/>
      <c r="N434" s="43"/>
      <c r="O434" s="43"/>
      <c r="P434" s="43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</row>
    <row r="435" ht="15.75" customHeight="1">
      <c r="A435" s="87"/>
      <c r="B435" s="88"/>
      <c r="C435" s="87"/>
      <c r="D435" s="87"/>
      <c r="E435" s="87"/>
      <c r="F435" s="92"/>
      <c r="G435" s="92"/>
      <c r="H435" s="87"/>
      <c r="I435" s="91"/>
      <c r="J435" s="87"/>
      <c r="K435" s="45" t="b">
        <v>0</v>
      </c>
      <c r="L435" s="45"/>
      <c r="M435" s="43"/>
      <c r="N435" s="43"/>
      <c r="O435" s="43"/>
      <c r="P435" s="43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</row>
    <row r="436" ht="15.75" customHeight="1">
      <c r="A436" s="87"/>
      <c r="B436" s="88"/>
      <c r="C436" s="87"/>
      <c r="D436" s="87"/>
      <c r="E436" s="87"/>
      <c r="F436" s="92"/>
      <c r="G436" s="92"/>
      <c r="H436" s="87"/>
      <c r="I436" s="91"/>
      <c r="J436" s="87"/>
      <c r="K436" s="45" t="b">
        <v>0</v>
      </c>
      <c r="L436" s="45"/>
      <c r="M436" s="43"/>
      <c r="N436" s="43"/>
      <c r="O436" s="43"/>
      <c r="P436" s="43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</row>
    <row r="437" ht="15.75" customHeight="1">
      <c r="A437" s="87"/>
      <c r="B437" s="88"/>
      <c r="C437" s="87"/>
      <c r="D437" s="87"/>
      <c r="E437" s="87"/>
      <c r="F437" s="92"/>
      <c r="G437" s="92"/>
      <c r="H437" s="87"/>
      <c r="I437" s="91"/>
      <c r="J437" s="87"/>
      <c r="K437" s="45" t="b">
        <v>0</v>
      </c>
      <c r="L437" s="45"/>
      <c r="M437" s="43"/>
      <c r="N437" s="43"/>
      <c r="O437" s="43"/>
      <c r="P437" s="43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</row>
    <row r="438" ht="15.75" customHeight="1">
      <c r="A438" s="87"/>
      <c r="B438" s="88"/>
      <c r="C438" s="87"/>
      <c r="D438" s="87"/>
      <c r="E438" s="87"/>
      <c r="F438" s="92"/>
      <c r="G438" s="92"/>
      <c r="H438" s="87"/>
      <c r="I438" s="91"/>
      <c r="J438" s="87"/>
      <c r="K438" s="45" t="b">
        <v>0</v>
      </c>
      <c r="L438" s="45"/>
      <c r="M438" s="43"/>
      <c r="N438" s="43"/>
      <c r="O438" s="43"/>
      <c r="P438" s="43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</row>
    <row r="439" ht="15.75" customHeight="1">
      <c r="A439" s="87"/>
      <c r="B439" s="88"/>
      <c r="C439" s="87"/>
      <c r="D439" s="87"/>
      <c r="E439" s="87"/>
      <c r="F439" s="92"/>
      <c r="G439" s="92"/>
      <c r="H439" s="87"/>
      <c r="I439" s="91"/>
      <c r="J439" s="87"/>
      <c r="K439" s="45" t="b">
        <v>0</v>
      </c>
      <c r="L439" s="45"/>
      <c r="M439" s="43"/>
      <c r="N439" s="43"/>
      <c r="O439" s="43"/>
      <c r="P439" s="43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</row>
    <row r="440" ht="15.75" customHeight="1">
      <c r="A440" s="87"/>
      <c r="B440" s="88"/>
      <c r="C440" s="87"/>
      <c r="D440" s="87"/>
      <c r="E440" s="87"/>
      <c r="F440" s="92"/>
      <c r="G440" s="92"/>
      <c r="H440" s="87"/>
      <c r="I440" s="91"/>
      <c r="J440" s="87"/>
      <c r="K440" s="45" t="b">
        <v>0</v>
      </c>
      <c r="L440" s="45"/>
      <c r="M440" s="43"/>
      <c r="N440" s="43"/>
      <c r="O440" s="43"/>
      <c r="P440" s="43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</row>
    <row r="441" ht="15.75" customHeight="1">
      <c r="A441" s="87"/>
      <c r="B441" s="88"/>
      <c r="C441" s="87"/>
      <c r="D441" s="87"/>
      <c r="E441" s="87"/>
      <c r="F441" s="92"/>
      <c r="G441" s="92"/>
      <c r="H441" s="87"/>
      <c r="I441" s="91"/>
      <c r="J441" s="87"/>
      <c r="K441" s="45" t="b">
        <v>0</v>
      </c>
      <c r="L441" s="45"/>
      <c r="M441" s="43"/>
      <c r="N441" s="43"/>
      <c r="O441" s="43"/>
      <c r="P441" s="43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</row>
    <row r="442" ht="15.75" customHeight="1">
      <c r="A442" s="87"/>
      <c r="B442" s="88"/>
      <c r="C442" s="87"/>
      <c r="D442" s="87"/>
      <c r="E442" s="87"/>
      <c r="F442" s="92"/>
      <c r="G442" s="92"/>
      <c r="H442" s="87"/>
      <c r="I442" s="91"/>
      <c r="J442" s="87"/>
      <c r="K442" s="45" t="b">
        <v>0</v>
      </c>
      <c r="L442" s="45"/>
      <c r="M442" s="43"/>
      <c r="N442" s="43"/>
      <c r="O442" s="43"/>
      <c r="P442" s="43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</row>
    <row r="443" ht="15.75" customHeight="1">
      <c r="A443" s="87"/>
      <c r="B443" s="88"/>
      <c r="C443" s="87"/>
      <c r="D443" s="87"/>
      <c r="E443" s="87"/>
      <c r="F443" s="92"/>
      <c r="G443" s="92"/>
      <c r="H443" s="87"/>
      <c r="I443" s="91"/>
      <c r="J443" s="87"/>
      <c r="K443" s="45" t="b">
        <v>0</v>
      </c>
      <c r="L443" s="45"/>
      <c r="M443" s="43"/>
      <c r="N443" s="43"/>
      <c r="O443" s="43"/>
      <c r="P443" s="43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</row>
    <row r="444" ht="15.75" customHeight="1">
      <c r="A444" s="87"/>
      <c r="B444" s="88"/>
      <c r="C444" s="87"/>
      <c r="D444" s="87"/>
      <c r="E444" s="87"/>
      <c r="F444" s="92"/>
      <c r="G444" s="92"/>
      <c r="H444" s="87"/>
      <c r="I444" s="91"/>
      <c r="J444" s="87"/>
      <c r="K444" s="45" t="b">
        <v>0</v>
      </c>
      <c r="L444" s="45"/>
      <c r="M444" s="43"/>
      <c r="N444" s="43"/>
      <c r="O444" s="43"/>
      <c r="P444" s="43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</row>
    <row r="445" ht="15.75" customHeight="1">
      <c r="A445" s="87"/>
      <c r="B445" s="88"/>
      <c r="C445" s="87"/>
      <c r="D445" s="87"/>
      <c r="E445" s="87"/>
      <c r="F445" s="92"/>
      <c r="G445" s="92"/>
      <c r="H445" s="87"/>
      <c r="I445" s="91"/>
      <c r="J445" s="87"/>
      <c r="K445" s="45" t="b">
        <v>0</v>
      </c>
      <c r="L445" s="45"/>
      <c r="M445" s="43"/>
      <c r="N445" s="43"/>
      <c r="O445" s="43"/>
      <c r="P445" s="43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</row>
    <row r="446" ht="15.75" customHeight="1">
      <c r="A446" s="87"/>
      <c r="B446" s="88"/>
      <c r="C446" s="87"/>
      <c r="D446" s="87"/>
      <c r="E446" s="87"/>
      <c r="F446" s="92"/>
      <c r="G446" s="92"/>
      <c r="H446" s="87"/>
      <c r="I446" s="91"/>
      <c r="J446" s="87"/>
      <c r="K446" s="45" t="b">
        <v>0</v>
      </c>
      <c r="L446" s="45"/>
      <c r="M446" s="43"/>
      <c r="N446" s="43"/>
      <c r="O446" s="43"/>
      <c r="P446" s="43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</row>
    <row r="447" ht="15.75" customHeight="1">
      <c r="A447" s="87"/>
      <c r="B447" s="88"/>
      <c r="C447" s="87"/>
      <c r="D447" s="87"/>
      <c r="E447" s="87"/>
      <c r="F447" s="92"/>
      <c r="G447" s="92"/>
      <c r="H447" s="87"/>
      <c r="I447" s="91"/>
      <c r="J447" s="87"/>
      <c r="K447" s="45" t="b">
        <v>0</v>
      </c>
      <c r="L447" s="45"/>
      <c r="M447" s="43"/>
      <c r="N447" s="43"/>
      <c r="O447" s="43"/>
      <c r="P447" s="43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</row>
    <row r="448" ht="15.75" customHeight="1">
      <c r="A448" s="87"/>
      <c r="B448" s="88"/>
      <c r="C448" s="87"/>
      <c r="D448" s="87"/>
      <c r="E448" s="87"/>
      <c r="F448" s="92"/>
      <c r="G448" s="92"/>
      <c r="H448" s="87"/>
      <c r="I448" s="91"/>
      <c r="J448" s="87"/>
      <c r="K448" s="45" t="b">
        <v>0</v>
      </c>
      <c r="L448" s="45"/>
      <c r="M448" s="43"/>
      <c r="N448" s="43"/>
      <c r="O448" s="43"/>
      <c r="P448" s="43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</row>
    <row r="449" ht="15.75" customHeight="1">
      <c r="A449" s="87"/>
      <c r="B449" s="88"/>
      <c r="C449" s="87"/>
      <c r="D449" s="87"/>
      <c r="E449" s="87"/>
      <c r="F449" s="92"/>
      <c r="G449" s="92"/>
      <c r="H449" s="87"/>
      <c r="I449" s="91"/>
      <c r="J449" s="87"/>
      <c r="K449" s="45" t="b">
        <v>0</v>
      </c>
      <c r="L449" s="45"/>
      <c r="M449" s="43"/>
      <c r="N449" s="43"/>
      <c r="O449" s="43"/>
      <c r="P449" s="43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</row>
    <row r="450" ht="15.75" customHeight="1">
      <c r="A450" s="87"/>
      <c r="B450" s="88"/>
      <c r="C450" s="87"/>
      <c r="D450" s="87"/>
      <c r="E450" s="87"/>
      <c r="F450" s="92"/>
      <c r="G450" s="92"/>
      <c r="H450" s="87"/>
      <c r="I450" s="91"/>
      <c r="J450" s="87"/>
      <c r="K450" s="45" t="b">
        <v>0</v>
      </c>
      <c r="L450" s="45"/>
      <c r="M450" s="43"/>
      <c r="N450" s="43"/>
      <c r="O450" s="43"/>
      <c r="P450" s="43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</row>
    <row r="451" ht="15.75" customHeight="1">
      <c r="A451" s="87"/>
      <c r="B451" s="88"/>
      <c r="C451" s="87"/>
      <c r="D451" s="87"/>
      <c r="E451" s="87"/>
      <c r="F451" s="92"/>
      <c r="G451" s="92"/>
      <c r="H451" s="87"/>
      <c r="I451" s="91"/>
      <c r="J451" s="87"/>
      <c r="K451" s="45" t="b">
        <v>0</v>
      </c>
      <c r="L451" s="45"/>
      <c r="M451" s="43"/>
      <c r="N451" s="43"/>
      <c r="O451" s="43"/>
      <c r="P451" s="43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</row>
    <row r="452" ht="15.75" customHeight="1">
      <c r="A452" s="87"/>
      <c r="B452" s="88"/>
      <c r="C452" s="87"/>
      <c r="D452" s="87"/>
      <c r="E452" s="87"/>
      <c r="F452" s="92"/>
      <c r="G452" s="92"/>
      <c r="H452" s="87"/>
      <c r="I452" s="91"/>
      <c r="J452" s="87"/>
      <c r="K452" s="45" t="b">
        <v>0</v>
      </c>
      <c r="L452" s="45"/>
      <c r="M452" s="43"/>
      <c r="N452" s="43"/>
      <c r="O452" s="43"/>
      <c r="P452" s="43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</row>
    <row r="453" ht="15.75" customHeight="1">
      <c r="A453" s="87"/>
      <c r="B453" s="88"/>
      <c r="C453" s="87"/>
      <c r="D453" s="87"/>
      <c r="E453" s="87"/>
      <c r="F453" s="92"/>
      <c r="G453" s="92"/>
      <c r="H453" s="87"/>
      <c r="I453" s="91"/>
      <c r="J453" s="87"/>
      <c r="K453" s="45" t="b">
        <v>0</v>
      </c>
      <c r="L453" s="45"/>
      <c r="M453" s="43"/>
      <c r="N453" s="43"/>
      <c r="O453" s="43"/>
      <c r="P453" s="43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</row>
    <row r="454" ht="15.75" customHeight="1">
      <c r="A454" s="87"/>
      <c r="B454" s="88"/>
      <c r="C454" s="87"/>
      <c r="D454" s="87"/>
      <c r="E454" s="87"/>
      <c r="F454" s="92"/>
      <c r="G454" s="92"/>
      <c r="H454" s="87"/>
      <c r="I454" s="91"/>
      <c r="J454" s="87"/>
      <c r="K454" s="45" t="b">
        <v>0</v>
      </c>
      <c r="L454" s="45"/>
      <c r="M454" s="43"/>
      <c r="N454" s="43"/>
      <c r="O454" s="43"/>
      <c r="P454" s="43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</row>
    <row r="455" ht="15.75" customHeight="1">
      <c r="A455" s="87"/>
      <c r="B455" s="88"/>
      <c r="C455" s="87"/>
      <c r="D455" s="87"/>
      <c r="E455" s="87"/>
      <c r="F455" s="92"/>
      <c r="G455" s="92"/>
      <c r="H455" s="87"/>
      <c r="I455" s="91"/>
      <c r="J455" s="87"/>
      <c r="K455" s="45" t="b">
        <v>0</v>
      </c>
      <c r="L455" s="45"/>
      <c r="M455" s="43"/>
      <c r="N455" s="43"/>
      <c r="O455" s="43"/>
      <c r="P455" s="43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</row>
    <row r="456" ht="15.75" customHeight="1">
      <c r="A456" s="87"/>
      <c r="B456" s="88"/>
      <c r="C456" s="87"/>
      <c r="D456" s="87"/>
      <c r="E456" s="87"/>
      <c r="F456" s="92"/>
      <c r="G456" s="92"/>
      <c r="H456" s="87"/>
      <c r="I456" s="91"/>
      <c r="J456" s="87"/>
      <c r="K456" s="45" t="b">
        <v>0</v>
      </c>
      <c r="L456" s="45"/>
      <c r="M456" s="43"/>
      <c r="N456" s="43"/>
      <c r="O456" s="43"/>
      <c r="P456" s="43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</row>
    <row r="457" ht="15.75" customHeight="1">
      <c r="A457" s="87"/>
      <c r="B457" s="88"/>
      <c r="C457" s="87"/>
      <c r="D457" s="87"/>
      <c r="E457" s="87"/>
      <c r="F457" s="92"/>
      <c r="G457" s="92"/>
      <c r="H457" s="87"/>
      <c r="I457" s="91"/>
      <c r="J457" s="87"/>
      <c r="K457" s="45" t="b">
        <v>0</v>
      </c>
      <c r="L457" s="45"/>
      <c r="M457" s="43"/>
      <c r="N457" s="43"/>
      <c r="O457" s="43"/>
      <c r="P457" s="43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</row>
    <row r="458" ht="15.75" customHeight="1">
      <c r="A458" s="87"/>
      <c r="B458" s="88"/>
      <c r="C458" s="87"/>
      <c r="D458" s="87"/>
      <c r="E458" s="87"/>
      <c r="F458" s="92"/>
      <c r="G458" s="92"/>
      <c r="H458" s="87"/>
      <c r="I458" s="91"/>
      <c r="J458" s="87"/>
      <c r="K458" s="45" t="b">
        <v>0</v>
      </c>
      <c r="L458" s="45"/>
      <c r="M458" s="43"/>
      <c r="N458" s="43"/>
      <c r="O458" s="43"/>
      <c r="P458" s="43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</row>
    <row r="459" ht="15.75" customHeight="1">
      <c r="A459" s="87"/>
      <c r="B459" s="88"/>
      <c r="C459" s="87"/>
      <c r="D459" s="87"/>
      <c r="E459" s="87"/>
      <c r="F459" s="92"/>
      <c r="G459" s="92"/>
      <c r="H459" s="87"/>
      <c r="I459" s="91"/>
      <c r="J459" s="87"/>
      <c r="K459" s="45" t="b">
        <v>0</v>
      </c>
      <c r="L459" s="45"/>
      <c r="M459" s="43"/>
      <c r="N459" s="43"/>
      <c r="O459" s="43"/>
      <c r="P459" s="43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</row>
    <row r="460" ht="15.75" customHeight="1">
      <c r="A460" s="87"/>
      <c r="B460" s="88"/>
      <c r="C460" s="87"/>
      <c r="D460" s="87"/>
      <c r="E460" s="87"/>
      <c r="F460" s="92"/>
      <c r="G460" s="92"/>
      <c r="H460" s="87"/>
      <c r="I460" s="91"/>
      <c r="J460" s="87"/>
      <c r="K460" s="45" t="b">
        <v>0</v>
      </c>
      <c r="L460" s="45"/>
      <c r="M460" s="43"/>
      <c r="N460" s="43"/>
      <c r="O460" s="43"/>
      <c r="P460" s="43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</row>
    <row r="461" ht="15.75" customHeight="1">
      <c r="A461" s="87"/>
      <c r="B461" s="88"/>
      <c r="C461" s="87"/>
      <c r="D461" s="87"/>
      <c r="E461" s="87"/>
      <c r="F461" s="92"/>
      <c r="G461" s="92"/>
      <c r="H461" s="87"/>
      <c r="I461" s="91"/>
      <c r="J461" s="87"/>
      <c r="K461" s="45" t="b">
        <v>0</v>
      </c>
      <c r="L461" s="45"/>
      <c r="M461" s="43"/>
      <c r="N461" s="43"/>
      <c r="O461" s="43"/>
      <c r="P461" s="43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</row>
    <row r="462" ht="15.75" customHeight="1">
      <c r="A462" s="87"/>
      <c r="B462" s="88"/>
      <c r="C462" s="87"/>
      <c r="D462" s="87"/>
      <c r="E462" s="87"/>
      <c r="F462" s="92"/>
      <c r="G462" s="92"/>
      <c r="H462" s="87"/>
      <c r="I462" s="91"/>
      <c r="J462" s="87"/>
      <c r="K462" s="45" t="b">
        <v>0</v>
      </c>
      <c r="L462" s="45"/>
      <c r="M462" s="43"/>
      <c r="N462" s="43"/>
      <c r="O462" s="43"/>
      <c r="P462" s="43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</row>
    <row r="463" ht="15.75" customHeight="1">
      <c r="A463" s="87"/>
      <c r="B463" s="88"/>
      <c r="C463" s="87"/>
      <c r="D463" s="87"/>
      <c r="E463" s="87"/>
      <c r="F463" s="92"/>
      <c r="G463" s="92"/>
      <c r="H463" s="87"/>
      <c r="I463" s="91"/>
      <c r="J463" s="87"/>
      <c r="K463" s="45" t="b">
        <v>0</v>
      </c>
      <c r="L463" s="45"/>
      <c r="M463" s="43"/>
      <c r="N463" s="43"/>
      <c r="O463" s="43"/>
      <c r="P463" s="43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</row>
    <row r="464" ht="15.75" customHeight="1">
      <c r="A464" s="87"/>
      <c r="B464" s="88"/>
      <c r="C464" s="87"/>
      <c r="D464" s="87"/>
      <c r="E464" s="87"/>
      <c r="F464" s="92"/>
      <c r="G464" s="92"/>
      <c r="H464" s="87"/>
      <c r="I464" s="91"/>
      <c r="J464" s="87"/>
      <c r="K464" s="45" t="b">
        <v>0</v>
      </c>
      <c r="L464" s="45"/>
      <c r="M464" s="43"/>
      <c r="N464" s="43"/>
      <c r="O464" s="43"/>
      <c r="P464" s="43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</row>
    <row r="465" ht="15.75" customHeight="1">
      <c r="A465" s="87"/>
      <c r="B465" s="88"/>
      <c r="C465" s="87"/>
      <c r="D465" s="87"/>
      <c r="E465" s="87"/>
      <c r="F465" s="92"/>
      <c r="G465" s="92"/>
      <c r="H465" s="87"/>
      <c r="I465" s="91"/>
      <c r="J465" s="87"/>
      <c r="K465" s="45" t="b">
        <v>0</v>
      </c>
      <c r="L465" s="45"/>
      <c r="M465" s="43"/>
      <c r="N465" s="43"/>
      <c r="O465" s="43"/>
      <c r="P465" s="43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</row>
    <row r="466" ht="15.75" customHeight="1">
      <c r="A466" s="87"/>
      <c r="B466" s="88"/>
      <c r="C466" s="87"/>
      <c r="D466" s="87"/>
      <c r="E466" s="87"/>
      <c r="F466" s="92"/>
      <c r="G466" s="92"/>
      <c r="H466" s="87"/>
      <c r="I466" s="91"/>
      <c r="J466" s="87"/>
      <c r="K466" s="45" t="b">
        <v>0</v>
      </c>
      <c r="L466" s="45"/>
      <c r="M466" s="43"/>
      <c r="N466" s="43"/>
      <c r="O466" s="43"/>
      <c r="P466" s="43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</row>
    <row r="467" ht="15.75" customHeight="1">
      <c r="A467" s="87"/>
      <c r="B467" s="88"/>
      <c r="C467" s="87"/>
      <c r="D467" s="87"/>
      <c r="E467" s="87"/>
      <c r="F467" s="92"/>
      <c r="G467" s="92"/>
      <c r="H467" s="87"/>
      <c r="I467" s="91"/>
      <c r="J467" s="87"/>
      <c r="K467" s="45" t="b">
        <v>0</v>
      </c>
      <c r="L467" s="45"/>
      <c r="M467" s="43"/>
      <c r="N467" s="43"/>
      <c r="O467" s="43"/>
      <c r="P467" s="43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</row>
    <row r="468" ht="15.75" customHeight="1">
      <c r="A468" s="87"/>
      <c r="B468" s="88"/>
      <c r="C468" s="87"/>
      <c r="D468" s="87"/>
      <c r="E468" s="87"/>
      <c r="F468" s="92"/>
      <c r="G468" s="92"/>
      <c r="H468" s="87"/>
      <c r="I468" s="91"/>
      <c r="J468" s="87"/>
      <c r="K468" s="45" t="b">
        <v>0</v>
      </c>
      <c r="L468" s="45"/>
      <c r="M468" s="43"/>
      <c r="N468" s="43"/>
      <c r="O468" s="43"/>
      <c r="P468" s="43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</row>
    <row r="469" ht="15.75" customHeight="1">
      <c r="A469" s="87"/>
      <c r="B469" s="88"/>
      <c r="C469" s="87"/>
      <c r="D469" s="87"/>
      <c r="E469" s="87"/>
      <c r="F469" s="92"/>
      <c r="G469" s="92"/>
      <c r="H469" s="87"/>
      <c r="I469" s="91"/>
      <c r="J469" s="87"/>
      <c r="K469" s="45" t="b">
        <v>0</v>
      </c>
      <c r="L469" s="45"/>
      <c r="M469" s="43"/>
      <c r="N469" s="43"/>
      <c r="O469" s="43"/>
      <c r="P469" s="43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</row>
    <row r="470" ht="15.75" customHeight="1">
      <c r="A470" s="87"/>
      <c r="B470" s="88"/>
      <c r="C470" s="87"/>
      <c r="D470" s="87"/>
      <c r="E470" s="87"/>
      <c r="F470" s="92"/>
      <c r="G470" s="92"/>
      <c r="H470" s="87"/>
      <c r="I470" s="91"/>
      <c r="J470" s="87"/>
      <c r="K470" s="45" t="b">
        <v>0</v>
      </c>
      <c r="L470" s="45"/>
      <c r="M470" s="43"/>
      <c r="N470" s="43"/>
      <c r="O470" s="43"/>
      <c r="P470" s="43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</row>
    <row r="471" ht="15.75" customHeight="1">
      <c r="A471" s="87"/>
      <c r="B471" s="88"/>
      <c r="C471" s="87"/>
      <c r="D471" s="87"/>
      <c r="E471" s="87"/>
      <c r="F471" s="92"/>
      <c r="G471" s="92"/>
      <c r="H471" s="87"/>
      <c r="I471" s="91"/>
      <c r="J471" s="87"/>
      <c r="K471" s="45" t="b">
        <v>0</v>
      </c>
      <c r="L471" s="45"/>
      <c r="M471" s="43"/>
      <c r="N471" s="43"/>
      <c r="O471" s="43"/>
      <c r="P471" s="43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</row>
    <row r="472" ht="15.75" customHeight="1">
      <c r="A472" s="87"/>
      <c r="B472" s="88"/>
      <c r="C472" s="87"/>
      <c r="D472" s="87"/>
      <c r="E472" s="87"/>
      <c r="F472" s="92"/>
      <c r="G472" s="92"/>
      <c r="H472" s="87"/>
      <c r="I472" s="91"/>
      <c r="J472" s="87"/>
      <c r="K472" s="45" t="b">
        <v>0</v>
      </c>
      <c r="L472" s="45"/>
      <c r="M472" s="43"/>
      <c r="N472" s="43"/>
      <c r="O472" s="43"/>
      <c r="P472" s="43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</row>
    <row r="473" ht="15.75" customHeight="1">
      <c r="A473" s="87"/>
      <c r="B473" s="88"/>
      <c r="C473" s="87"/>
      <c r="D473" s="87"/>
      <c r="E473" s="87"/>
      <c r="F473" s="92"/>
      <c r="G473" s="92"/>
      <c r="H473" s="87"/>
      <c r="I473" s="91"/>
      <c r="J473" s="87"/>
      <c r="K473" s="45" t="b">
        <v>0</v>
      </c>
      <c r="L473" s="45"/>
      <c r="M473" s="43"/>
      <c r="N473" s="43"/>
      <c r="O473" s="43"/>
      <c r="P473" s="43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</row>
    <row r="474" ht="15.75" customHeight="1">
      <c r="A474" s="87"/>
      <c r="B474" s="88"/>
      <c r="C474" s="87"/>
      <c r="D474" s="87"/>
      <c r="E474" s="87"/>
      <c r="F474" s="92"/>
      <c r="G474" s="92"/>
      <c r="H474" s="87"/>
      <c r="I474" s="91"/>
      <c r="J474" s="87"/>
      <c r="K474" s="45" t="b">
        <v>0</v>
      </c>
      <c r="L474" s="45"/>
      <c r="M474" s="43"/>
      <c r="N474" s="43"/>
      <c r="O474" s="43"/>
      <c r="P474" s="43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</row>
    <row r="475" ht="15.75" customHeight="1">
      <c r="A475" s="87"/>
      <c r="B475" s="88"/>
      <c r="C475" s="87"/>
      <c r="D475" s="87"/>
      <c r="E475" s="87"/>
      <c r="F475" s="92"/>
      <c r="G475" s="92"/>
      <c r="H475" s="87"/>
      <c r="I475" s="91"/>
      <c r="J475" s="87"/>
      <c r="K475" s="45" t="b">
        <v>0</v>
      </c>
      <c r="L475" s="45"/>
      <c r="M475" s="43"/>
      <c r="N475" s="43"/>
      <c r="O475" s="43"/>
      <c r="P475" s="43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</row>
    <row r="476" ht="15.75" customHeight="1">
      <c r="A476" s="87"/>
      <c r="B476" s="88"/>
      <c r="C476" s="87"/>
      <c r="D476" s="87"/>
      <c r="E476" s="87"/>
      <c r="F476" s="92"/>
      <c r="G476" s="92"/>
      <c r="H476" s="87"/>
      <c r="I476" s="91"/>
      <c r="J476" s="87"/>
      <c r="K476" s="45" t="b">
        <v>0</v>
      </c>
      <c r="L476" s="45"/>
      <c r="M476" s="43"/>
      <c r="N476" s="43"/>
      <c r="O476" s="43"/>
      <c r="P476" s="43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</row>
    <row r="477" ht="15.75" customHeight="1">
      <c r="A477" s="87"/>
      <c r="B477" s="88"/>
      <c r="C477" s="87"/>
      <c r="D477" s="87"/>
      <c r="E477" s="87"/>
      <c r="F477" s="92"/>
      <c r="G477" s="92"/>
      <c r="H477" s="87"/>
      <c r="I477" s="91"/>
      <c r="J477" s="87"/>
      <c r="K477" s="45" t="b">
        <v>0</v>
      </c>
      <c r="L477" s="45"/>
      <c r="M477" s="43"/>
      <c r="N477" s="43"/>
      <c r="O477" s="43"/>
      <c r="P477" s="43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</row>
    <row r="478" ht="15.75" customHeight="1">
      <c r="A478" s="87"/>
      <c r="B478" s="88"/>
      <c r="C478" s="87"/>
      <c r="D478" s="87"/>
      <c r="E478" s="87"/>
      <c r="F478" s="92"/>
      <c r="G478" s="92"/>
      <c r="H478" s="87"/>
      <c r="I478" s="91"/>
      <c r="J478" s="87"/>
      <c r="K478" s="45" t="b">
        <v>0</v>
      </c>
      <c r="L478" s="45"/>
      <c r="M478" s="43"/>
      <c r="N478" s="43"/>
      <c r="O478" s="43"/>
      <c r="P478" s="43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</row>
    <row r="479" ht="15.75" customHeight="1">
      <c r="A479" s="87"/>
      <c r="B479" s="88"/>
      <c r="C479" s="87"/>
      <c r="D479" s="87"/>
      <c r="E479" s="87"/>
      <c r="F479" s="92"/>
      <c r="G479" s="92"/>
      <c r="H479" s="87"/>
      <c r="I479" s="91"/>
      <c r="J479" s="87"/>
      <c r="K479" s="45" t="b">
        <v>0</v>
      </c>
      <c r="L479" s="45"/>
      <c r="M479" s="43"/>
      <c r="N479" s="43"/>
      <c r="O479" s="43"/>
      <c r="P479" s="43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</row>
    <row r="480" ht="15.75" customHeight="1">
      <c r="A480" s="87"/>
      <c r="B480" s="88"/>
      <c r="C480" s="87"/>
      <c r="D480" s="87"/>
      <c r="E480" s="87"/>
      <c r="F480" s="92"/>
      <c r="G480" s="92"/>
      <c r="H480" s="87"/>
      <c r="I480" s="91"/>
      <c r="J480" s="87"/>
      <c r="K480" s="45" t="b">
        <v>0</v>
      </c>
      <c r="L480" s="45"/>
      <c r="M480" s="43"/>
      <c r="N480" s="43"/>
      <c r="O480" s="43"/>
      <c r="P480" s="43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</row>
    <row r="481" ht="15.75" customHeight="1">
      <c r="A481" s="87"/>
      <c r="B481" s="88"/>
      <c r="C481" s="87"/>
      <c r="D481" s="87"/>
      <c r="E481" s="87"/>
      <c r="F481" s="92"/>
      <c r="G481" s="92"/>
      <c r="H481" s="87"/>
      <c r="I481" s="91"/>
      <c r="J481" s="87"/>
      <c r="K481" s="45" t="b">
        <v>0</v>
      </c>
      <c r="L481" s="45"/>
      <c r="M481" s="43"/>
      <c r="N481" s="43"/>
      <c r="O481" s="43"/>
      <c r="P481" s="43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</row>
    <row r="482" ht="15.75" customHeight="1">
      <c r="A482" s="87"/>
      <c r="B482" s="88"/>
      <c r="C482" s="87"/>
      <c r="D482" s="87"/>
      <c r="E482" s="87"/>
      <c r="F482" s="92"/>
      <c r="G482" s="92"/>
      <c r="H482" s="87"/>
      <c r="I482" s="91"/>
      <c r="J482" s="87"/>
      <c r="K482" s="45" t="b">
        <v>0</v>
      </c>
      <c r="L482" s="45"/>
      <c r="M482" s="43"/>
      <c r="N482" s="43"/>
      <c r="O482" s="43"/>
      <c r="P482" s="43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</row>
    <row r="483" ht="15.75" customHeight="1">
      <c r="A483" s="87"/>
      <c r="B483" s="88"/>
      <c r="C483" s="87"/>
      <c r="D483" s="87"/>
      <c r="E483" s="87"/>
      <c r="F483" s="92"/>
      <c r="G483" s="92"/>
      <c r="H483" s="87"/>
      <c r="I483" s="91"/>
      <c r="J483" s="87"/>
      <c r="K483" s="45" t="b">
        <v>0</v>
      </c>
      <c r="L483" s="45"/>
      <c r="M483" s="43"/>
      <c r="N483" s="43"/>
      <c r="O483" s="43"/>
      <c r="P483" s="43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</row>
    <row r="484" ht="15.75" customHeight="1">
      <c r="A484" s="87"/>
      <c r="B484" s="88"/>
      <c r="C484" s="87"/>
      <c r="D484" s="87"/>
      <c r="E484" s="87"/>
      <c r="F484" s="92"/>
      <c r="G484" s="92"/>
      <c r="H484" s="87"/>
      <c r="I484" s="91"/>
      <c r="J484" s="87"/>
      <c r="K484" s="45" t="b">
        <v>0</v>
      </c>
      <c r="L484" s="45"/>
      <c r="M484" s="43"/>
      <c r="N484" s="43"/>
      <c r="O484" s="43"/>
      <c r="P484" s="43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</row>
    <row r="485" ht="15.75" customHeight="1">
      <c r="A485" s="87"/>
      <c r="B485" s="88"/>
      <c r="C485" s="87"/>
      <c r="D485" s="87"/>
      <c r="E485" s="87"/>
      <c r="F485" s="92"/>
      <c r="G485" s="92"/>
      <c r="H485" s="87"/>
      <c r="I485" s="91"/>
      <c r="J485" s="87"/>
      <c r="K485" s="45" t="b">
        <v>0</v>
      </c>
      <c r="L485" s="45"/>
      <c r="M485" s="43"/>
      <c r="N485" s="43"/>
      <c r="O485" s="43"/>
      <c r="P485" s="43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</row>
    <row r="486" ht="15.75" customHeight="1">
      <c r="A486" s="87"/>
      <c r="B486" s="88"/>
      <c r="C486" s="87"/>
      <c r="D486" s="87"/>
      <c r="E486" s="87"/>
      <c r="F486" s="92"/>
      <c r="G486" s="92"/>
      <c r="H486" s="87"/>
      <c r="I486" s="91"/>
      <c r="J486" s="87"/>
      <c r="K486" s="45" t="b">
        <v>0</v>
      </c>
      <c r="L486" s="45"/>
      <c r="M486" s="43"/>
      <c r="N486" s="43"/>
      <c r="O486" s="43"/>
      <c r="P486" s="43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</row>
    <row r="487" ht="15.75" customHeight="1">
      <c r="A487" s="87"/>
      <c r="B487" s="88"/>
      <c r="C487" s="87"/>
      <c r="D487" s="87"/>
      <c r="E487" s="87"/>
      <c r="F487" s="92"/>
      <c r="G487" s="92"/>
      <c r="H487" s="87"/>
      <c r="I487" s="91"/>
      <c r="J487" s="87"/>
      <c r="K487" s="45" t="b">
        <v>0</v>
      </c>
      <c r="L487" s="45"/>
      <c r="M487" s="43"/>
      <c r="N487" s="43"/>
      <c r="O487" s="43"/>
      <c r="P487" s="43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</row>
    <row r="488" ht="15.75" customHeight="1">
      <c r="A488" s="87"/>
      <c r="B488" s="88"/>
      <c r="C488" s="87"/>
      <c r="D488" s="87"/>
      <c r="E488" s="87"/>
      <c r="F488" s="92"/>
      <c r="G488" s="92"/>
      <c r="H488" s="87"/>
      <c r="I488" s="91"/>
      <c r="J488" s="87"/>
      <c r="K488" s="45" t="b">
        <v>0</v>
      </c>
      <c r="L488" s="45"/>
      <c r="M488" s="43"/>
      <c r="N488" s="43"/>
      <c r="O488" s="43"/>
      <c r="P488" s="43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</row>
    <row r="489" ht="15.75" customHeight="1">
      <c r="A489" s="87"/>
      <c r="B489" s="88"/>
      <c r="C489" s="87"/>
      <c r="D489" s="87"/>
      <c r="E489" s="87"/>
      <c r="F489" s="92"/>
      <c r="G489" s="92"/>
      <c r="H489" s="87"/>
      <c r="I489" s="91"/>
      <c r="J489" s="87"/>
      <c r="K489" s="45" t="b">
        <v>0</v>
      </c>
      <c r="L489" s="45"/>
      <c r="M489" s="43"/>
      <c r="N489" s="43"/>
      <c r="O489" s="43"/>
      <c r="P489" s="43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</row>
    <row r="490" ht="15.75" customHeight="1">
      <c r="A490" s="87"/>
      <c r="B490" s="88"/>
      <c r="C490" s="87"/>
      <c r="D490" s="87"/>
      <c r="E490" s="87"/>
      <c r="F490" s="92"/>
      <c r="G490" s="92"/>
      <c r="H490" s="87"/>
      <c r="I490" s="91"/>
      <c r="J490" s="87"/>
      <c r="K490" s="45" t="b">
        <v>0</v>
      </c>
      <c r="L490" s="45"/>
      <c r="M490" s="43"/>
      <c r="N490" s="43"/>
      <c r="O490" s="43"/>
      <c r="P490" s="43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</row>
    <row r="491" ht="15.75" customHeight="1">
      <c r="A491" s="87"/>
      <c r="B491" s="88"/>
      <c r="C491" s="87"/>
      <c r="D491" s="87"/>
      <c r="E491" s="87"/>
      <c r="F491" s="92"/>
      <c r="G491" s="92"/>
      <c r="H491" s="87"/>
      <c r="I491" s="91"/>
      <c r="J491" s="87"/>
      <c r="K491" s="45" t="b">
        <v>0</v>
      </c>
      <c r="L491" s="45"/>
      <c r="M491" s="43"/>
      <c r="N491" s="43"/>
      <c r="O491" s="43"/>
      <c r="P491" s="43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</row>
    <row r="492" ht="15.75" customHeight="1">
      <c r="A492" s="87"/>
      <c r="B492" s="88"/>
      <c r="C492" s="87"/>
      <c r="D492" s="87"/>
      <c r="E492" s="87"/>
      <c r="F492" s="92"/>
      <c r="G492" s="92"/>
      <c r="H492" s="87"/>
      <c r="I492" s="91"/>
      <c r="J492" s="87"/>
      <c r="K492" s="45" t="b">
        <v>0</v>
      </c>
      <c r="L492" s="45"/>
      <c r="M492" s="43"/>
      <c r="N492" s="43"/>
      <c r="O492" s="43"/>
      <c r="P492" s="43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</row>
    <row r="493" ht="15.75" customHeight="1">
      <c r="A493" s="87"/>
      <c r="B493" s="88"/>
      <c r="C493" s="87"/>
      <c r="D493" s="87"/>
      <c r="E493" s="87"/>
      <c r="F493" s="92"/>
      <c r="G493" s="92"/>
      <c r="H493" s="87"/>
      <c r="I493" s="91"/>
      <c r="J493" s="87"/>
      <c r="K493" s="45" t="b">
        <v>0</v>
      </c>
      <c r="L493" s="45"/>
      <c r="M493" s="43"/>
      <c r="N493" s="43"/>
      <c r="O493" s="43"/>
      <c r="P493" s="43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</row>
    <row r="494" ht="15.75" customHeight="1">
      <c r="A494" s="87"/>
      <c r="B494" s="88"/>
      <c r="C494" s="87"/>
      <c r="D494" s="87"/>
      <c r="E494" s="87"/>
      <c r="F494" s="92"/>
      <c r="G494" s="92"/>
      <c r="H494" s="87"/>
      <c r="I494" s="91"/>
      <c r="J494" s="87"/>
      <c r="K494" s="45" t="b">
        <v>0</v>
      </c>
      <c r="L494" s="45"/>
      <c r="M494" s="43"/>
      <c r="N494" s="43"/>
      <c r="O494" s="43"/>
      <c r="P494" s="43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</row>
    <row r="495" ht="15.75" customHeight="1">
      <c r="A495" s="87"/>
      <c r="B495" s="88"/>
      <c r="C495" s="87"/>
      <c r="D495" s="87"/>
      <c r="E495" s="87"/>
      <c r="F495" s="92"/>
      <c r="G495" s="92"/>
      <c r="H495" s="87"/>
      <c r="I495" s="91"/>
      <c r="J495" s="87"/>
      <c r="K495" s="45" t="b">
        <v>0</v>
      </c>
      <c r="L495" s="45"/>
      <c r="M495" s="43"/>
      <c r="N495" s="43"/>
      <c r="O495" s="43"/>
      <c r="P495" s="43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</row>
    <row r="496" ht="15.75" customHeight="1">
      <c r="A496" s="87"/>
      <c r="B496" s="88"/>
      <c r="C496" s="87"/>
      <c r="D496" s="87"/>
      <c r="E496" s="87"/>
      <c r="F496" s="92"/>
      <c r="G496" s="92"/>
      <c r="H496" s="87"/>
      <c r="I496" s="91"/>
      <c r="J496" s="87"/>
      <c r="K496" s="45" t="b">
        <v>0</v>
      </c>
      <c r="L496" s="45"/>
      <c r="M496" s="43"/>
      <c r="N496" s="43"/>
      <c r="O496" s="43"/>
      <c r="P496" s="43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</row>
    <row r="497" ht="15.75" customHeight="1">
      <c r="A497" s="87"/>
      <c r="B497" s="88"/>
      <c r="C497" s="87"/>
      <c r="D497" s="87"/>
      <c r="E497" s="87"/>
      <c r="F497" s="92"/>
      <c r="G497" s="92"/>
      <c r="H497" s="87"/>
      <c r="I497" s="91"/>
      <c r="J497" s="87"/>
      <c r="K497" s="45" t="b">
        <v>0</v>
      </c>
      <c r="L497" s="45"/>
      <c r="M497" s="43"/>
      <c r="N497" s="43"/>
      <c r="O497" s="43"/>
      <c r="P497" s="43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</row>
    <row r="498" ht="15.75" customHeight="1">
      <c r="A498" s="87"/>
      <c r="B498" s="88"/>
      <c r="C498" s="87"/>
      <c r="D498" s="87"/>
      <c r="E498" s="87"/>
      <c r="F498" s="92"/>
      <c r="G498" s="92"/>
      <c r="H498" s="87"/>
      <c r="I498" s="91"/>
      <c r="J498" s="87"/>
      <c r="K498" s="45" t="b">
        <v>0</v>
      </c>
      <c r="L498" s="45"/>
      <c r="M498" s="43"/>
      <c r="N498" s="43"/>
      <c r="O498" s="43"/>
      <c r="P498" s="43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</row>
    <row r="499" ht="15.75" customHeight="1">
      <c r="A499" s="87"/>
      <c r="B499" s="88"/>
      <c r="C499" s="87"/>
      <c r="D499" s="87"/>
      <c r="E499" s="87"/>
      <c r="F499" s="92"/>
      <c r="G499" s="92"/>
      <c r="H499" s="87"/>
      <c r="I499" s="91"/>
      <c r="J499" s="87"/>
      <c r="K499" s="45" t="b">
        <v>0</v>
      </c>
      <c r="L499" s="45"/>
      <c r="M499" s="43"/>
      <c r="N499" s="43"/>
      <c r="O499" s="43"/>
      <c r="P499" s="43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</row>
    <row r="500" ht="15.75" customHeight="1">
      <c r="A500" s="87"/>
      <c r="B500" s="88"/>
      <c r="C500" s="87"/>
      <c r="D500" s="87"/>
      <c r="E500" s="87"/>
      <c r="F500" s="92"/>
      <c r="G500" s="92"/>
      <c r="H500" s="87"/>
      <c r="I500" s="91"/>
      <c r="J500" s="87"/>
      <c r="K500" s="45" t="b">
        <v>0</v>
      </c>
      <c r="L500" s="45"/>
      <c r="M500" s="43"/>
      <c r="N500" s="43"/>
      <c r="O500" s="43"/>
      <c r="P500" s="43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</row>
    <row r="501" ht="15.75" customHeight="1">
      <c r="A501" s="87"/>
      <c r="B501" s="88"/>
      <c r="C501" s="87"/>
      <c r="D501" s="87"/>
      <c r="E501" s="87"/>
      <c r="F501" s="92"/>
      <c r="G501" s="92"/>
      <c r="H501" s="87"/>
      <c r="I501" s="91"/>
      <c r="J501" s="87"/>
      <c r="K501" s="45" t="b">
        <v>0</v>
      </c>
      <c r="L501" s="45"/>
      <c r="M501" s="43"/>
      <c r="N501" s="43"/>
      <c r="O501" s="43"/>
      <c r="P501" s="43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</row>
    <row r="502" ht="15.75" customHeight="1">
      <c r="A502" s="87"/>
      <c r="B502" s="88"/>
      <c r="C502" s="87"/>
      <c r="D502" s="87"/>
      <c r="E502" s="87"/>
      <c r="F502" s="92"/>
      <c r="G502" s="92"/>
      <c r="H502" s="87"/>
      <c r="I502" s="91"/>
      <c r="J502" s="87"/>
      <c r="K502" s="45" t="b">
        <v>0</v>
      </c>
      <c r="L502" s="45"/>
      <c r="M502" s="43"/>
      <c r="N502" s="43"/>
      <c r="O502" s="43"/>
      <c r="P502" s="43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</row>
    <row r="503" ht="15.75" customHeight="1">
      <c r="A503" s="87"/>
      <c r="B503" s="88"/>
      <c r="C503" s="87"/>
      <c r="D503" s="87"/>
      <c r="E503" s="87"/>
      <c r="F503" s="92"/>
      <c r="G503" s="92"/>
      <c r="H503" s="87"/>
      <c r="I503" s="91"/>
      <c r="J503" s="87"/>
      <c r="K503" s="45" t="b">
        <v>0</v>
      </c>
      <c r="L503" s="45"/>
      <c r="M503" s="43"/>
      <c r="N503" s="43"/>
      <c r="O503" s="43"/>
      <c r="P503" s="43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</row>
    <row r="504" ht="15.75" customHeight="1">
      <c r="A504" s="87"/>
      <c r="B504" s="88"/>
      <c r="C504" s="87"/>
      <c r="D504" s="87"/>
      <c r="E504" s="87"/>
      <c r="F504" s="92"/>
      <c r="G504" s="92"/>
      <c r="H504" s="87"/>
      <c r="I504" s="91"/>
      <c r="J504" s="87"/>
      <c r="K504" s="45" t="b">
        <v>0</v>
      </c>
      <c r="L504" s="45"/>
      <c r="M504" s="43"/>
      <c r="N504" s="43"/>
      <c r="O504" s="43"/>
      <c r="P504" s="43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</row>
    <row r="505" ht="15.75" customHeight="1">
      <c r="A505" s="87"/>
      <c r="B505" s="88"/>
      <c r="C505" s="87"/>
      <c r="D505" s="87"/>
      <c r="E505" s="87"/>
      <c r="F505" s="92"/>
      <c r="G505" s="92"/>
      <c r="H505" s="87"/>
      <c r="I505" s="91"/>
      <c r="J505" s="87"/>
      <c r="K505" s="45" t="b">
        <v>0</v>
      </c>
      <c r="L505" s="45"/>
      <c r="M505" s="43"/>
      <c r="N505" s="43"/>
      <c r="O505" s="43"/>
      <c r="P505" s="43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</row>
    <row r="506" ht="15.75" customHeight="1">
      <c r="A506" s="87"/>
      <c r="B506" s="88"/>
      <c r="C506" s="87"/>
      <c r="D506" s="87"/>
      <c r="E506" s="87"/>
      <c r="F506" s="92"/>
      <c r="G506" s="92"/>
      <c r="H506" s="87"/>
      <c r="I506" s="91"/>
      <c r="J506" s="87"/>
      <c r="K506" s="45" t="b">
        <v>0</v>
      </c>
      <c r="L506" s="45"/>
      <c r="M506" s="43"/>
      <c r="N506" s="43"/>
      <c r="O506" s="43"/>
      <c r="P506" s="43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</row>
    <row r="507" ht="15.75" customHeight="1">
      <c r="A507" s="87"/>
      <c r="B507" s="88"/>
      <c r="C507" s="87"/>
      <c r="D507" s="87"/>
      <c r="E507" s="87"/>
      <c r="F507" s="92"/>
      <c r="G507" s="92"/>
      <c r="H507" s="87"/>
      <c r="I507" s="91"/>
      <c r="J507" s="87"/>
      <c r="K507" s="45" t="b">
        <v>0</v>
      </c>
      <c r="L507" s="45"/>
      <c r="M507" s="43"/>
      <c r="N507" s="43"/>
      <c r="O507" s="43"/>
      <c r="P507" s="43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</row>
    <row r="508" ht="15.75" customHeight="1">
      <c r="A508" s="87"/>
      <c r="B508" s="88"/>
      <c r="C508" s="87"/>
      <c r="D508" s="87"/>
      <c r="E508" s="87"/>
      <c r="F508" s="92"/>
      <c r="G508" s="92"/>
      <c r="H508" s="87"/>
      <c r="I508" s="91"/>
      <c r="J508" s="87"/>
      <c r="K508" s="45" t="b">
        <v>0</v>
      </c>
      <c r="L508" s="45"/>
      <c r="M508" s="43"/>
      <c r="N508" s="43"/>
      <c r="O508" s="43"/>
      <c r="P508" s="43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</row>
    <row r="509" ht="15.75" customHeight="1">
      <c r="A509" s="87"/>
      <c r="B509" s="88"/>
      <c r="C509" s="87"/>
      <c r="D509" s="87"/>
      <c r="E509" s="87"/>
      <c r="F509" s="92"/>
      <c r="G509" s="92"/>
      <c r="H509" s="87"/>
      <c r="I509" s="91"/>
      <c r="J509" s="87"/>
      <c r="K509" s="45" t="b">
        <v>0</v>
      </c>
      <c r="L509" s="45"/>
      <c r="M509" s="43"/>
      <c r="N509" s="43"/>
      <c r="O509" s="43"/>
      <c r="P509" s="43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</row>
    <row r="510" ht="15.75" customHeight="1">
      <c r="A510" s="87"/>
      <c r="B510" s="88"/>
      <c r="C510" s="87"/>
      <c r="D510" s="87"/>
      <c r="E510" s="87"/>
      <c r="F510" s="92"/>
      <c r="G510" s="92"/>
      <c r="H510" s="87"/>
      <c r="I510" s="91"/>
      <c r="J510" s="87"/>
      <c r="K510" s="45" t="b">
        <v>0</v>
      </c>
      <c r="L510" s="45"/>
      <c r="M510" s="43"/>
      <c r="N510" s="43"/>
      <c r="O510" s="43"/>
      <c r="P510" s="43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</row>
    <row r="511" ht="15.75" customHeight="1">
      <c r="A511" s="87"/>
      <c r="B511" s="88"/>
      <c r="C511" s="87"/>
      <c r="D511" s="87"/>
      <c r="E511" s="87"/>
      <c r="F511" s="92"/>
      <c r="G511" s="92"/>
      <c r="H511" s="87"/>
      <c r="I511" s="91"/>
      <c r="J511" s="87"/>
      <c r="K511" s="45" t="b">
        <v>0</v>
      </c>
      <c r="L511" s="45"/>
      <c r="M511" s="43"/>
      <c r="N511" s="43"/>
      <c r="O511" s="43"/>
      <c r="P511" s="43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</row>
    <row r="512" ht="15.75" customHeight="1">
      <c r="A512" s="87"/>
      <c r="B512" s="88"/>
      <c r="C512" s="87"/>
      <c r="D512" s="87"/>
      <c r="E512" s="87"/>
      <c r="F512" s="92"/>
      <c r="G512" s="92"/>
      <c r="H512" s="87"/>
      <c r="I512" s="91"/>
      <c r="J512" s="87"/>
      <c r="K512" s="45" t="b">
        <v>0</v>
      </c>
      <c r="L512" s="45"/>
      <c r="M512" s="43"/>
      <c r="N512" s="43"/>
      <c r="O512" s="43"/>
      <c r="P512" s="43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</row>
    <row r="513" ht="15.75" customHeight="1">
      <c r="A513" s="87"/>
      <c r="B513" s="88"/>
      <c r="C513" s="87"/>
      <c r="D513" s="87"/>
      <c r="E513" s="87"/>
      <c r="F513" s="92"/>
      <c r="G513" s="92"/>
      <c r="H513" s="87"/>
      <c r="I513" s="91"/>
      <c r="J513" s="87"/>
      <c r="K513" s="45" t="b">
        <v>0</v>
      </c>
      <c r="L513" s="45"/>
      <c r="M513" s="43"/>
      <c r="N513" s="43"/>
      <c r="O513" s="43"/>
      <c r="P513" s="43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</row>
    <row r="514" ht="15.75" customHeight="1">
      <c r="A514" s="87"/>
      <c r="B514" s="88"/>
      <c r="C514" s="87"/>
      <c r="D514" s="87"/>
      <c r="E514" s="87"/>
      <c r="F514" s="92"/>
      <c r="G514" s="92"/>
      <c r="H514" s="87"/>
      <c r="I514" s="91"/>
      <c r="J514" s="87"/>
      <c r="K514" s="45" t="b">
        <v>0</v>
      </c>
      <c r="L514" s="45"/>
      <c r="M514" s="43"/>
      <c r="N514" s="43"/>
      <c r="O514" s="43"/>
      <c r="P514" s="43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</row>
    <row r="515" ht="15.75" customHeight="1">
      <c r="A515" s="87"/>
      <c r="B515" s="88"/>
      <c r="C515" s="87"/>
      <c r="D515" s="87"/>
      <c r="E515" s="87"/>
      <c r="F515" s="92"/>
      <c r="G515" s="92"/>
      <c r="H515" s="87"/>
      <c r="I515" s="91"/>
      <c r="J515" s="87"/>
      <c r="K515" s="45" t="b">
        <v>0</v>
      </c>
      <c r="L515" s="45"/>
      <c r="M515" s="43"/>
      <c r="N515" s="43"/>
      <c r="O515" s="43"/>
      <c r="P515" s="43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</row>
    <row r="516" ht="15.75" customHeight="1">
      <c r="A516" s="87"/>
      <c r="B516" s="88"/>
      <c r="C516" s="87"/>
      <c r="D516" s="87"/>
      <c r="E516" s="87"/>
      <c r="F516" s="92"/>
      <c r="G516" s="92"/>
      <c r="H516" s="87"/>
      <c r="I516" s="91"/>
      <c r="J516" s="87"/>
      <c r="K516" s="45" t="b">
        <v>0</v>
      </c>
      <c r="L516" s="45"/>
      <c r="M516" s="43"/>
      <c r="N516" s="43"/>
      <c r="O516" s="43"/>
      <c r="P516" s="43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</row>
    <row r="517" ht="15.75" customHeight="1">
      <c r="A517" s="87"/>
      <c r="B517" s="88"/>
      <c r="C517" s="87"/>
      <c r="D517" s="87"/>
      <c r="E517" s="87"/>
      <c r="F517" s="92"/>
      <c r="G517" s="92"/>
      <c r="H517" s="87"/>
      <c r="I517" s="91"/>
      <c r="J517" s="87"/>
      <c r="K517" s="45" t="b">
        <v>0</v>
      </c>
      <c r="L517" s="45"/>
      <c r="M517" s="43"/>
      <c r="N517" s="43"/>
      <c r="O517" s="43"/>
      <c r="P517" s="43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</row>
    <row r="518" ht="15.75" customHeight="1">
      <c r="A518" s="87"/>
      <c r="B518" s="88"/>
      <c r="C518" s="87"/>
      <c r="D518" s="87"/>
      <c r="E518" s="87"/>
      <c r="F518" s="92"/>
      <c r="G518" s="92"/>
      <c r="H518" s="87"/>
      <c r="I518" s="91"/>
      <c r="J518" s="87"/>
      <c r="K518" s="45" t="b">
        <v>0</v>
      </c>
      <c r="L518" s="45"/>
      <c r="M518" s="43"/>
      <c r="N518" s="43"/>
      <c r="O518" s="43"/>
      <c r="P518" s="43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</row>
    <row r="519" ht="15.75" customHeight="1">
      <c r="A519" s="87"/>
      <c r="B519" s="88"/>
      <c r="C519" s="87"/>
      <c r="D519" s="87"/>
      <c r="E519" s="87"/>
      <c r="F519" s="92"/>
      <c r="G519" s="92"/>
      <c r="H519" s="87"/>
      <c r="I519" s="91"/>
      <c r="J519" s="87"/>
      <c r="K519" s="45" t="b">
        <v>0</v>
      </c>
      <c r="L519" s="45"/>
      <c r="M519" s="43"/>
      <c r="N519" s="43"/>
      <c r="O519" s="43"/>
      <c r="P519" s="43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</row>
    <row r="520" ht="15.75" customHeight="1">
      <c r="A520" s="87"/>
      <c r="B520" s="88"/>
      <c r="C520" s="87"/>
      <c r="D520" s="87"/>
      <c r="E520" s="87"/>
      <c r="F520" s="92"/>
      <c r="G520" s="92"/>
      <c r="H520" s="87"/>
      <c r="I520" s="91"/>
      <c r="J520" s="87"/>
      <c r="K520" s="45" t="b">
        <v>0</v>
      </c>
      <c r="L520" s="45"/>
      <c r="M520" s="43"/>
      <c r="N520" s="43"/>
      <c r="O520" s="43"/>
      <c r="P520" s="43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</row>
    <row r="521" ht="15.75" customHeight="1">
      <c r="A521" s="87"/>
      <c r="B521" s="88"/>
      <c r="C521" s="87"/>
      <c r="D521" s="87"/>
      <c r="E521" s="87"/>
      <c r="F521" s="92"/>
      <c r="G521" s="92"/>
      <c r="H521" s="87"/>
      <c r="I521" s="91"/>
      <c r="J521" s="87"/>
      <c r="K521" s="45" t="b">
        <v>0</v>
      </c>
      <c r="L521" s="45"/>
      <c r="M521" s="43"/>
      <c r="N521" s="43"/>
      <c r="O521" s="43"/>
      <c r="P521" s="43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</row>
    <row r="522" ht="15.75" customHeight="1">
      <c r="A522" s="87"/>
      <c r="B522" s="88"/>
      <c r="C522" s="87"/>
      <c r="D522" s="87"/>
      <c r="E522" s="87"/>
      <c r="F522" s="92"/>
      <c r="G522" s="92"/>
      <c r="H522" s="87"/>
      <c r="I522" s="91"/>
      <c r="J522" s="87"/>
      <c r="K522" s="45" t="b">
        <v>0</v>
      </c>
      <c r="L522" s="45"/>
      <c r="M522" s="43"/>
      <c r="N522" s="43"/>
      <c r="O522" s="43"/>
      <c r="P522" s="43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</row>
    <row r="523" ht="15.75" customHeight="1">
      <c r="A523" s="87"/>
      <c r="B523" s="88"/>
      <c r="C523" s="87"/>
      <c r="D523" s="87"/>
      <c r="E523" s="87"/>
      <c r="F523" s="92"/>
      <c r="G523" s="92"/>
      <c r="H523" s="87"/>
      <c r="I523" s="91"/>
      <c r="J523" s="87"/>
      <c r="K523" s="45" t="b">
        <v>0</v>
      </c>
      <c r="L523" s="45"/>
      <c r="M523" s="43"/>
      <c r="N523" s="43"/>
      <c r="O523" s="43"/>
      <c r="P523" s="43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</row>
    <row r="524" ht="15.75" customHeight="1">
      <c r="A524" s="87"/>
      <c r="B524" s="88"/>
      <c r="C524" s="87"/>
      <c r="D524" s="87"/>
      <c r="E524" s="87"/>
      <c r="F524" s="92"/>
      <c r="G524" s="92"/>
      <c r="H524" s="87"/>
      <c r="I524" s="91"/>
      <c r="J524" s="87"/>
      <c r="K524" s="45" t="b">
        <v>0</v>
      </c>
      <c r="L524" s="45"/>
      <c r="M524" s="43"/>
      <c r="N524" s="43"/>
      <c r="O524" s="43"/>
      <c r="P524" s="43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</row>
    <row r="525" ht="15.75" customHeight="1">
      <c r="A525" s="87"/>
      <c r="B525" s="88"/>
      <c r="C525" s="87"/>
      <c r="D525" s="87"/>
      <c r="E525" s="87"/>
      <c r="F525" s="92"/>
      <c r="G525" s="92"/>
      <c r="H525" s="87"/>
      <c r="I525" s="91"/>
      <c r="J525" s="87"/>
      <c r="K525" s="45" t="b">
        <v>0</v>
      </c>
      <c r="L525" s="45"/>
      <c r="M525" s="43"/>
      <c r="N525" s="43"/>
      <c r="O525" s="43"/>
      <c r="P525" s="43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</row>
    <row r="526" ht="15.75" customHeight="1">
      <c r="A526" s="87"/>
      <c r="B526" s="88"/>
      <c r="C526" s="87"/>
      <c r="D526" s="87"/>
      <c r="E526" s="87"/>
      <c r="F526" s="92"/>
      <c r="G526" s="92"/>
      <c r="H526" s="87"/>
      <c r="I526" s="91"/>
      <c r="J526" s="87"/>
      <c r="K526" s="45" t="b">
        <v>0</v>
      </c>
      <c r="L526" s="45"/>
      <c r="M526" s="43"/>
      <c r="N526" s="43"/>
      <c r="O526" s="43"/>
      <c r="P526" s="43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</row>
    <row r="527" ht="15.75" customHeight="1">
      <c r="A527" s="87"/>
      <c r="B527" s="88"/>
      <c r="C527" s="87"/>
      <c r="D527" s="87"/>
      <c r="E527" s="87"/>
      <c r="F527" s="92"/>
      <c r="G527" s="92"/>
      <c r="H527" s="87"/>
      <c r="I527" s="91"/>
      <c r="J527" s="87"/>
      <c r="K527" s="45" t="b">
        <v>0</v>
      </c>
      <c r="L527" s="45"/>
      <c r="M527" s="43"/>
      <c r="N527" s="43"/>
      <c r="O527" s="43"/>
      <c r="P527" s="43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</row>
    <row r="528" ht="15.75" customHeight="1">
      <c r="A528" s="87"/>
      <c r="B528" s="88"/>
      <c r="C528" s="87"/>
      <c r="D528" s="87"/>
      <c r="E528" s="87"/>
      <c r="F528" s="92"/>
      <c r="G528" s="92"/>
      <c r="H528" s="87"/>
      <c r="I528" s="91"/>
      <c r="J528" s="87"/>
      <c r="K528" s="45" t="b">
        <v>0</v>
      </c>
      <c r="L528" s="45"/>
      <c r="M528" s="43"/>
      <c r="N528" s="43"/>
      <c r="O528" s="43"/>
      <c r="P528" s="43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</row>
    <row r="529" ht="15.75" customHeight="1">
      <c r="A529" s="87"/>
      <c r="B529" s="88"/>
      <c r="C529" s="87"/>
      <c r="D529" s="87"/>
      <c r="E529" s="87"/>
      <c r="F529" s="92"/>
      <c r="G529" s="92"/>
      <c r="H529" s="87"/>
      <c r="I529" s="91"/>
      <c r="J529" s="87"/>
      <c r="K529" s="45" t="b">
        <v>0</v>
      </c>
      <c r="L529" s="45"/>
      <c r="M529" s="43"/>
      <c r="N529" s="43"/>
      <c r="O529" s="43"/>
      <c r="P529" s="43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</row>
    <row r="530" ht="15.75" customHeight="1">
      <c r="A530" s="87"/>
      <c r="B530" s="88"/>
      <c r="C530" s="87"/>
      <c r="D530" s="87"/>
      <c r="E530" s="87"/>
      <c r="F530" s="92"/>
      <c r="G530" s="92"/>
      <c r="H530" s="87"/>
      <c r="I530" s="91"/>
      <c r="J530" s="87"/>
      <c r="K530" s="45" t="b">
        <v>0</v>
      </c>
      <c r="L530" s="45"/>
      <c r="M530" s="43"/>
      <c r="N530" s="43"/>
      <c r="O530" s="43"/>
      <c r="P530" s="43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</row>
    <row r="531" ht="15.75" customHeight="1">
      <c r="A531" s="87"/>
      <c r="B531" s="88"/>
      <c r="C531" s="87"/>
      <c r="D531" s="87"/>
      <c r="E531" s="87"/>
      <c r="F531" s="92"/>
      <c r="G531" s="92"/>
      <c r="H531" s="87"/>
      <c r="I531" s="91"/>
      <c r="J531" s="87"/>
      <c r="K531" s="45" t="b">
        <v>0</v>
      </c>
      <c r="L531" s="45"/>
      <c r="M531" s="43"/>
      <c r="N531" s="43"/>
      <c r="O531" s="43"/>
      <c r="P531" s="43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</row>
    <row r="532" ht="15.75" customHeight="1">
      <c r="A532" s="87"/>
      <c r="B532" s="88"/>
      <c r="C532" s="87"/>
      <c r="D532" s="87"/>
      <c r="E532" s="87"/>
      <c r="F532" s="92"/>
      <c r="G532" s="92"/>
      <c r="H532" s="87"/>
      <c r="I532" s="91"/>
      <c r="J532" s="87"/>
      <c r="K532" s="45" t="b">
        <v>0</v>
      </c>
      <c r="L532" s="45"/>
      <c r="M532" s="43"/>
      <c r="N532" s="43"/>
      <c r="O532" s="43"/>
      <c r="P532" s="43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</row>
    <row r="533" ht="15.75" customHeight="1">
      <c r="A533" s="87"/>
      <c r="B533" s="88"/>
      <c r="C533" s="87"/>
      <c r="D533" s="87"/>
      <c r="E533" s="87"/>
      <c r="F533" s="92"/>
      <c r="G533" s="92"/>
      <c r="H533" s="87"/>
      <c r="I533" s="91"/>
      <c r="J533" s="87"/>
      <c r="K533" s="45" t="b">
        <v>0</v>
      </c>
      <c r="L533" s="45"/>
      <c r="M533" s="43"/>
      <c r="N533" s="43"/>
      <c r="O533" s="43"/>
      <c r="P533" s="43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</row>
    <row r="534" ht="15.75" customHeight="1">
      <c r="A534" s="87"/>
      <c r="B534" s="88"/>
      <c r="C534" s="87"/>
      <c r="D534" s="87"/>
      <c r="E534" s="87"/>
      <c r="F534" s="92"/>
      <c r="G534" s="92"/>
      <c r="H534" s="87"/>
      <c r="I534" s="91"/>
      <c r="J534" s="87"/>
      <c r="K534" s="45" t="b">
        <v>0</v>
      </c>
      <c r="L534" s="45"/>
      <c r="M534" s="43"/>
      <c r="N534" s="43"/>
      <c r="O534" s="43"/>
      <c r="P534" s="43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</row>
    <row r="535" ht="15.75" customHeight="1">
      <c r="A535" s="87"/>
      <c r="B535" s="88"/>
      <c r="C535" s="87"/>
      <c r="D535" s="87"/>
      <c r="E535" s="87"/>
      <c r="F535" s="92"/>
      <c r="G535" s="92"/>
      <c r="H535" s="87"/>
      <c r="I535" s="91"/>
      <c r="J535" s="87"/>
      <c r="K535" s="45" t="b">
        <v>0</v>
      </c>
      <c r="L535" s="45"/>
      <c r="M535" s="43"/>
      <c r="N535" s="43"/>
      <c r="O535" s="43"/>
      <c r="P535" s="43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</row>
    <row r="536" ht="15.75" customHeight="1">
      <c r="A536" s="87"/>
      <c r="B536" s="88"/>
      <c r="C536" s="87"/>
      <c r="D536" s="87"/>
      <c r="E536" s="87"/>
      <c r="F536" s="92"/>
      <c r="G536" s="92"/>
      <c r="H536" s="87"/>
      <c r="I536" s="91"/>
      <c r="J536" s="87"/>
      <c r="K536" s="45" t="b">
        <v>0</v>
      </c>
      <c r="L536" s="45"/>
      <c r="M536" s="43"/>
      <c r="N536" s="43"/>
      <c r="O536" s="43"/>
      <c r="P536" s="43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</row>
    <row r="537" ht="15.75" customHeight="1">
      <c r="A537" s="87"/>
      <c r="B537" s="88"/>
      <c r="C537" s="87"/>
      <c r="D537" s="87"/>
      <c r="E537" s="87"/>
      <c r="F537" s="92"/>
      <c r="G537" s="92"/>
      <c r="H537" s="87"/>
      <c r="I537" s="91"/>
      <c r="J537" s="87"/>
      <c r="K537" s="45" t="b">
        <v>0</v>
      </c>
      <c r="L537" s="45"/>
      <c r="M537" s="43"/>
      <c r="N537" s="43"/>
      <c r="O537" s="43"/>
      <c r="P537" s="43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</row>
    <row r="538" ht="15.75" customHeight="1">
      <c r="A538" s="87"/>
      <c r="B538" s="88"/>
      <c r="C538" s="87"/>
      <c r="D538" s="87"/>
      <c r="E538" s="87"/>
      <c r="F538" s="92"/>
      <c r="G538" s="92"/>
      <c r="H538" s="87"/>
      <c r="I538" s="91"/>
      <c r="J538" s="87"/>
      <c r="K538" s="45" t="b">
        <v>0</v>
      </c>
      <c r="L538" s="45"/>
      <c r="M538" s="43"/>
      <c r="N538" s="43"/>
      <c r="O538" s="43"/>
      <c r="P538" s="43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</row>
    <row r="539" ht="15.75" customHeight="1">
      <c r="A539" s="87"/>
      <c r="B539" s="88"/>
      <c r="C539" s="87"/>
      <c r="D539" s="87"/>
      <c r="E539" s="87"/>
      <c r="F539" s="92"/>
      <c r="G539" s="92"/>
      <c r="H539" s="87"/>
      <c r="I539" s="91"/>
      <c r="J539" s="87"/>
      <c r="K539" s="45" t="b">
        <v>0</v>
      </c>
      <c r="L539" s="45"/>
      <c r="M539" s="43"/>
      <c r="N539" s="43"/>
      <c r="O539" s="43"/>
      <c r="P539" s="43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</row>
    <row r="540" ht="15.75" customHeight="1">
      <c r="A540" s="87"/>
      <c r="B540" s="88"/>
      <c r="C540" s="87"/>
      <c r="D540" s="87"/>
      <c r="E540" s="87"/>
      <c r="F540" s="92"/>
      <c r="G540" s="92"/>
      <c r="H540" s="87"/>
      <c r="I540" s="91"/>
      <c r="J540" s="87"/>
      <c r="K540" s="45" t="b">
        <v>0</v>
      </c>
      <c r="L540" s="45"/>
      <c r="M540" s="43"/>
      <c r="N540" s="43"/>
      <c r="O540" s="43"/>
      <c r="P540" s="43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</row>
    <row r="541" ht="15.75" customHeight="1">
      <c r="A541" s="87"/>
      <c r="B541" s="88"/>
      <c r="C541" s="87"/>
      <c r="D541" s="87"/>
      <c r="E541" s="87"/>
      <c r="F541" s="92"/>
      <c r="G541" s="92"/>
      <c r="H541" s="87"/>
      <c r="I541" s="91"/>
      <c r="J541" s="87"/>
      <c r="K541" s="45" t="b">
        <v>0</v>
      </c>
      <c r="L541" s="45"/>
      <c r="M541" s="43"/>
      <c r="N541" s="43"/>
      <c r="O541" s="43"/>
      <c r="P541" s="43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</row>
    <row r="542" ht="15.75" customHeight="1">
      <c r="A542" s="87"/>
      <c r="B542" s="88"/>
      <c r="C542" s="87"/>
      <c r="D542" s="87"/>
      <c r="E542" s="87"/>
      <c r="F542" s="92"/>
      <c r="G542" s="92"/>
      <c r="H542" s="87"/>
      <c r="I542" s="91"/>
      <c r="J542" s="87"/>
      <c r="K542" s="45" t="b">
        <v>0</v>
      </c>
      <c r="L542" s="45"/>
      <c r="M542" s="43"/>
      <c r="N542" s="43"/>
      <c r="O542" s="43"/>
      <c r="P542" s="43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</row>
    <row r="543" ht="15.75" customHeight="1">
      <c r="A543" s="87"/>
      <c r="B543" s="88"/>
      <c r="C543" s="87"/>
      <c r="D543" s="87"/>
      <c r="E543" s="87"/>
      <c r="F543" s="92"/>
      <c r="G543" s="92"/>
      <c r="H543" s="87"/>
      <c r="I543" s="91"/>
      <c r="J543" s="87"/>
      <c r="K543" s="45" t="b">
        <v>0</v>
      </c>
      <c r="L543" s="45"/>
      <c r="M543" s="43"/>
      <c r="N543" s="43"/>
      <c r="O543" s="43"/>
      <c r="P543" s="43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</row>
    <row r="544" ht="15.75" customHeight="1">
      <c r="A544" s="87"/>
      <c r="B544" s="88"/>
      <c r="C544" s="87"/>
      <c r="D544" s="87"/>
      <c r="E544" s="87"/>
      <c r="F544" s="92"/>
      <c r="G544" s="92"/>
      <c r="H544" s="87"/>
      <c r="I544" s="91"/>
      <c r="J544" s="87"/>
      <c r="K544" s="45" t="b">
        <v>0</v>
      </c>
      <c r="L544" s="45"/>
      <c r="M544" s="43"/>
      <c r="N544" s="43"/>
      <c r="O544" s="43"/>
      <c r="P544" s="43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</row>
    <row r="545" ht="15.75" customHeight="1">
      <c r="A545" s="87"/>
      <c r="B545" s="88"/>
      <c r="C545" s="87"/>
      <c r="D545" s="87"/>
      <c r="E545" s="87"/>
      <c r="F545" s="92"/>
      <c r="G545" s="92"/>
      <c r="H545" s="87"/>
      <c r="I545" s="91"/>
      <c r="J545" s="87"/>
      <c r="K545" s="45" t="b">
        <v>0</v>
      </c>
      <c r="L545" s="45"/>
      <c r="M545" s="43"/>
      <c r="N545" s="43"/>
      <c r="O545" s="43"/>
      <c r="P545" s="43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</row>
    <row r="546" ht="15.75" customHeight="1">
      <c r="A546" s="87"/>
      <c r="B546" s="88"/>
      <c r="C546" s="87"/>
      <c r="D546" s="87"/>
      <c r="E546" s="87"/>
      <c r="F546" s="92"/>
      <c r="G546" s="92"/>
      <c r="H546" s="87"/>
      <c r="I546" s="91"/>
      <c r="J546" s="87"/>
      <c r="K546" s="45" t="b">
        <v>0</v>
      </c>
      <c r="L546" s="45"/>
      <c r="M546" s="43"/>
      <c r="N546" s="43"/>
      <c r="O546" s="43"/>
      <c r="P546" s="43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</row>
    <row r="547" ht="15.75" customHeight="1">
      <c r="A547" s="87"/>
      <c r="B547" s="88"/>
      <c r="C547" s="87"/>
      <c r="D547" s="87"/>
      <c r="E547" s="87"/>
      <c r="F547" s="92"/>
      <c r="G547" s="92"/>
      <c r="H547" s="87"/>
      <c r="I547" s="91"/>
      <c r="J547" s="87"/>
      <c r="K547" s="45" t="b">
        <v>0</v>
      </c>
      <c r="L547" s="45"/>
      <c r="M547" s="43"/>
      <c r="N547" s="43"/>
      <c r="O547" s="43"/>
      <c r="P547" s="43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</row>
    <row r="548" ht="15.75" customHeight="1">
      <c r="A548" s="87"/>
      <c r="B548" s="88"/>
      <c r="C548" s="87"/>
      <c r="D548" s="87"/>
      <c r="E548" s="87"/>
      <c r="F548" s="92"/>
      <c r="G548" s="92"/>
      <c r="H548" s="87"/>
      <c r="I548" s="91"/>
      <c r="J548" s="87"/>
      <c r="K548" s="45" t="b">
        <v>0</v>
      </c>
      <c r="L548" s="45"/>
      <c r="M548" s="43"/>
      <c r="N548" s="43"/>
      <c r="O548" s="43"/>
      <c r="P548" s="43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</row>
    <row r="549" ht="15.75" customHeight="1">
      <c r="A549" s="87"/>
      <c r="B549" s="88"/>
      <c r="C549" s="87"/>
      <c r="D549" s="87"/>
      <c r="E549" s="87"/>
      <c r="F549" s="92"/>
      <c r="G549" s="92"/>
      <c r="H549" s="87"/>
      <c r="I549" s="91"/>
      <c r="J549" s="87"/>
      <c r="K549" s="45" t="b">
        <v>0</v>
      </c>
      <c r="L549" s="45"/>
      <c r="M549" s="43"/>
      <c r="N549" s="43"/>
      <c r="O549" s="43"/>
      <c r="P549" s="43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</row>
    <row r="550" ht="15.75" customHeight="1">
      <c r="A550" s="87"/>
      <c r="B550" s="88"/>
      <c r="C550" s="87"/>
      <c r="D550" s="87"/>
      <c r="E550" s="87"/>
      <c r="F550" s="92"/>
      <c r="G550" s="92"/>
      <c r="H550" s="87"/>
      <c r="I550" s="91"/>
      <c r="J550" s="87"/>
      <c r="K550" s="45" t="b">
        <v>0</v>
      </c>
      <c r="L550" s="45"/>
      <c r="M550" s="43"/>
      <c r="N550" s="43"/>
      <c r="O550" s="43"/>
      <c r="P550" s="43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</row>
    <row r="551" ht="15.75" customHeight="1">
      <c r="A551" s="87"/>
      <c r="B551" s="88"/>
      <c r="C551" s="87"/>
      <c r="D551" s="87"/>
      <c r="E551" s="87"/>
      <c r="F551" s="92"/>
      <c r="G551" s="92"/>
      <c r="H551" s="87"/>
      <c r="I551" s="91"/>
      <c r="J551" s="87"/>
      <c r="K551" s="45" t="b">
        <v>0</v>
      </c>
      <c r="L551" s="45"/>
      <c r="M551" s="43"/>
      <c r="N551" s="43"/>
      <c r="O551" s="43"/>
      <c r="P551" s="43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</row>
    <row r="552" ht="15.75" customHeight="1">
      <c r="A552" s="87"/>
      <c r="B552" s="88"/>
      <c r="C552" s="87"/>
      <c r="D552" s="87"/>
      <c r="E552" s="87"/>
      <c r="F552" s="92"/>
      <c r="G552" s="92"/>
      <c r="H552" s="87"/>
      <c r="I552" s="91"/>
      <c r="J552" s="87"/>
      <c r="K552" s="45" t="b">
        <v>0</v>
      </c>
      <c r="L552" s="45"/>
      <c r="M552" s="43"/>
      <c r="N552" s="43"/>
      <c r="O552" s="43"/>
      <c r="P552" s="43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</row>
    <row r="553" ht="15.75" customHeight="1">
      <c r="A553" s="87"/>
      <c r="B553" s="88"/>
      <c r="C553" s="87"/>
      <c r="D553" s="87"/>
      <c r="E553" s="87"/>
      <c r="F553" s="92"/>
      <c r="G553" s="92"/>
      <c r="H553" s="87"/>
      <c r="I553" s="91"/>
      <c r="J553" s="87"/>
      <c r="K553" s="45" t="b">
        <v>0</v>
      </c>
      <c r="L553" s="45"/>
      <c r="M553" s="43"/>
      <c r="N553" s="43"/>
      <c r="O553" s="43"/>
      <c r="P553" s="43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</row>
    <row r="554" ht="15.75" customHeight="1">
      <c r="A554" s="87"/>
      <c r="B554" s="88"/>
      <c r="C554" s="87"/>
      <c r="D554" s="87"/>
      <c r="E554" s="87"/>
      <c r="F554" s="92"/>
      <c r="G554" s="92"/>
      <c r="H554" s="87"/>
      <c r="I554" s="91"/>
      <c r="J554" s="87"/>
      <c r="K554" s="45" t="b">
        <v>0</v>
      </c>
      <c r="L554" s="45"/>
      <c r="M554" s="43"/>
      <c r="N554" s="43"/>
      <c r="O554" s="43"/>
      <c r="P554" s="43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</row>
    <row r="555" ht="15.75" customHeight="1">
      <c r="A555" s="87"/>
      <c r="B555" s="88"/>
      <c r="C555" s="87"/>
      <c r="D555" s="87"/>
      <c r="E555" s="87"/>
      <c r="F555" s="92"/>
      <c r="G555" s="92"/>
      <c r="H555" s="87"/>
      <c r="I555" s="91"/>
      <c r="J555" s="87"/>
      <c r="K555" s="45" t="b">
        <v>0</v>
      </c>
      <c r="L555" s="45"/>
      <c r="M555" s="43"/>
      <c r="N555" s="43"/>
      <c r="O555" s="43"/>
      <c r="P555" s="43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</row>
    <row r="556" ht="15.75" customHeight="1">
      <c r="A556" s="87"/>
      <c r="B556" s="88"/>
      <c r="C556" s="87"/>
      <c r="D556" s="87"/>
      <c r="E556" s="87"/>
      <c r="F556" s="92"/>
      <c r="G556" s="92"/>
      <c r="H556" s="87"/>
      <c r="I556" s="91"/>
      <c r="J556" s="87"/>
      <c r="K556" s="45" t="b">
        <v>0</v>
      </c>
      <c r="L556" s="45"/>
      <c r="M556" s="43"/>
      <c r="N556" s="43"/>
      <c r="O556" s="43"/>
      <c r="P556" s="43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</row>
    <row r="557" ht="15.75" customHeight="1">
      <c r="A557" s="87"/>
      <c r="B557" s="88"/>
      <c r="C557" s="87"/>
      <c r="D557" s="87"/>
      <c r="E557" s="87"/>
      <c r="F557" s="92"/>
      <c r="G557" s="92"/>
      <c r="H557" s="87"/>
      <c r="I557" s="91"/>
      <c r="J557" s="87"/>
      <c r="K557" s="45" t="b">
        <v>0</v>
      </c>
      <c r="L557" s="45"/>
      <c r="M557" s="43"/>
      <c r="N557" s="43"/>
      <c r="O557" s="43"/>
      <c r="P557" s="43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</row>
    <row r="558" ht="15.75" customHeight="1">
      <c r="A558" s="87"/>
      <c r="B558" s="88"/>
      <c r="C558" s="87"/>
      <c r="D558" s="87"/>
      <c r="E558" s="87"/>
      <c r="F558" s="92"/>
      <c r="G558" s="92"/>
      <c r="H558" s="87"/>
      <c r="I558" s="91"/>
      <c r="J558" s="87"/>
      <c r="K558" s="45" t="b">
        <v>0</v>
      </c>
      <c r="L558" s="45"/>
      <c r="M558" s="43"/>
      <c r="N558" s="43"/>
      <c r="O558" s="43"/>
      <c r="P558" s="43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</row>
    <row r="559" ht="15.75" customHeight="1">
      <c r="A559" s="87"/>
      <c r="B559" s="88"/>
      <c r="C559" s="87"/>
      <c r="D559" s="87"/>
      <c r="E559" s="87"/>
      <c r="F559" s="92"/>
      <c r="G559" s="92"/>
      <c r="H559" s="87"/>
      <c r="I559" s="91"/>
      <c r="J559" s="87"/>
      <c r="K559" s="45" t="b">
        <v>0</v>
      </c>
      <c r="L559" s="45"/>
      <c r="M559" s="43"/>
      <c r="N559" s="43"/>
      <c r="O559" s="43"/>
      <c r="P559" s="43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</row>
    <row r="560" ht="15.75" customHeight="1">
      <c r="A560" s="87"/>
      <c r="B560" s="88"/>
      <c r="C560" s="87"/>
      <c r="D560" s="87"/>
      <c r="E560" s="87"/>
      <c r="F560" s="92"/>
      <c r="G560" s="92"/>
      <c r="H560" s="87"/>
      <c r="I560" s="91"/>
      <c r="J560" s="87"/>
      <c r="K560" s="45" t="b">
        <v>0</v>
      </c>
      <c r="L560" s="45"/>
      <c r="M560" s="43"/>
      <c r="N560" s="43"/>
      <c r="O560" s="43"/>
      <c r="P560" s="43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</row>
    <row r="561" ht="15.75" customHeight="1">
      <c r="A561" s="87"/>
      <c r="B561" s="88"/>
      <c r="C561" s="87"/>
      <c r="D561" s="87"/>
      <c r="E561" s="87"/>
      <c r="F561" s="92"/>
      <c r="G561" s="92"/>
      <c r="H561" s="87"/>
      <c r="I561" s="91"/>
      <c r="J561" s="87"/>
      <c r="K561" s="45" t="b">
        <v>0</v>
      </c>
      <c r="L561" s="45"/>
      <c r="M561" s="43"/>
      <c r="N561" s="43"/>
      <c r="O561" s="43"/>
      <c r="P561" s="43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</row>
    <row r="562" ht="15.75" customHeight="1">
      <c r="A562" s="87"/>
      <c r="B562" s="88"/>
      <c r="C562" s="87"/>
      <c r="D562" s="87"/>
      <c r="E562" s="87"/>
      <c r="F562" s="92"/>
      <c r="G562" s="92"/>
      <c r="H562" s="87"/>
      <c r="I562" s="91"/>
      <c r="J562" s="87"/>
      <c r="K562" s="45" t="b">
        <v>0</v>
      </c>
      <c r="L562" s="45"/>
      <c r="M562" s="43"/>
      <c r="N562" s="43"/>
      <c r="O562" s="43"/>
      <c r="P562" s="43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</row>
    <row r="563" ht="15.75" customHeight="1">
      <c r="A563" s="87"/>
      <c r="B563" s="88"/>
      <c r="C563" s="87"/>
      <c r="D563" s="87"/>
      <c r="E563" s="87"/>
      <c r="F563" s="92"/>
      <c r="G563" s="92"/>
      <c r="H563" s="87"/>
      <c r="I563" s="91"/>
      <c r="J563" s="87"/>
      <c r="K563" s="45" t="b">
        <v>0</v>
      </c>
      <c r="L563" s="45"/>
      <c r="M563" s="43"/>
      <c r="N563" s="43"/>
      <c r="O563" s="43"/>
      <c r="P563" s="43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</row>
    <row r="564" ht="15.75" customHeight="1">
      <c r="A564" s="87"/>
      <c r="B564" s="88"/>
      <c r="C564" s="87"/>
      <c r="D564" s="87"/>
      <c r="E564" s="87"/>
      <c r="F564" s="92"/>
      <c r="G564" s="92"/>
      <c r="H564" s="87"/>
      <c r="I564" s="91"/>
      <c r="J564" s="87"/>
      <c r="K564" s="45" t="b">
        <v>0</v>
      </c>
      <c r="L564" s="45"/>
      <c r="M564" s="43"/>
      <c r="N564" s="43"/>
      <c r="O564" s="43"/>
      <c r="P564" s="43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</row>
    <row r="565" ht="15.75" customHeight="1">
      <c r="A565" s="87"/>
      <c r="B565" s="88"/>
      <c r="C565" s="87"/>
      <c r="D565" s="87"/>
      <c r="E565" s="87"/>
      <c r="F565" s="92"/>
      <c r="G565" s="92"/>
      <c r="H565" s="87"/>
      <c r="I565" s="91"/>
      <c r="J565" s="87"/>
      <c r="K565" s="45" t="b">
        <v>0</v>
      </c>
      <c r="L565" s="45"/>
      <c r="M565" s="43"/>
      <c r="N565" s="43"/>
      <c r="O565" s="43"/>
      <c r="P565" s="43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</row>
    <row r="566" ht="15.75" customHeight="1">
      <c r="A566" s="87"/>
      <c r="B566" s="88"/>
      <c r="C566" s="87"/>
      <c r="D566" s="87"/>
      <c r="E566" s="87"/>
      <c r="F566" s="92"/>
      <c r="G566" s="92"/>
      <c r="H566" s="87"/>
      <c r="I566" s="91"/>
      <c r="J566" s="87"/>
      <c r="K566" s="45" t="b">
        <v>0</v>
      </c>
      <c r="L566" s="45"/>
      <c r="M566" s="43"/>
      <c r="N566" s="43"/>
      <c r="O566" s="43"/>
      <c r="P566" s="43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</row>
    <row r="567" ht="15.75" customHeight="1">
      <c r="A567" s="87"/>
      <c r="B567" s="88"/>
      <c r="C567" s="87"/>
      <c r="D567" s="87"/>
      <c r="E567" s="87"/>
      <c r="F567" s="92"/>
      <c r="G567" s="92"/>
      <c r="H567" s="87"/>
      <c r="I567" s="91"/>
      <c r="J567" s="87"/>
      <c r="K567" s="45" t="b">
        <v>0</v>
      </c>
      <c r="L567" s="45"/>
      <c r="M567" s="43"/>
      <c r="N567" s="43"/>
      <c r="O567" s="43"/>
      <c r="P567" s="43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</row>
    <row r="568" ht="15.75" customHeight="1">
      <c r="A568" s="87"/>
      <c r="B568" s="88"/>
      <c r="C568" s="87"/>
      <c r="D568" s="87"/>
      <c r="E568" s="87"/>
      <c r="F568" s="92"/>
      <c r="G568" s="92"/>
      <c r="H568" s="87"/>
      <c r="I568" s="91"/>
      <c r="J568" s="87"/>
      <c r="K568" s="45" t="b">
        <v>0</v>
      </c>
      <c r="L568" s="45"/>
      <c r="M568" s="43"/>
      <c r="N568" s="43"/>
      <c r="O568" s="43"/>
      <c r="P568" s="43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</row>
    <row r="569" ht="15.75" customHeight="1">
      <c r="A569" s="87"/>
      <c r="B569" s="88"/>
      <c r="C569" s="87"/>
      <c r="D569" s="87"/>
      <c r="E569" s="87"/>
      <c r="F569" s="92"/>
      <c r="G569" s="92"/>
      <c r="H569" s="87"/>
      <c r="I569" s="91"/>
      <c r="J569" s="87"/>
      <c r="K569" s="45" t="b">
        <v>0</v>
      </c>
      <c r="L569" s="45"/>
      <c r="M569" s="43"/>
      <c r="N569" s="43"/>
      <c r="O569" s="43"/>
      <c r="P569" s="43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</row>
    <row r="570" ht="15.75" customHeight="1">
      <c r="A570" s="87"/>
      <c r="B570" s="88"/>
      <c r="C570" s="87"/>
      <c r="D570" s="87"/>
      <c r="E570" s="87"/>
      <c r="F570" s="92"/>
      <c r="G570" s="92"/>
      <c r="H570" s="87"/>
      <c r="I570" s="91"/>
      <c r="J570" s="87"/>
      <c r="K570" s="45" t="b">
        <v>0</v>
      </c>
      <c r="L570" s="45"/>
      <c r="M570" s="43"/>
      <c r="N570" s="43"/>
      <c r="O570" s="43"/>
      <c r="P570" s="43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</row>
    <row r="571" ht="15.75" customHeight="1">
      <c r="A571" s="87"/>
      <c r="B571" s="88"/>
      <c r="C571" s="87"/>
      <c r="D571" s="87"/>
      <c r="E571" s="87"/>
      <c r="F571" s="92"/>
      <c r="G571" s="92"/>
      <c r="H571" s="87"/>
      <c r="I571" s="91"/>
      <c r="J571" s="87"/>
      <c r="K571" s="45" t="b">
        <v>0</v>
      </c>
      <c r="L571" s="45"/>
      <c r="M571" s="43"/>
      <c r="N571" s="43"/>
      <c r="O571" s="43"/>
      <c r="P571" s="43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</row>
    <row r="572" ht="15.75" customHeight="1">
      <c r="A572" s="87"/>
      <c r="B572" s="88"/>
      <c r="C572" s="87"/>
      <c r="D572" s="87"/>
      <c r="E572" s="87"/>
      <c r="F572" s="92"/>
      <c r="G572" s="92"/>
      <c r="H572" s="87"/>
      <c r="I572" s="91"/>
      <c r="J572" s="87"/>
      <c r="K572" s="45" t="b">
        <v>0</v>
      </c>
      <c r="L572" s="45"/>
      <c r="M572" s="43"/>
      <c r="N572" s="43"/>
      <c r="O572" s="43"/>
      <c r="P572" s="43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</row>
    <row r="573" ht="15.75" customHeight="1">
      <c r="A573" s="87"/>
      <c r="B573" s="88"/>
      <c r="C573" s="87"/>
      <c r="D573" s="87"/>
      <c r="E573" s="87"/>
      <c r="F573" s="92"/>
      <c r="G573" s="92"/>
      <c r="H573" s="87"/>
      <c r="I573" s="91"/>
      <c r="J573" s="87"/>
      <c r="K573" s="45" t="b">
        <v>0</v>
      </c>
      <c r="L573" s="45"/>
      <c r="M573" s="43"/>
      <c r="N573" s="43"/>
      <c r="O573" s="43"/>
      <c r="P573" s="43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</row>
    <row r="574" ht="15.75" customHeight="1">
      <c r="A574" s="87"/>
      <c r="B574" s="88"/>
      <c r="C574" s="87"/>
      <c r="D574" s="87"/>
      <c r="E574" s="87"/>
      <c r="F574" s="92"/>
      <c r="G574" s="92"/>
      <c r="H574" s="87"/>
      <c r="I574" s="91"/>
      <c r="J574" s="87"/>
      <c r="K574" s="45" t="b">
        <v>0</v>
      </c>
      <c r="L574" s="45"/>
      <c r="M574" s="43"/>
      <c r="N574" s="43"/>
      <c r="O574" s="43"/>
      <c r="P574" s="43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</row>
    <row r="575" ht="15.75" customHeight="1">
      <c r="A575" s="87"/>
      <c r="B575" s="88"/>
      <c r="C575" s="87"/>
      <c r="D575" s="87"/>
      <c r="E575" s="87"/>
      <c r="F575" s="92"/>
      <c r="G575" s="92"/>
      <c r="H575" s="87"/>
      <c r="I575" s="91"/>
      <c r="J575" s="87"/>
      <c r="K575" s="45" t="b">
        <v>0</v>
      </c>
      <c r="L575" s="45"/>
      <c r="M575" s="43"/>
      <c r="N575" s="43"/>
      <c r="O575" s="43"/>
      <c r="P575" s="43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</row>
    <row r="576" ht="15.75" customHeight="1">
      <c r="A576" s="87"/>
      <c r="B576" s="88"/>
      <c r="C576" s="87"/>
      <c r="D576" s="87"/>
      <c r="E576" s="87"/>
      <c r="F576" s="92"/>
      <c r="G576" s="92"/>
      <c r="H576" s="87"/>
      <c r="I576" s="91"/>
      <c r="J576" s="87"/>
      <c r="K576" s="45" t="b">
        <v>0</v>
      </c>
      <c r="L576" s="45"/>
      <c r="M576" s="43"/>
      <c r="N576" s="43"/>
      <c r="O576" s="43"/>
      <c r="P576" s="43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</row>
    <row r="577" ht="15.75" customHeight="1">
      <c r="A577" s="87"/>
      <c r="B577" s="88"/>
      <c r="C577" s="87"/>
      <c r="D577" s="87"/>
      <c r="E577" s="87"/>
      <c r="F577" s="92"/>
      <c r="G577" s="92"/>
      <c r="H577" s="87"/>
      <c r="I577" s="91"/>
      <c r="J577" s="87"/>
      <c r="K577" s="45" t="b">
        <v>0</v>
      </c>
      <c r="L577" s="45"/>
      <c r="M577" s="43"/>
      <c r="N577" s="43"/>
      <c r="O577" s="43"/>
      <c r="P577" s="43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</row>
    <row r="578" ht="15.75" customHeight="1">
      <c r="A578" s="87"/>
      <c r="B578" s="88"/>
      <c r="C578" s="87"/>
      <c r="D578" s="87"/>
      <c r="E578" s="87"/>
      <c r="F578" s="92"/>
      <c r="G578" s="92"/>
      <c r="H578" s="87"/>
      <c r="I578" s="91"/>
      <c r="J578" s="87"/>
      <c r="K578" s="45" t="b">
        <v>0</v>
      </c>
      <c r="L578" s="45"/>
      <c r="M578" s="43"/>
      <c r="N578" s="43"/>
      <c r="O578" s="43"/>
      <c r="P578" s="43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</row>
    <row r="579" ht="15.75" customHeight="1">
      <c r="A579" s="87"/>
      <c r="B579" s="88"/>
      <c r="C579" s="87"/>
      <c r="D579" s="87"/>
      <c r="E579" s="87"/>
      <c r="F579" s="92"/>
      <c r="G579" s="92"/>
      <c r="H579" s="87"/>
      <c r="I579" s="91"/>
      <c r="J579" s="87"/>
      <c r="K579" s="45" t="b">
        <v>0</v>
      </c>
      <c r="L579" s="45"/>
      <c r="M579" s="43"/>
      <c r="N579" s="43"/>
      <c r="O579" s="43"/>
      <c r="P579" s="43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</row>
    <row r="580" ht="15.75" customHeight="1">
      <c r="A580" s="87"/>
      <c r="B580" s="88"/>
      <c r="C580" s="87"/>
      <c r="D580" s="87"/>
      <c r="E580" s="87"/>
      <c r="F580" s="92"/>
      <c r="G580" s="92"/>
      <c r="H580" s="87"/>
      <c r="I580" s="91"/>
      <c r="J580" s="87"/>
      <c r="K580" s="45" t="b">
        <v>0</v>
      </c>
      <c r="L580" s="45"/>
      <c r="M580" s="43"/>
      <c r="N580" s="43"/>
      <c r="O580" s="43"/>
      <c r="P580" s="43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</row>
    <row r="581" ht="15.75" customHeight="1">
      <c r="A581" s="87"/>
      <c r="B581" s="88"/>
      <c r="C581" s="87"/>
      <c r="D581" s="87"/>
      <c r="E581" s="87"/>
      <c r="F581" s="92"/>
      <c r="G581" s="92"/>
      <c r="H581" s="87"/>
      <c r="I581" s="91"/>
      <c r="J581" s="87"/>
      <c r="K581" s="45" t="b">
        <v>0</v>
      </c>
      <c r="L581" s="45"/>
      <c r="M581" s="43"/>
      <c r="N581" s="43"/>
      <c r="O581" s="43"/>
      <c r="P581" s="43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</row>
    <row r="582" ht="15.75" customHeight="1">
      <c r="A582" s="87"/>
      <c r="B582" s="88"/>
      <c r="C582" s="87"/>
      <c r="D582" s="87"/>
      <c r="E582" s="87"/>
      <c r="F582" s="92"/>
      <c r="G582" s="92"/>
      <c r="H582" s="87"/>
      <c r="I582" s="91"/>
      <c r="J582" s="87"/>
      <c r="K582" s="45" t="b">
        <v>0</v>
      </c>
      <c r="L582" s="45"/>
      <c r="M582" s="43"/>
      <c r="N582" s="43"/>
      <c r="O582" s="43"/>
      <c r="P582" s="43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</row>
    <row r="583" ht="15.75" customHeight="1">
      <c r="A583" s="87"/>
      <c r="B583" s="88"/>
      <c r="C583" s="87"/>
      <c r="D583" s="87"/>
      <c r="E583" s="87"/>
      <c r="F583" s="92"/>
      <c r="G583" s="92"/>
      <c r="H583" s="87"/>
      <c r="I583" s="91"/>
      <c r="J583" s="87"/>
      <c r="K583" s="45" t="b">
        <v>0</v>
      </c>
      <c r="L583" s="45"/>
      <c r="M583" s="43"/>
      <c r="N583" s="43"/>
      <c r="O583" s="43"/>
      <c r="P583" s="43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</row>
    <row r="584" ht="15.75" customHeight="1">
      <c r="A584" s="87"/>
      <c r="B584" s="88"/>
      <c r="C584" s="87"/>
      <c r="D584" s="87"/>
      <c r="E584" s="87"/>
      <c r="F584" s="92"/>
      <c r="G584" s="92"/>
      <c r="H584" s="87"/>
      <c r="I584" s="91"/>
      <c r="J584" s="87"/>
      <c r="K584" s="45" t="b">
        <v>0</v>
      </c>
      <c r="L584" s="45"/>
      <c r="M584" s="43"/>
      <c r="N584" s="43"/>
      <c r="O584" s="43"/>
      <c r="P584" s="43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</row>
    <row r="585" ht="15.75" customHeight="1">
      <c r="A585" s="87"/>
      <c r="B585" s="88"/>
      <c r="C585" s="87"/>
      <c r="D585" s="87"/>
      <c r="E585" s="87"/>
      <c r="F585" s="92"/>
      <c r="G585" s="92"/>
      <c r="H585" s="87"/>
      <c r="I585" s="91"/>
      <c r="J585" s="87"/>
      <c r="K585" s="45" t="b">
        <v>0</v>
      </c>
      <c r="L585" s="45"/>
      <c r="M585" s="43"/>
      <c r="N585" s="43"/>
      <c r="O585" s="43"/>
      <c r="P585" s="43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</row>
    <row r="586" ht="15.75" customHeight="1">
      <c r="A586" s="87"/>
      <c r="B586" s="88"/>
      <c r="C586" s="87"/>
      <c r="D586" s="87"/>
      <c r="E586" s="87"/>
      <c r="F586" s="92"/>
      <c r="G586" s="92"/>
      <c r="H586" s="87"/>
      <c r="I586" s="91"/>
      <c r="J586" s="87"/>
      <c r="K586" s="45" t="b">
        <v>0</v>
      </c>
      <c r="L586" s="45"/>
      <c r="M586" s="43"/>
      <c r="N586" s="43"/>
      <c r="O586" s="43"/>
      <c r="P586" s="43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</row>
    <row r="587" ht="15.75" customHeight="1">
      <c r="A587" s="87"/>
      <c r="B587" s="88"/>
      <c r="C587" s="87"/>
      <c r="D587" s="87"/>
      <c r="E587" s="87"/>
      <c r="F587" s="92"/>
      <c r="G587" s="92"/>
      <c r="H587" s="87"/>
      <c r="I587" s="91"/>
      <c r="J587" s="87"/>
      <c r="K587" s="45" t="b">
        <v>0</v>
      </c>
      <c r="L587" s="45"/>
      <c r="M587" s="43"/>
      <c r="N587" s="43"/>
      <c r="O587" s="43"/>
      <c r="P587" s="43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</row>
    <row r="588" ht="15.75" customHeight="1">
      <c r="A588" s="87"/>
      <c r="B588" s="88"/>
      <c r="C588" s="87"/>
      <c r="D588" s="87"/>
      <c r="E588" s="87"/>
      <c r="F588" s="92"/>
      <c r="G588" s="92"/>
      <c r="H588" s="87"/>
      <c r="I588" s="91"/>
      <c r="J588" s="87"/>
      <c r="K588" s="45" t="b">
        <v>0</v>
      </c>
      <c r="L588" s="45"/>
      <c r="M588" s="43"/>
      <c r="N588" s="43"/>
      <c r="O588" s="43"/>
      <c r="P588" s="43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</row>
    <row r="589" ht="15.75" customHeight="1">
      <c r="A589" s="87"/>
      <c r="B589" s="88"/>
      <c r="C589" s="87"/>
      <c r="D589" s="87"/>
      <c r="E589" s="87"/>
      <c r="F589" s="92"/>
      <c r="G589" s="92"/>
      <c r="H589" s="87"/>
      <c r="I589" s="91"/>
      <c r="J589" s="87"/>
      <c r="K589" s="45" t="b">
        <v>0</v>
      </c>
      <c r="L589" s="45"/>
      <c r="M589" s="43"/>
      <c r="N589" s="43"/>
      <c r="O589" s="43"/>
      <c r="P589" s="43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</row>
    <row r="590" ht="15.75" customHeight="1">
      <c r="A590" s="87"/>
      <c r="B590" s="88"/>
      <c r="C590" s="87"/>
      <c r="D590" s="87"/>
      <c r="E590" s="87"/>
      <c r="F590" s="92"/>
      <c r="G590" s="92"/>
      <c r="H590" s="87"/>
      <c r="I590" s="91"/>
      <c r="J590" s="87"/>
      <c r="K590" s="45" t="b">
        <v>0</v>
      </c>
      <c r="L590" s="45"/>
      <c r="M590" s="43"/>
      <c r="N590" s="43"/>
      <c r="O590" s="43"/>
      <c r="P590" s="43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</row>
    <row r="591" ht="15.75" customHeight="1">
      <c r="A591" s="87"/>
      <c r="B591" s="88"/>
      <c r="C591" s="87"/>
      <c r="D591" s="87"/>
      <c r="E591" s="87"/>
      <c r="F591" s="92"/>
      <c r="G591" s="92"/>
      <c r="H591" s="87"/>
      <c r="I591" s="91"/>
      <c r="J591" s="87"/>
      <c r="K591" s="45" t="b">
        <v>0</v>
      </c>
      <c r="L591" s="45"/>
      <c r="M591" s="43"/>
      <c r="N591" s="43"/>
      <c r="O591" s="43"/>
      <c r="P591" s="43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</row>
    <row r="592" ht="15.75" customHeight="1">
      <c r="A592" s="87"/>
      <c r="B592" s="88"/>
      <c r="C592" s="87"/>
      <c r="D592" s="87"/>
      <c r="E592" s="87"/>
      <c r="F592" s="92"/>
      <c r="G592" s="92"/>
      <c r="H592" s="87"/>
      <c r="I592" s="91"/>
      <c r="J592" s="87"/>
      <c r="K592" s="45" t="b">
        <v>0</v>
      </c>
      <c r="L592" s="45"/>
      <c r="M592" s="43"/>
      <c r="N592" s="43"/>
      <c r="O592" s="43"/>
      <c r="P592" s="43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</row>
    <row r="593" ht="15.75" customHeight="1">
      <c r="A593" s="87"/>
      <c r="B593" s="88"/>
      <c r="C593" s="87"/>
      <c r="D593" s="87"/>
      <c r="E593" s="87"/>
      <c r="F593" s="92"/>
      <c r="G593" s="92"/>
      <c r="H593" s="87"/>
      <c r="I593" s="91"/>
      <c r="J593" s="87"/>
      <c r="K593" s="45" t="b">
        <v>0</v>
      </c>
      <c r="L593" s="45"/>
      <c r="M593" s="43"/>
      <c r="N593" s="43"/>
      <c r="O593" s="43"/>
      <c r="P593" s="43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</row>
    <row r="594" ht="15.75" customHeight="1">
      <c r="A594" s="87"/>
      <c r="B594" s="88"/>
      <c r="C594" s="87"/>
      <c r="D594" s="87"/>
      <c r="E594" s="87"/>
      <c r="F594" s="92"/>
      <c r="G594" s="92"/>
      <c r="H594" s="87"/>
      <c r="I594" s="91"/>
      <c r="J594" s="87"/>
      <c r="K594" s="45" t="b">
        <v>0</v>
      </c>
      <c r="L594" s="45"/>
      <c r="M594" s="43"/>
      <c r="N594" s="43"/>
      <c r="O594" s="43"/>
      <c r="P594" s="43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</row>
    <row r="595" ht="15.75" customHeight="1">
      <c r="A595" s="87"/>
      <c r="B595" s="88"/>
      <c r="C595" s="87"/>
      <c r="D595" s="87"/>
      <c r="E595" s="87"/>
      <c r="F595" s="92"/>
      <c r="G595" s="92"/>
      <c r="H595" s="87"/>
      <c r="I595" s="91"/>
      <c r="J595" s="87"/>
      <c r="K595" s="45" t="b">
        <v>0</v>
      </c>
      <c r="L595" s="45"/>
      <c r="M595" s="43"/>
      <c r="N595" s="43"/>
      <c r="O595" s="43"/>
      <c r="P595" s="43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</row>
    <row r="596" ht="15.75" customHeight="1">
      <c r="A596" s="87"/>
      <c r="B596" s="88"/>
      <c r="C596" s="87"/>
      <c r="D596" s="87"/>
      <c r="E596" s="87"/>
      <c r="F596" s="92"/>
      <c r="G596" s="92"/>
      <c r="H596" s="87"/>
      <c r="I596" s="91"/>
      <c r="J596" s="87"/>
      <c r="K596" s="45" t="b">
        <v>0</v>
      </c>
      <c r="L596" s="45"/>
      <c r="M596" s="43"/>
      <c r="N596" s="43"/>
      <c r="O596" s="43"/>
      <c r="P596" s="43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</row>
    <row r="597" ht="15.75" customHeight="1">
      <c r="A597" s="87"/>
      <c r="B597" s="88"/>
      <c r="C597" s="87"/>
      <c r="D597" s="87"/>
      <c r="E597" s="87"/>
      <c r="F597" s="92"/>
      <c r="G597" s="92"/>
      <c r="H597" s="87"/>
      <c r="I597" s="91"/>
      <c r="J597" s="87"/>
      <c r="K597" s="45" t="b">
        <v>0</v>
      </c>
      <c r="L597" s="45"/>
      <c r="M597" s="43"/>
      <c r="N597" s="43"/>
      <c r="O597" s="43"/>
      <c r="P597" s="43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</row>
    <row r="598" ht="15.75" customHeight="1">
      <c r="A598" s="87"/>
      <c r="B598" s="88"/>
      <c r="C598" s="87"/>
      <c r="D598" s="87"/>
      <c r="E598" s="87"/>
      <c r="F598" s="92"/>
      <c r="G598" s="92"/>
      <c r="H598" s="87"/>
      <c r="I598" s="91"/>
      <c r="J598" s="87"/>
      <c r="K598" s="45" t="b">
        <v>0</v>
      </c>
      <c r="L598" s="45"/>
      <c r="M598" s="43"/>
      <c r="N598" s="43"/>
      <c r="O598" s="43"/>
      <c r="P598" s="43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</row>
    <row r="599" ht="15.75" customHeight="1">
      <c r="A599" s="87"/>
      <c r="B599" s="88"/>
      <c r="C599" s="87"/>
      <c r="D599" s="87"/>
      <c r="E599" s="87"/>
      <c r="F599" s="92"/>
      <c r="G599" s="92"/>
      <c r="H599" s="87"/>
      <c r="I599" s="91"/>
      <c r="J599" s="87"/>
      <c r="K599" s="45" t="b">
        <v>0</v>
      </c>
      <c r="L599" s="45"/>
      <c r="M599" s="43"/>
      <c r="N599" s="43"/>
      <c r="O599" s="43"/>
      <c r="P599" s="43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</row>
    <row r="600" ht="15.75" customHeight="1">
      <c r="A600" s="87"/>
      <c r="B600" s="88"/>
      <c r="C600" s="87"/>
      <c r="D600" s="87"/>
      <c r="E600" s="87"/>
      <c r="F600" s="92"/>
      <c r="G600" s="92"/>
      <c r="H600" s="87"/>
      <c r="I600" s="91"/>
      <c r="J600" s="87"/>
      <c r="K600" s="45" t="b">
        <v>0</v>
      </c>
      <c r="L600" s="45"/>
      <c r="M600" s="43"/>
      <c r="N600" s="43"/>
      <c r="O600" s="43"/>
      <c r="P600" s="43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</row>
    <row r="601" ht="15.75" customHeight="1">
      <c r="A601" s="87"/>
      <c r="B601" s="88"/>
      <c r="C601" s="87"/>
      <c r="D601" s="87"/>
      <c r="E601" s="87"/>
      <c r="F601" s="92"/>
      <c r="G601" s="92"/>
      <c r="H601" s="87"/>
      <c r="I601" s="91"/>
      <c r="J601" s="87"/>
      <c r="K601" s="45" t="b">
        <v>0</v>
      </c>
      <c r="L601" s="45"/>
      <c r="M601" s="43"/>
      <c r="N601" s="43"/>
      <c r="O601" s="43"/>
      <c r="P601" s="43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</row>
    <row r="602" ht="15.75" customHeight="1">
      <c r="A602" s="87"/>
      <c r="B602" s="88"/>
      <c r="C602" s="87"/>
      <c r="D602" s="87"/>
      <c r="E602" s="87"/>
      <c r="F602" s="92"/>
      <c r="G602" s="92"/>
      <c r="H602" s="87"/>
      <c r="I602" s="91"/>
      <c r="J602" s="87"/>
      <c r="K602" s="45" t="b">
        <v>0</v>
      </c>
      <c r="L602" s="45"/>
      <c r="M602" s="43"/>
      <c r="N602" s="43"/>
      <c r="O602" s="43"/>
      <c r="P602" s="43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</row>
    <row r="603" ht="15.75" customHeight="1">
      <c r="A603" s="87"/>
      <c r="B603" s="88"/>
      <c r="C603" s="87"/>
      <c r="D603" s="87"/>
      <c r="E603" s="87"/>
      <c r="F603" s="92"/>
      <c r="G603" s="92"/>
      <c r="H603" s="87"/>
      <c r="I603" s="91"/>
      <c r="J603" s="87"/>
      <c r="K603" s="45" t="b">
        <v>0</v>
      </c>
      <c r="L603" s="45"/>
      <c r="M603" s="43"/>
      <c r="N603" s="43"/>
      <c r="O603" s="43"/>
      <c r="P603" s="43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</row>
    <row r="604" ht="15.75" customHeight="1">
      <c r="A604" s="87"/>
      <c r="B604" s="88"/>
      <c r="C604" s="87"/>
      <c r="D604" s="87"/>
      <c r="E604" s="87"/>
      <c r="F604" s="92"/>
      <c r="G604" s="92"/>
      <c r="H604" s="87"/>
      <c r="I604" s="91"/>
      <c r="J604" s="87"/>
      <c r="K604" s="45" t="b">
        <v>0</v>
      </c>
      <c r="L604" s="45"/>
      <c r="M604" s="43"/>
      <c r="N604" s="43"/>
      <c r="O604" s="43"/>
      <c r="P604" s="43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</row>
    <row r="605" ht="15.75" customHeight="1">
      <c r="A605" s="87"/>
      <c r="B605" s="88"/>
      <c r="C605" s="87"/>
      <c r="D605" s="87"/>
      <c r="E605" s="87"/>
      <c r="F605" s="92"/>
      <c r="G605" s="92"/>
      <c r="H605" s="87"/>
      <c r="I605" s="91"/>
      <c r="J605" s="87"/>
      <c r="K605" s="45" t="b">
        <v>0</v>
      </c>
      <c r="L605" s="45"/>
      <c r="M605" s="43"/>
      <c r="N605" s="43"/>
      <c r="O605" s="43"/>
      <c r="P605" s="43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</row>
    <row r="606" ht="15.75" customHeight="1">
      <c r="A606" s="87"/>
      <c r="B606" s="88"/>
      <c r="C606" s="87"/>
      <c r="D606" s="87"/>
      <c r="E606" s="87"/>
      <c r="F606" s="92"/>
      <c r="G606" s="92"/>
      <c r="H606" s="87"/>
      <c r="I606" s="91"/>
      <c r="J606" s="87"/>
      <c r="K606" s="45" t="b">
        <v>0</v>
      </c>
      <c r="L606" s="45"/>
      <c r="M606" s="43"/>
      <c r="N606" s="43"/>
      <c r="O606" s="43"/>
      <c r="P606" s="43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</row>
    <row r="607" ht="15.75" customHeight="1">
      <c r="A607" s="87"/>
      <c r="B607" s="88"/>
      <c r="C607" s="87"/>
      <c r="D607" s="87"/>
      <c r="E607" s="87"/>
      <c r="F607" s="92"/>
      <c r="G607" s="92"/>
      <c r="H607" s="87"/>
      <c r="I607" s="91"/>
      <c r="J607" s="87"/>
      <c r="K607" s="45" t="b">
        <v>0</v>
      </c>
      <c r="L607" s="45"/>
      <c r="M607" s="43"/>
      <c r="N607" s="43"/>
      <c r="O607" s="43"/>
      <c r="P607" s="43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</row>
    <row r="608" ht="15.75" customHeight="1">
      <c r="A608" s="87"/>
      <c r="B608" s="88"/>
      <c r="C608" s="87"/>
      <c r="D608" s="87"/>
      <c r="E608" s="87"/>
      <c r="F608" s="92"/>
      <c r="G608" s="92"/>
      <c r="H608" s="87"/>
      <c r="I608" s="91"/>
      <c r="J608" s="87"/>
      <c r="K608" s="45" t="b">
        <v>0</v>
      </c>
      <c r="L608" s="45"/>
      <c r="M608" s="43"/>
      <c r="N608" s="43"/>
      <c r="O608" s="43"/>
      <c r="P608" s="43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</row>
    <row r="609" ht="15.75" customHeight="1">
      <c r="A609" s="87"/>
      <c r="B609" s="88"/>
      <c r="C609" s="87"/>
      <c r="D609" s="87"/>
      <c r="E609" s="87"/>
      <c r="F609" s="92"/>
      <c r="G609" s="92"/>
      <c r="H609" s="87"/>
      <c r="I609" s="91"/>
      <c r="J609" s="87"/>
      <c r="K609" s="45" t="b">
        <v>0</v>
      </c>
      <c r="L609" s="45"/>
      <c r="M609" s="43"/>
      <c r="N609" s="43"/>
      <c r="O609" s="43"/>
      <c r="P609" s="43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</row>
    <row r="610" ht="15.75" customHeight="1">
      <c r="A610" s="87"/>
      <c r="B610" s="88"/>
      <c r="C610" s="87"/>
      <c r="D610" s="87"/>
      <c r="E610" s="87"/>
      <c r="F610" s="92"/>
      <c r="G610" s="92"/>
      <c r="H610" s="87"/>
      <c r="I610" s="91"/>
      <c r="J610" s="87"/>
      <c r="K610" s="45" t="b">
        <v>0</v>
      </c>
      <c r="L610" s="45"/>
      <c r="M610" s="43"/>
      <c r="N610" s="43"/>
      <c r="O610" s="43"/>
      <c r="P610" s="43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</row>
    <row r="611" ht="15.75" customHeight="1">
      <c r="A611" s="87"/>
      <c r="B611" s="88"/>
      <c r="C611" s="87"/>
      <c r="D611" s="87"/>
      <c r="E611" s="87"/>
      <c r="F611" s="92"/>
      <c r="G611" s="92"/>
      <c r="H611" s="87"/>
      <c r="I611" s="91"/>
      <c r="J611" s="87"/>
      <c r="K611" s="45" t="b">
        <v>0</v>
      </c>
      <c r="L611" s="45"/>
      <c r="M611" s="43"/>
      <c r="N611" s="43"/>
      <c r="O611" s="43"/>
      <c r="P611" s="43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</row>
    <row r="612" ht="15.75" customHeight="1">
      <c r="A612" s="87"/>
      <c r="B612" s="88"/>
      <c r="C612" s="87"/>
      <c r="D612" s="87"/>
      <c r="E612" s="87"/>
      <c r="F612" s="92"/>
      <c r="G612" s="92"/>
      <c r="H612" s="87"/>
      <c r="I612" s="91"/>
      <c r="J612" s="87"/>
      <c r="K612" s="45" t="b">
        <v>0</v>
      </c>
      <c r="L612" s="45"/>
      <c r="M612" s="43"/>
      <c r="N612" s="43"/>
      <c r="O612" s="43"/>
      <c r="P612" s="43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</row>
    <row r="613" ht="15.75" customHeight="1">
      <c r="A613" s="87"/>
      <c r="B613" s="88"/>
      <c r="C613" s="87"/>
      <c r="D613" s="87"/>
      <c r="E613" s="87"/>
      <c r="F613" s="92"/>
      <c r="G613" s="92"/>
      <c r="H613" s="87"/>
      <c r="I613" s="91"/>
      <c r="J613" s="87"/>
      <c r="K613" s="45" t="b">
        <v>0</v>
      </c>
      <c r="L613" s="45"/>
      <c r="M613" s="43"/>
      <c r="N613" s="43"/>
      <c r="O613" s="43"/>
      <c r="P613" s="43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</row>
    <row r="614" ht="15.75" customHeight="1">
      <c r="A614" s="87"/>
      <c r="B614" s="88"/>
      <c r="C614" s="87"/>
      <c r="D614" s="87"/>
      <c r="E614" s="87"/>
      <c r="F614" s="92"/>
      <c r="G614" s="92"/>
      <c r="H614" s="87"/>
      <c r="I614" s="91"/>
      <c r="J614" s="87"/>
      <c r="K614" s="45" t="b">
        <v>0</v>
      </c>
      <c r="L614" s="45"/>
      <c r="M614" s="43"/>
      <c r="N614" s="43"/>
      <c r="O614" s="43"/>
      <c r="P614" s="43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</row>
    <row r="615" ht="15.75" customHeight="1">
      <c r="A615" s="87"/>
      <c r="B615" s="88"/>
      <c r="C615" s="87"/>
      <c r="D615" s="87"/>
      <c r="E615" s="87"/>
      <c r="F615" s="92"/>
      <c r="G615" s="92"/>
      <c r="H615" s="87"/>
      <c r="I615" s="91"/>
      <c r="J615" s="87"/>
      <c r="K615" s="45" t="b">
        <v>0</v>
      </c>
      <c r="L615" s="45"/>
      <c r="M615" s="43"/>
      <c r="N615" s="43"/>
      <c r="O615" s="43"/>
      <c r="P615" s="43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</row>
    <row r="616" ht="15.75" customHeight="1">
      <c r="A616" s="87"/>
      <c r="B616" s="88"/>
      <c r="C616" s="87"/>
      <c r="D616" s="87"/>
      <c r="E616" s="87"/>
      <c r="F616" s="92"/>
      <c r="G616" s="92"/>
      <c r="H616" s="87"/>
      <c r="I616" s="91"/>
      <c r="J616" s="87"/>
      <c r="K616" s="45" t="b">
        <v>0</v>
      </c>
      <c r="L616" s="45"/>
      <c r="M616" s="43"/>
      <c r="N616" s="43"/>
      <c r="O616" s="43"/>
      <c r="P616" s="43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</row>
    <row r="617" ht="15.75" customHeight="1">
      <c r="A617" s="87"/>
      <c r="B617" s="88"/>
      <c r="C617" s="87"/>
      <c r="D617" s="87"/>
      <c r="E617" s="87"/>
      <c r="F617" s="92"/>
      <c r="G617" s="92"/>
      <c r="H617" s="87"/>
      <c r="I617" s="91"/>
      <c r="J617" s="87"/>
      <c r="K617" s="45" t="b">
        <v>0</v>
      </c>
      <c r="L617" s="45"/>
      <c r="M617" s="43"/>
      <c r="N617" s="43"/>
      <c r="O617" s="43"/>
      <c r="P617" s="43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</row>
    <row r="618" ht="15.75" customHeight="1">
      <c r="A618" s="87"/>
      <c r="B618" s="88"/>
      <c r="C618" s="87"/>
      <c r="D618" s="87"/>
      <c r="E618" s="87"/>
      <c r="F618" s="92"/>
      <c r="G618" s="92"/>
      <c r="H618" s="87"/>
      <c r="I618" s="91"/>
      <c r="J618" s="87"/>
      <c r="K618" s="45" t="b">
        <v>0</v>
      </c>
      <c r="L618" s="45"/>
      <c r="M618" s="43"/>
      <c r="N618" s="43"/>
      <c r="O618" s="43"/>
      <c r="P618" s="43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</row>
    <row r="619" ht="15.75" customHeight="1">
      <c r="A619" s="87"/>
      <c r="B619" s="88"/>
      <c r="C619" s="87"/>
      <c r="D619" s="87"/>
      <c r="E619" s="87"/>
      <c r="F619" s="92"/>
      <c r="G619" s="92"/>
      <c r="H619" s="87"/>
      <c r="I619" s="91"/>
      <c r="J619" s="87"/>
      <c r="K619" s="45" t="b">
        <v>0</v>
      </c>
      <c r="L619" s="45"/>
      <c r="M619" s="43"/>
      <c r="N619" s="43"/>
      <c r="O619" s="43"/>
      <c r="P619" s="43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</row>
    <row r="620" ht="15.75" customHeight="1">
      <c r="A620" s="87"/>
      <c r="B620" s="88"/>
      <c r="C620" s="87"/>
      <c r="D620" s="87"/>
      <c r="E620" s="87"/>
      <c r="F620" s="92"/>
      <c r="G620" s="92"/>
      <c r="H620" s="87"/>
      <c r="I620" s="91"/>
      <c r="J620" s="87"/>
      <c r="K620" s="45" t="b">
        <v>0</v>
      </c>
      <c r="L620" s="45"/>
      <c r="M620" s="43"/>
      <c r="N620" s="43"/>
      <c r="O620" s="43"/>
      <c r="P620" s="43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</row>
    <row r="621" ht="15.75" customHeight="1">
      <c r="A621" s="87"/>
      <c r="B621" s="88"/>
      <c r="C621" s="87"/>
      <c r="D621" s="87"/>
      <c r="E621" s="87"/>
      <c r="F621" s="92"/>
      <c r="G621" s="92"/>
      <c r="H621" s="87"/>
      <c r="I621" s="91"/>
      <c r="J621" s="87"/>
      <c r="K621" s="45" t="b">
        <v>0</v>
      </c>
      <c r="L621" s="45"/>
      <c r="M621" s="43"/>
      <c r="N621" s="43"/>
      <c r="O621" s="43"/>
      <c r="P621" s="43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</row>
    <row r="622" ht="15.75" customHeight="1">
      <c r="A622" s="87"/>
      <c r="B622" s="88"/>
      <c r="C622" s="87"/>
      <c r="D622" s="87"/>
      <c r="E622" s="87"/>
      <c r="F622" s="92"/>
      <c r="G622" s="92"/>
      <c r="H622" s="87"/>
      <c r="I622" s="91"/>
      <c r="J622" s="87"/>
      <c r="K622" s="45" t="b">
        <v>0</v>
      </c>
      <c r="L622" s="45"/>
      <c r="M622" s="43"/>
      <c r="N622" s="43"/>
      <c r="O622" s="43"/>
      <c r="P622" s="43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</row>
    <row r="623" ht="15.75" customHeight="1">
      <c r="A623" s="87"/>
      <c r="B623" s="88"/>
      <c r="C623" s="87"/>
      <c r="D623" s="87"/>
      <c r="E623" s="87"/>
      <c r="F623" s="92"/>
      <c r="G623" s="92"/>
      <c r="H623" s="87"/>
      <c r="I623" s="91"/>
      <c r="J623" s="87"/>
      <c r="K623" s="45" t="b">
        <v>0</v>
      </c>
      <c r="L623" s="45"/>
      <c r="M623" s="43"/>
      <c r="N623" s="43"/>
      <c r="O623" s="43"/>
      <c r="P623" s="43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</row>
    <row r="624" ht="15.75" customHeight="1">
      <c r="A624" s="87"/>
      <c r="B624" s="88"/>
      <c r="C624" s="87"/>
      <c r="D624" s="87"/>
      <c r="E624" s="87"/>
      <c r="F624" s="92"/>
      <c r="G624" s="92"/>
      <c r="H624" s="87"/>
      <c r="I624" s="91"/>
      <c r="J624" s="87"/>
      <c r="K624" s="45" t="b">
        <v>0</v>
      </c>
      <c r="L624" s="45"/>
      <c r="M624" s="43"/>
      <c r="N624" s="43"/>
      <c r="O624" s="43"/>
      <c r="P624" s="43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</row>
    <row r="625" ht="15.75" customHeight="1">
      <c r="A625" s="87"/>
      <c r="B625" s="88"/>
      <c r="C625" s="87"/>
      <c r="D625" s="87"/>
      <c r="E625" s="87"/>
      <c r="F625" s="92"/>
      <c r="G625" s="92"/>
      <c r="H625" s="87"/>
      <c r="I625" s="91"/>
      <c r="J625" s="87"/>
      <c r="K625" s="45" t="b">
        <v>0</v>
      </c>
      <c r="L625" s="45"/>
      <c r="M625" s="43"/>
      <c r="N625" s="43"/>
      <c r="O625" s="43"/>
      <c r="P625" s="43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</row>
    <row r="626" ht="15.75" customHeight="1">
      <c r="A626" s="87"/>
      <c r="B626" s="88"/>
      <c r="C626" s="87"/>
      <c r="D626" s="87"/>
      <c r="E626" s="87"/>
      <c r="F626" s="92"/>
      <c r="G626" s="92"/>
      <c r="H626" s="87"/>
      <c r="I626" s="91"/>
      <c r="J626" s="87"/>
      <c r="K626" s="45" t="b">
        <v>0</v>
      </c>
      <c r="L626" s="45"/>
      <c r="M626" s="43"/>
      <c r="N626" s="43"/>
      <c r="O626" s="43"/>
      <c r="P626" s="43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</row>
    <row r="627" ht="15.75" customHeight="1">
      <c r="A627" s="87"/>
      <c r="B627" s="88"/>
      <c r="C627" s="87"/>
      <c r="D627" s="87"/>
      <c r="E627" s="87"/>
      <c r="F627" s="92"/>
      <c r="G627" s="92"/>
      <c r="H627" s="87"/>
      <c r="I627" s="91"/>
      <c r="J627" s="87"/>
      <c r="K627" s="45" t="b">
        <v>0</v>
      </c>
      <c r="L627" s="45"/>
      <c r="M627" s="43"/>
      <c r="N627" s="43"/>
      <c r="O627" s="43"/>
      <c r="P627" s="43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</row>
    <row r="628" ht="15.75" customHeight="1">
      <c r="A628" s="87"/>
      <c r="B628" s="88"/>
      <c r="C628" s="87"/>
      <c r="D628" s="87"/>
      <c r="E628" s="87"/>
      <c r="F628" s="92"/>
      <c r="G628" s="92"/>
      <c r="H628" s="87"/>
      <c r="I628" s="91"/>
      <c r="J628" s="87"/>
      <c r="K628" s="45" t="b">
        <v>0</v>
      </c>
      <c r="L628" s="45"/>
      <c r="M628" s="43"/>
      <c r="N628" s="43"/>
      <c r="O628" s="43"/>
      <c r="P628" s="43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</row>
    <row r="629" ht="15.75" customHeight="1">
      <c r="A629" s="87"/>
      <c r="B629" s="88"/>
      <c r="C629" s="87"/>
      <c r="D629" s="87"/>
      <c r="E629" s="87"/>
      <c r="F629" s="92"/>
      <c r="G629" s="92"/>
      <c r="H629" s="87"/>
      <c r="I629" s="91"/>
      <c r="J629" s="87"/>
      <c r="K629" s="45" t="b">
        <v>0</v>
      </c>
      <c r="L629" s="45"/>
      <c r="M629" s="43"/>
      <c r="N629" s="43"/>
      <c r="O629" s="43"/>
      <c r="P629" s="43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</row>
    <row r="630" ht="15.75" customHeight="1">
      <c r="A630" s="87"/>
      <c r="B630" s="88"/>
      <c r="C630" s="87"/>
      <c r="D630" s="87"/>
      <c r="E630" s="87"/>
      <c r="F630" s="92"/>
      <c r="G630" s="92"/>
      <c r="H630" s="87"/>
      <c r="I630" s="91"/>
      <c r="J630" s="87"/>
      <c r="K630" s="45" t="b">
        <v>0</v>
      </c>
      <c r="L630" s="45"/>
      <c r="M630" s="43"/>
      <c r="N630" s="43"/>
      <c r="O630" s="43"/>
      <c r="P630" s="43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</row>
    <row r="631" ht="15.75" customHeight="1">
      <c r="A631" s="87"/>
      <c r="B631" s="88"/>
      <c r="C631" s="87"/>
      <c r="D631" s="87"/>
      <c r="E631" s="87"/>
      <c r="F631" s="92"/>
      <c r="G631" s="92"/>
      <c r="H631" s="87"/>
      <c r="I631" s="91"/>
      <c r="J631" s="87"/>
      <c r="K631" s="45" t="b">
        <v>0</v>
      </c>
      <c r="L631" s="45"/>
      <c r="M631" s="43"/>
      <c r="N631" s="43"/>
      <c r="O631" s="43"/>
      <c r="P631" s="43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</row>
    <row r="632" ht="15.75" customHeight="1">
      <c r="A632" s="87"/>
      <c r="B632" s="88"/>
      <c r="C632" s="87"/>
      <c r="D632" s="87"/>
      <c r="E632" s="87"/>
      <c r="F632" s="92"/>
      <c r="G632" s="92"/>
      <c r="H632" s="87"/>
      <c r="I632" s="91"/>
      <c r="J632" s="87"/>
      <c r="K632" s="45" t="b">
        <v>0</v>
      </c>
      <c r="L632" s="45"/>
      <c r="M632" s="43"/>
      <c r="N632" s="43"/>
      <c r="O632" s="43"/>
      <c r="P632" s="43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</row>
    <row r="633" ht="15.75" customHeight="1">
      <c r="A633" s="87"/>
      <c r="B633" s="88"/>
      <c r="C633" s="87"/>
      <c r="D633" s="87"/>
      <c r="E633" s="87"/>
      <c r="F633" s="92"/>
      <c r="G633" s="92"/>
      <c r="H633" s="87"/>
      <c r="I633" s="91"/>
      <c r="J633" s="87"/>
      <c r="K633" s="45" t="b">
        <v>0</v>
      </c>
      <c r="L633" s="45"/>
      <c r="M633" s="43"/>
      <c r="N633" s="43"/>
      <c r="O633" s="43"/>
      <c r="P633" s="43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</row>
    <row r="634" ht="15.75" customHeight="1">
      <c r="A634" s="87"/>
      <c r="B634" s="88"/>
      <c r="C634" s="87"/>
      <c r="D634" s="87"/>
      <c r="E634" s="87"/>
      <c r="F634" s="92"/>
      <c r="G634" s="92"/>
      <c r="H634" s="87"/>
      <c r="I634" s="91"/>
      <c r="J634" s="87"/>
      <c r="K634" s="45" t="b">
        <v>0</v>
      </c>
      <c r="L634" s="45"/>
      <c r="M634" s="43"/>
      <c r="N634" s="43"/>
      <c r="O634" s="43"/>
      <c r="P634" s="43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</row>
    <row r="635" ht="15.75" customHeight="1">
      <c r="A635" s="87"/>
      <c r="B635" s="88"/>
      <c r="C635" s="87"/>
      <c r="D635" s="87"/>
      <c r="E635" s="87"/>
      <c r="F635" s="92"/>
      <c r="G635" s="92"/>
      <c r="H635" s="87"/>
      <c r="I635" s="91"/>
      <c r="J635" s="87"/>
      <c r="K635" s="45" t="b">
        <v>0</v>
      </c>
      <c r="L635" s="45"/>
      <c r="M635" s="43"/>
      <c r="N635" s="43"/>
      <c r="O635" s="43"/>
      <c r="P635" s="43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</row>
    <row r="636" ht="15.75" customHeight="1">
      <c r="A636" s="87"/>
      <c r="B636" s="88"/>
      <c r="C636" s="87"/>
      <c r="D636" s="87"/>
      <c r="E636" s="87"/>
      <c r="F636" s="92"/>
      <c r="G636" s="92"/>
      <c r="H636" s="87"/>
      <c r="I636" s="91"/>
      <c r="J636" s="87"/>
      <c r="K636" s="45" t="b">
        <v>0</v>
      </c>
      <c r="L636" s="45"/>
      <c r="M636" s="43"/>
      <c r="N636" s="43"/>
      <c r="O636" s="43"/>
      <c r="P636" s="43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</row>
    <row r="637" ht="15.75" customHeight="1">
      <c r="A637" s="87"/>
      <c r="B637" s="88"/>
      <c r="C637" s="87"/>
      <c r="D637" s="87"/>
      <c r="E637" s="87"/>
      <c r="F637" s="92"/>
      <c r="G637" s="92"/>
      <c r="H637" s="87"/>
      <c r="I637" s="91"/>
      <c r="J637" s="87"/>
      <c r="K637" s="45" t="b">
        <v>0</v>
      </c>
      <c r="L637" s="45"/>
      <c r="M637" s="43"/>
      <c r="N637" s="43"/>
      <c r="O637" s="43"/>
      <c r="P637" s="43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</row>
    <row r="638" ht="15.75" customHeight="1">
      <c r="A638" s="87"/>
      <c r="B638" s="88"/>
      <c r="C638" s="87"/>
      <c r="D638" s="87"/>
      <c r="E638" s="87"/>
      <c r="F638" s="92"/>
      <c r="G638" s="92"/>
      <c r="H638" s="87"/>
      <c r="I638" s="91"/>
      <c r="J638" s="87"/>
      <c r="K638" s="45" t="b">
        <v>0</v>
      </c>
      <c r="L638" s="45"/>
      <c r="M638" s="43"/>
      <c r="N638" s="43"/>
      <c r="O638" s="43"/>
      <c r="P638" s="43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</row>
    <row r="639" ht="15.75" customHeight="1">
      <c r="A639" s="87"/>
      <c r="B639" s="88"/>
      <c r="C639" s="87"/>
      <c r="D639" s="87"/>
      <c r="E639" s="87"/>
      <c r="F639" s="92"/>
      <c r="G639" s="92"/>
      <c r="H639" s="87"/>
      <c r="I639" s="91"/>
      <c r="J639" s="87"/>
      <c r="K639" s="45" t="b">
        <v>0</v>
      </c>
      <c r="L639" s="45"/>
      <c r="M639" s="43"/>
      <c r="N639" s="43"/>
      <c r="O639" s="43"/>
      <c r="P639" s="43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</row>
    <row r="640" ht="15.75" customHeight="1">
      <c r="A640" s="87"/>
      <c r="B640" s="88"/>
      <c r="C640" s="87"/>
      <c r="D640" s="87"/>
      <c r="E640" s="87"/>
      <c r="F640" s="92"/>
      <c r="G640" s="92"/>
      <c r="H640" s="87"/>
      <c r="I640" s="91"/>
      <c r="J640" s="87"/>
      <c r="K640" s="45" t="b">
        <v>0</v>
      </c>
      <c r="L640" s="45"/>
      <c r="M640" s="43"/>
      <c r="N640" s="43"/>
      <c r="O640" s="43"/>
      <c r="P640" s="43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</row>
    <row r="641" ht="15.75" customHeight="1">
      <c r="A641" s="87"/>
      <c r="B641" s="88"/>
      <c r="C641" s="87"/>
      <c r="D641" s="87"/>
      <c r="E641" s="87"/>
      <c r="F641" s="92"/>
      <c r="G641" s="92"/>
      <c r="H641" s="87"/>
      <c r="I641" s="91"/>
      <c r="J641" s="87"/>
      <c r="K641" s="45" t="b">
        <v>0</v>
      </c>
      <c r="L641" s="45"/>
      <c r="M641" s="43"/>
      <c r="N641" s="43"/>
      <c r="O641" s="43"/>
      <c r="P641" s="43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</row>
    <row r="642" ht="15.75" customHeight="1">
      <c r="A642" s="87"/>
      <c r="B642" s="88"/>
      <c r="C642" s="87"/>
      <c r="D642" s="87"/>
      <c r="E642" s="87"/>
      <c r="F642" s="92"/>
      <c r="G642" s="92"/>
      <c r="H642" s="87"/>
      <c r="I642" s="91"/>
      <c r="J642" s="87"/>
      <c r="K642" s="45" t="b">
        <v>0</v>
      </c>
      <c r="L642" s="45"/>
      <c r="M642" s="43"/>
      <c r="N642" s="43"/>
      <c r="O642" s="43"/>
      <c r="P642" s="43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</row>
    <row r="643" ht="15.75" customHeight="1">
      <c r="A643" s="87"/>
      <c r="B643" s="88"/>
      <c r="C643" s="87"/>
      <c r="D643" s="87"/>
      <c r="E643" s="87"/>
      <c r="F643" s="92"/>
      <c r="G643" s="92"/>
      <c r="H643" s="87"/>
      <c r="I643" s="91"/>
      <c r="J643" s="87"/>
      <c r="K643" s="45" t="b">
        <v>0</v>
      </c>
      <c r="L643" s="45"/>
      <c r="M643" s="43"/>
      <c r="N643" s="43"/>
      <c r="O643" s="43"/>
      <c r="P643" s="43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</row>
    <row r="644" ht="15.75" customHeight="1">
      <c r="A644" s="87"/>
      <c r="B644" s="88"/>
      <c r="C644" s="87"/>
      <c r="D644" s="87"/>
      <c r="E644" s="87"/>
      <c r="F644" s="92"/>
      <c r="G644" s="92"/>
      <c r="H644" s="87"/>
      <c r="I644" s="91"/>
      <c r="J644" s="87"/>
      <c r="K644" s="45" t="b">
        <v>0</v>
      </c>
      <c r="L644" s="45"/>
      <c r="M644" s="43"/>
      <c r="N644" s="43"/>
      <c r="O644" s="43"/>
      <c r="P644" s="43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</row>
    <row r="645" ht="15.75" customHeight="1">
      <c r="A645" s="87"/>
      <c r="B645" s="88"/>
      <c r="C645" s="87"/>
      <c r="D645" s="87"/>
      <c r="E645" s="87"/>
      <c r="F645" s="92"/>
      <c r="G645" s="92"/>
      <c r="H645" s="87"/>
      <c r="I645" s="91"/>
      <c r="J645" s="87"/>
      <c r="K645" s="45" t="b">
        <v>0</v>
      </c>
      <c r="L645" s="45"/>
      <c r="M645" s="43"/>
      <c r="N645" s="43"/>
      <c r="O645" s="43"/>
      <c r="P645" s="43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</row>
    <row r="646" ht="15.75" customHeight="1">
      <c r="A646" s="87"/>
      <c r="B646" s="88"/>
      <c r="C646" s="87"/>
      <c r="D646" s="87"/>
      <c r="E646" s="87"/>
      <c r="F646" s="92"/>
      <c r="G646" s="92"/>
      <c r="H646" s="87"/>
      <c r="I646" s="91"/>
      <c r="J646" s="87"/>
      <c r="K646" s="45" t="b">
        <v>0</v>
      </c>
      <c r="L646" s="45"/>
      <c r="M646" s="43"/>
      <c r="N646" s="43"/>
      <c r="O646" s="43"/>
      <c r="P646" s="43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</row>
    <row r="647" ht="15.75" customHeight="1">
      <c r="A647" s="87"/>
      <c r="B647" s="88"/>
      <c r="C647" s="87"/>
      <c r="D647" s="87"/>
      <c r="E647" s="87"/>
      <c r="F647" s="92"/>
      <c r="G647" s="92"/>
      <c r="H647" s="87"/>
      <c r="I647" s="91"/>
      <c r="J647" s="87"/>
      <c r="K647" s="45" t="b">
        <v>0</v>
      </c>
      <c r="L647" s="45"/>
      <c r="M647" s="43"/>
      <c r="N647" s="43"/>
      <c r="O647" s="43"/>
      <c r="P647" s="43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</row>
    <row r="648" ht="15.75" customHeight="1">
      <c r="A648" s="87"/>
      <c r="B648" s="88"/>
      <c r="C648" s="87"/>
      <c r="D648" s="87"/>
      <c r="E648" s="87"/>
      <c r="F648" s="92"/>
      <c r="G648" s="92"/>
      <c r="H648" s="87"/>
      <c r="I648" s="91"/>
      <c r="J648" s="87"/>
      <c r="K648" s="45" t="b">
        <v>0</v>
      </c>
      <c r="L648" s="45"/>
      <c r="M648" s="43"/>
      <c r="N648" s="43"/>
      <c r="O648" s="43"/>
      <c r="P648" s="43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</row>
    <row r="649" ht="15.75" customHeight="1">
      <c r="A649" s="87"/>
      <c r="B649" s="88"/>
      <c r="C649" s="87"/>
      <c r="D649" s="87"/>
      <c r="E649" s="87"/>
      <c r="F649" s="92"/>
      <c r="G649" s="92"/>
      <c r="H649" s="87"/>
      <c r="I649" s="91"/>
      <c r="J649" s="87"/>
      <c r="K649" s="45" t="b">
        <v>0</v>
      </c>
      <c r="L649" s="45"/>
      <c r="M649" s="43"/>
      <c r="N649" s="43"/>
      <c r="O649" s="43"/>
      <c r="P649" s="43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</row>
    <row r="650" ht="15.75" customHeight="1">
      <c r="A650" s="87"/>
      <c r="B650" s="88"/>
      <c r="C650" s="87"/>
      <c r="D650" s="87"/>
      <c r="E650" s="87"/>
      <c r="F650" s="92"/>
      <c r="G650" s="92"/>
      <c r="H650" s="87"/>
      <c r="I650" s="91"/>
      <c r="J650" s="87"/>
      <c r="K650" s="45" t="b">
        <v>0</v>
      </c>
      <c r="L650" s="45"/>
      <c r="M650" s="43"/>
      <c r="N650" s="43"/>
      <c r="O650" s="43"/>
      <c r="P650" s="43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</row>
    <row r="651" ht="15.75" customHeight="1">
      <c r="A651" s="87"/>
      <c r="B651" s="88"/>
      <c r="C651" s="87"/>
      <c r="D651" s="87"/>
      <c r="E651" s="87"/>
      <c r="F651" s="92"/>
      <c r="G651" s="92"/>
      <c r="H651" s="87"/>
      <c r="I651" s="91"/>
      <c r="J651" s="87"/>
      <c r="K651" s="45" t="b">
        <v>0</v>
      </c>
      <c r="L651" s="45"/>
      <c r="M651" s="43"/>
      <c r="N651" s="43"/>
      <c r="O651" s="43"/>
      <c r="P651" s="43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</row>
    <row r="652" ht="15.75" customHeight="1">
      <c r="A652" s="87"/>
      <c r="B652" s="88"/>
      <c r="C652" s="87"/>
      <c r="D652" s="87"/>
      <c r="E652" s="87"/>
      <c r="F652" s="92"/>
      <c r="G652" s="92"/>
      <c r="H652" s="87"/>
      <c r="I652" s="91"/>
      <c r="J652" s="87"/>
      <c r="K652" s="45" t="b">
        <v>0</v>
      </c>
      <c r="L652" s="45"/>
      <c r="M652" s="43"/>
      <c r="N652" s="43"/>
      <c r="O652" s="43"/>
      <c r="P652" s="43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</row>
    <row r="653" ht="15.75" customHeight="1">
      <c r="A653" s="87"/>
      <c r="B653" s="88"/>
      <c r="C653" s="87"/>
      <c r="D653" s="87"/>
      <c r="E653" s="87"/>
      <c r="F653" s="92"/>
      <c r="G653" s="92"/>
      <c r="H653" s="87"/>
      <c r="I653" s="91"/>
      <c r="J653" s="87"/>
      <c r="K653" s="45" t="b">
        <v>0</v>
      </c>
      <c r="L653" s="45"/>
      <c r="M653" s="43"/>
      <c r="N653" s="43"/>
      <c r="O653" s="43"/>
      <c r="P653" s="43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</row>
    <row r="654" ht="15.75" customHeight="1">
      <c r="A654" s="87"/>
      <c r="B654" s="88"/>
      <c r="C654" s="87"/>
      <c r="D654" s="87"/>
      <c r="E654" s="87"/>
      <c r="F654" s="92"/>
      <c r="G654" s="92"/>
      <c r="H654" s="87"/>
      <c r="I654" s="91"/>
      <c r="J654" s="87"/>
      <c r="K654" s="45" t="b">
        <v>0</v>
      </c>
      <c r="L654" s="45"/>
      <c r="M654" s="43"/>
      <c r="N654" s="43"/>
      <c r="O654" s="43"/>
      <c r="P654" s="43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</row>
    <row r="655" ht="15.75" customHeight="1">
      <c r="A655" s="87"/>
      <c r="B655" s="88"/>
      <c r="C655" s="87"/>
      <c r="D655" s="87"/>
      <c r="E655" s="87"/>
      <c r="F655" s="92"/>
      <c r="G655" s="92"/>
      <c r="H655" s="87"/>
      <c r="I655" s="91"/>
      <c r="J655" s="87"/>
      <c r="K655" s="45" t="b">
        <v>0</v>
      </c>
      <c r="L655" s="45"/>
      <c r="M655" s="43"/>
      <c r="N655" s="43"/>
      <c r="O655" s="43"/>
      <c r="P655" s="43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</row>
    <row r="656" ht="15.75" customHeight="1">
      <c r="A656" s="87"/>
      <c r="B656" s="88"/>
      <c r="C656" s="87"/>
      <c r="D656" s="87"/>
      <c r="E656" s="87"/>
      <c r="F656" s="92"/>
      <c r="G656" s="92"/>
      <c r="H656" s="87"/>
      <c r="I656" s="91"/>
      <c r="J656" s="87"/>
      <c r="K656" s="45" t="b">
        <v>0</v>
      </c>
      <c r="L656" s="45"/>
      <c r="M656" s="43"/>
      <c r="N656" s="43"/>
      <c r="O656" s="43"/>
      <c r="P656" s="43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</row>
    <row r="657" ht="15.75" customHeight="1">
      <c r="A657" s="87"/>
      <c r="B657" s="88"/>
      <c r="C657" s="87"/>
      <c r="D657" s="87"/>
      <c r="E657" s="87"/>
      <c r="F657" s="92"/>
      <c r="G657" s="92"/>
      <c r="H657" s="87"/>
      <c r="I657" s="91"/>
      <c r="J657" s="87"/>
      <c r="K657" s="45" t="b">
        <v>0</v>
      </c>
      <c r="L657" s="45"/>
      <c r="M657" s="43"/>
      <c r="N657" s="43"/>
      <c r="O657" s="43"/>
      <c r="P657" s="43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</row>
    <row r="658" ht="15.75" customHeight="1">
      <c r="A658" s="87"/>
      <c r="B658" s="88"/>
      <c r="C658" s="87"/>
      <c r="D658" s="87"/>
      <c r="E658" s="87"/>
      <c r="F658" s="92"/>
      <c r="G658" s="92"/>
      <c r="H658" s="87"/>
      <c r="I658" s="91"/>
      <c r="J658" s="87"/>
      <c r="K658" s="45" t="b">
        <v>0</v>
      </c>
      <c r="L658" s="45"/>
      <c r="M658" s="43"/>
      <c r="N658" s="43"/>
      <c r="O658" s="43"/>
      <c r="P658" s="43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</row>
    <row r="659" ht="15.75" customHeight="1">
      <c r="A659" s="87"/>
      <c r="B659" s="88"/>
      <c r="C659" s="87"/>
      <c r="D659" s="87"/>
      <c r="E659" s="87"/>
      <c r="F659" s="92"/>
      <c r="G659" s="92"/>
      <c r="H659" s="87"/>
      <c r="I659" s="91"/>
      <c r="J659" s="87"/>
      <c r="K659" s="45" t="b">
        <v>0</v>
      </c>
      <c r="L659" s="45"/>
      <c r="M659" s="43"/>
      <c r="N659" s="43"/>
      <c r="O659" s="43"/>
      <c r="P659" s="43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</row>
    <row r="660" ht="15.75" customHeight="1">
      <c r="A660" s="87"/>
      <c r="B660" s="88"/>
      <c r="C660" s="87"/>
      <c r="D660" s="87"/>
      <c r="E660" s="87"/>
      <c r="F660" s="92"/>
      <c r="G660" s="92"/>
      <c r="H660" s="87"/>
      <c r="I660" s="91"/>
      <c r="J660" s="87"/>
      <c r="K660" s="45" t="b">
        <v>0</v>
      </c>
      <c r="L660" s="45"/>
      <c r="M660" s="43"/>
      <c r="N660" s="43"/>
      <c r="O660" s="43"/>
      <c r="P660" s="43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</row>
    <row r="661" ht="15.75" customHeight="1">
      <c r="A661" s="87"/>
      <c r="B661" s="88"/>
      <c r="C661" s="87"/>
      <c r="D661" s="87"/>
      <c r="E661" s="87"/>
      <c r="F661" s="92"/>
      <c r="G661" s="92"/>
      <c r="H661" s="87"/>
      <c r="I661" s="91"/>
      <c r="J661" s="87"/>
      <c r="K661" s="45" t="b">
        <v>0</v>
      </c>
      <c r="L661" s="45"/>
      <c r="M661" s="43"/>
      <c r="N661" s="43"/>
      <c r="O661" s="43"/>
      <c r="P661" s="43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</row>
    <row r="662" ht="15.75" customHeight="1">
      <c r="A662" s="87"/>
      <c r="B662" s="88"/>
      <c r="C662" s="87"/>
      <c r="D662" s="87"/>
      <c r="E662" s="87"/>
      <c r="F662" s="92"/>
      <c r="G662" s="92"/>
      <c r="H662" s="87"/>
      <c r="I662" s="91"/>
      <c r="J662" s="87"/>
      <c r="K662" s="45" t="b">
        <v>0</v>
      </c>
      <c r="L662" s="45"/>
      <c r="M662" s="43"/>
      <c r="N662" s="43"/>
      <c r="O662" s="43"/>
      <c r="P662" s="43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</row>
    <row r="663" ht="15.75" customHeight="1">
      <c r="A663" s="87"/>
      <c r="B663" s="88"/>
      <c r="C663" s="87"/>
      <c r="D663" s="87"/>
      <c r="E663" s="87"/>
      <c r="F663" s="92"/>
      <c r="G663" s="92"/>
      <c r="H663" s="87"/>
      <c r="I663" s="91"/>
      <c r="J663" s="87"/>
      <c r="K663" s="45" t="b">
        <v>0</v>
      </c>
      <c r="L663" s="45"/>
      <c r="M663" s="43"/>
      <c r="N663" s="43"/>
      <c r="O663" s="43"/>
      <c r="P663" s="43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</row>
    <row r="664" ht="15.75" customHeight="1">
      <c r="A664" s="87"/>
      <c r="B664" s="88"/>
      <c r="C664" s="87"/>
      <c r="D664" s="87"/>
      <c r="E664" s="87"/>
      <c r="F664" s="92"/>
      <c r="G664" s="92"/>
      <c r="H664" s="87"/>
      <c r="I664" s="91"/>
      <c r="J664" s="87"/>
      <c r="K664" s="45" t="b">
        <v>0</v>
      </c>
      <c r="L664" s="45"/>
      <c r="M664" s="43"/>
      <c r="N664" s="43"/>
      <c r="O664" s="43"/>
      <c r="P664" s="43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</row>
    <row r="665" ht="15.75" customHeight="1">
      <c r="A665" s="87"/>
      <c r="B665" s="88"/>
      <c r="C665" s="87"/>
      <c r="D665" s="87"/>
      <c r="E665" s="87"/>
      <c r="F665" s="92"/>
      <c r="G665" s="92"/>
      <c r="H665" s="87"/>
      <c r="I665" s="91"/>
      <c r="J665" s="87"/>
      <c r="K665" s="45" t="b">
        <v>0</v>
      </c>
      <c r="L665" s="45"/>
      <c r="M665" s="43"/>
      <c r="N665" s="43"/>
      <c r="O665" s="43"/>
      <c r="P665" s="43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</row>
    <row r="666" ht="15.75" customHeight="1">
      <c r="A666" s="87"/>
      <c r="B666" s="88"/>
      <c r="C666" s="87"/>
      <c r="D666" s="87"/>
      <c r="E666" s="87"/>
      <c r="F666" s="92"/>
      <c r="G666" s="92"/>
      <c r="H666" s="87"/>
      <c r="I666" s="91"/>
      <c r="J666" s="87"/>
      <c r="K666" s="45" t="b">
        <v>0</v>
      </c>
      <c r="L666" s="45"/>
      <c r="M666" s="43"/>
      <c r="N666" s="43"/>
      <c r="O666" s="43"/>
      <c r="P666" s="43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</row>
    <row r="667" ht="15.75" customHeight="1">
      <c r="A667" s="87"/>
      <c r="B667" s="88"/>
      <c r="C667" s="87"/>
      <c r="D667" s="87"/>
      <c r="E667" s="87"/>
      <c r="F667" s="92"/>
      <c r="G667" s="92"/>
      <c r="H667" s="87"/>
      <c r="I667" s="91"/>
      <c r="J667" s="87"/>
      <c r="K667" s="45" t="b">
        <v>0</v>
      </c>
      <c r="L667" s="45"/>
      <c r="M667" s="43"/>
      <c r="N667" s="43"/>
      <c r="O667" s="43"/>
      <c r="P667" s="43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</row>
    <row r="668" ht="15.75" customHeight="1">
      <c r="A668" s="87"/>
      <c r="B668" s="88"/>
      <c r="C668" s="87"/>
      <c r="D668" s="87"/>
      <c r="E668" s="87"/>
      <c r="F668" s="92"/>
      <c r="G668" s="92"/>
      <c r="H668" s="87"/>
      <c r="I668" s="91"/>
      <c r="J668" s="87"/>
      <c r="K668" s="45" t="b">
        <v>0</v>
      </c>
      <c r="L668" s="45"/>
      <c r="M668" s="43"/>
      <c r="N668" s="43"/>
      <c r="O668" s="43"/>
      <c r="P668" s="43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</row>
    <row r="669" ht="15.75" customHeight="1">
      <c r="A669" s="87"/>
      <c r="B669" s="88"/>
      <c r="C669" s="87"/>
      <c r="D669" s="87"/>
      <c r="E669" s="87"/>
      <c r="F669" s="92"/>
      <c r="G669" s="92"/>
      <c r="H669" s="87"/>
      <c r="I669" s="91"/>
      <c r="J669" s="87"/>
      <c r="K669" s="45" t="b">
        <v>0</v>
      </c>
      <c r="L669" s="45"/>
      <c r="M669" s="43"/>
      <c r="N669" s="43"/>
      <c r="O669" s="43"/>
      <c r="P669" s="43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</row>
    <row r="670" ht="15.75" customHeight="1">
      <c r="A670" s="87"/>
      <c r="B670" s="88"/>
      <c r="C670" s="87"/>
      <c r="D670" s="87"/>
      <c r="E670" s="87"/>
      <c r="F670" s="92"/>
      <c r="G670" s="92"/>
      <c r="H670" s="87"/>
      <c r="I670" s="91"/>
      <c r="J670" s="87"/>
      <c r="K670" s="45" t="b">
        <v>0</v>
      </c>
      <c r="L670" s="45"/>
      <c r="M670" s="43"/>
      <c r="N670" s="43"/>
      <c r="O670" s="43"/>
      <c r="P670" s="43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</row>
    <row r="671" ht="15.75" customHeight="1">
      <c r="A671" s="87"/>
      <c r="B671" s="88"/>
      <c r="C671" s="87"/>
      <c r="D671" s="87"/>
      <c r="E671" s="87"/>
      <c r="F671" s="92"/>
      <c r="G671" s="92"/>
      <c r="H671" s="87"/>
      <c r="I671" s="91"/>
      <c r="J671" s="87"/>
      <c r="K671" s="45" t="b">
        <v>0</v>
      </c>
      <c r="L671" s="45"/>
      <c r="M671" s="43"/>
      <c r="N671" s="43"/>
      <c r="O671" s="43"/>
      <c r="P671" s="43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</row>
    <row r="672" ht="15.75" customHeight="1">
      <c r="A672" s="87"/>
      <c r="B672" s="88"/>
      <c r="C672" s="87"/>
      <c r="D672" s="87"/>
      <c r="E672" s="87"/>
      <c r="F672" s="92"/>
      <c r="G672" s="92"/>
      <c r="H672" s="87"/>
      <c r="I672" s="91"/>
      <c r="J672" s="87"/>
      <c r="K672" s="45" t="b">
        <v>0</v>
      </c>
      <c r="L672" s="45"/>
      <c r="M672" s="43"/>
      <c r="N672" s="43"/>
      <c r="O672" s="43"/>
      <c r="P672" s="43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</row>
    <row r="673" ht="15.75" customHeight="1">
      <c r="A673" s="87"/>
      <c r="B673" s="88"/>
      <c r="C673" s="87"/>
      <c r="D673" s="87"/>
      <c r="E673" s="87"/>
      <c r="F673" s="92"/>
      <c r="G673" s="92"/>
      <c r="H673" s="87"/>
      <c r="I673" s="91"/>
      <c r="J673" s="87"/>
      <c r="K673" s="45" t="b">
        <v>0</v>
      </c>
      <c r="L673" s="45"/>
      <c r="M673" s="43"/>
      <c r="N673" s="43"/>
      <c r="O673" s="43"/>
      <c r="P673" s="43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</row>
    <row r="674" ht="15.75" customHeight="1">
      <c r="A674" s="87"/>
      <c r="B674" s="88"/>
      <c r="C674" s="87"/>
      <c r="D674" s="87"/>
      <c r="E674" s="87"/>
      <c r="F674" s="92"/>
      <c r="G674" s="92"/>
      <c r="H674" s="87"/>
      <c r="I674" s="91"/>
      <c r="J674" s="87"/>
      <c r="K674" s="45" t="b">
        <v>0</v>
      </c>
      <c r="L674" s="45"/>
      <c r="M674" s="43"/>
      <c r="N674" s="43"/>
      <c r="O674" s="43"/>
      <c r="P674" s="43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</row>
    <row r="675" ht="15.75" customHeight="1">
      <c r="A675" s="87"/>
      <c r="B675" s="88"/>
      <c r="C675" s="87"/>
      <c r="D675" s="87"/>
      <c r="E675" s="87"/>
      <c r="F675" s="92"/>
      <c r="G675" s="92"/>
      <c r="H675" s="87"/>
      <c r="I675" s="91"/>
      <c r="J675" s="87"/>
      <c r="K675" s="45" t="b">
        <v>0</v>
      </c>
      <c r="L675" s="45"/>
      <c r="M675" s="43"/>
      <c r="N675" s="43"/>
      <c r="O675" s="43"/>
      <c r="P675" s="43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</row>
    <row r="676" ht="15.75" customHeight="1">
      <c r="A676" s="87"/>
      <c r="B676" s="88"/>
      <c r="C676" s="87"/>
      <c r="D676" s="87"/>
      <c r="E676" s="87"/>
      <c r="F676" s="92"/>
      <c r="G676" s="92"/>
      <c r="H676" s="87"/>
      <c r="I676" s="91"/>
      <c r="J676" s="87"/>
      <c r="K676" s="45" t="b">
        <v>0</v>
      </c>
      <c r="L676" s="45"/>
      <c r="M676" s="43"/>
      <c r="N676" s="43"/>
      <c r="O676" s="43"/>
      <c r="P676" s="43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</row>
    <row r="677" ht="15.75" customHeight="1">
      <c r="A677" s="87"/>
      <c r="B677" s="88"/>
      <c r="C677" s="87"/>
      <c r="D677" s="87"/>
      <c r="E677" s="87"/>
      <c r="F677" s="92"/>
      <c r="G677" s="92"/>
      <c r="H677" s="87"/>
      <c r="I677" s="91"/>
      <c r="J677" s="87"/>
      <c r="K677" s="45" t="b">
        <v>0</v>
      </c>
      <c r="L677" s="45"/>
      <c r="M677" s="43"/>
      <c r="N677" s="43"/>
      <c r="O677" s="43"/>
      <c r="P677" s="43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</row>
    <row r="678" ht="15.75" customHeight="1">
      <c r="A678" s="87"/>
      <c r="B678" s="88"/>
      <c r="C678" s="87"/>
      <c r="D678" s="87"/>
      <c r="E678" s="87"/>
      <c r="F678" s="92"/>
      <c r="G678" s="92"/>
      <c r="H678" s="87"/>
      <c r="I678" s="91"/>
      <c r="J678" s="87"/>
      <c r="K678" s="45" t="b">
        <v>0</v>
      </c>
      <c r="L678" s="45"/>
      <c r="M678" s="43"/>
      <c r="N678" s="43"/>
      <c r="O678" s="43"/>
      <c r="P678" s="43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</row>
    <row r="679" ht="15.75" customHeight="1">
      <c r="A679" s="87"/>
      <c r="B679" s="88"/>
      <c r="C679" s="87"/>
      <c r="D679" s="87"/>
      <c r="E679" s="87"/>
      <c r="F679" s="92"/>
      <c r="G679" s="92"/>
      <c r="H679" s="87"/>
      <c r="I679" s="91"/>
      <c r="J679" s="87"/>
      <c r="K679" s="45" t="b">
        <v>0</v>
      </c>
      <c r="L679" s="45"/>
      <c r="M679" s="43"/>
      <c r="N679" s="43"/>
      <c r="O679" s="43"/>
      <c r="P679" s="43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</row>
    <row r="680" ht="15.75" customHeight="1">
      <c r="A680" s="87"/>
      <c r="B680" s="88"/>
      <c r="C680" s="87"/>
      <c r="D680" s="87"/>
      <c r="E680" s="87"/>
      <c r="F680" s="92"/>
      <c r="G680" s="92"/>
      <c r="H680" s="87"/>
      <c r="I680" s="91"/>
      <c r="J680" s="87"/>
      <c r="K680" s="45" t="b">
        <v>0</v>
      </c>
      <c r="L680" s="45"/>
      <c r="M680" s="43"/>
      <c r="N680" s="43"/>
      <c r="O680" s="43"/>
      <c r="P680" s="43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</row>
    <row r="681" ht="15.75" customHeight="1">
      <c r="A681" s="87"/>
      <c r="B681" s="88"/>
      <c r="C681" s="87"/>
      <c r="D681" s="87"/>
      <c r="E681" s="87"/>
      <c r="F681" s="92"/>
      <c r="G681" s="92"/>
      <c r="H681" s="87"/>
      <c r="I681" s="91"/>
      <c r="J681" s="87"/>
      <c r="K681" s="45" t="b">
        <v>0</v>
      </c>
      <c r="L681" s="45"/>
      <c r="M681" s="43"/>
      <c r="N681" s="43"/>
      <c r="O681" s="43"/>
      <c r="P681" s="43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</row>
    <row r="682" ht="15.75" customHeight="1">
      <c r="A682" s="87"/>
      <c r="B682" s="88"/>
      <c r="C682" s="87"/>
      <c r="D682" s="87"/>
      <c r="E682" s="87"/>
      <c r="F682" s="92"/>
      <c r="G682" s="92"/>
      <c r="H682" s="87"/>
      <c r="I682" s="91"/>
      <c r="J682" s="87"/>
      <c r="K682" s="45" t="b">
        <v>0</v>
      </c>
      <c r="L682" s="45"/>
      <c r="M682" s="43"/>
      <c r="N682" s="43"/>
      <c r="O682" s="43"/>
      <c r="P682" s="43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</row>
    <row r="683" ht="15.75" customHeight="1">
      <c r="A683" s="87"/>
      <c r="B683" s="88"/>
      <c r="C683" s="87"/>
      <c r="D683" s="87"/>
      <c r="E683" s="87"/>
      <c r="F683" s="92"/>
      <c r="G683" s="92"/>
      <c r="H683" s="87"/>
      <c r="I683" s="91"/>
      <c r="J683" s="87"/>
      <c r="K683" s="45" t="b">
        <v>0</v>
      </c>
      <c r="L683" s="45"/>
      <c r="M683" s="43"/>
      <c r="N683" s="43"/>
      <c r="O683" s="43"/>
      <c r="P683" s="43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</row>
    <row r="684" ht="15.75" customHeight="1">
      <c r="A684" s="87"/>
      <c r="B684" s="88"/>
      <c r="C684" s="87"/>
      <c r="D684" s="87"/>
      <c r="E684" s="87"/>
      <c r="F684" s="92"/>
      <c r="G684" s="92"/>
      <c r="H684" s="87"/>
      <c r="I684" s="91"/>
      <c r="J684" s="87"/>
      <c r="K684" s="45" t="b">
        <v>0</v>
      </c>
      <c r="L684" s="45"/>
      <c r="M684" s="43"/>
      <c r="N684" s="43"/>
      <c r="O684" s="43"/>
      <c r="P684" s="43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</row>
    <row r="685" ht="15.75" customHeight="1">
      <c r="A685" s="87"/>
      <c r="B685" s="88"/>
      <c r="C685" s="87"/>
      <c r="D685" s="87"/>
      <c r="E685" s="87"/>
      <c r="F685" s="92"/>
      <c r="G685" s="92"/>
      <c r="H685" s="87"/>
      <c r="I685" s="91"/>
      <c r="J685" s="87"/>
      <c r="K685" s="45" t="b">
        <v>0</v>
      </c>
      <c r="L685" s="45"/>
      <c r="M685" s="43"/>
      <c r="N685" s="43"/>
      <c r="O685" s="43"/>
      <c r="P685" s="43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</row>
    <row r="686" ht="15.75" customHeight="1">
      <c r="A686" s="87"/>
      <c r="B686" s="88"/>
      <c r="C686" s="87"/>
      <c r="D686" s="87"/>
      <c r="E686" s="87"/>
      <c r="F686" s="92"/>
      <c r="G686" s="92"/>
      <c r="H686" s="87"/>
      <c r="I686" s="91"/>
      <c r="J686" s="87"/>
      <c r="K686" s="45" t="b">
        <v>0</v>
      </c>
      <c r="L686" s="45"/>
      <c r="M686" s="43"/>
      <c r="N686" s="43"/>
      <c r="O686" s="43"/>
      <c r="P686" s="43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</row>
    <row r="687" ht="15.75" customHeight="1">
      <c r="A687" s="87"/>
      <c r="B687" s="88"/>
      <c r="C687" s="87"/>
      <c r="D687" s="87"/>
      <c r="E687" s="87"/>
      <c r="F687" s="92"/>
      <c r="G687" s="92"/>
      <c r="H687" s="87"/>
      <c r="I687" s="91"/>
      <c r="J687" s="87"/>
      <c r="K687" s="45" t="b">
        <v>0</v>
      </c>
      <c r="L687" s="45"/>
      <c r="M687" s="43"/>
      <c r="N687" s="43"/>
      <c r="O687" s="43"/>
      <c r="P687" s="43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</row>
    <row r="688" ht="15.75" customHeight="1">
      <c r="A688" s="87"/>
      <c r="B688" s="88"/>
      <c r="C688" s="87"/>
      <c r="D688" s="87"/>
      <c r="E688" s="87"/>
      <c r="F688" s="92"/>
      <c r="G688" s="92"/>
      <c r="H688" s="87"/>
      <c r="I688" s="91"/>
      <c r="J688" s="87"/>
      <c r="K688" s="45" t="b">
        <v>0</v>
      </c>
      <c r="L688" s="45"/>
      <c r="M688" s="43"/>
      <c r="N688" s="43"/>
      <c r="O688" s="43"/>
      <c r="P688" s="43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</row>
    <row r="689" ht="15.75" customHeight="1">
      <c r="A689" s="87"/>
      <c r="B689" s="88"/>
      <c r="C689" s="87"/>
      <c r="D689" s="87"/>
      <c r="E689" s="87"/>
      <c r="F689" s="92"/>
      <c r="G689" s="92"/>
      <c r="H689" s="87"/>
      <c r="I689" s="91"/>
      <c r="J689" s="87"/>
      <c r="K689" s="45" t="b">
        <v>0</v>
      </c>
      <c r="L689" s="45"/>
      <c r="M689" s="43"/>
      <c r="N689" s="43"/>
      <c r="O689" s="43"/>
      <c r="P689" s="43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</row>
    <row r="690" ht="15.75" customHeight="1">
      <c r="A690" s="87"/>
      <c r="B690" s="88"/>
      <c r="C690" s="87"/>
      <c r="D690" s="87"/>
      <c r="E690" s="87"/>
      <c r="F690" s="92"/>
      <c r="G690" s="92"/>
      <c r="H690" s="87"/>
      <c r="I690" s="91"/>
      <c r="J690" s="87"/>
      <c r="K690" s="45" t="b">
        <v>0</v>
      </c>
      <c r="L690" s="45"/>
      <c r="M690" s="43"/>
      <c r="N690" s="43"/>
      <c r="O690" s="43"/>
      <c r="P690" s="43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</row>
    <row r="691" ht="15.75" customHeight="1">
      <c r="A691" s="87"/>
      <c r="B691" s="88"/>
      <c r="C691" s="87"/>
      <c r="D691" s="87"/>
      <c r="E691" s="87"/>
      <c r="F691" s="92"/>
      <c r="G691" s="92"/>
      <c r="H691" s="87"/>
      <c r="I691" s="91"/>
      <c r="J691" s="87"/>
      <c r="K691" s="45" t="b">
        <v>0</v>
      </c>
      <c r="L691" s="45"/>
      <c r="M691" s="43"/>
      <c r="N691" s="43"/>
      <c r="O691" s="43"/>
      <c r="P691" s="43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</row>
    <row r="692" ht="15.75" customHeight="1">
      <c r="A692" s="87"/>
      <c r="B692" s="88"/>
      <c r="C692" s="87"/>
      <c r="D692" s="87"/>
      <c r="E692" s="87"/>
      <c r="F692" s="92"/>
      <c r="G692" s="92"/>
      <c r="H692" s="87"/>
      <c r="I692" s="91"/>
      <c r="J692" s="87"/>
      <c r="K692" s="45" t="b">
        <v>0</v>
      </c>
      <c r="L692" s="45"/>
      <c r="M692" s="43"/>
      <c r="N692" s="43"/>
      <c r="O692" s="43"/>
      <c r="P692" s="43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</row>
    <row r="693" ht="15.75" customHeight="1">
      <c r="A693" s="87"/>
      <c r="B693" s="88"/>
      <c r="C693" s="87"/>
      <c r="D693" s="87"/>
      <c r="E693" s="87"/>
      <c r="F693" s="92"/>
      <c r="G693" s="92"/>
      <c r="H693" s="87"/>
      <c r="I693" s="91"/>
      <c r="J693" s="87"/>
      <c r="K693" s="45" t="b">
        <v>0</v>
      </c>
      <c r="L693" s="45"/>
      <c r="M693" s="43"/>
      <c r="N693" s="43"/>
      <c r="O693" s="43"/>
      <c r="P693" s="43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</row>
    <row r="694" ht="15.75" customHeight="1">
      <c r="A694" s="87"/>
      <c r="B694" s="88"/>
      <c r="C694" s="87"/>
      <c r="D694" s="87"/>
      <c r="E694" s="87"/>
      <c r="F694" s="92"/>
      <c r="G694" s="92"/>
      <c r="H694" s="87"/>
      <c r="I694" s="91"/>
      <c r="J694" s="87"/>
      <c r="K694" s="45" t="b">
        <v>0</v>
      </c>
      <c r="L694" s="45"/>
      <c r="M694" s="43"/>
      <c r="N694" s="43"/>
      <c r="O694" s="43"/>
      <c r="P694" s="43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</row>
    <row r="695" ht="15.75" customHeight="1">
      <c r="A695" s="87"/>
      <c r="B695" s="88"/>
      <c r="C695" s="87"/>
      <c r="D695" s="87"/>
      <c r="E695" s="87"/>
      <c r="F695" s="92"/>
      <c r="G695" s="92"/>
      <c r="H695" s="87"/>
      <c r="I695" s="91"/>
      <c r="J695" s="87"/>
      <c r="K695" s="45" t="b">
        <v>0</v>
      </c>
      <c r="L695" s="45"/>
      <c r="M695" s="43"/>
      <c r="N695" s="43"/>
      <c r="O695" s="43"/>
      <c r="P695" s="43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</row>
    <row r="696" ht="15.75" customHeight="1">
      <c r="A696" s="87"/>
      <c r="B696" s="88"/>
      <c r="C696" s="87"/>
      <c r="D696" s="87"/>
      <c r="E696" s="87"/>
      <c r="F696" s="92"/>
      <c r="G696" s="92"/>
      <c r="H696" s="87"/>
      <c r="I696" s="91"/>
      <c r="J696" s="87"/>
      <c r="K696" s="45" t="b">
        <v>0</v>
      </c>
      <c r="L696" s="45"/>
      <c r="M696" s="43"/>
      <c r="N696" s="43"/>
      <c r="O696" s="43"/>
      <c r="P696" s="43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</row>
    <row r="697" ht="15.75" customHeight="1">
      <c r="A697" s="87"/>
      <c r="B697" s="88"/>
      <c r="C697" s="87"/>
      <c r="D697" s="87"/>
      <c r="E697" s="87"/>
      <c r="F697" s="92"/>
      <c r="G697" s="92"/>
      <c r="H697" s="87"/>
      <c r="I697" s="91"/>
      <c r="J697" s="87"/>
      <c r="K697" s="45" t="b">
        <v>0</v>
      </c>
      <c r="L697" s="45"/>
      <c r="M697" s="43"/>
      <c r="N697" s="43"/>
      <c r="O697" s="43"/>
      <c r="P697" s="43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</row>
    <row r="698" ht="15.75" customHeight="1">
      <c r="A698" s="87"/>
      <c r="B698" s="88"/>
      <c r="C698" s="87"/>
      <c r="D698" s="87"/>
      <c r="E698" s="87"/>
      <c r="F698" s="92"/>
      <c r="G698" s="92"/>
      <c r="H698" s="87"/>
      <c r="I698" s="91"/>
      <c r="J698" s="87"/>
      <c r="K698" s="45" t="b">
        <v>0</v>
      </c>
      <c r="L698" s="45"/>
      <c r="M698" s="43"/>
      <c r="N698" s="43"/>
      <c r="O698" s="43"/>
      <c r="P698" s="43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</row>
    <row r="699" ht="15.75" customHeight="1">
      <c r="A699" s="87"/>
      <c r="B699" s="88"/>
      <c r="C699" s="87"/>
      <c r="D699" s="87"/>
      <c r="E699" s="87"/>
      <c r="F699" s="92"/>
      <c r="G699" s="92"/>
      <c r="H699" s="87"/>
      <c r="I699" s="91"/>
      <c r="J699" s="87"/>
      <c r="K699" s="45" t="b">
        <v>0</v>
      </c>
      <c r="L699" s="45"/>
      <c r="M699" s="43"/>
      <c r="N699" s="43"/>
      <c r="O699" s="43"/>
      <c r="P699" s="43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</row>
    <row r="700" ht="15.75" customHeight="1">
      <c r="A700" s="87"/>
      <c r="B700" s="88"/>
      <c r="C700" s="87"/>
      <c r="D700" s="87"/>
      <c r="E700" s="87"/>
      <c r="F700" s="92"/>
      <c r="G700" s="92"/>
      <c r="H700" s="87"/>
      <c r="I700" s="91"/>
      <c r="J700" s="87"/>
      <c r="K700" s="45" t="b">
        <v>0</v>
      </c>
      <c r="L700" s="45"/>
      <c r="M700" s="43"/>
      <c r="N700" s="43"/>
      <c r="O700" s="43"/>
      <c r="P700" s="43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</row>
    <row r="701" ht="15.75" customHeight="1">
      <c r="A701" s="87"/>
      <c r="B701" s="88"/>
      <c r="C701" s="87"/>
      <c r="D701" s="87"/>
      <c r="E701" s="87"/>
      <c r="F701" s="92"/>
      <c r="G701" s="92"/>
      <c r="H701" s="87"/>
      <c r="I701" s="91"/>
      <c r="J701" s="87"/>
      <c r="K701" s="45" t="b">
        <v>0</v>
      </c>
      <c r="L701" s="45"/>
      <c r="M701" s="43"/>
      <c r="N701" s="43"/>
      <c r="O701" s="43"/>
      <c r="P701" s="43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</row>
    <row r="702" ht="15.75" customHeight="1">
      <c r="A702" s="87"/>
      <c r="B702" s="88"/>
      <c r="C702" s="87"/>
      <c r="D702" s="87"/>
      <c r="E702" s="87"/>
      <c r="F702" s="92"/>
      <c r="G702" s="92"/>
      <c r="H702" s="87"/>
      <c r="I702" s="91"/>
      <c r="J702" s="87"/>
      <c r="K702" s="45" t="b">
        <v>0</v>
      </c>
      <c r="L702" s="45"/>
      <c r="M702" s="43"/>
      <c r="N702" s="43"/>
      <c r="O702" s="43"/>
      <c r="P702" s="43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</row>
    <row r="703" ht="15.75" customHeight="1">
      <c r="A703" s="87"/>
      <c r="B703" s="88"/>
      <c r="C703" s="87"/>
      <c r="D703" s="87"/>
      <c r="E703" s="87"/>
      <c r="F703" s="92"/>
      <c r="G703" s="92"/>
      <c r="H703" s="87"/>
      <c r="I703" s="91"/>
      <c r="J703" s="87"/>
      <c r="K703" s="45" t="b">
        <v>0</v>
      </c>
      <c r="L703" s="45"/>
      <c r="M703" s="43"/>
      <c r="N703" s="43"/>
      <c r="O703" s="43"/>
      <c r="P703" s="43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</row>
    <row r="704" ht="15.75" customHeight="1">
      <c r="A704" s="87"/>
      <c r="B704" s="88"/>
      <c r="C704" s="87"/>
      <c r="D704" s="87"/>
      <c r="E704" s="87"/>
      <c r="F704" s="92"/>
      <c r="G704" s="92"/>
      <c r="H704" s="87"/>
      <c r="I704" s="91"/>
      <c r="J704" s="87"/>
      <c r="K704" s="45" t="b">
        <v>0</v>
      </c>
      <c r="L704" s="45"/>
      <c r="M704" s="43"/>
      <c r="N704" s="43"/>
      <c r="O704" s="43"/>
      <c r="P704" s="43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</row>
    <row r="705" ht="15.75" customHeight="1">
      <c r="A705" s="87"/>
      <c r="B705" s="88"/>
      <c r="C705" s="87"/>
      <c r="D705" s="87"/>
      <c r="E705" s="87"/>
      <c r="F705" s="92"/>
      <c r="G705" s="92"/>
      <c r="H705" s="87"/>
      <c r="I705" s="91"/>
      <c r="J705" s="87"/>
      <c r="K705" s="45" t="b">
        <v>0</v>
      </c>
      <c r="L705" s="45"/>
      <c r="M705" s="43"/>
      <c r="N705" s="43"/>
      <c r="O705" s="43"/>
      <c r="P705" s="43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</row>
    <row r="706" ht="15.75" customHeight="1">
      <c r="A706" s="87"/>
      <c r="B706" s="88"/>
      <c r="C706" s="87"/>
      <c r="D706" s="87"/>
      <c r="E706" s="87"/>
      <c r="F706" s="92"/>
      <c r="G706" s="92"/>
      <c r="H706" s="87"/>
      <c r="I706" s="91"/>
      <c r="J706" s="87"/>
      <c r="K706" s="45" t="b">
        <v>0</v>
      </c>
      <c r="L706" s="45"/>
      <c r="M706" s="43"/>
      <c r="N706" s="43"/>
      <c r="O706" s="43"/>
      <c r="P706" s="43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</row>
    <row r="707" ht="15.75" customHeight="1">
      <c r="A707" s="87"/>
      <c r="B707" s="88"/>
      <c r="C707" s="87"/>
      <c r="D707" s="87"/>
      <c r="E707" s="87"/>
      <c r="F707" s="92"/>
      <c r="G707" s="92"/>
      <c r="H707" s="87"/>
      <c r="I707" s="91"/>
      <c r="J707" s="87"/>
      <c r="K707" s="45" t="b">
        <v>0</v>
      </c>
      <c r="L707" s="45"/>
      <c r="M707" s="43"/>
      <c r="N707" s="43"/>
      <c r="O707" s="43"/>
      <c r="P707" s="43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</row>
    <row r="708" ht="15.75" customHeight="1">
      <c r="A708" s="87"/>
      <c r="B708" s="88"/>
      <c r="C708" s="87"/>
      <c r="D708" s="87"/>
      <c r="E708" s="87"/>
      <c r="F708" s="92"/>
      <c r="G708" s="92"/>
      <c r="H708" s="87"/>
      <c r="I708" s="91"/>
      <c r="J708" s="87"/>
      <c r="K708" s="45" t="b">
        <v>0</v>
      </c>
      <c r="L708" s="45"/>
      <c r="M708" s="43"/>
      <c r="N708" s="43"/>
      <c r="O708" s="43"/>
      <c r="P708" s="43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</row>
    <row r="709" ht="15.75" customHeight="1">
      <c r="A709" s="87"/>
      <c r="B709" s="88"/>
      <c r="C709" s="87"/>
      <c r="D709" s="87"/>
      <c r="E709" s="87"/>
      <c r="F709" s="92"/>
      <c r="G709" s="92"/>
      <c r="H709" s="87"/>
      <c r="I709" s="91"/>
      <c r="J709" s="87"/>
      <c r="K709" s="45" t="b">
        <v>0</v>
      </c>
      <c r="L709" s="45"/>
      <c r="M709" s="43"/>
      <c r="N709" s="43"/>
      <c r="O709" s="43"/>
      <c r="P709" s="43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</row>
    <row r="710" ht="15.75" customHeight="1">
      <c r="A710" s="87"/>
      <c r="B710" s="88"/>
      <c r="C710" s="87"/>
      <c r="D710" s="87"/>
      <c r="E710" s="87"/>
      <c r="F710" s="92"/>
      <c r="G710" s="92"/>
      <c r="H710" s="87"/>
      <c r="I710" s="91"/>
      <c r="J710" s="87"/>
      <c r="K710" s="45" t="b">
        <v>0</v>
      </c>
      <c r="L710" s="45"/>
      <c r="M710" s="43"/>
      <c r="N710" s="43"/>
      <c r="O710" s="43"/>
      <c r="P710" s="43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</row>
    <row r="711" ht="15.75" customHeight="1">
      <c r="A711" s="87"/>
      <c r="B711" s="88"/>
      <c r="C711" s="87"/>
      <c r="D711" s="87"/>
      <c r="E711" s="87"/>
      <c r="F711" s="92"/>
      <c r="G711" s="92"/>
      <c r="H711" s="87"/>
      <c r="I711" s="91"/>
      <c r="J711" s="87"/>
      <c r="K711" s="45" t="b">
        <v>0</v>
      </c>
      <c r="L711" s="45"/>
      <c r="M711" s="43"/>
      <c r="N711" s="43"/>
      <c r="O711" s="43"/>
      <c r="P711" s="43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</row>
    <row r="712" ht="15.75" customHeight="1">
      <c r="A712" s="87"/>
      <c r="B712" s="88"/>
      <c r="C712" s="87"/>
      <c r="D712" s="87"/>
      <c r="E712" s="87"/>
      <c r="F712" s="92"/>
      <c r="G712" s="92"/>
      <c r="H712" s="87"/>
      <c r="I712" s="91"/>
      <c r="J712" s="87"/>
      <c r="K712" s="45" t="b">
        <v>0</v>
      </c>
      <c r="L712" s="45"/>
      <c r="M712" s="43"/>
      <c r="N712" s="43"/>
      <c r="O712" s="43"/>
      <c r="P712" s="43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</row>
    <row r="713" ht="15.75" customHeight="1">
      <c r="A713" s="87"/>
      <c r="B713" s="88"/>
      <c r="C713" s="87"/>
      <c r="D713" s="87"/>
      <c r="E713" s="87"/>
      <c r="F713" s="92"/>
      <c r="G713" s="92"/>
      <c r="H713" s="87"/>
      <c r="I713" s="91"/>
      <c r="J713" s="87"/>
      <c r="K713" s="45" t="b">
        <v>0</v>
      </c>
      <c r="L713" s="45"/>
      <c r="M713" s="43"/>
      <c r="N713" s="43"/>
      <c r="O713" s="43"/>
      <c r="P713" s="43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</row>
    <row r="714" ht="15.75" customHeight="1">
      <c r="A714" s="87"/>
      <c r="B714" s="88"/>
      <c r="C714" s="87"/>
      <c r="D714" s="87"/>
      <c r="E714" s="87"/>
      <c r="F714" s="92"/>
      <c r="G714" s="92"/>
      <c r="H714" s="87"/>
      <c r="I714" s="91"/>
      <c r="J714" s="87"/>
      <c r="K714" s="45" t="b">
        <v>0</v>
      </c>
      <c r="L714" s="45"/>
      <c r="M714" s="43"/>
      <c r="N714" s="43"/>
      <c r="O714" s="43"/>
      <c r="P714" s="43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</row>
    <row r="715" ht="15.75" customHeight="1">
      <c r="A715" s="87"/>
      <c r="B715" s="88"/>
      <c r="C715" s="87"/>
      <c r="D715" s="87"/>
      <c r="E715" s="87"/>
      <c r="F715" s="92"/>
      <c r="G715" s="92"/>
      <c r="H715" s="87"/>
      <c r="I715" s="91"/>
      <c r="J715" s="87"/>
      <c r="K715" s="45" t="b">
        <v>0</v>
      </c>
      <c r="L715" s="45"/>
      <c r="M715" s="43"/>
      <c r="N715" s="43"/>
      <c r="O715" s="43"/>
      <c r="P715" s="43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</row>
    <row r="716" ht="15.75" customHeight="1">
      <c r="A716" s="87"/>
      <c r="B716" s="88"/>
      <c r="C716" s="87"/>
      <c r="D716" s="87"/>
      <c r="E716" s="87"/>
      <c r="F716" s="92"/>
      <c r="G716" s="92"/>
      <c r="H716" s="87"/>
      <c r="I716" s="91"/>
      <c r="J716" s="87"/>
      <c r="K716" s="45" t="b">
        <v>0</v>
      </c>
      <c r="L716" s="45"/>
      <c r="M716" s="43"/>
      <c r="N716" s="43"/>
      <c r="O716" s="43"/>
      <c r="P716" s="43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</row>
    <row r="717" ht="15.75" customHeight="1">
      <c r="A717" s="87"/>
      <c r="B717" s="88"/>
      <c r="C717" s="87"/>
      <c r="D717" s="87"/>
      <c r="E717" s="87"/>
      <c r="F717" s="92"/>
      <c r="G717" s="92"/>
      <c r="H717" s="87"/>
      <c r="I717" s="91"/>
      <c r="J717" s="87"/>
      <c r="K717" s="45" t="b">
        <v>0</v>
      </c>
      <c r="L717" s="45"/>
      <c r="M717" s="43"/>
      <c r="N717" s="43"/>
      <c r="O717" s="43"/>
      <c r="P717" s="43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</row>
    <row r="718" ht="15.75" customHeight="1">
      <c r="A718" s="87"/>
      <c r="B718" s="88"/>
      <c r="C718" s="87"/>
      <c r="D718" s="87"/>
      <c r="E718" s="87"/>
      <c r="F718" s="92"/>
      <c r="G718" s="92"/>
      <c r="H718" s="87"/>
      <c r="I718" s="91"/>
      <c r="J718" s="87"/>
      <c r="K718" s="45" t="b">
        <v>0</v>
      </c>
      <c r="L718" s="45"/>
      <c r="M718" s="43"/>
      <c r="N718" s="43"/>
      <c r="O718" s="43"/>
      <c r="P718" s="43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</row>
    <row r="719" ht="15.75" customHeight="1">
      <c r="A719" s="87"/>
      <c r="B719" s="88"/>
      <c r="C719" s="87"/>
      <c r="D719" s="87"/>
      <c r="E719" s="87"/>
      <c r="F719" s="92"/>
      <c r="G719" s="92"/>
      <c r="H719" s="87"/>
      <c r="I719" s="91"/>
      <c r="J719" s="87"/>
      <c r="K719" s="45" t="b">
        <v>0</v>
      </c>
      <c r="L719" s="45"/>
      <c r="M719" s="43"/>
      <c r="N719" s="43"/>
      <c r="O719" s="43"/>
      <c r="P719" s="43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</row>
    <row r="720" ht="15.75" customHeight="1">
      <c r="A720" s="87"/>
      <c r="B720" s="88"/>
      <c r="C720" s="87"/>
      <c r="D720" s="87"/>
      <c r="E720" s="87"/>
      <c r="F720" s="92"/>
      <c r="G720" s="92"/>
      <c r="H720" s="87"/>
      <c r="I720" s="91"/>
      <c r="J720" s="87"/>
      <c r="K720" s="45" t="b">
        <v>0</v>
      </c>
      <c r="L720" s="45"/>
      <c r="M720" s="43"/>
      <c r="N720" s="43"/>
      <c r="O720" s="43"/>
      <c r="P720" s="43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</row>
    <row r="721" ht="15.75" customHeight="1">
      <c r="A721" s="87"/>
      <c r="B721" s="88"/>
      <c r="C721" s="87"/>
      <c r="D721" s="87"/>
      <c r="E721" s="87"/>
      <c r="F721" s="92"/>
      <c r="G721" s="92"/>
      <c r="H721" s="87"/>
      <c r="I721" s="91"/>
      <c r="J721" s="87"/>
      <c r="K721" s="45" t="b">
        <v>0</v>
      </c>
      <c r="L721" s="45"/>
      <c r="M721" s="43"/>
      <c r="N721" s="43"/>
      <c r="O721" s="43"/>
      <c r="P721" s="43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</row>
    <row r="722" ht="15.75" customHeight="1">
      <c r="A722" s="87"/>
      <c r="B722" s="88"/>
      <c r="C722" s="87"/>
      <c r="D722" s="87"/>
      <c r="E722" s="87"/>
      <c r="F722" s="92"/>
      <c r="G722" s="92"/>
      <c r="H722" s="87"/>
      <c r="I722" s="91"/>
      <c r="J722" s="87"/>
      <c r="K722" s="45" t="b">
        <v>0</v>
      </c>
      <c r="L722" s="45"/>
      <c r="M722" s="43"/>
      <c r="N722" s="43"/>
      <c r="O722" s="43"/>
      <c r="P722" s="43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</row>
    <row r="723" ht="15.75" customHeight="1">
      <c r="A723" s="87"/>
      <c r="B723" s="88"/>
      <c r="C723" s="87"/>
      <c r="D723" s="87"/>
      <c r="E723" s="87"/>
      <c r="F723" s="92"/>
      <c r="G723" s="92"/>
      <c r="H723" s="87"/>
      <c r="I723" s="91"/>
      <c r="J723" s="87"/>
      <c r="K723" s="45" t="b">
        <v>0</v>
      </c>
      <c r="L723" s="45"/>
      <c r="M723" s="43"/>
      <c r="N723" s="43"/>
      <c r="O723" s="43"/>
      <c r="P723" s="43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</row>
    <row r="724" ht="15.75" customHeight="1">
      <c r="A724" s="87"/>
      <c r="B724" s="88"/>
      <c r="C724" s="87"/>
      <c r="D724" s="87"/>
      <c r="E724" s="87"/>
      <c r="F724" s="92"/>
      <c r="G724" s="92"/>
      <c r="H724" s="87"/>
      <c r="I724" s="91"/>
      <c r="J724" s="87"/>
      <c r="K724" s="45" t="b">
        <v>0</v>
      </c>
      <c r="L724" s="45"/>
      <c r="M724" s="43"/>
      <c r="N724" s="43"/>
      <c r="O724" s="43"/>
      <c r="P724" s="43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</row>
    <row r="725" ht="15.75" customHeight="1">
      <c r="A725" s="87"/>
      <c r="B725" s="88"/>
      <c r="C725" s="87"/>
      <c r="D725" s="87"/>
      <c r="E725" s="87"/>
      <c r="F725" s="92"/>
      <c r="G725" s="92"/>
      <c r="H725" s="87"/>
      <c r="I725" s="91"/>
      <c r="J725" s="87"/>
      <c r="K725" s="45" t="b">
        <v>0</v>
      </c>
      <c r="L725" s="45"/>
      <c r="M725" s="43"/>
      <c r="N725" s="43"/>
      <c r="O725" s="43"/>
      <c r="P725" s="43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</row>
    <row r="726" ht="15.75" customHeight="1">
      <c r="A726" s="87"/>
      <c r="B726" s="88"/>
      <c r="C726" s="87"/>
      <c r="D726" s="87"/>
      <c r="E726" s="87"/>
      <c r="F726" s="92"/>
      <c r="G726" s="92"/>
      <c r="H726" s="87"/>
      <c r="I726" s="91"/>
      <c r="J726" s="87"/>
      <c r="K726" s="45" t="b">
        <v>0</v>
      </c>
      <c r="L726" s="45"/>
      <c r="M726" s="43"/>
      <c r="N726" s="43"/>
      <c r="O726" s="43"/>
      <c r="P726" s="43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</row>
    <row r="727" ht="15.75" customHeight="1">
      <c r="A727" s="87"/>
      <c r="B727" s="88"/>
      <c r="C727" s="87"/>
      <c r="D727" s="87"/>
      <c r="E727" s="87"/>
      <c r="F727" s="92"/>
      <c r="G727" s="92"/>
      <c r="H727" s="87"/>
      <c r="I727" s="91"/>
      <c r="J727" s="87"/>
      <c r="K727" s="45" t="b">
        <v>0</v>
      </c>
      <c r="L727" s="45"/>
      <c r="M727" s="43"/>
      <c r="N727" s="43"/>
      <c r="O727" s="43"/>
      <c r="P727" s="43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</row>
    <row r="728" ht="15.75" customHeight="1">
      <c r="A728" s="87"/>
      <c r="B728" s="88"/>
      <c r="C728" s="87"/>
      <c r="D728" s="87"/>
      <c r="E728" s="87"/>
      <c r="F728" s="92"/>
      <c r="G728" s="92"/>
      <c r="H728" s="87"/>
      <c r="I728" s="91"/>
      <c r="J728" s="87"/>
      <c r="K728" s="45" t="b">
        <v>0</v>
      </c>
      <c r="L728" s="45"/>
      <c r="M728" s="43"/>
      <c r="N728" s="43"/>
      <c r="O728" s="43"/>
      <c r="P728" s="43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</row>
    <row r="729" ht="15.75" customHeight="1">
      <c r="A729" s="87"/>
      <c r="B729" s="88"/>
      <c r="C729" s="87"/>
      <c r="D729" s="87"/>
      <c r="E729" s="87"/>
      <c r="F729" s="92"/>
      <c r="G729" s="92"/>
      <c r="H729" s="87"/>
      <c r="I729" s="91"/>
      <c r="J729" s="87"/>
      <c r="K729" s="45" t="b">
        <v>0</v>
      </c>
      <c r="L729" s="45"/>
      <c r="M729" s="43"/>
      <c r="N729" s="43"/>
      <c r="O729" s="43"/>
      <c r="P729" s="43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</row>
    <row r="730" ht="15.75" customHeight="1">
      <c r="A730" s="87"/>
      <c r="B730" s="88"/>
      <c r="C730" s="87"/>
      <c r="D730" s="87"/>
      <c r="E730" s="87"/>
      <c r="F730" s="92"/>
      <c r="G730" s="92"/>
      <c r="H730" s="87"/>
      <c r="I730" s="91"/>
      <c r="J730" s="87"/>
      <c r="K730" s="45" t="b">
        <v>0</v>
      </c>
      <c r="L730" s="45"/>
      <c r="M730" s="43"/>
      <c r="N730" s="43"/>
      <c r="O730" s="43"/>
      <c r="P730" s="43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</row>
    <row r="731" ht="15.75" customHeight="1">
      <c r="A731" s="87"/>
      <c r="B731" s="88"/>
      <c r="C731" s="87"/>
      <c r="D731" s="87"/>
      <c r="E731" s="87"/>
      <c r="F731" s="92"/>
      <c r="G731" s="92"/>
      <c r="H731" s="87"/>
      <c r="I731" s="91"/>
      <c r="J731" s="87"/>
      <c r="K731" s="45" t="b">
        <v>0</v>
      </c>
      <c r="L731" s="45"/>
      <c r="M731" s="43"/>
      <c r="N731" s="43"/>
      <c r="O731" s="43"/>
      <c r="P731" s="43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</row>
    <row r="732" ht="15.75" customHeight="1">
      <c r="A732" s="87"/>
      <c r="B732" s="88"/>
      <c r="C732" s="87"/>
      <c r="D732" s="87"/>
      <c r="E732" s="87"/>
      <c r="F732" s="92"/>
      <c r="G732" s="92"/>
      <c r="H732" s="87"/>
      <c r="I732" s="91"/>
      <c r="J732" s="87"/>
      <c r="K732" s="45" t="b">
        <v>0</v>
      </c>
      <c r="L732" s="45"/>
      <c r="M732" s="43"/>
      <c r="N732" s="43"/>
      <c r="O732" s="43"/>
      <c r="P732" s="43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</row>
    <row r="733" ht="15.75" customHeight="1">
      <c r="A733" s="87"/>
      <c r="B733" s="88"/>
      <c r="C733" s="87"/>
      <c r="D733" s="87"/>
      <c r="E733" s="87"/>
      <c r="F733" s="92"/>
      <c r="G733" s="92"/>
      <c r="H733" s="87"/>
      <c r="I733" s="91"/>
      <c r="J733" s="87"/>
      <c r="K733" s="45" t="b">
        <v>0</v>
      </c>
      <c r="L733" s="45"/>
      <c r="M733" s="43"/>
      <c r="N733" s="43"/>
      <c r="O733" s="43"/>
      <c r="P733" s="43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</row>
    <row r="734" ht="15.75" customHeight="1">
      <c r="A734" s="87"/>
      <c r="B734" s="88"/>
      <c r="C734" s="87"/>
      <c r="D734" s="87"/>
      <c r="E734" s="87"/>
      <c r="F734" s="92"/>
      <c r="G734" s="92"/>
      <c r="H734" s="87"/>
      <c r="I734" s="91"/>
      <c r="J734" s="87"/>
      <c r="K734" s="45" t="b">
        <v>0</v>
      </c>
      <c r="L734" s="45"/>
      <c r="M734" s="43"/>
      <c r="N734" s="43"/>
      <c r="O734" s="43"/>
      <c r="P734" s="43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</row>
    <row r="735" ht="15.75" customHeight="1">
      <c r="A735" s="87"/>
      <c r="B735" s="88"/>
      <c r="C735" s="87"/>
      <c r="D735" s="87"/>
      <c r="E735" s="87"/>
      <c r="F735" s="92"/>
      <c r="G735" s="92"/>
      <c r="H735" s="87"/>
      <c r="I735" s="91"/>
      <c r="J735" s="87"/>
      <c r="K735" s="45" t="b">
        <v>0</v>
      </c>
      <c r="L735" s="45"/>
      <c r="M735" s="43"/>
      <c r="N735" s="43"/>
      <c r="O735" s="43"/>
      <c r="P735" s="43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</row>
    <row r="736" ht="15.75" customHeight="1">
      <c r="A736" s="87"/>
      <c r="B736" s="88"/>
      <c r="C736" s="87"/>
      <c r="D736" s="87"/>
      <c r="E736" s="87"/>
      <c r="F736" s="92"/>
      <c r="G736" s="92"/>
      <c r="H736" s="87"/>
      <c r="I736" s="91"/>
      <c r="J736" s="87"/>
      <c r="K736" s="45" t="b">
        <v>0</v>
      </c>
      <c r="L736" s="45"/>
      <c r="M736" s="43"/>
      <c r="N736" s="43"/>
      <c r="O736" s="43"/>
      <c r="P736" s="43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</row>
    <row r="737" ht="15.75" customHeight="1">
      <c r="A737" s="87"/>
      <c r="B737" s="88"/>
      <c r="C737" s="87"/>
      <c r="D737" s="87"/>
      <c r="E737" s="87"/>
      <c r="F737" s="92"/>
      <c r="G737" s="92"/>
      <c r="H737" s="87"/>
      <c r="I737" s="91"/>
      <c r="J737" s="87"/>
      <c r="K737" s="45" t="b">
        <v>0</v>
      </c>
      <c r="L737" s="45"/>
      <c r="M737" s="43"/>
      <c r="N737" s="43"/>
      <c r="O737" s="43"/>
      <c r="P737" s="43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</row>
    <row r="738" ht="15.75" customHeight="1">
      <c r="A738" s="87"/>
      <c r="B738" s="88"/>
      <c r="C738" s="87"/>
      <c r="D738" s="87"/>
      <c r="E738" s="87"/>
      <c r="F738" s="92"/>
      <c r="G738" s="92"/>
      <c r="H738" s="87"/>
      <c r="I738" s="91"/>
      <c r="J738" s="87"/>
      <c r="K738" s="45" t="b">
        <v>0</v>
      </c>
      <c r="L738" s="45"/>
      <c r="M738" s="43"/>
      <c r="N738" s="43"/>
      <c r="O738" s="43"/>
      <c r="P738" s="43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</row>
    <row r="739" ht="15.75" customHeight="1">
      <c r="A739" s="87"/>
      <c r="B739" s="88"/>
      <c r="C739" s="87"/>
      <c r="D739" s="87"/>
      <c r="E739" s="87"/>
      <c r="F739" s="92"/>
      <c r="G739" s="92"/>
      <c r="H739" s="87"/>
      <c r="I739" s="91"/>
      <c r="J739" s="87"/>
      <c r="K739" s="45" t="b">
        <v>0</v>
      </c>
      <c r="L739" s="45"/>
      <c r="M739" s="43"/>
      <c r="N739" s="43"/>
      <c r="O739" s="43"/>
      <c r="P739" s="43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</row>
    <row r="740" ht="15.75" customHeight="1">
      <c r="A740" s="87"/>
      <c r="B740" s="88"/>
      <c r="C740" s="87"/>
      <c r="D740" s="87"/>
      <c r="E740" s="87"/>
      <c r="F740" s="92"/>
      <c r="G740" s="92"/>
      <c r="H740" s="87"/>
      <c r="I740" s="91"/>
      <c r="J740" s="87"/>
      <c r="K740" s="45" t="b">
        <v>0</v>
      </c>
      <c r="L740" s="45"/>
      <c r="M740" s="43"/>
      <c r="N740" s="43"/>
      <c r="O740" s="43"/>
      <c r="P740" s="43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</row>
    <row r="741" ht="15.75" customHeight="1">
      <c r="A741" s="87"/>
      <c r="B741" s="88"/>
      <c r="C741" s="87"/>
      <c r="D741" s="87"/>
      <c r="E741" s="87"/>
      <c r="F741" s="92"/>
      <c r="G741" s="92"/>
      <c r="H741" s="87"/>
      <c r="I741" s="91"/>
      <c r="J741" s="87"/>
      <c r="K741" s="45" t="b">
        <v>0</v>
      </c>
      <c r="L741" s="45"/>
      <c r="M741" s="43"/>
      <c r="N741" s="43"/>
      <c r="O741" s="43"/>
      <c r="P741" s="43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</row>
    <row r="742" ht="15.75" customHeight="1">
      <c r="A742" s="87"/>
      <c r="B742" s="88"/>
      <c r="C742" s="87"/>
      <c r="D742" s="87"/>
      <c r="E742" s="87"/>
      <c r="F742" s="92"/>
      <c r="G742" s="92"/>
      <c r="H742" s="87"/>
      <c r="I742" s="91"/>
      <c r="J742" s="87"/>
      <c r="K742" s="45" t="b">
        <v>0</v>
      </c>
      <c r="L742" s="45"/>
      <c r="M742" s="43"/>
      <c r="N742" s="43"/>
      <c r="O742" s="43"/>
      <c r="P742" s="43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</row>
    <row r="743" ht="15.75" customHeight="1">
      <c r="A743" s="87"/>
      <c r="B743" s="88"/>
      <c r="C743" s="87"/>
      <c r="D743" s="87"/>
      <c r="E743" s="87"/>
      <c r="F743" s="92"/>
      <c r="G743" s="92"/>
      <c r="H743" s="87"/>
      <c r="I743" s="91"/>
      <c r="J743" s="87"/>
      <c r="K743" s="45" t="b">
        <v>0</v>
      </c>
      <c r="L743" s="45"/>
      <c r="M743" s="43"/>
      <c r="N743" s="43"/>
      <c r="O743" s="43"/>
      <c r="P743" s="43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</row>
    <row r="744" ht="15.75" customHeight="1">
      <c r="A744" s="87"/>
      <c r="B744" s="88"/>
      <c r="C744" s="87"/>
      <c r="D744" s="87"/>
      <c r="E744" s="87"/>
      <c r="F744" s="92"/>
      <c r="G744" s="92"/>
      <c r="H744" s="87"/>
      <c r="I744" s="91"/>
      <c r="J744" s="87"/>
      <c r="K744" s="45" t="b">
        <v>0</v>
      </c>
      <c r="L744" s="45"/>
      <c r="M744" s="43"/>
      <c r="N744" s="43"/>
      <c r="O744" s="43"/>
      <c r="P744" s="43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</row>
    <row r="745" ht="15.75" customHeight="1">
      <c r="A745" s="87"/>
      <c r="B745" s="88"/>
      <c r="C745" s="87"/>
      <c r="D745" s="87"/>
      <c r="E745" s="87"/>
      <c r="F745" s="92"/>
      <c r="G745" s="92"/>
      <c r="H745" s="87"/>
      <c r="I745" s="91"/>
      <c r="J745" s="87"/>
      <c r="K745" s="45" t="b">
        <v>0</v>
      </c>
      <c r="L745" s="45"/>
      <c r="M745" s="43"/>
      <c r="N745" s="43"/>
      <c r="O745" s="43"/>
      <c r="P745" s="43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</row>
    <row r="746" ht="15.75" customHeight="1">
      <c r="A746" s="87"/>
      <c r="B746" s="88"/>
      <c r="C746" s="87"/>
      <c r="D746" s="87"/>
      <c r="E746" s="87"/>
      <c r="F746" s="92"/>
      <c r="G746" s="92"/>
      <c r="H746" s="87"/>
      <c r="I746" s="91"/>
      <c r="J746" s="87"/>
      <c r="K746" s="45" t="b">
        <v>0</v>
      </c>
      <c r="L746" s="45"/>
      <c r="M746" s="43"/>
      <c r="N746" s="43"/>
      <c r="O746" s="43"/>
      <c r="P746" s="43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</row>
    <row r="747" ht="15.75" customHeight="1">
      <c r="A747" s="87"/>
      <c r="B747" s="88"/>
      <c r="C747" s="87"/>
      <c r="D747" s="87"/>
      <c r="E747" s="87"/>
      <c r="F747" s="92"/>
      <c r="G747" s="92"/>
      <c r="H747" s="87"/>
      <c r="I747" s="91"/>
      <c r="J747" s="87"/>
      <c r="K747" s="45" t="b">
        <v>0</v>
      </c>
      <c r="L747" s="45"/>
      <c r="M747" s="43"/>
      <c r="N747" s="43"/>
      <c r="O747" s="43"/>
      <c r="P747" s="43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</row>
    <row r="748" ht="15.75" customHeight="1">
      <c r="A748" s="87"/>
      <c r="B748" s="88"/>
      <c r="C748" s="87"/>
      <c r="D748" s="87"/>
      <c r="E748" s="87"/>
      <c r="F748" s="92"/>
      <c r="G748" s="92"/>
      <c r="H748" s="87"/>
      <c r="I748" s="91"/>
      <c r="J748" s="87"/>
      <c r="K748" s="45" t="b">
        <v>0</v>
      </c>
      <c r="L748" s="45"/>
      <c r="M748" s="43"/>
      <c r="N748" s="43"/>
      <c r="O748" s="43"/>
      <c r="P748" s="43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</row>
    <row r="749" ht="15.75" customHeight="1">
      <c r="A749" s="87"/>
      <c r="B749" s="88"/>
      <c r="C749" s="87"/>
      <c r="D749" s="87"/>
      <c r="E749" s="87"/>
      <c r="F749" s="92"/>
      <c r="G749" s="92"/>
      <c r="H749" s="87"/>
      <c r="I749" s="91"/>
      <c r="J749" s="87"/>
      <c r="K749" s="45" t="b">
        <v>0</v>
      </c>
      <c r="L749" s="45"/>
      <c r="M749" s="43"/>
      <c r="N749" s="43"/>
      <c r="O749" s="43"/>
      <c r="P749" s="43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</row>
    <row r="750" ht="15.75" customHeight="1">
      <c r="A750" s="87"/>
      <c r="B750" s="88"/>
      <c r="C750" s="87"/>
      <c r="D750" s="87"/>
      <c r="E750" s="87"/>
      <c r="F750" s="92"/>
      <c r="G750" s="92"/>
      <c r="H750" s="87"/>
      <c r="I750" s="91"/>
      <c r="J750" s="87"/>
      <c r="K750" s="45" t="b">
        <v>0</v>
      </c>
      <c r="L750" s="45"/>
      <c r="M750" s="43"/>
      <c r="N750" s="43"/>
      <c r="O750" s="43"/>
      <c r="P750" s="43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</row>
    <row r="751" ht="15.75" customHeight="1">
      <c r="A751" s="87"/>
      <c r="B751" s="88"/>
      <c r="C751" s="87"/>
      <c r="D751" s="87"/>
      <c r="E751" s="87"/>
      <c r="F751" s="92"/>
      <c r="G751" s="92"/>
      <c r="H751" s="87"/>
      <c r="I751" s="91"/>
      <c r="J751" s="87"/>
      <c r="K751" s="45" t="b">
        <v>0</v>
      </c>
      <c r="L751" s="45"/>
      <c r="M751" s="43"/>
      <c r="N751" s="43"/>
      <c r="O751" s="43"/>
      <c r="P751" s="43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</row>
    <row r="752" ht="15.75" customHeight="1">
      <c r="A752" s="87"/>
      <c r="B752" s="88"/>
      <c r="C752" s="87"/>
      <c r="D752" s="87"/>
      <c r="E752" s="87"/>
      <c r="F752" s="92"/>
      <c r="G752" s="92"/>
      <c r="H752" s="87"/>
      <c r="I752" s="91"/>
      <c r="J752" s="87"/>
      <c r="K752" s="45" t="b">
        <v>0</v>
      </c>
      <c r="L752" s="45"/>
      <c r="M752" s="43"/>
      <c r="N752" s="43"/>
      <c r="O752" s="43"/>
      <c r="P752" s="43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</row>
    <row r="753" ht="15.75" customHeight="1">
      <c r="A753" s="87"/>
      <c r="B753" s="88"/>
      <c r="C753" s="87"/>
      <c r="D753" s="87"/>
      <c r="E753" s="87"/>
      <c r="F753" s="92"/>
      <c r="G753" s="92"/>
      <c r="H753" s="87"/>
      <c r="I753" s="91"/>
      <c r="J753" s="87"/>
      <c r="K753" s="45" t="b">
        <v>0</v>
      </c>
      <c r="L753" s="45"/>
      <c r="M753" s="43"/>
      <c r="N753" s="43"/>
      <c r="O753" s="43"/>
      <c r="P753" s="43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</row>
    <row r="754" ht="15.75" customHeight="1">
      <c r="A754" s="87"/>
      <c r="B754" s="88"/>
      <c r="C754" s="87"/>
      <c r="D754" s="87"/>
      <c r="E754" s="87"/>
      <c r="F754" s="92"/>
      <c r="G754" s="92"/>
      <c r="H754" s="87"/>
      <c r="I754" s="91"/>
      <c r="J754" s="87"/>
      <c r="K754" s="45" t="b">
        <v>0</v>
      </c>
      <c r="L754" s="45"/>
      <c r="M754" s="43"/>
      <c r="N754" s="43"/>
      <c r="O754" s="43"/>
      <c r="P754" s="43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</row>
    <row r="755" ht="15.75" customHeight="1">
      <c r="A755" s="87"/>
      <c r="B755" s="88"/>
      <c r="C755" s="87"/>
      <c r="D755" s="87"/>
      <c r="E755" s="87"/>
      <c r="F755" s="92"/>
      <c r="G755" s="92"/>
      <c r="H755" s="87"/>
      <c r="I755" s="91"/>
      <c r="J755" s="87"/>
      <c r="K755" s="45" t="b">
        <v>0</v>
      </c>
      <c r="L755" s="45"/>
      <c r="M755" s="43"/>
      <c r="N755" s="43"/>
      <c r="O755" s="43"/>
      <c r="P755" s="43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</row>
    <row r="756" ht="15.75" customHeight="1">
      <c r="A756" s="87"/>
      <c r="B756" s="88"/>
      <c r="C756" s="87"/>
      <c r="D756" s="87"/>
      <c r="E756" s="87"/>
      <c r="F756" s="92"/>
      <c r="G756" s="92"/>
      <c r="H756" s="87"/>
      <c r="I756" s="91"/>
      <c r="J756" s="87"/>
      <c r="K756" s="45" t="b">
        <v>0</v>
      </c>
      <c r="L756" s="45"/>
      <c r="M756" s="43"/>
      <c r="N756" s="43"/>
      <c r="O756" s="43"/>
      <c r="P756" s="43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</row>
    <row r="757" ht="15.75" customHeight="1">
      <c r="A757" s="87"/>
      <c r="B757" s="88"/>
      <c r="C757" s="87"/>
      <c r="D757" s="87"/>
      <c r="E757" s="87"/>
      <c r="F757" s="92"/>
      <c r="G757" s="92"/>
      <c r="H757" s="87"/>
      <c r="I757" s="91"/>
      <c r="J757" s="87"/>
      <c r="K757" s="45" t="b">
        <v>0</v>
      </c>
      <c r="L757" s="45"/>
      <c r="M757" s="43"/>
      <c r="N757" s="43"/>
      <c r="O757" s="43"/>
      <c r="P757" s="43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</row>
    <row r="758" ht="15.75" customHeight="1">
      <c r="A758" s="87"/>
      <c r="B758" s="88"/>
      <c r="C758" s="87"/>
      <c r="D758" s="87"/>
      <c r="E758" s="87"/>
      <c r="F758" s="92"/>
      <c r="G758" s="92"/>
      <c r="H758" s="87"/>
      <c r="I758" s="91"/>
      <c r="J758" s="87"/>
      <c r="K758" s="45" t="b">
        <v>0</v>
      </c>
      <c r="L758" s="45"/>
      <c r="M758" s="43"/>
      <c r="N758" s="43"/>
      <c r="O758" s="43"/>
      <c r="P758" s="43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</row>
    <row r="759" ht="15.75" customHeight="1">
      <c r="A759" s="87"/>
      <c r="B759" s="88"/>
      <c r="C759" s="87"/>
      <c r="D759" s="87"/>
      <c r="E759" s="87"/>
      <c r="F759" s="92"/>
      <c r="G759" s="92"/>
      <c r="H759" s="87"/>
      <c r="I759" s="91"/>
      <c r="J759" s="87"/>
      <c r="K759" s="45" t="b">
        <v>0</v>
      </c>
      <c r="L759" s="45"/>
      <c r="M759" s="43"/>
      <c r="N759" s="43"/>
      <c r="O759" s="43"/>
      <c r="P759" s="43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</row>
    <row r="760" ht="15.75" customHeight="1">
      <c r="A760" s="87"/>
      <c r="B760" s="88"/>
      <c r="C760" s="87"/>
      <c r="D760" s="87"/>
      <c r="E760" s="87"/>
      <c r="F760" s="92"/>
      <c r="G760" s="92"/>
      <c r="H760" s="87"/>
      <c r="I760" s="91"/>
      <c r="J760" s="87"/>
      <c r="K760" s="45" t="b">
        <v>0</v>
      </c>
      <c r="L760" s="45"/>
      <c r="M760" s="43"/>
      <c r="N760" s="43"/>
      <c r="O760" s="43"/>
      <c r="P760" s="43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</row>
    <row r="761" ht="15.75" customHeight="1">
      <c r="A761" s="87"/>
      <c r="B761" s="88"/>
      <c r="C761" s="87"/>
      <c r="D761" s="87"/>
      <c r="E761" s="87"/>
      <c r="F761" s="92"/>
      <c r="G761" s="92"/>
      <c r="H761" s="87"/>
      <c r="I761" s="91"/>
      <c r="J761" s="87"/>
      <c r="K761" s="45" t="b">
        <v>0</v>
      </c>
      <c r="L761" s="45"/>
      <c r="M761" s="43"/>
      <c r="N761" s="43"/>
      <c r="O761" s="43"/>
      <c r="P761" s="43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</row>
    <row r="762" ht="15.75" customHeight="1">
      <c r="A762" s="87"/>
      <c r="B762" s="88"/>
      <c r="C762" s="87"/>
      <c r="D762" s="87"/>
      <c r="E762" s="87"/>
      <c r="F762" s="92"/>
      <c r="G762" s="92"/>
      <c r="H762" s="87"/>
      <c r="I762" s="91"/>
      <c r="J762" s="87"/>
      <c r="K762" s="45" t="b">
        <v>0</v>
      </c>
      <c r="L762" s="45"/>
      <c r="M762" s="43"/>
      <c r="N762" s="43"/>
      <c r="O762" s="43"/>
      <c r="P762" s="43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</row>
    <row r="763" ht="15.75" customHeight="1">
      <c r="A763" s="87"/>
      <c r="B763" s="88"/>
      <c r="C763" s="87"/>
      <c r="D763" s="87"/>
      <c r="E763" s="87"/>
      <c r="F763" s="92"/>
      <c r="G763" s="92"/>
      <c r="H763" s="87"/>
      <c r="I763" s="91"/>
      <c r="J763" s="87"/>
      <c r="K763" s="45" t="b">
        <v>0</v>
      </c>
      <c r="L763" s="45"/>
      <c r="M763" s="43"/>
      <c r="N763" s="43"/>
      <c r="O763" s="43"/>
      <c r="P763" s="43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</row>
    <row r="764" ht="15.75" customHeight="1">
      <c r="A764" s="87"/>
      <c r="B764" s="88"/>
      <c r="C764" s="87"/>
      <c r="D764" s="87"/>
      <c r="E764" s="87"/>
      <c r="F764" s="92"/>
      <c r="G764" s="92"/>
      <c r="H764" s="87"/>
      <c r="I764" s="91"/>
      <c r="J764" s="87"/>
      <c r="K764" s="45" t="b">
        <v>0</v>
      </c>
      <c r="L764" s="45"/>
      <c r="M764" s="43"/>
      <c r="N764" s="43"/>
      <c r="O764" s="43"/>
      <c r="P764" s="43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</row>
    <row r="765" ht="15.75" customHeight="1">
      <c r="A765" s="87"/>
      <c r="B765" s="88"/>
      <c r="C765" s="87"/>
      <c r="D765" s="87"/>
      <c r="E765" s="87"/>
      <c r="F765" s="92"/>
      <c r="G765" s="92"/>
      <c r="H765" s="87"/>
      <c r="I765" s="91"/>
      <c r="J765" s="87"/>
      <c r="K765" s="45" t="b">
        <v>0</v>
      </c>
      <c r="L765" s="45"/>
      <c r="M765" s="43"/>
      <c r="N765" s="43"/>
      <c r="O765" s="43"/>
      <c r="P765" s="43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</row>
    <row r="766" ht="15.75" customHeight="1">
      <c r="A766" s="87"/>
      <c r="B766" s="88"/>
      <c r="C766" s="87"/>
      <c r="D766" s="87"/>
      <c r="E766" s="87"/>
      <c r="F766" s="92"/>
      <c r="G766" s="92"/>
      <c r="H766" s="87"/>
      <c r="I766" s="91"/>
      <c r="J766" s="87"/>
      <c r="K766" s="45" t="b">
        <v>0</v>
      </c>
      <c r="L766" s="45"/>
      <c r="M766" s="43"/>
      <c r="N766" s="43"/>
      <c r="O766" s="43"/>
      <c r="P766" s="43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</row>
    <row r="767" ht="15.75" customHeight="1">
      <c r="A767" s="87"/>
      <c r="B767" s="88"/>
      <c r="C767" s="87"/>
      <c r="D767" s="87"/>
      <c r="E767" s="87"/>
      <c r="F767" s="92"/>
      <c r="G767" s="92"/>
      <c r="H767" s="87"/>
      <c r="I767" s="91"/>
      <c r="J767" s="87"/>
      <c r="K767" s="45" t="b">
        <v>0</v>
      </c>
      <c r="L767" s="45"/>
      <c r="M767" s="43"/>
      <c r="N767" s="43"/>
      <c r="O767" s="43"/>
      <c r="P767" s="43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</row>
    <row r="768" ht="15.75" customHeight="1">
      <c r="A768" s="87"/>
      <c r="B768" s="88"/>
      <c r="C768" s="87"/>
      <c r="D768" s="87"/>
      <c r="E768" s="87"/>
      <c r="F768" s="92"/>
      <c r="G768" s="92"/>
      <c r="H768" s="87"/>
      <c r="I768" s="91"/>
      <c r="J768" s="87"/>
      <c r="K768" s="45" t="b">
        <v>0</v>
      </c>
      <c r="L768" s="45"/>
      <c r="M768" s="43"/>
      <c r="N768" s="43"/>
      <c r="O768" s="43"/>
      <c r="P768" s="43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</row>
    <row r="769" ht="15.75" customHeight="1">
      <c r="A769" s="87"/>
      <c r="B769" s="88"/>
      <c r="C769" s="87"/>
      <c r="D769" s="87"/>
      <c r="E769" s="87"/>
      <c r="F769" s="92"/>
      <c r="G769" s="92"/>
      <c r="H769" s="87"/>
      <c r="I769" s="91"/>
      <c r="J769" s="87"/>
      <c r="K769" s="45" t="b">
        <v>0</v>
      </c>
      <c r="L769" s="45"/>
      <c r="M769" s="43"/>
      <c r="N769" s="43"/>
      <c r="O769" s="43"/>
      <c r="P769" s="43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</row>
    <row r="770" ht="15.75" customHeight="1">
      <c r="A770" s="87"/>
      <c r="B770" s="88"/>
      <c r="C770" s="87"/>
      <c r="D770" s="87"/>
      <c r="E770" s="87"/>
      <c r="F770" s="92"/>
      <c r="G770" s="92"/>
      <c r="H770" s="87"/>
      <c r="I770" s="91"/>
      <c r="J770" s="87"/>
      <c r="K770" s="45" t="b">
        <v>0</v>
      </c>
      <c r="L770" s="45"/>
      <c r="M770" s="43"/>
      <c r="N770" s="43"/>
      <c r="O770" s="43"/>
      <c r="P770" s="43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</row>
    <row r="771" ht="15.75" customHeight="1">
      <c r="A771" s="87"/>
      <c r="B771" s="88"/>
      <c r="C771" s="87"/>
      <c r="D771" s="87"/>
      <c r="E771" s="87"/>
      <c r="F771" s="92"/>
      <c r="G771" s="92"/>
      <c r="H771" s="87"/>
      <c r="I771" s="91"/>
      <c r="J771" s="87"/>
      <c r="K771" s="45" t="b">
        <v>0</v>
      </c>
      <c r="L771" s="45"/>
      <c r="M771" s="43"/>
      <c r="N771" s="43"/>
      <c r="O771" s="43"/>
      <c r="P771" s="43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</row>
    <row r="772" ht="15.75" customHeight="1">
      <c r="A772" s="87"/>
      <c r="B772" s="88"/>
      <c r="C772" s="87"/>
      <c r="D772" s="87"/>
      <c r="E772" s="87"/>
      <c r="F772" s="92"/>
      <c r="G772" s="92"/>
      <c r="H772" s="87"/>
      <c r="I772" s="91"/>
      <c r="J772" s="87"/>
      <c r="K772" s="45" t="b">
        <v>0</v>
      </c>
      <c r="L772" s="45"/>
      <c r="M772" s="43"/>
      <c r="N772" s="43"/>
      <c r="O772" s="43"/>
      <c r="P772" s="43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</row>
    <row r="773" ht="15.75" customHeight="1">
      <c r="A773" s="87"/>
      <c r="B773" s="88"/>
      <c r="C773" s="87"/>
      <c r="D773" s="87"/>
      <c r="E773" s="87"/>
      <c r="F773" s="92"/>
      <c r="G773" s="92"/>
      <c r="H773" s="87"/>
      <c r="I773" s="91"/>
      <c r="J773" s="87"/>
      <c r="K773" s="45" t="b">
        <v>0</v>
      </c>
      <c r="L773" s="45"/>
      <c r="M773" s="43"/>
      <c r="N773" s="43"/>
      <c r="O773" s="43"/>
      <c r="P773" s="43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</row>
    <row r="774" ht="15.75" customHeight="1">
      <c r="A774" s="87"/>
      <c r="B774" s="88"/>
      <c r="C774" s="87"/>
      <c r="D774" s="87"/>
      <c r="E774" s="87"/>
      <c r="F774" s="92"/>
      <c r="G774" s="92"/>
      <c r="H774" s="87"/>
      <c r="I774" s="91"/>
      <c r="J774" s="87"/>
      <c r="K774" s="45" t="b">
        <v>0</v>
      </c>
      <c r="L774" s="45"/>
      <c r="M774" s="43"/>
      <c r="N774" s="43"/>
      <c r="O774" s="43"/>
      <c r="P774" s="43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</row>
    <row r="775" ht="15.75" customHeight="1">
      <c r="A775" s="87"/>
      <c r="B775" s="88"/>
      <c r="C775" s="87"/>
      <c r="D775" s="87"/>
      <c r="E775" s="87"/>
      <c r="F775" s="92"/>
      <c r="G775" s="92"/>
      <c r="H775" s="87"/>
      <c r="I775" s="91"/>
      <c r="J775" s="87"/>
      <c r="K775" s="45" t="b">
        <v>0</v>
      </c>
      <c r="L775" s="45"/>
      <c r="M775" s="43"/>
      <c r="N775" s="43"/>
      <c r="O775" s="43"/>
      <c r="P775" s="43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</row>
    <row r="776" ht="15.75" customHeight="1">
      <c r="A776" s="87"/>
      <c r="B776" s="88"/>
      <c r="C776" s="87"/>
      <c r="D776" s="87"/>
      <c r="E776" s="87"/>
      <c r="F776" s="92"/>
      <c r="G776" s="92"/>
      <c r="H776" s="87"/>
      <c r="I776" s="91"/>
      <c r="J776" s="87"/>
      <c r="K776" s="45" t="b">
        <v>0</v>
      </c>
      <c r="L776" s="45"/>
      <c r="M776" s="43"/>
      <c r="N776" s="43"/>
      <c r="O776" s="43"/>
      <c r="P776" s="43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</row>
    <row r="777" ht="15.75" customHeight="1">
      <c r="A777" s="87"/>
      <c r="B777" s="88"/>
      <c r="C777" s="87"/>
      <c r="D777" s="87"/>
      <c r="E777" s="87"/>
      <c r="F777" s="92"/>
      <c r="G777" s="92"/>
      <c r="H777" s="87"/>
      <c r="I777" s="91"/>
      <c r="J777" s="87"/>
      <c r="K777" s="45" t="b">
        <v>0</v>
      </c>
      <c r="L777" s="45"/>
      <c r="M777" s="43"/>
      <c r="N777" s="43"/>
      <c r="O777" s="43"/>
      <c r="P777" s="43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</row>
    <row r="778" ht="15.75" customHeight="1">
      <c r="A778" s="87"/>
      <c r="B778" s="88"/>
      <c r="C778" s="87"/>
      <c r="D778" s="87"/>
      <c r="E778" s="87"/>
      <c r="F778" s="92"/>
      <c r="G778" s="92"/>
      <c r="H778" s="87"/>
      <c r="I778" s="91"/>
      <c r="J778" s="87"/>
      <c r="K778" s="45" t="b">
        <v>0</v>
      </c>
      <c r="L778" s="45"/>
      <c r="M778" s="43"/>
      <c r="N778" s="43"/>
      <c r="O778" s="43"/>
      <c r="P778" s="43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</row>
    <row r="779" ht="15.75" customHeight="1">
      <c r="A779" s="87"/>
      <c r="B779" s="88"/>
      <c r="C779" s="87"/>
      <c r="D779" s="87"/>
      <c r="E779" s="87"/>
      <c r="F779" s="92"/>
      <c r="G779" s="92"/>
      <c r="H779" s="87"/>
      <c r="I779" s="91"/>
      <c r="J779" s="87"/>
      <c r="K779" s="45" t="b">
        <v>0</v>
      </c>
      <c r="L779" s="45"/>
      <c r="M779" s="43"/>
      <c r="N779" s="43"/>
      <c r="O779" s="43"/>
      <c r="P779" s="43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</row>
    <row r="780" ht="15.75" customHeight="1">
      <c r="A780" s="87"/>
      <c r="B780" s="88"/>
      <c r="C780" s="87"/>
      <c r="D780" s="87"/>
      <c r="E780" s="87"/>
      <c r="F780" s="92"/>
      <c r="G780" s="92"/>
      <c r="H780" s="87"/>
      <c r="I780" s="91"/>
      <c r="J780" s="87"/>
      <c r="K780" s="45" t="b">
        <v>0</v>
      </c>
      <c r="L780" s="45"/>
      <c r="M780" s="43"/>
      <c r="N780" s="43"/>
      <c r="O780" s="43"/>
      <c r="P780" s="43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</row>
    <row r="781" ht="15.75" customHeight="1">
      <c r="A781" s="87"/>
      <c r="B781" s="88"/>
      <c r="C781" s="87"/>
      <c r="D781" s="87"/>
      <c r="E781" s="87"/>
      <c r="F781" s="92"/>
      <c r="G781" s="92"/>
      <c r="H781" s="87"/>
      <c r="I781" s="91"/>
      <c r="J781" s="87"/>
      <c r="K781" s="45" t="b">
        <v>0</v>
      </c>
      <c r="L781" s="45"/>
      <c r="M781" s="43"/>
      <c r="N781" s="43"/>
      <c r="O781" s="43"/>
      <c r="P781" s="43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</row>
    <row r="782" ht="15.75" customHeight="1">
      <c r="A782" s="87"/>
      <c r="B782" s="88"/>
      <c r="C782" s="87"/>
      <c r="D782" s="87"/>
      <c r="E782" s="87"/>
      <c r="F782" s="92"/>
      <c r="G782" s="92"/>
      <c r="H782" s="87"/>
      <c r="I782" s="91"/>
      <c r="J782" s="87"/>
      <c r="K782" s="45" t="b">
        <v>0</v>
      </c>
      <c r="L782" s="45"/>
      <c r="M782" s="43"/>
      <c r="N782" s="43"/>
      <c r="O782" s="43"/>
      <c r="P782" s="43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</row>
    <row r="783" ht="15.75" customHeight="1">
      <c r="A783" s="87"/>
      <c r="B783" s="88"/>
      <c r="C783" s="87"/>
      <c r="D783" s="87"/>
      <c r="E783" s="87"/>
      <c r="F783" s="92"/>
      <c r="G783" s="92"/>
      <c r="H783" s="87"/>
      <c r="I783" s="91"/>
      <c r="J783" s="87"/>
      <c r="K783" s="45" t="b">
        <v>0</v>
      </c>
      <c r="L783" s="45"/>
      <c r="M783" s="43"/>
      <c r="N783" s="43"/>
      <c r="O783" s="43"/>
      <c r="P783" s="43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</row>
    <row r="784" ht="15.75" customHeight="1">
      <c r="A784" s="87"/>
      <c r="B784" s="88"/>
      <c r="C784" s="87"/>
      <c r="D784" s="87"/>
      <c r="E784" s="87"/>
      <c r="F784" s="92"/>
      <c r="G784" s="92"/>
      <c r="H784" s="87"/>
      <c r="I784" s="91"/>
      <c r="J784" s="87"/>
      <c r="K784" s="45" t="b">
        <v>0</v>
      </c>
      <c r="L784" s="45"/>
      <c r="M784" s="43"/>
      <c r="N784" s="43"/>
      <c r="O784" s="43"/>
      <c r="P784" s="43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</row>
    <row r="785" ht="15.75" customHeight="1">
      <c r="A785" s="87"/>
      <c r="B785" s="88"/>
      <c r="C785" s="87"/>
      <c r="D785" s="87"/>
      <c r="E785" s="87"/>
      <c r="F785" s="92"/>
      <c r="G785" s="92"/>
      <c r="H785" s="87"/>
      <c r="I785" s="91"/>
      <c r="J785" s="87"/>
      <c r="K785" s="45" t="b">
        <v>0</v>
      </c>
      <c r="L785" s="45"/>
      <c r="M785" s="43"/>
      <c r="N785" s="43"/>
      <c r="O785" s="43"/>
      <c r="P785" s="43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</row>
    <row r="786" ht="15.75" customHeight="1">
      <c r="A786" s="87"/>
      <c r="B786" s="88"/>
      <c r="C786" s="87"/>
      <c r="D786" s="87"/>
      <c r="E786" s="87"/>
      <c r="F786" s="92"/>
      <c r="G786" s="92"/>
      <c r="H786" s="87"/>
      <c r="I786" s="91"/>
      <c r="J786" s="87"/>
      <c r="K786" s="45" t="b">
        <v>0</v>
      </c>
      <c r="L786" s="45"/>
      <c r="M786" s="43"/>
      <c r="N786" s="43"/>
      <c r="O786" s="43"/>
      <c r="P786" s="43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</row>
    <row r="787" ht="15.75" customHeight="1">
      <c r="A787" s="87"/>
      <c r="B787" s="88"/>
      <c r="C787" s="87"/>
      <c r="D787" s="87"/>
      <c r="E787" s="87"/>
      <c r="F787" s="92"/>
      <c r="G787" s="92"/>
      <c r="H787" s="87"/>
      <c r="I787" s="91"/>
      <c r="J787" s="87"/>
      <c r="K787" s="45" t="b">
        <v>0</v>
      </c>
      <c r="L787" s="45"/>
      <c r="M787" s="43"/>
      <c r="N787" s="43"/>
      <c r="O787" s="43"/>
      <c r="P787" s="43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</row>
    <row r="788" ht="15.75" customHeight="1">
      <c r="A788" s="87"/>
      <c r="B788" s="88"/>
      <c r="C788" s="87"/>
      <c r="D788" s="87"/>
      <c r="E788" s="87"/>
      <c r="F788" s="92"/>
      <c r="G788" s="92"/>
      <c r="H788" s="87"/>
      <c r="I788" s="91"/>
      <c r="J788" s="87"/>
      <c r="K788" s="45" t="b">
        <v>0</v>
      </c>
      <c r="L788" s="45"/>
      <c r="M788" s="43"/>
      <c r="N788" s="43"/>
      <c r="O788" s="43"/>
      <c r="P788" s="43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</row>
    <row r="789" ht="15.75" customHeight="1">
      <c r="A789" s="87"/>
      <c r="B789" s="88"/>
      <c r="C789" s="87"/>
      <c r="D789" s="87"/>
      <c r="E789" s="87"/>
      <c r="F789" s="92"/>
      <c r="G789" s="92"/>
      <c r="H789" s="87"/>
      <c r="I789" s="91"/>
      <c r="J789" s="87"/>
      <c r="K789" s="45" t="b">
        <v>0</v>
      </c>
      <c r="L789" s="45"/>
      <c r="M789" s="43"/>
      <c r="N789" s="43"/>
      <c r="O789" s="43"/>
      <c r="P789" s="43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</row>
    <row r="790" ht="15.75" customHeight="1">
      <c r="A790" s="87"/>
      <c r="B790" s="88"/>
      <c r="C790" s="87"/>
      <c r="D790" s="87"/>
      <c r="E790" s="87"/>
      <c r="F790" s="92"/>
      <c r="G790" s="92"/>
      <c r="H790" s="87"/>
      <c r="I790" s="91"/>
      <c r="J790" s="87"/>
      <c r="K790" s="45" t="b">
        <v>0</v>
      </c>
      <c r="L790" s="45"/>
      <c r="M790" s="43"/>
      <c r="N790" s="43"/>
      <c r="O790" s="43"/>
      <c r="P790" s="43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</row>
    <row r="791" ht="15.75" customHeight="1">
      <c r="A791" s="87"/>
      <c r="B791" s="88"/>
      <c r="C791" s="87"/>
      <c r="D791" s="87"/>
      <c r="E791" s="87"/>
      <c r="F791" s="92"/>
      <c r="G791" s="92"/>
      <c r="H791" s="87"/>
      <c r="I791" s="91"/>
      <c r="J791" s="87"/>
      <c r="K791" s="45" t="b">
        <v>0</v>
      </c>
      <c r="L791" s="45"/>
      <c r="M791" s="43"/>
      <c r="N791" s="43"/>
      <c r="O791" s="43"/>
      <c r="P791" s="43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</row>
    <row r="792" ht="15.75" customHeight="1">
      <c r="A792" s="87"/>
      <c r="B792" s="88"/>
      <c r="C792" s="87"/>
      <c r="D792" s="87"/>
      <c r="E792" s="87"/>
      <c r="F792" s="92"/>
      <c r="G792" s="92"/>
      <c r="H792" s="87"/>
      <c r="I792" s="91"/>
      <c r="J792" s="87"/>
      <c r="K792" s="45" t="b">
        <v>0</v>
      </c>
      <c r="L792" s="45"/>
      <c r="M792" s="43"/>
      <c r="N792" s="43"/>
      <c r="O792" s="43"/>
      <c r="P792" s="43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</row>
    <row r="793" ht="15.75" customHeight="1">
      <c r="A793" s="87"/>
      <c r="B793" s="88"/>
      <c r="C793" s="87"/>
      <c r="D793" s="87"/>
      <c r="E793" s="87"/>
      <c r="F793" s="92"/>
      <c r="G793" s="92"/>
      <c r="H793" s="87"/>
      <c r="I793" s="91"/>
      <c r="J793" s="87"/>
      <c r="K793" s="45" t="b">
        <v>0</v>
      </c>
      <c r="L793" s="45"/>
      <c r="M793" s="43"/>
      <c r="N793" s="43"/>
      <c r="O793" s="43"/>
      <c r="P793" s="43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</row>
    <row r="794" ht="15.75" customHeight="1">
      <c r="A794" s="87"/>
      <c r="B794" s="88"/>
      <c r="C794" s="87"/>
      <c r="D794" s="87"/>
      <c r="E794" s="87"/>
      <c r="F794" s="92"/>
      <c r="G794" s="92"/>
      <c r="H794" s="87"/>
      <c r="I794" s="91"/>
      <c r="J794" s="87"/>
      <c r="K794" s="45" t="b">
        <v>0</v>
      </c>
      <c r="L794" s="45"/>
      <c r="M794" s="43"/>
      <c r="N794" s="43"/>
      <c r="O794" s="43"/>
      <c r="P794" s="43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</row>
    <row r="795" ht="15.75" customHeight="1">
      <c r="A795" s="87"/>
      <c r="B795" s="88"/>
      <c r="C795" s="87"/>
      <c r="D795" s="87"/>
      <c r="E795" s="87"/>
      <c r="F795" s="92"/>
      <c r="G795" s="92"/>
      <c r="H795" s="87"/>
      <c r="I795" s="91"/>
      <c r="J795" s="87"/>
      <c r="K795" s="45" t="b">
        <v>0</v>
      </c>
      <c r="L795" s="45"/>
      <c r="M795" s="43"/>
      <c r="N795" s="43"/>
      <c r="O795" s="43"/>
      <c r="P795" s="43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</row>
    <row r="796" ht="15.75" customHeight="1">
      <c r="A796" s="87"/>
      <c r="B796" s="88"/>
      <c r="C796" s="87"/>
      <c r="D796" s="87"/>
      <c r="E796" s="87"/>
      <c r="F796" s="92"/>
      <c r="G796" s="92"/>
      <c r="H796" s="87"/>
      <c r="I796" s="91"/>
      <c r="J796" s="87"/>
      <c r="K796" s="45" t="b">
        <v>0</v>
      </c>
      <c r="L796" s="45"/>
      <c r="M796" s="43"/>
      <c r="N796" s="43"/>
      <c r="O796" s="43"/>
      <c r="P796" s="43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</row>
    <row r="797" ht="15.75" customHeight="1">
      <c r="A797" s="87"/>
      <c r="B797" s="88"/>
      <c r="C797" s="87"/>
      <c r="D797" s="87"/>
      <c r="E797" s="87"/>
      <c r="F797" s="92"/>
      <c r="G797" s="92"/>
      <c r="H797" s="87"/>
      <c r="I797" s="91"/>
      <c r="J797" s="87"/>
      <c r="K797" s="45" t="b">
        <v>0</v>
      </c>
      <c r="L797" s="45"/>
      <c r="M797" s="43"/>
      <c r="N797" s="43"/>
      <c r="O797" s="43"/>
      <c r="P797" s="43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</row>
    <row r="798" ht="15.75" customHeight="1">
      <c r="A798" s="87"/>
      <c r="B798" s="88"/>
      <c r="C798" s="87"/>
      <c r="D798" s="87"/>
      <c r="E798" s="87"/>
      <c r="F798" s="92"/>
      <c r="G798" s="92"/>
      <c r="H798" s="87"/>
      <c r="I798" s="91"/>
      <c r="J798" s="87"/>
      <c r="K798" s="45" t="b">
        <v>0</v>
      </c>
      <c r="L798" s="45"/>
      <c r="M798" s="43"/>
      <c r="N798" s="43"/>
      <c r="O798" s="43"/>
      <c r="P798" s="43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</row>
    <row r="799" ht="15.75" customHeight="1">
      <c r="A799" s="87"/>
      <c r="B799" s="88"/>
      <c r="C799" s="87"/>
      <c r="D799" s="87"/>
      <c r="E799" s="87"/>
      <c r="F799" s="92"/>
      <c r="G799" s="92"/>
      <c r="H799" s="87"/>
      <c r="I799" s="91"/>
      <c r="J799" s="87"/>
      <c r="K799" s="45" t="b">
        <v>0</v>
      </c>
      <c r="L799" s="45"/>
      <c r="M799" s="43"/>
      <c r="N799" s="43"/>
      <c r="O799" s="43"/>
      <c r="P799" s="43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</row>
    <row r="800" ht="15.75" customHeight="1">
      <c r="A800" s="87"/>
      <c r="B800" s="88"/>
      <c r="C800" s="87"/>
      <c r="D800" s="87"/>
      <c r="E800" s="87"/>
      <c r="F800" s="92"/>
      <c r="G800" s="92"/>
      <c r="H800" s="87"/>
      <c r="I800" s="91"/>
      <c r="J800" s="87"/>
      <c r="K800" s="45" t="b">
        <v>0</v>
      </c>
      <c r="L800" s="45"/>
      <c r="M800" s="43"/>
      <c r="N800" s="43"/>
      <c r="O800" s="43"/>
      <c r="P800" s="43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</row>
    <row r="801" ht="15.75" customHeight="1">
      <c r="A801" s="87"/>
      <c r="B801" s="88"/>
      <c r="C801" s="87"/>
      <c r="D801" s="87"/>
      <c r="E801" s="87"/>
      <c r="F801" s="92"/>
      <c r="G801" s="92"/>
      <c r="H801" s="87"/>
      <c r="I801" s="91"/>
      <c r="J801" s="87"/>
      <c r="K801" s="45" t="b">
        <v>0</v>
      </c>
      <c r="L801" s="45"/>
      <c r="M801" s="43"/>
      <c r="N801" s="43"/>
      <c r="O801" s="43"/>
      <c r="P801" s="43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</row>
    <row r="802" ht="15.75" customHeight="1">
      <c r="A802" s="87"/>
      <c r="B802" s="88"/>
      <c r="C802" s="87"/>
      <c r="D802" s="87"/>
      <c r="E802" s="87"/>
      <c r="F802" s="92"/>
      <c r="G802" s="92"/>
      <c r="H802" s="87"/>
      <c r="I802" s="91"/>
      <c r="J802" s="87"/>
      <c r="K802" s="45" t="b">
        <v>0</v>
      </c>
      <c r="L802" s="45"/>
      <c r="M802" s="43"/>
      <c r="N802" s="43"/>
      <c r="O802" s="43"/>
      <c r="P802" s="43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</row>
    <row r="803" ht="15.75" customHeight="1">
      <c r="A803" s="87"/>
      <c r="B803" s="88"/>
      <c r="C803" s="87"/>
      <c r="D803" s="87"/>
      <c r="E803" s="87"/>
      <c r="F803" s="92"/>
      <c r="G803" s="92"/>
      <c r="H803" s="87"/>
      <c r="I803" s="91"/>
      <c r="J803" s="87"/>
      <c r="K803" s="45" t="b">
        <v>0</v>
      </c>
      <c r="L803" s="45"/>
      <c r="M803" s="43"/>
      <c r="N803" s="43"/>
      <c r="O803" s="43"/>
      <c r="P803" s="43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</row>
    <row r="804" ht="15.75" customHeight="1">
      <c r="A804" s="87"/>
      <c r="B804" s="88"/>
      <c r="C804" s="87"/>
      <c r="D804" s="87"/>
      <c r="E804" s="87"/>
      <c r="F804" s="92"/>
      <c r="G804" s="92"/>
      <c r="H804" s="87"/>
      <c r="I804" s="91"/>
      <c r="J804" s="87"/>
      <c r="K804" s="45" t="b">
        <v>0</v>
      </c>
      <c r="L804" s="45"/>
      <c r="M804" s="43"/>
      <c r="N804" s="43"/>
      <c r="O804" s="43"/>
      <c r="P804" s="43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</row>
    <row r="805" ht="15.75" customHeight="1">
      <c r="A805" s="87"/>
      <c r="B805" s="88"/>
      <c r="C805" s="87"/>
      <c r="D805" s="87"/>
      <c r="E805" s="87"/>
      <c r="F805" s="92"/>
      <c r="G805" s="92"/>
      <c r="H805" s="87"/>
      <c r="I805" s="91"/>
      <c r="J805" s="87"/>
      <c r="K805" s="45" t="b">
        <v>0</v>
      </c>
      <c r="L805" s="45"/>
      <c r="M805" s="43"/>
      <c r="N805" s="43"/>
      <c r="O805" s="43"/>
      <c r="P805" s="43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</row>
    <row r="806" ht="15.75" customHeight="1">
      <c r="A806" s="87"/>
      <c r="B806" s="88"/>
      <c r="C806" s="87"/>
      <c r="D806" s="87"/>
      <c r="E806" s="87"/>
      <c r="F806" s="92"/>
      <c r="G806" s="92"/>
      <c r="H806" s="87"/>
      <c r="I806" s="91"/>
      <c r="J806" s="87"/>
      <c r="K806" s="45" t="b">
        <v>0</v>
      </c>
      <c r="L806" s="45"/>
      <c r="M806" s="43"/>
      <c r="N806" s="43"/>
      <c r="O806" s="43"/>
      <c r="P806" s="43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</row>
    <row r="807" ht="15.75" customHeight="1">
      <c r="A807" s="87"/>
      <c r="B807" s="88"/>
      <c r="C807" s="87"/>
      <c r="D807" s="87"/>
      <c r="E807" s="87"/>
      <c r="F807" s="92"/>
      <c r="G807" s="92"/>
      <c r="H807" s="87"/>
      <c r="I807" s="91"/>
      <c r="J807" s="87"/>
      <c r="K807" s="45" t="b">
        <v>0</v>
      </c>
      <c r="L807" s="45"/>
      <c r="M807" s="43"/>
      <c r="N807" s="43"/>
      <c r="O807" s="43"/>
      <c r="P807" s="43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</row>
    <row r="808" ht="15.75" customHeight="1">
      <c r="A808" s="87"/>
      <c r="B808" s="88"/>
      <c r="C808" s="87"/>
      <c r="D808" s="87"/>
      <c r="E808" s="87"/>
      <c r="F808" s="92"/>
      <c r="G808" s="92"/>
      <c r="H808" s="87"/>
      <c r="I808" s="91"/>
      <c r="J808" s="87"/>
      <c r="K808" s="45" t="b">
        <v>0</v>
      </c>
      <c r="L808" s="45"/>
      <c r="M808" s="43"/>
      <c r="N808" s="43"/>
      <c r="O808" s="43"/>
      <c r="P808" s="43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</row>
    <row r="809" ht="15.75" customHeight="1">
      <c r="A809" s="87"/>
      <c r="B809" s="88"/>
      <c r="C809" s="87"/>
      <c r="D809" s="87"/>
      <c r="E809" s="87"/>
      <c r="F809" s="92"/>
      <c r="G809" s="92"/>
      <c r="H809" s="87"/>
      <c r="I809" s="91"/>
      <c r="J809" s="87"/>
      <c r="K809" s="45" t="b">
        <v>0</v>
      </c>
      <c r="L809" s="45"/>
      <c r="M809" s="43"/>
      <c r="N809" s="43"/>
      <c r="O809" s="43"/>
      <c r="P809" s="43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</row>
    <row r="810" ht="15.75" customHeight="1">
      <c r="A810" s="87"/>
      <c r="B810" s="88"/>
      <c r="C810" s="87"/>
      <c r="D810" s="87"/>
      <c r="E810" s="87"/>
      <c r="F810" s="92"/>
      <c r="G810" s="92"/>
      <c r="H810" s="87"/>
      <c r="I810" s="91"/>
      <c r="J810" s="87"/>
      <c r="K810" s="45" t="b">
        <v>0</v>
      </c>
      <c r="L810" s="45"/>
      <c r="M810" s="43"/>
      <c r="N810" s="43"/>
      <c r="O810" s="43"/>
      <c r="P810" s="43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</row>
    <row r="811" ht="15.75" customHeight="1">
      <c r="A811" s="87"/>
      <c r="B811" s="88"/>
      <c r="C811" s="87"/>
      <c r="D811" s="87"/>
      <c r="E811" s="87"/>
      <c r="F811" s="92"/>
      <c r="G811" s="92"/>
      <c r="H811" s="87"/>
      <c r="I811" s="91"/>
      <c r="J811" s="87"/>
      <c r="K811" s="45" t="b">
        <v>0</v>
      </c>
      <c r="L811" s="45"/>
      <c r="M811" s="43"/>
      <c r="N811" s="43"/>
      <c r="O811" s="43"/>
      <c r="P811" s="43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</row>
    <row r="812" ht="15.75" customHeight="1">
      <c r="A812" s="87"/>
      <c r="B812" s="88"/>
      <c r="C812" s="87"/>
      <c r="D812" s="87"/>
      <c r="E812" s="87"/>
      <c r="F812" s="92"/>
      <c r="G812" s="92"/>
      <c r="H812" s="87"/>
      <c r="I812" s="91"/>
      <c r="J812" s="87"/>
      <c r="K812" s="45" t="b">
        <v>0</v>
      </c>
      <c r="L812" s="45"/>
      <c r="M812" s="43"/>
      <c r="N812" s="43"/>
      <c r="O812" s="43"/>
      <c r="P812" s="43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</row>
    <row r="813" ht="15.75" customHeight="1">
      <c r="A813" s="87"/>
      <c r="B813" s="88"/>
      <c r="C813" s="87"/>
      <c r="D813" s="87"/>
      <c r="E813" s="87"/>
      <c r="F813" s="92"/>
      <c r="G813" s="92"/>
      <c r="H813" s="87"/>
      <c r="I813" s="91"/>
      <c r="J813" s="87"/>
      <c r="K813" s="45" t="b">
        <v>0</v>
      </c>
      <c r="L813" s="45"/>
      <c r="M813" s="43"/>
      <c r="N813" s="43"/>
      <c r="O813" s="43"/>
      <c r="P813" s="43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</row>
    <row r="814" ht="15.75" customHeight="1">
      <c r="A814" s="87"/>
      <c r="B814" s="88"/>
      <c r="C814" s="87"/>
      <c r="D814" s="87"/>
      <c r="E814" s="87"/>
      <c r="F814" s="92"/>
      <c r="G814" s="92"/>
      <c r="H814" s="87"/>
      <c r="I814" s="91"/>
      <c r="J814" s="87"/>
      <c r="K814" s="45" t="b">
        <v>0</v>
      </c>
      <c r="L814" s="45"/>
      <c r="M814" s="43"/>
      <c r="N814" s="43"/>
      <c r="O814" s="43"/>
      <c r="P814" s="43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</row>
    <row r="815" ht="15.75" customHeight="1">
      <c r="A815" s="87"/>
      <c r="B815" s="88"/>
      <c r="C815" s="87"/>
      <c r="D815" s="87"/>
      <c r="E815" s="87"/>
      <c r="F815" s="92"/>
      <c r="G815" s="92"/>
      <c r="H815" s="87"/>
      <c r="I815" s="91"/>
      <c r="J815" s="87"/>
      <c r="K815" s="45" t="b">
        <v>0</v>
      </c>
      <c r="L815" s="45"/>
      <c r="M815" s="43"/>
      <c r="N815" s="43"/>
      <c r="O815" s="43"/>
      <c r="P815" s="43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</row>
    <row r="816" ht="15.75" customHeight="1">
      <c r="A816" s="87"/>
      <c r="B816" s="88"/>
      <c r="C816" s="87"/>
      <c r="D816" s="87"/>
      <c r="E816" s="87"/>
      <c r="F816" s="92"/>
      <c r="G816" s="92"/>
      <c r="H816" s="87"/>
      <c r="I816" s="91"/>
      <c r="J816" s="87"/>
      <c r="K816" s="45" t="b">
        <v>0</v>
      </c>
      <c r="L816" s="45"/>
      <c r="M816" s="43"/>
      <c r="N816" s="43"/>
      <c r="O816" s="43"/>
      <c r="P816" s="43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</row>
    <row r="817" ht="15.75" customHeight="1">
      <c r="A817" s="87"/>
      <c r="B817" s="88"/>
      <c r="C817" s="87"/>
      <c r="D817" s="87"/>
      <c r="E817" s="87"/>
      <c r="F817" s="92"/>
      <c r="G817" s="92"/>
      <c r="H817" s="87"/>
      <c r="I817" s="91"/>
      <c r="J817" s="87"/>
      <c r="K817" s="45" t="b">
        <v>0</v>
      </c>
      <c r="L817" s="45"/>
      <c r="M817" s="43"/>
      <c r="N817" s="43"/>
      <c r="O817" s="43"/>
      <c r="P817" s="43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</row>
    <row r="818" ht="15.75" customHeight="1">
      <c r="A818" s="87"/>
      <c r="B818" s="88"/>
      <c r="C818" s="87"/>
      <c r="D818" s="87"/>
      <c r="E818" s="87"/>
      <c r="F818" s="92"/>
      <c r="G818" s="92"/>
      <c r="H818" s="87"/>
      <c r="I818" s="91"/>
      <c r="J818" s="87"/>
      <c r="K818" s="45" t="b">
        <v>0</v>
      </c>
      <c r="L818" s="45"/>
      <c r="M818" s="43"/>
      <c r="N818" s="43"/>
      <c r="O818" s="43"/>
      <c r="P818" s="43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</row>
    <row r="819" ht="15.75" customHeight="1">
      <c r="A819" s="87"/>
      <c r="B819" s="88"/>
      <c r="C819" s="87"/>
      <c r="D819" s="87"/>
      <c r="E819" s="87"/>
      <c r="F819" s="92"/>
      <c r="G819" s="92"/>
      <c r="H819" s="87"/>
      <c r="I819" s="91"/>
      <c r="J819" s="87"/>
      <c r="K819" s="45" t="b">
        <v>0</v>
      </c>
      <c r="L819" s="45"/>
      <c r="M819" s="43"/>
      <c r="N819" s="43"/>
      <c r="O819" s="43"/>
      <c r="P819" s="43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</row>
    <row r="820" ht="15.75" customHeight="1">
      <c r="A820" s="87"/>
      <c r="B820" s="88"/>
      <c r="C820" s="87"/>
      <c r="D820" s="87"/>
      <c r="E820" s="87"/>
      <c r="F820" s="92"/>
      <c r="G820" s="92"/>
      <c r="H820" s="87"/>
      <c r="I820" s="91"/>
      <c r="J820" s="87"/>
      <c r="K820" s="45" t="b">
        <v>0</v>
      </c>
      <c r="L820" s="45"/>
      <c r="M820" s="43"/>
      <c r="N820" s="43"/>
      <c r="O820" s="43"/>
      <c r="P820" s="43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</row>
    <row r="821" ht="15.75" customHeight="1">
      <c r="A821" s="87"/>
      <c r="B821" s="88"/>
      <c r="C821" s="87"/>
      <c r="D821" s="87"/>
      <c r="E821" s="87"/>
      <c r="F821" s="92"/>
      <c r="G821" s="92"/>
      <c r="H821" s="87"/>
      <c r="I821" s="91"/>
      <c r="J821" s="87"/>
      <c r="K821" s="45" t="b">
        <v>0</v>
      </c>
      <c r="L821" s="45"/>
      <c r="M821" s="43"/>
      <c r="N821" s="43"/>
      <c r="O821" s="43"/>
      <c r="P821" s="43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</row>
    <row r="822" ht="15.75" customHeight="1">
      <c r="A822" s="87"/>
      <c r="B822" s="88"/>
      <c r="C822" s="87"/>
      <c r="D822" s="87"/>
      <c r="E822" s="87"/>
      <c r="F822" s="92"/>
      <c r="G822" s="92"/>
      <c r="H822" s="87"/>
      <c r="I822" s="91"/>
      <c r="J822" s="87"/>
      <c r="K822" s="45" t="b">
        <v>0</v>
      </c>
      <c r="L822" s="45"/>
      <c r="M822" s="43"/>
      <c r="N822" s="43"/>
      <c r="O822" s="43"/>
      <c r="P822" s="43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</row>
    <row r="823" ht="15.75" customHeight="1">
      <c r="A823" s="87"/>
      <c r="B823" s="88"/>
      <c r="C823" s="87"/>
      <c r="D823" s="87"/>
      <c r="E823" s="87"/>
      <c r="F823" s="92"/>
      <c r="G823" s="92"/>
      <c r="H823" s="87"/>
      <c r="I823" s="91"/>
      <c r="J823" s="87"/>
      <c r="K823" s="45" t="b">
        <v>0</v>
      </c>
      <c r="L823" s="45"/>
      <c r="M823" s="43"/>
      <c r="N823" s="43"/>
      <c r="O823" s="43"/>
      <c r="P823" s="43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</row>
    <row r="824" ht="15.75" customHeight="1">
      <c r="A824" s="87"/>
      <c r="B824" s="88"/>
      <c r="C824" s="87"/>
      <c r="D824" s="87"/>
      <c r="E824" s="87"/>
      <c r="F824" s="92"/>
      <c r="G824" s="92"/>
      <c r="H824" s="87"/>
      <c r="I824" s="91"/>
      <c r="J824" s="87"/>
      <c r="K824" s="45" t="b">
        <v>0</v>
      </c>
      <c r="L824" s="45"/>
      <c r="M824" s="43"/>
      <c r="N824" s="43"/>
      <c r="O824" s="43"/>
      <c r="P824" s="43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</row>
    <row r="825" ht="15.75" customHeight="1">
      <c r="A825" s="87"/>
      <c r="B825" s="88"/>
      <c r="C825" s="87"/>
      <c r="D825" s="87"/>
      <c r="E825" s="87"/>
      <c r="F825" s="92"/>
      <c r="G825" s="92"/>
      <c r="H825" s="87"/>
      <c r="I825" s="91"/>
      <c r="J825" s="87"/>
      <c r="K825" s="45" t="b">
        <v>0</v>
      </c>
      <c r="L825" s="45"/>
      <c r="M825" s="43"/>
      <c r="N825" s="43"/>
      <c r="O825" s="43"/>
      <c r="P825" s="43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</row>
    <row r="826" ht="15.75" customHeight="1">
      <c r="A826" s="87"/>
      <c r="B826" s="88"/>
      <c r="C826" s="87"/>
      <c r="D826" s="87"/>
      <c r="E826" s="87"/>
      <c r="F826" s="92"/>
      <c r="G826" s="92"/>
      <c r="H826" s="87"/>
      <c r="I826" s="91"/>
      <c r="J826" s="87"/>
      <c r="K826" s="45" t="b">
        <v>0</v>
      </c>
      <c r="L826" s="45"/>
      <c r="M826" s="43"/>
      <c r="N826" s="43"/>
      <c r="O826" s="43"/>
      <c r="P826" s="43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</row>
    <row r="827" ht="15.75" customHeight="1">
      <c r="A827" s="87"/>
      <c r="B827" s="88"/>
      <c r="C827" s="87"/>
      <c r="D827" s="87"/>
      <c r="E827" s="87"/>
      <c r="F827" s="92"/>
      <c r="G827" s="92"/>
      <c r="H827" s="87"/>
      <c r="I827" s="91"/>
      <c r="J827" s="87"/>
      <c r="K827" s="45" t="b">
        <v>0</v>
      </c>
      <c r="L827" s="45"/>
      <c r="M827" s="43"/>
      <c r="N827" s="43"/>
      <c r="O827" s="43"/>
      <c r="P827" s="43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</row>
    <row r="828" ht="15.75" customHeight="1">
      <c r="A828" s="87"/>
      <c r="B828" s="88"/>
      <c r="C828" s="87"/>
      <c r="D828" s="87"/>
      <c r="E828" s="87"/>
      <c r="F828" s="92"/>
      <c r="G828" s="92"/>
      <c r="H828" s="87"/>
      <c r="I828" s="91"/>
      <c r="J828" s="87"/>
      <c r="K828" s="45" t="b">
        <v>0</v>
      </c>
      <c r="L828" s="45"/>
      <c r="M828" s="43"/>
      <c r="N828" s="43"/>
      <c r="O828" s="43"/>
      <c r="P828" s="43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</row>
    <row r="829" ht="15.75" customHeight="1">
      <c r="A829" s="87"/>
      <c r="B829" s="88"/>
      <c r="C829" s="87"/>
      <c r="D829" s="87"/>
      <c r="E829" s="87"/>
      <c r="F829" s="92"/>
      <c r="G829" s="92"/>
      <c r="H829" s="87"/>
      <c r="I829" s="91"/>
      <c r="J829" s="87"/>
      <c r="K829" s="45" t="b">
        <v>0</v>
      </c>
      <c r="L829" s="45"/>
      <c r="M829" s="43"/>
      <c r="N829" s="43"/>
      <c r="O829" s="43"/>
      <c r="P829" s="43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</row>
    <row r="830" ht="15.75" customHeight="1">
      <c r="A830" s="87"/>
      <c r="B830" s="88"/>
      <c r="C830" s="87"/>
      <c r="D830" s="87"/>
      <c r="E830" s="87"/>
      <c r="F830" s="92"/>
      <c r="G830" s="92"/>
      <c r="H830" s="87"/>
      <c r="I830" s="91"/>
      <c r="J830" s="87"/>
      <c r="K830" s="45" t="b">
        <v>0</v>
      </c>
      <c r="L830" s="45"/>
      <c r="M830" s="43"/>
      <c r="N830" s="43"/>
      <c r="O830" s="43"/>
      <c r="P830" s="43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</row>
    <row r="831" ht="15.75" customHeight="1">
      <c r="A831" s="87"/>
      <c r="B831" s="88"/>
      <c r="C831" s="87"/>
      <c r="D831" s="87"/>
      <c r="E831" s="87"/>
      <c r="F831" s="92"/>
      <c r="G831" s="92"/>
      <c r="H831" s="87"/>
      <c r="I831" s="91"/>
      <c r="J831" s="87"/>
      <c r="K831" s="45" t="b">
        <v>0</v>
      </c>
      <c r="L831" s="45"/>
      <c r="M831" s="43"/>
      <c r="N831" s="43"/>
      <c r="O831" s="43"/>
      <c r="P831" s="43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</row>
    <row r="832" ht="15.75" customHeight="1">
      <c r="A832" s="87"/>
      <c r="B832" s="88"/>
      <c r="C832" s="87"/>
      <c r="D832" s="87"/>
      <c r="E832" s="87"/>
      <c r="F832" s="92"/>
      <c r="G832" s="92"/>
      <c r="H832" s="87"/>
      <c r="I832" s="91"/>
      <c r="J832" s="87"/>
      <c r="K832" s="45" t="b">
        <v>0</v>
      </c>
      <c r="L832" s="45"/>
      <c r="M832" s="43"/>
      <c r="N832" s="43"/>
      <c r="O832" s="43"/>
      <c r="P832" s="43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</row>
    <row r="833" ht="15.75" customHeight="1">
      <c r="A833" s="87"/>
      <c r="B833" s="88"/>
      <c r="C833" s="87"/>
      <c r="D833" s="87"/>
      <c r="E833" s="87"/>
      <c r="F833" s="92"/>
      <c r="G833" s="92"/>
      <c r="H833" s="87"/>
      <c r="I833" s="91"/>
      <c r="J833" s="87"/>
      <c r="K833" s="45" t="b">
        <v>0</v>
      </c>
      <c r="L833" s="45"/>
      <c r="M833" s="43"/>
      <c r="N833" s="43"/>
      <c r="O833" s="43"/>
      <c r="P833" s="43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</row>
    <row r="834" ht="15.75" customHeight="1">
      <c r="A834" s="87"/>
      <c r="B834" s="88"/>
      <c r="C834" s="87"/>
      <c r="D834" s="87"/>
      <c r="E834" s="87"/>
      <c r="F834" s="92"/>
      <c r="G834" s="92"/>
      <c r="H834" s="87"/>
      <c r="I834" s="91"/>
      <c r="J834" s="87"/>
      <c r="K834" s="45" t="b">
        <v>0</v>
      </c>
      <c r="L834" s="45"/>
      <c r="M834" s="43"/>
      <c r="N834" s="43"/>
      <c r="O834" s="43"/>
      <c r="P834" s="43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</row>
    <row r="835" ht="15.75" customHeight="1">
      <c r="A835" s="87"/>
      <c r="B835" s="88"/>
      <c r="C835" s="87"/>
      <c r="D835" s="87"/>
      <c r="E835" s="87"/>
      <c r="F835" s="92"/>
      <c r="G835" s="92"/>
      <c r="H835" s="87"/>
      <c r="I835" s="91"/>
      <c r="J835" s="87"/>
      <c r="K835" s="45" t="b">
        <v>0</v>
      </c>
      <c r="L835" s="45"/>
      <c r="M835" s="43"/>
      <c r="N835" s="43"/>
      <c r="O835" s="43"/>
      <c r="P835" s="43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</row>
    <row r="836" ht="15.75" customHeight="1">
      <c r="A836" s="87"/>
      <c r="B836" s="88"/>
      <c r="C836" s="87"/>
      <c r="D836" s="87"/>
      <c r="E836" s="87"/>
      <c r="F836" s="92"/>
      <c r="G836" s="92"/>
      <c r="H836" s="87"/>
      <c r="I836" s="91"/>
      <c r="J836" s="87"/>
      <c r="K836" s="45" t="b">
        <v>0</v>
      </c>
      <c r="L836" s="45"/>
      <c r="M836" s="43"/>
      <c r="N836" s="43"/>
      <c r="O836" s="43"/>
      <c r="P836" s="43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</row>
    <row r="837" ht="15.75" customHeight="1">
      <c r="A837" s="87"/>
      <c r="B837" s="88"/>
      <c r="C837" s="87"/>
      <c r="D837" s="87"/>
      <c r="E837" s="87"/>
      <c r="F837" s="92"/>
      <c r="G837" s="92"/>
      <c r="H837" s="87"/>
      <c r="I837" s="91"/>
      <c r="J837" s="87"/>
      <c r="K837" s="45" t="b">
        <v>0</v>
      </c>
      <c r="L837" s="45"/>
      <c r="M837" s="43"/>
      <c r="N837" s="43"/>
      <c r="O837" s="43"/>
      <c r="P837" s="43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</row>
    <row r="838" ht="15.75" customHeight="1">
      <c r="A838" s="87"/>
      <c r="B838" s="88"/>
      <c r="C838" s="87"/>
      <c r="D838" s="87"/>
      <c r="E838" s="87"/>
      <c r="F838" s="92"/>
      <c r="G838" s="92"/>
      <c r="H838" s="87"/>
      <c r="I838" s="91"/>
      <c r="J838" s="87"/>
      <c r="K838" s="45" t="b">
        <v>0</v>
      </c>
      <c r="L838" s="45"/>
      <c r="M838" s="43"/>
      <c r="N838" s="43"/>
      <c r="O838" s="43"/>
      <c r="P838" s="43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</row>
    <row r="839" ht="15.75" customHeight="1">
      <c r="A839" s="87"/>
      <c r="B839" s="88"/>
      <c r="C839" s="87"/>
      <c r="D839" s="87"/>
      <c r="E839" s="87"/>
      <c r="F839" s="92"/>
      <c r="G839" s="92"/>
      <c r="H839" s="87"/>
      <c r="I839" s="91"/>
      <c r="J839" s="87"/>
      <c r="K839" s="45" t="b">
        <v>0</v>
      </c>
      <c r="L839" s="45"/>
      <c r="M839" s="43"/>
      <c r="N839" s="43"/>
      <c r="O839" s="43"/>
      <c r="P839" s="43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</row>
    <row r="840" ht="15.75" customHeight="1">
      <c r="A840" s="87"/>
      <c r="B840" s="88"/>
      <c r="C840" s="87"/>
      <c r="D840" s="87"/>
      <c r="E840" s="87"/>
      <c r="F840" s="92"/>
      <c r="G840" s="92"/>
      <c r="H840" s="87"/>
      <c r="I840" s="91"/>
      <c r="J840" s="87"/>
      <c r="K840" s="45" t="b">
        <v>0</v>
      </c>
      <c r="L840" s="45"/>
      <c r="M840" s="43"/>
      <c r="N840" s="43"/>
      <c r="O840" s="43"/>
      <c r="P840" s="43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</row>
    <row r="841" ht="15.75" customHeight="1">
      <c r="A841" s="87"/>
      <c r="B841" s="88"/>
      <c r="C841" s="87"/>
      <c r="D841" s="87"/>
      <c r="E841" s="87"/>
      <c r="F841" s="92"/>
      <c r="G841" s="92"/>
      <c r="H841" s="87"/>
      <c r="I841" s="91"/>
      <c r="J841" s="87"/>
      <c r="K841" s="45" t="b">
        <v>0</v>
      </c>
      <c r="L841" s="45"/>
      <c r="M841" s="43"/>
      <c r="N841" s="43"/>
      <c r="O841" s="43"/>
      <c r="P841" s="43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</row>
    <row r="842" ht="15.75" customHeight="1">
      <c r="A842" s="87"/>
      <c r="B842" s="88"/>
      <c r="C842" s="87"/>
      <c r="D842" s="87"/>
      <c r="E842" s="87"/>
      <c r="F842" s="92"/>
      <c r="G842" s="92"/>
      <c r="H842" s="87"/>
      <c r="I842" s="91"/>
      <c r="J842" s="87"/>
      <c r="K842" s="45" t="b">
        <v>0</v>
      </c>
      <c r="L842" s="45"/>
      <c r="M842" s="43"/>
      <c r="N842" s="43"/>
      <c r="O842" s="43"/>
      <c r="P842" s="43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</row>
    <row r="843" ht="15.75" customHeight="1">
      <c r="A843" s="87"/>
      <c r="B843" s="88"/>
      <c r="C843" s="87"/>
      <c r="D843" s="87"/>
      <c r="E843" s="87"/>
      <c r="F843" s="92"/>
      <c r="G843" s="92"/>
      <c r="H843" s="87"/>
      <c r="I843" s="91"/>
      <c r="J843" s="87"/>
      <c r="K843" s="45" t="b">
        <v>0</v>
      </c>
      <c r="L843" s="45"/>
      <c r="M843" s="43"/>
      <c r="N843" s="43"/>
      <c r="O843" s="43"/>
      <c r="P843" s="43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</row>
    <row r="844" ht="15.75" customHeight="1">
      <c r="A844" s="87"/>
      <c r="B844" s="88"/>
      <c r="C844" s="87"/>
      <c r="D844" s="87"/>
      <c r="E844" s="87"/>
      <c r="F844" s="92"/>
      <c r="G844" s="92"/>
      <c r="H844" s="87"/>
      <c r="I844" s="91"/>
      <c r="J844" s="87"/>
      <c r="K844" s="45" t="b">
        <v>0</v>
      </c>
      <c r="L844" s="45"/>
      <c r="M844" s="43"/>
      <c r="N844" s="43"/>
      <c r="O844" s="43"/>
      <c r="P844" s="43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</row>
    <row r="845" ht="15.75" customHeight="1">
      <c r="A845" s="87"/>
      <c r="B845" s="88"/>
      <c r="C845" s="87"/>
      <c r="D845" s="87"/>
      <c r="E845" s="87"/>
      <c r="F845" s="92"/>
      <c r="G845" s="92"/>
      <c r="H845" s="87"/>
      <c r="I845" s="91"/>
      <c r="J845" s="87"/>
      <c r="K845" s="45" t="b">
        <v>0</v>
      </c>
      <c r="L845" s="45"/>
      <c r="M845" s="43"/>
      <c r="N845" s="43"/>
      <c r="O845" s="43"/>
      <c r="P845" s="43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</row>
    <row r="846" ht="15.75" customHeight="1">
      <c r="A846" s="87"/>
      <c r="B846" s="88"/>
      <c r="C846" s="87"/>
      <c r="D846" s="87"/>
      <c r="E846" s="87"/>
      <c r="F846" s="92"/>
      <c r="G846" s="92"/>
      <c r="H846" s="87"/>
      <c r="I846" s="91"/>
      <c r="J846" s="87"/>
      <c r="K846" s="45" t="b">
        <v>0</v>
      </c>
      <c r="L846" s="45"/>
      <c r="M846" s="43"/>
      <c r="N846" s="43"/>
      <c r="O846" s="43"/>
      <c r="P846" s="43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</row>
    <row r="847" ht="15.75" customHeight="1">
      <c r="A847" s="87"/>
      <c r="B847" s="88"/>
      <c r="C847" s="87"/>
      <c r="D847" s="87"/>
      <c r="E847" s="87"/>
      <c r="F847" s="92"/>
      <c r="G847" s="92"/>
      <c r="H847" s="87"/>
      <c r="I847" s="91"/>
      <c r="J847" s="87"/>
      <c r="K847" s="45" t="b">
        <v>0</v>
      </c>
      <c r="L847" s="45"/>
      <c r="M847" s="43"/>
      <c r="N847" s="43"/>
      <c r="O847" s="43"/>
      <c r="P847" s="43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</row>
    <row r="848" ht="15.75" customHeight="1">
      <c r="A848" s="87"/>
      <c r="B848" s="88"/>
      <c r="C848" s="87"/>
      <c r="D848" s="87"/>
      <c r="E848" s="87"/>
      <c r="F848" s="92"/>
      <c r="G848" s="92"/>
      <c r="H848" s="87"/>
      <c r="I848" s="91"/>
      <c r="J848" s="87"/>
      <c r="K848" s="45" t="b">
        <v>0</v>
      </c>
      <c r="L848" s="45"/>
      <c r="M848" s="43"/>
      <c r="N848" s="43"/>
      <c r="O848" s="43"/>
      <c r="P848" s="43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</row>
    <row r="849" ht="15.75" customHeight="1">
      <c r="A849" s="87"/>
      <c r="B849" s="88"/>
      <c r="C849" s="87"/>
      <c r="D849" s="87"/>
      <c r="E849" s="87"/>
      <c r="F849" s="92"/>
      <c r="G849" s="92"/>
      <c r="H849" s="87"/>
      <c r="I849" s="91"/>
      <c r="J849" s="87"/>
      <c r="K849" s="45" t="b">
        <v>0</v>
      </c>
      <c r="L849" s="45"/>
      <c r="M849" s="43"/>
      <c r="N849" s="43"/>
      <c r="O849" s="43"/>
      <c r="P849" s="43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</row>
    <row r="850" ht="15.75" customHeight="1">
      <c r="A850" s="87"/>
      <c r="B850" s="88"/>
      <c r="C850" s="87"/>
      <c r="D850" s="87"/>
      <c r="E850" s="87"/>
      <c r="F850" s="92"/>
      <c r="G850" s="92"/>
      <c r="H850" s="87"/>
      <c r="I850" s="91"/>
      <c r="J850" s="87"/>
      <c r="K850" s="45" t="b">
        <v>0</v>
      </c>
      <c r="L850" s="45"/>
      <c r="M850" s="43"/>
      <c r="N850" s="43"/>
      <c r="O850" s="43"/>
      <c r="P850" s="43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</row>
    <row r="851" ht="15.75" customHeight="1">
      <c r="A851" s="87"/>
      <c r="B851" s="88"/>
      <c r="C851" s="87"/>
      <c r="D851" s="87"/>
      <c r="E851" s="87"/>
      <c r="F851" s="92"/>
      <c r="G851" s="92"/>
      <c r="H851" s="87"/>
      <c r="I851" s="91"/>
      <c r="J851" s="87"/>
      <c r="K851" s="45" t="b">
        <v>0</v>
      </c>
      <c r="L851" s="45"/>
      <c r="M851" s="43"/>
      <c r="N851" s="43"/>
      <c r="O851" s="43"/>
      <c r="P851" s="43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</row>
    <row r="852" ht="15.75" customHeight="1">
      <c r="A852" s="87"/>
      <c r="B852" s="88"/>
      <c r="C852" s="87"/>
      <c r="D852" s="87"/>
      <c r="E852" s="87"/>
      <c r="F852" s="92"/>
      <c r="G852" s="92"/>
      <c r="H852" s="87"/>
      <c r="I852" s="91"/>
      <c r="J852" s="87"/>
      <c r="K852" s="45" t="b">
        <v>0</v>
      </c>
      <c r="L852" s="45"/>
      <c r="M852" s="43"/>
      <c r="N852" s="43"/>
      <c r="O852" s="43"/>
      <c r="P852" s="43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</row>
    <row r="853" ht="15.75" customHeight="1">
      <c r="A853" s="87"/>
      <c r="B853" s="88"/>
      <c r="C853" s="87"/>
      <c r="D853" s="87"/>
      <c r="E853" s="87"/>
      <c r="F853" s="92"/>
      <c r="G853" s="92"/>
      <c r="H853" s="87"/>
      <c r="I853" s="91"/>
      <c r="J853" s="87"/>
      <c r="K853" s="45" t="b">
        <v>0</v>
      </c>
      <c r="L853" s="45"/>
      <c r="M853" s="43"/>
      <c r="N853" s="43"/>
      <c r="O853" s="43"/>
      <c r="P853" s="43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</row>
    <row r="854" ht="15.75" customHeight="1">
      <c r="A854" s="87"/>
      <c r="B854" s="88"/>
      <c r="C854" s="87"/>
      <c r="D854" s="87"/>
      <c r="E854" s="87"/>
      <c r="F854" s="92"/>
      <c r="G854" s="92"/>
      <c r="H854" s="87"/>
      <c r="I854" s="91"/>
      <c r="J854" s="87"/>
      <c r="K854" s="45" t="b">
        <v>0</v>
      </c>
      <c r="L854" s="45"/>
      <c r="M854" s="43"/>
      <c r="N854" s="43"/>
      <c r="O854" s="43"/>
      <c r="P854" s="43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</row>
    <row r="855" ht="15.75" customHeight="1">
      <c r="A855" s="87"/>
      <c r="B855" s="88"/>
      <c r="C855" s="87"/>
      <c r="D855" s="87"/>
      <c r="E855" s="87"/>
      <c r="F855" s="92"/>
      <c r="G855" s="92"/>
      <c r="H855" s="87"/>
      <c r="I855" s="91"/>
      <c r="J855" s="87"/>
      <c r="K855" s="45" t="b">
        <v>0</v>
      </c>
      <c r="L855" s="45"/>
      <c r="M855" s="43"/>
      <c r="N855" s="43"/>
      <c r="O855" s="43"/>
      <c r="P855" s="43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</row>
    <row r="856" ht="15.75" customHeight="1">
      <c r="A856" s="87"/>
      <c r="B856" s="88"/>
      <c r="C856" s="87"/>
      <c r="D856" s="87"/>
      <c r="E856" s="87"/>
      <c r="F856" s="92"/>
      <c r="G856" s="92"/>
      <c r="H856" s="87"/>
      <c r="I856" s="91"/>
      <c r="J856" s="87"/>
      <c r="K856" s="45" t="b">
        <v>0</v>
      </c>
      <c r="L856" s="45"/>
      <c r="M856" s="43"/>
      <c r="N856" s="43"/>
      <c r="O856" s="43"/>
      <c r="P856" s="43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</row>
    <row r="857" ht="15.75" customHeight="1">
      <c r="A857" s="87"/>
      <c r="B857" s="88"/>
      <c r="C857" s="87"/>
      <c r="D857" s="87"/>
      <c r="E857" s="87"/>
      <c r="F857" s="92"/>
      <c r="G857" s="92"/>
      <c r="H857" s="87"/>
      <c r="I857" s="91"/>
      <c r="J857" s="87"/>
      <c r="K857" s="45" t="b">
        <v>0</v>
      </c>
      <c r="L857" s="45"/>
      <c r="M857" s="43"/>
      <c r="N857" s="43"/>
      <c r="O857" s="43"/>
      <c r="P857" s="43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</row>
    <row r="858" ht="15.75" customHeight="1">
      <c r="A858" s="87"/>
      <c r="B858" s="88"/>
      <c r="C858" s="87"/>
      <c r="D858" s="87"/>
      <c r="E858" s="87"/>
      <c r="F858" s="92"/>
      <c r="G858" s="92"/>
      <c r="H858" s="87"/>
      <c r="I858" s="91"/>
      <c r="J858" s="87"/>
      <c r="K858" s="45" t="b">
        <v>0</v>
      </c>
      <c r="L858" s="45"/>
      <c r="M858" s="43"/>
      <c r="N858" s="43"/>
      <c r="O858" s="43"/>
      <c r="P858" s="43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</row>
    <row r="859" ht="15.75" customHeight="1">
      <c r="A859" s="87"/>
      <c r="B859" s="88"/>
      <c r="C859" s="87"/>
      <c r="D859" s="87"/>
      <c r="E859" s="87"/>
      <c r="F859" s="92"/>
      <c r="G859" s="92"/>
      <c r="H859" s="87"/>
      <c r="I859" s="91"/>
      <c r="J859" s="87"/>
      <c r="K859" s="45" t="b">
        <v>0</v>
      </c>
      <c r="L859" s="45"/>
      <c r="M859" s="43"/>
      <c r="N859" s="43"/>
      <c r="O859" s="43"/>
      <c r="P859" s="43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</row>
    <row r="860" ht="15.75" customHeight="1">
      <c r="A860" s="87"/>
      <c r="B860" s="88"/>
      <c r="C860" s="87"/>
      <c r="D860" s="87"/>
      <c r="E860" s="87"/>
      <c r="F860" s="92"/>
      <c r="G860" s="92"/>
      <c r="H860" s="87"/>
      <c r="I860" s="91"/>
      <c r="J860" s="87"/>
      <c r="K860" s="45" t="b">
        <v>0</v>
      </c>
      <c r="L860" s="45"/>
      <c r="M860" s="43"/>
      <c r="N860" s="43"/>
      <c r="O860" s="43"/>
      <c r="P860" s="43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</row>
    <row r="861" ht="15.75" customHeight="1">
      <c r="A861" s="87"/>
      <c r="B861" s="88"/>
      <c r="C861" s="87"/>
      <c r="D861" s="87"/>
      <c r="E861" s="87"/>
      <c r="F861" s="92"/>
      <c r="G861" s="92"/>
      <c r="H861" s="87"/>
      <c r="I861" s="91"/>
      <c r="J861" s="87"/>
      <c r="K861" s="45" t="b">
        <v>0</v>
      </c>
      <c r="L861" s="45"/>
      <c r="M861" s="43"/>
      <c r="N861" s="43"/>
      <c r="O861" s="43"/>
      <c r="P861" s="43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</row>
    <row r="862" ht="15.75" customHeight="1">
      <c r="A862" s="87"/>
      <c r="B862" s="88"/>
      <c r="C862" s="87"/>
      <c r="D862" s="87"/>
      <c r="E862" s="87"/>
      <c r="F862" s="92"/>
      <c r="G862" s="92"/>
      <c r="H862" s="87"/>
      <c r="I862" s="91"/>
      <c r="J862" s="87"/>
      <c r="K862" s="45" t="b">
        <v>0</v>
      </c>
      <c r="L862" s="45"/>
      <c r="M862" s="43"/>
      <c r="N862" s="43"/>
      <c r="O862" s="43"/>
      <c r="P862" s="43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</row>
    <row r="863" ht="15.75" customHeight="1">
      <c r="A863" s="87"/>
      <c r="B863" s="88"/>
      <c r="C863" s="87"/>
      <c r="D863" s="87"/>
      <c r="E863" s="87"/>
      <c r="F863" s="92"/>
      <c r="G863" s="92"/>
      <c r="H863" s="87"/>
      <c r="I863" s="91"/>
      <c r="J863" s="87"/>
      <c r="K863" s="45" t="b">
        <v>0</v>
      </c>
      <c r="L863" s="45"/>
      <c r="M863" s="43"/>
      <c r="N863" s="43"/>
      <c r="O863" s="43"/>
      <c r="P863" s="43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</row>
    <row r="864" ht="15.75" customHeight="1">
      <c r="A864" s="87"/>
      <c r="B864" s="88"/>
      <c r="C864" s="87"/>
      <c r="D864" s="87"/>
      <c r="E864" s="87"/>
      <c r="F864" s="92"/>
      <c r="G864" s="92"/>
      <c r="H864" s="87"/>
      <c r="I864" s="91"/>
      <c r="J864" s="87"/>
      <c r="K864" s="45" t="b">
        <v>0</v>
      </c>
      <c r="L864" s="45"/>
      <c r="M864" s="43"/>
      <c r="N864" s="43"/>
      <c r="O864" s="43"/>
      <c r="P864" s="43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</row>
    <row r="865" ht="15.75" customHeight="1">
      <c r="A865" s="87"/>
      <c r="B865" s="88"/>
      <c r="C865" s="87"/>
      <c r="D865" s="87"/>
      <c r="E865" s="87"/>
      <c r="F865" s="92"/>
      <c r="G865" s="92"/>
      <c r="H865" s="87"/>
      <c r="I865" s="91"/>
      <c r="J865" s="87"/>
      <c r="K865" s="45" t="b">
        <v>0</v>
      </c>
      <c r="L865" s="45"/>
      <c r="M865" s="43"/>
      <c r="N865" s="43"/>
      <c r="O865" s="43"/>
      <c r="P865" s="43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</row>
    <row r="866" ht="15.75" customHeight="1">
      <c r="A866" s="87"/>
      <c r="B866" s="88"/>
      <c r="C866" s="87"/>
      <c r="D866" s="87"/>
      <c r="E866" s="87"/>
      <c r="F866" s="92"/>
      <c r="G866" s="92"/>
      <c r="H866" s="87"/>
      <c r="I866" s="91"/>
      <c r="J866" s="87"/>
      <c r="K866" s="45" t="b">
        <v>0</v>
      </c>
      <c r="L866" s="45"/>
      <c r="M866" s="43"/>
      <c r="N866" s="43"/>
      <c r="O866" s="43"/>
      <c r="P866" s="43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</row>
    <row r="867" ht="15.75" customHeight="1">
      <c r="A867" s="87"/>
      <c r="B867" s="88"/>
      <c r="C867" s="87"/>
      <c r="D867" s="87"/>
      <c r="E867" s="87"/>
      <c r="F867" s="92"/>
      <c r="G867" s="92"/>
      <c r="H867" s="87"/>
      <c r="I867" s="91"/>
      <c r="J867" s="87"/>
      <c r="K867" s="45" t="b">
        <v>0</v>
      </c>
      <c r="L867" s="45"/>
      <c r="M867" s="43"/>
      <c r="N867" s="43"/>
      <c r="O867" s="43"/>
      <c r="P867" s="43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</row>
    <row r="868" ht="15.75" customHeight="1">
      <c r="A868" s="87"/>
      <c r="B868" s="88"/>
      <c r="C868" s="87"/>
      <c r="D868" s="87"/>
      <c r="E868" s="87"/>
      <c r="F868" s="92"/>
      <c r="G868" s="92"/>
      <c r="H868" s="87"/>
      <c r="I868" s="91"/>
      <c r="J868" s="87"/>
      <c r="K868" s="45" t="b">
        <v>0</v>
      </c>
      <c r="L868" s="45"/>
      <c r="M868" s="43"/>
      <c r="N868" s="43"/>
      <c r="O868" s="43"/>
      <c r="P868" s="43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</row>
    <row r="869" ht="15.75" customHeight="1">
      <c r="A869" s="87"/>
      <c r="B869" s="88"/>
      <c r="C869" s="87"/>
      <c r="D869" s="87"/>
      <c r="E869" s="87"/>
      <c r="F869" s="92"/>
      <c r="G869" s="92"/>
      <c r="H869" s="87"/>
      <c r="I869" s="91"/>
      <c r="J869" s="87"/>
      <c r="K869" s="45" t="b">
        <v>0</v>
      </c>
      <c r="L869" s="45"/>
      <c r="M869" s="43"/>
      <c r="N869" s="43"/>
      <c r="O869" s="43"/>
      <c r="P869" s="43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</row>
    <row r="870" ht="15.75" customHeight="1">
      <c r="A870" s="87"/>
      <c r="B870" s="88"/>
      <c r="C870" s="87"/>
      <c r="D870" s="87"/>
      <c r="E870" s="87"/>
      <c r="F870" s="92"/>
      <c r="G870" s="92"/>
      <c r="H870" s="87"/>
      <c r="I870" s="91"/>
      <c r="J870" s="87"/>
      <c r="K870" s="45" t="b">
        <v>0</v>
      </c>
      <c r="L870" s="45"/>
      <c r="M870" s="43"/>
      <c r="N870" s="43"/>
      <c r="O870" s="43"/>
      <c r="P870" s="43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</row>
    <row r="871" ht="15.75" customHeight="1">
      <c r="A871" s="87"/>
      <c r="B871" s="88"/>
      <c r="C871" s="87"/>
      <c r="D871" s="87"/>
      <c r="E871" s="87"/>
      <c r="F871" s="92"/>
      <c r="G871" s="92"/>
      <c r="H871" s="87"/>
      <c r="I871" s="91"/>
      <c r="J871" s="87"/>
      <c r="K871" s="45" t="b">
        <v>0</v>
      </c>
      <c r="L871" s="45"/>
      <c r="M871" s="43"/>
      <c r="N871" s="43"/>
      <c r="O871" s="43"/>
      <c r="P871" s="43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</row>
    <row r="872" ht="15.75" customHeight="1">
      <c r="A872" s="87"/>
      <c r="B872" s="88"/>
      <c r="C872" s="87"/>
      <c r="D872" s="87"/>
      <c r="E872" s="87"/>
      <c r="F872" s="92"/>
      <c r="G872" s="92"/>
      <c r="H872" s="87"/>
      <c r="I872" s="91"/>
      <c r="J872" s="87"/>
      <c r="K872" s="45" t="b">
        <v>0</v>
      </c>
      <c r="L872" s="45"/>
      <c r="M872" s="43"/>
      <c r="N872" s="43"/>
      <c r="O872" s="43"/>
      <c r="P872" s="43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</row>
    <row r="873" ht="15.75" customHeight="1">
      <c r="A873" s="87"/>
      <c r="B873" s="88"/>
      <c r="C873" s="87"/>
      <c r="D873" s="87"/>
      <c r="E873" s="87"/>
      <c r="F873" s="92"/>
      <c r="G873" s="92"/>
      <c r="H873" s="87"/>
      <c r="I873" s="91"/>
      <c r="J873" s="87"/>
      <c r="K873" s="45" t="b">
        <v>0</v>
      </c>
      <c r="L873" s="45"/>
      <c r="M873" s="43"/>
      <c r="N873" s="43"/>
      <c r="O873" s="43"/>
      <c r="P873" s="43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</row>
    <row r="874" ht="15.75" customHeight="1">
      <c r="A874" s="87"/>
      <c r="B874" s="88"/>
      <c r="C874" s="87"/>
      <c r="D874" s="87"/>
      <c r="E874" s="87"/>
      <c r="F874" s="92"/>
      <c r="G874" s="92"/>
      <c r="H874" s="87"/>
      <c r="I874" s="91"/>
      <c r="J874" s="87"/>
      <c r="K874" s="45" t="b">
        <v>0</v>
      </c>
      <c r="L874" s="45"/>
      <c r="M874" s="43"/>
      <c r="N874" s="43"/>
      <c r="O874" s="43"/>
      <c r="P874" s="43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</row>
    <row r="875" ht="15.75" customHeight="1">
      <c r="A875" s="87"/>
      <c r="B875" s="88"/>
      <c r="C875" s="87"/>
      <c r="D875" s="87"/>
      <c r="E875" s="87"/>
      <c r="F875" s="92"/>
      <c r="G875" s="92"/>
      <c r="H875" s="87"/>
      <c r="I875" s="91"/>
      <c r="J875" s="87"/>
      <c r="K875" s="45" t="b">
        <v>0</v>
      </c>
      <c r="L875" s="45"/>
      <c r="M875" s="43"/>
      <c r="N875" s="43"/>
      <c r="O875" s="43"/>
      <c r="P875" s="43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</row>
    <row r="876" ht="15.75" customHeight="1">
      <c r="A876" s="87"/>
      <c r="B876" s="88"/>
      <c r="C876" s="87"/>
      <c r="D876" s="87"/>
      <c r="E876" s="87"/>
      <c r="F876" s="92"/>
      <c r="G876" s="92"/>
      <c r="H876" s="87"/>
      <c r="I876" s="91"/>
      <c r="J876" s="87"/>
      <c r="K876" s="45" t="b">
        <v>0</v>
      </c>
      <c r="L876" s="45"/>
      <c r="M876" s="43"/>
      <c r="N876" s="43"/>
      <c r="O876" s="43"/>
      <c r="P876" s="43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</row>
    <row r="877" ht="15.75" customHeight="1">
      <c r="A877" s="87"/>
      <c r="B877" s="88"/>
      <c r="C877" s="87"/>
      <c r="D877" s="87"/>
      <c r="E877" s="87"/>
      <c r="F877" s="92"/>
      <c r="G877" s="92"/>
      <c r="H877" s="87"/>
      <c r="I877" s="91"/>
      <c r="J877" s="87"/>
      <c r="K877" s="45" t="b">
        <v>0</v>
      </c>
      <c r="L877" s="45"/>
      <c r="M877" s="43"/>
      <c r="N877" s="43"/>
      <c r="O877" s="43"/>
      <c r="P877" s="43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</row>
    <row r="878" ht="15.75" customHeight="1">
      <c r="A878" s="87"/>
      <c r="B878" s="88"/>
      <c r="C878" s="87"/>
      <c r="D878" s="87"/>
      <c r="E878" s="87"/>
      <c r="F878" s="92"/>
      <c r="G878" s="92"/>
      <c r="H878" s="87"/>
      <c r="I878" s="91"/>
      <c r="J878" s="87"/>
      <c r="K878" s="45" t="b">
        <v>0</v>
      </c>
      <c r="L878" s="45"/>
      <c r="M878" s="43"/>
      <c r="N878" s="43"/>
      <c r="O878" s="43"/>
      <c r="P878" s="43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</row>
    <row r="879" ht="15.75" customHeight="1">
      <c r="A879" s="87"/>
      <c r="B879" s="88"/>
      <c r="C879" s="87"/>
      <c r="D879" s="87"/>
      <c r="E879" s="87"/>
      <c r="F879" s="92"/>
      <c r="G879" s="92"/>
      <c r="H879" s="87"/>
      <c r="I879" s="91"/>
      <c r="J879" s="87"/>
      <c r="K879" s="45" t="b">
        <v>0</v>
      </c>
      <c r="L879" s="45"/>
      <c r="M879" s="43"/>
      <c r="N879" s="43"/>
      <c r="O879" s="43"/>
      <c r="P879" s="43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</row>
    <row r="880" ht="15.75" customHeight="1">
      <c r="A880" s="87"/>
      <c r="B880" s="88"/>
      <c r="C880" s="87"/>
      <c r="D880" s="87"/>
      <c r="E880" s="87"/>
      <c r="F880" s="92"/>
      <c r="G880" s="92"/>
      <c r="H880" s="87"/>
      <c r="I880" s="91"/>
      <c r="J880" s="87"/>
      <c r="K880" s="45" t="b">
        <v>0</v>
      </c>
      <c r="L880" s="45"/>
      <c r="M880" s="43"/>
      <c r="N880" s="43"/>
      <c r="O880" s="43"/>
      <c r="P880" s="43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</row>
    <row r="881" ht="15.75" customHeight="1">
      <c r="A881" s="87"/>
      <c r="B881" s="88"/>
      <c r="C881" s="87"/>
      <c r="D881" s="87"/>
      <c r="E881" s="87"/>
      <c r="F881" s="92"/>
      <c r="G881" s="92"/>
      <c r="H881" s="87"/>
      <c r="I881" s="91"/>
      <c r="J881" s="87"/>
      <c r="K881" s="45" t="b">
        <v>0</v>
      </c>
      <c r="L881" s="45"/>
      <c r="M881" s="43"/>
      <c r="N881" s="43"/>
      <c r="O881" s="43"/>
      <c r="P881" s="43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</row>
    <row r="882" ht="15.75" customHeight="1">
      <c r="A882" s="87"/>
      <c r="B882" s="88"/>
      <c r="C882" s="87"/>
      <c r="D882" s="87"/>
      <c r="E882" s="87"/>
      <c r="F882" s="92"/>
      <c r="G882" s="92"/>
      <c r="H882" s="87"/>
      <c r="I882" s="91"/>
      <c r="J882" s="87"/>
      <c r="K882" s="45" t="b">
        <v>0</v>
      </c>
      <c r="L882" s="45"/>
      <c r="M882" s="43"/>
      <c r="N882" s="43"/>
      <c r="O882" s="43"/>
      <c r="P882" s="43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</row>
    <row r="883" ht="15.75" customHeight="1">
      <c r="A883" s="87"/>
      <c r="B883" s="88"/>
      <c r="C883" s="87"/>
      <c r="D883" s="87"/>
      <c r="E883" s="87"/>
      <c r="F883" s="92"/>
      <c r="G883" s="92"/>
      <c r="H883" s="87"/>
      <c r="I883" s="91"/>
      <c r="J883" s="87"/>
      <c r="K883" s="45" t="b">
        <v>0</v>
      </c>
      <c r="L883" s="45"/>
      <c r="M883" s="43"/>
      <c r="N883" s="43"/>
      <c r="O883" s="43"/>
      <c r="P883" s="43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</row>
    <row r="884" ht="15.75" customHeight="1">
      <c r="A884" s="87"/>
      <c r="B884" s="88"/>
      <c r="C884" s="87"/>
      <c r="D884" s="87"/>
      <c r="E884" s="87"/>
      <c r="F884" s="92"/>
      <c r="G884" s="92"/>
      <c r="H884" s="87"/>
      <c r="I884" s="91"/>
      <c r="J884" s="87"/>
      <c r="K884" s="45" t="b">
        <v>0</v>
      </c>
      <c r="L884" s="45"/>
      <c r="M884" s="43"/>
      <c r="N884" s="43"/>
      <c r="O884" s="43"/>
      <c r="P884" s="43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</row>
    <row r="885" ht="15.75" customHeight="1">
      <c r="A885" s="87"/>
      <c r="B885" s="88"/>
      <c r="C885" s="87"/>
      <c r="D885" s="87"/>
      <c r="E885" s="87"/>
      <c r="F885" s="92"/>
      <c r="G885" s="92"/>
      <c r="H885" s="87"/>
      <c r="I885" s="91"/>
      <c r="J885" s="87"/>
      <c r="K885" s="45" t="b">
        <v>0</v>
      </c>
      <c r="L885" s="45"/>
      <c r="M885" s="43"/>
      <c r="N885" s="43"/>
      <c r="O885" s="43"/>
      <c r="P885" s="43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</row>
    <row r="886" ht="15.75" customHeight="1">
      <c r="A886" s="87"/>
      <c r="B886" s="88"/>
      <c r="C886" s="87"/>
      <c r="D886" s="87"/>
      <c r="E886" s="87"/>
      <c r="F886" s="92"/>
      <c r="G886" s="92"/>
      <c r="H886" s="87"/>
      <c r="I886" s="91"/>
      <c r="J886" s="87"/>
      <c r="K886" s="45" t="b">
        <v>0</v>
      </c>
      <c r="L886" s="45"/>
      <c r="M886" s="43"/>
      <c r="N886" s="43"/>
      <c r="O886" s="43"/>
      <c r="P886" s="43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</row>
    <row r="887" ht="15.75" customHeight="1">
      <c r="A887" s="87"/>
      <c r="B887" s="88"/>
      <c r="C887" s="87"/>
      <c r="D887" s="87"/>
      <c r="E887" s="87"/>
      <c r="F887" s="92"/>
      <c r="G887" s="92"/>
      <c r="H887" s="87"/>
      <c r="I887" s="91"/>
      <c r="J887" s="87"/>
      <c r="K887" s="45" t="b">
        <v>0</v>
      </c>
      <c r="L887" s="45"/>
      <c r="M887" s="43"/>
      <c r="N887" s="43"/>
      <c r="O887" s="43"/>
      <c r="P887" s="43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</row>
    <row r="888" ht="15.75" customHeight="1">
      <c r="A888" s="87"/>
      <c r="B888" s="88"/>
      <c r="C888" s="87"/>
      <c r="D888" s="87"/>
      <c r="E888" s="87"/>
      <c r="F888" s="92"/>
      <c r="G888" s="92"/>
      <c r="H888" s="87"/>
      <c r="I888" s="91"/>
      <c r="J888" s="87"/>
      <c r="K888" s="45" t="b">
        <v>0</v>
      </c>
      <c r="L888" s="45"/>
      <c r="M888" s="43"/>
      <c r="N888" s="43"/>
      <c r="O888" s="43"/>
      <c r="P888" s="43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</row>
    <row r="889" ht="15.75" customHeight="1">
      <c r="A889" s="87"/>
      <c r="B889" s="88"/>
      <c r="C889" s="87"/>
      <c r="D889" s="87"/>
      <c r="E889" s="87"/>
      <c r="F889" s="92"/>
      <c r="G889" s="92"/>
      <c r="H889" s="87"/>
      <c r="I889" s="91"/>
      <c r="J889" s="87"/>
      <c r="K889" s="45" t="b">
        <v>0</v>
      </c>
      <c r="L889" s="45"/>
      <c r="M889" s="43"/>
      <c r="N889" s="43"/>
      <c r="O889" s="43"/>
      <c r="P889" s="43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</row>
    <row r="890" ht="15.75" customHeight="1">
      <c r="A890" s="87"/>
      <c r="B890" s="88"/>
      <c r="C890" s="87"/>
      <c r="D890" s="87"/>
      <c r="E890" s="87"/>
      <c r="F890" s="92"/>
      <c r="G890" s="92"/>
      <c r="H890" s="87"/>
      <c r="I890" s="91"/>
      <c r="J890" s="87"/>
      <c r="K890" s="45" t="b">
        <v>0</v>
      </c>
      <c r="L890" s="45"/>
      <c r="M890" s="43"/>
      <c r="N890" s="43"/>
      <c r="O890" s="43"/>
      <c r="P890" s="43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</row>
    <row r="891" ht="15.75" customHeight="1">
      <c r="A891" s="87"/>
      <c r="B891" s="88"/>
      <c r="C891" s="87"/>
      <c r="D891" s="87"/>
      <c r="E891" s="87"/>
      <c r="F891" s="92"/>
      <c r="G891" s="92"/>
      <c r="H891" s="87"/>
      <c r="I891" s="91"/>
      <c r="J891" s="87"/>
      <c r="K891" s="45" t="b">
        <v>0</v>
      </c>
      <c r="L891" s="45"/>
      <c r="M891" s="43"/>
      <c r="N891" s="43"/>
      <c r="O891" s="43"/>
      <c r="P891" s="43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</row>
    <row r="892" ht="15.75" customHeight="1">
      <c r="A892" s="87"/>
      <c r="B892" s="88"/>
      <c r="C892" s="87"/>
      <c r="D892" s="87"/>
      <c r="E892" s="87"/>
      <c r="F892" s="92"/>
      <c r="G892" s="92"/>
      <c r="H892" s="87"/>
      <c r="I892" s="91"/>
      <c r="J892" s="87"/>
      <c r="K892" s="45" t="b">
        <v>0</v>
      </c>
      <c r="L892" s="45"/>
      <c r="M892" s="43"/>
      <c r="N892" s="43"/>
      <c r="O892" s="43"/>
      <c r="P892" s="43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</row>
    <row r="893" ht="15.75" customHeight="1">
      <c r="A893" s="87"/>
      <c r="B893" s="88"/>
      <c r="C893" s="87"/>
      <c r="D893" s="87"/>
      <c r="E893" s="87"/>
      <c r="F893" s="92"/>
      <c r="G893" s="92"/>
      <c r="H893" s="87"/>
      <c r="I893" s="91"/>
      <c r="J893" s="87"/>
      <c r="K893" s="45" t="b">
        <v>0</v>
      </c>
      <c r="L893" s="45"/>
      <c r="M893" s="43"/>
      <c r="N893" s="43"/>
      <c r="O893" s="43"/>
      <c r="P893" s="43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</row>
    <row r="894" ht="15.75" customHeight="1">
      <c r="A894" s="87"/>
      <c r="B894" s="88"/>
      <c r="C894" s="87"/>
      <c r="D894" s="87"/>
      <c r="E894" s="87"/>
      <c r="F894" s="92"/>
      <c r="G894" s="92"/>
      <c r="H894" s="87"/>
      <c r="I894" s="91"/>
      <c r="J894" s="87"/>
      <c r="K894" s="45" t="b">
        <v>0</v>
      </c>
      <c r="L894" s="45"/>
      <c r="M894" s="43"/>
      <c r="N894" s="43"/>
      <c r="O894" s="43"/>
      <c r="P894" s="43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</row>
    <row r="895" ht="15.75" customHeight="1">
      <c r="A895" s="87"/>
      <c r="B895" s="88"/>
      <c r="C895" s="87"/>
      <c r="D895" s="87"/>
      <c r="E895" s="87"/>
      <c r="F895" s="92"/>
      <c r="G895" s="92"/>
      <c r="H895" s="87"/>
      <c r="I895" s="91"/>
      <c r="J895" s="87"/>
      <c r="K895" s="45" t="b">
        <v>0</v>
      </c>
      <c r="L895" s="45"/>
      <c r="M895" s="43"/>
      <c r="N895" s="43"/>
      <c r="O895" s="43"/>
      <c r="P895" s="43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</row>
    <row r="896" ht="15.75" customHeight="1">
      <c r="A896" s="87"/>
      <c r="B896" s="88"/>
      <c r="C896" s="87"/>
      <c r="D896" s="87"/>
      <c r="E896" s="87"/>
      <c r="F896" s="92"/>
      <c r="G896" s="92"/>
      <c r="H896" s="87"/>
      <c r="I896" s="91"/>
      <c r="J896" s="87"/>
      <c r="K896" s="45" t="b">
        <v>0</v>
      </c>
      <c r="L896" s="45"/>
      <c r="M896" s="43"/>
      <c r="N896" s="43"/>
      <c r="O896" s="43"/>
      <c r="P896" s="43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</row>
    <row r="897" ht="15.75" customHeight="1">
      <c r="A897" s="87"/>
      <c r="B897" s="88"/>
      <c r="C897" s="87"/>
      <c r="D897" s="87"/>
      <c r="E897" s="87"/>
      <c r="F897" s="92"/>
      <c r="G897" s="92"/>
      <c r="H897" s="87"/>
      <c r="I897" s="91"/>
      <c r="J897" s="87"/>
      <c r="K897" s="45" t="b">
        <v>0</v>
      </c>
      <c r="L897" s="45"/>
      <c r="M897" s="43"/>
      <c r="N897" s="43"/>
      <c r="O897" s="43"/>
      <c r="P897" s="43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</row>
    <row r="898" ht="15.75" customHeight="1">
      <c r="A898" s="87"/>
      <c r="B898" s="88"/>
      <c r="C898" s="87"/>
      <c r="D898" s="87"/>
      <c r="E898" s="87"/>
      <c r="F898" s="92"/>
      <c r="G898" s="92"/>
      <c r="H898" s="87"/>
      <c r="I898" s="91"/>
      <c r="J898" s="87"/>
      <c r="K898" s="45" t="b">
        <v>0</v>
      </c>
      <c r="L898" s="45"/>
      <c r="M898" s="43"/>
      <c r="N898" s="43"/>
      <c r="O898" s="43"/>
      <c r="P898" s="43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</row>
    <row r="899" ht="15.75" customHeight="1">
      <c r="A899" s="87"/>
      <c r="B899" s="88"/>
      <c r="C899" s="87"/>
      <c r="D899" s="87"/>
      <c r="E899" s="87"/>
      <c r="F899" s="92"/>
      <c r="G899" s="92"/>
      <c r="H899" s="87"/>
      <c r="I899" s="91"/>
      <c r="J899" s="87"/>
      <c r="K899" s="45" t="b">
        <v>0</v>
      </c>
      <c r="L899" s="45"/>
      <c r="M899" s="43"/>
      <c r="N899" s="43"/>
      <c r="O899" s="43"/>
      <c r="P899" s="43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</row>
    <row r="900" ht="15.75" customHeight="1">
      <c r="A900" s="87"/>
      <c r="B900" s="88"/>
      <c r="C900" s="87"/>
      <c r="D900" s="87"/>
      <c r="E900" s="87"/>
      <c r="F900" s="92"/>
      <c r="G900" s="92"/>
      <c r="H900" s="87"/>
      <c r="I900" s="91"/>
      <c r="J900" s="87"/>
      <c r="K900" s="45" t="b">
        <v>0</v>
      </c>
      <c r="L900" s="45"/>
      <c r="M900" s="43"/>
      <c r="N900" s="43"/>
      <c r="O900" s="43"/>
      <c r="P900" s="43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</row>
    <row r="901" ht="15.75" customHeight="1">
      <c r="A901" s="87"/>
      <c r="B901" s="88"/>
      <c r="C901" s="87"/>
      <c r="D901" s="87"/>
      <c r="E901" s="87"/>
      <c r="F901" s="92"/>
      <c r="G901" s="92"/>
      <c r="H901" s="87"/>
      <c r="I901" s="91"/>
      <c r="J901" s="87"/>
      <c r="K901" s="45" t="b">
        <v>0</v>
      </c>
      <c r="L901" s="45"/>
      <c r="M901" s="43"/>
      <c r="N901" s="43"/>
      <c r="O901" s="43"/>
      <c r="P901" s="43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</row>
    <row r="902" ht="15.75" customHeight="1">
      <c r="A902" s="87"/>
      <c r="B902" s="88"/>
      <c r="C902" s="87"/>
      <c r="D902" s="87"/>
      <c r="E902" s="87"/>
      <c r="F902" s="92"/>
      <c r="G902" s="92"/>
      <c r="H902" s="87"/>
      <c r="I902" s="91"/>
      <c r="J902" s="87"/>
      <c r="K902" s="45" t="b">
        <v>0</v>
      </c>
      <c r="L902" s="45"/>
      <c r="M902" s="43"/>
      <c r="N902" s="43"/>
      <c r="O902" s="43"/>
      <c r="P902" s="43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</row>
    <row r="903" ht="15.75" customHeight="1">
      <c r="A903" s="87"/>
      <c r="B903" s="88"/>
      <c r="C903" s="87"/>
      <c r="D903" s="87"/>
      <c r="E903" s="87"/>
      <c r="F903" s="92"/>
      <c r="G903" s="92"/>
      <c r="H903" s="87"/>
      <c r="I903" s="91"/>
      <c r="J903" s="87"/>
      <c r="K903" s="45" t="b">
        <v>0</v>
      </c>
      <c r="L903" s="45"/>
      <c r="M903" s="43"/>
      <c r="N903" s="43"/>
      <c r="O903" s="43"/>
      <c r="P903" s="43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</row>
    <row r="904" ht="15.75" customHeight="1">
      <c r="A904" s="87"/>
      <c r="B904" s="88"/>
      <c r="C904" s="87"/>
      <c r="D904" s="87"/>
      <c r="E904" s="87"/>
      <c r="F904" s="92"/>
      <c r="G904" s="92"/>
      <c r="H904" s="87"/>
      <c r="I904" s="91"/>
      <c r="J904" s="87"/>
      <c r="K904" s="45" t="b">
        <v>0</v>
      </c>
      <c r="L904" s="45"/>
      <c r="M904" s="43"/>
      <c r="N904" s="43"/>
      <c r="O904" s="43"/>
      <c r="P904" s="43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</row>
    <row r="905" ht="15.75" customHeight="1">
      <c r="A905" s="87"/>
      <c r="B905" s="88"/>
      <c r="C905" s="87"/>
      <c r="D905" s="87"/>
      <c r="E905" s="87"/>
      <c r="F905" s="92"/>
      <c r="G905" s="92"/>
      <c r="H905" s="87"/>
      <c r="I905" s="91"/>
      <c r="J905" s="87"/>
      <c r="K905" s="45" t="b">
        <v>0</v>
      </c>
      <c r="L905" s="45"/>
      <c r="M905" s="43"/>
      <c r="N905" s="43"/>
      <c r="O905" s="43"/>
      <c r="P905" s="43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</row>
    <row r="906" ht="15.75" customHeight="1">
      <c r="A906" s="87"/>
      <c r="B906" s="88"/>
      <c r="C906" s="87"/>
      <c r="D906" s="87"/>
      <c r="E906" s="87"/>
      <c r="F906" s="92"/>
      <c r="G906" s="92"/>
      <c r="H906" s="87"/>
      <c r="I906" s="91"/>
      <c r="J906" s="87"/>
      <c r="K906" s="45" t="b">
        <v>0</v>
      </c>
      <c r="L906" s="45"/>
      <c r="M906" s="43"/>
      <c r="N906" s="43"/>
      <c r="O906" s="43"/>
      <c r="P906" s="43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</row>
    <row r="907" ht="15.75" customHeight="1">
      <c r="A907" s="87"/>
      <c r="B907" s="88"/>
      <c r="C907" s="87"/>
      <c r="D907" s="87"/>
      <c r="E907" s="87"/>
      <c r="F907" s="92"/>
      <c r="G907" s="92"/>
      <c r="H907" s="87"/>
      <c r="I907" s="91"/>
      <c r="J907" s="87"/>
      <c r="K907" s="45" t="b">
        <v>0</v>
      </c>
      <c r="L907" s="45"/>
      <c r="M907" s="43"/>
      <c r="N907" s="43"/>
      <c r="O907" s="43"/>
      <c r="P907" s="43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</row>
    <row r="908" ht="15.75" customHeight="1">
      <c r="A908" s="87"/>
      <c r="B908" s="88"/>
      <c r="C908" s="87"/>
      <c r="D908" s="87"/>
      <c r="E908" s="87"/>
      <c r="F908" s="92"/>
      <c r="G908" s="92"/>
      <c r="H908" s="87"/>
      <c r="I908" s="91"/>
      <c r="J908" s="87"/>
      <c r="K908" s="45" t="b">
        <v>0</v>
      </c>
      <c r="L908" s="45"/>
      <c r="M908" s="43"/>
      <c r="N908" s="43"/>
      <c r="O908" s="43"/>
      <c r="P908" s="43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</row>
    <row r="909" ht="15.75" customHeight="1">
      <c r="A909" s="87"/>
      <c r="B909" s="88"/>
      <c r="C909" s="87"/>
      <c r="D909" s="87"/>
      <c r="E909" s="87"/>
      <c r="F909" s="92"/>
      <c r="G909" s="92"/>
      <c r="H909" s="87"/>
      <c r="I909" s="91"/>
      <c r="J909" s="87"/>
      <c r="K909" s="45" t="b">
        <v>0</v>
      </c>
      <c r="L909" s="45"/>
      <c r="M909" s="43"/>
      <c r="N909" s="43"/>
      <c r="O909" s="43"/>
      <c r="P909" s="43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</row>
    <row r="910" ht="15.75" customHeight="1">
      <c r="A910" s="87"/>
      <c r="B910" s="88"/>
      <c r="C910" s="87"/>
      <c r="D910" s="87"/>
      <c r="E910" s="87"/>
      <c r="F910" s="92"/>
      <c r="G910" s="92"/>
      <c r="H910" s="87"/>
      <c r="I910" s="91"/>
      <c r="J910" s="87"/>
      <c r="K910" s="45" t="b">
        <v>0</v>
      </c>
      <c r="L910" s="45"/>
      <c r="M910" s="43"/>
      <c r="N910" s="43"/>
      <c r="O910" s="43"/>
      <c r="P910" s="43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</row>
    <row r="911" ht="15.75" customHeight="1">
      <c r="A911" s="87"/>
      <c r="B911" s="88"/>
      <c r="C911" s="87"/>
      <c r="D911" s="87"/>
      <c r="E911" s="87"/>
      <c r="F911" s="92"/>
      <c r="G911" s="92"/>
      <c r="H911" s="87"/>
      <c r="I911" s="91"/>
      <c r="J911" s="87"/>
      <c r="K911" s="45" t="b">
        <v>0</v>
      </c>
      <c r="L911" s="45"/>
      <c r="M911" s="43"/>
      <c r="N911" s="43"/>
      <c r="O911" s="43"/>
      <c r="P911" s="43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</row>
    <row r="912" ht="15.75" customHeight="1">
      <c r="A912" s="87"/>
      <c r="B912" s="88"/>
      <c r="C912" s="87"/>
      <c r="D912" s="87"/>
      <c r="E912" s="87"/>
      <c r="F912" s="92"/>
      <c r="G912" s="92"/>
      <c r="H912" s="87"/>
      <c r="I912" s="91"/>
      <c r="J912" s="87"/>
      <c r="K912" s="45" t="b">
        <v>0</v>
      </c>
      <c r="L912" s="45"/>
      <c r="M912" s="43"/>
      <c r="N912" s="43"/>
      <c r="O912" s="43"/>
      <c r="P912" s="43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</row>
    <row r="913" ht="15.75" customHeight="1">
      <c r="A913" s="87"/>
      <c r="B913" s="88"/>
      <c r="C913" s="87"/>
      <c r="D913" s="87"/>
      <c r="E913" s="87"/>
      <c r="F913" s="92"/>
      <c r="G913" s="92"/>
      <c r="H913" s="87"/>
      <c r="I913" s="91"/>
      <c r="J913" s="87"/>
      <c r="K913" s="45" t="b">
        <v>0</v>
      </c>
      <c r="L913" s="45"/>
      <c r="M913" s="43"/>
      <c r="N913" s="43"/>
      <c r="O913" s="43"/>
      <c r="P913" s="43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</row>
    <row r="914" ht="15.75" customHeight="1">
      <c r="A914" s="87"/>
      <c r="B914" s="88"/>
      <c r="C914" s="87"/>
      <c r="D914" s="87"/>
      <c r="E914" s="87"/>
      <c r="F914" s="92"/>
      <c r="G914" s="92"/>
      <c r="H914" s="87"/>
      <c r="I914" s="91"/>
      <c r="J914" s="87"/>
      <c r="K914" s="45" t="b">
        <v>0</v>
      </c>
      <c r="L914" s="45"/>
      <c r="M914" s="43"/>
      <c r="N914" s="43"/>
      <c r="O914" s="43"/>
      <c r="P914" s="43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</row>
    <row r="915" ht="15.75" customHeight="1">
      <c r="A915" s="87"/>
      <c r="B915" s="88"/>
      <c r="C915" s="87"/>
      <c r="D915" s="87"/>
      <c r="E915" s="87"/>
      <c r="F915" s="92"/>
      <c r="G915" s="92"/>
      <c r="H915" s="87"/>
      <c r="I915" s="91"/>
      <c r="J915" s="87"/>
      <c r="K915" s="45" t="b">
        <v>0</v>
      </c>
      <c r="L915" s="45"/>
      <c r="M915" s="43"/>
      <c r="N915" s="43"/>
      <c r="O915" s="43"/>
      <c r="P915" s="43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</row>
    <row r="916" ht="15.75" customHeight="1">
      <c r="A916" s="87"/>
      <c r="B916" s="88"/>
      <c r="C916" s="87"/>
      <c r="D916" s="87"/>
      <c r="E916" s="87"/>
      <c r="F916" s="92"/>
      <c r="G916" s="92"/>
      <c r="H916" s="87"/>
      <c r="I916" s="91"/>
      <c r="J916" s="87"/>
      <c r="K916" s="45" t="b">
        <v>0</v>
      </c>
      <c r="L916" s="45"/>
      <c r="M916" s="43"/>
      <c r="N916" s="43"/>
      <c r="O916" s="43"/>
      <c r="P916" s="43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</row>
    <row r="917" ht="15.75" customHeight="1">
      <c r="A917" s="87"/>
      <c r="B917" s="88"/>
      <c r="C917" s="87"/>
      <c r="D917" s="87"/>
      <c r="E917" s="87"/>
      <c r="F917" s="92"/>
      <c r="G917" s="92"/>
      <c r="H917" s="87"/>
      <c r="I917" s="91"/>
      <c r="J917" s="87"/>
      <c r="K917" s="45" t="b">
        <v>0</v>
      </c>
      <c r="L917" s="45"/>
      <c r="M917" s="43"/>
      <c r="N917" s="43"/>
      <c r="O917" s="43"/>
      <c r="P917" s="43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</row>
    <row r="918" ht="15.75" customHeight="1">
      <c r="A918" s="87"/>
      <c r="B918" s="88"/>
      <c r="C918" s="87"/>
      <c r="D918" s="87"/>
      <c r="E918" s="87"/>
      <c r="F918" s="92"/>
      <c r="G918" s="92"/>
      <c r="H918" s="87"/>
      <c r="I918" s="91"/>
      <c r="J918" s="87"/>
      <c r="K918" s="45" t="b">
        <v>0</v>
      </c>
      <c r="L918" s="45"/>
      <c r="M918" s="43"/>
      <c r="N918" s="43"/>
      <c r="O918" s="43"/>
      <c r="P918" s="43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</row>
    <row r="919" ht="15.75" customHeight="1">
      <c r="A919" s="87"/>
      <c r="B919" s="88"/>
      <c r="C919" s="87"/>
      <c r="D919" s="87"/>
      <c r="E919" s="87"/>
      <c r="F919" s="92"/>
      <c r="G919" s="92"/>
      <c r="H919" s="87"/>
      <c r="I919" s="91"/>
      <c r="J919" s="87"/>
      <c r="K919" s="45" t="b">
        <v>0</v>
      </c>
      <c r="L919" s="45"/>
      <c r="M919" s="43"/>
      <c r="N919" s="43"/>
      <c r="O919" s="43"/>
      <c r="P919" s="43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</row>
    <row r="920" ht="15.75" customHeight="1">
      <c r="A920" s="87"/>
      <c r="B920" s="88"/>
      <c r="C920" s="87"/>
      <c r="D920" s="87"/>
      <c r="E920" s="87"/>
      <c r="F920" s="92"/>
      <c r="G920" s="92"/>
      <c r="H920" s="87"/>
      <c r="I920" s="91"/>
      <c r="J920" s="87"/>
      <c r="K920" s="45" t="b">
        <v>0</v>
      </c>
      <c r="L920" s="45"/>
      <c r="M920" s="43"/>
      <c r="N920" s="43"/>
      <c r="O920" s="43"/>
      <c r="P920" s="43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</row>
    <row r="921" ht="15.75" customHeight="1">
      <c r="A921" s="87"/>
      <c r="B921" s="88"/>
      <c r="C921" s="87"/>
      <c r="D921" s="87"/>
      <c r="E921" s="87"/>
      <c r="F921" s="92"/>
      <c r="G921" s="92"/>
      <c r="H921" s="87"/>
      <c r="I921" s="91"/>
      <c r="J921" s="87"/>
      <c r="K921" s="45" t="b">
        <v>0</v>
      </c>
      <c r="L921" s="45"/>
      <c r="M921" s="43"/>
      <c r="N921" s="43"/>
      <c r="O921" s="43"/>
      <c r="P921" s="43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</row>
    <row r="922" ht="15.75" customHeight="1">
      <c r="A922" s="87"/>
      <c r="B922" s="88"/>
      <c r="C922" s="87"/>
      <c r="D922" s="87"/>
      <c r="E922" s="87"/>
      <c r="F922" s="92"/>
      <c r="G922" s="92"/>
      <c r="H922" s="87"/>
      <c r="I922" s="91"/>
      <c r="J922" s="87"/>
      <c r="K922" s="45" t="b">
        <v>0</v>
      </c>
      <c r="L922" s="45"/>
      <c r="M922" s="43"/>
      <c r="N922" s="43"/>
      <c r="O922" s="43"/>
      <c r="P922" s="43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</row>
    <row r="923" ht="15.75" customHeight="1">
      <c r="A923" s="87"/>
      <c r="B923" s="88"/>
      <c r="C923" s="87"/>
      <c r="D923" s="87"/>
      <c r="E923" s="87"/>
      <c r="F923" s="92"/>
      <c r="G923" s="92"/>
      <c r="H923" s="87"/>
      <c r="I923" s="91"/>
      <c r="J923" s="87"/>
      <c r="K923" s="45" t="b">
        <v>0</v>
      </c>
      <c r="L923" s="45"/>
      <c r="M923" s="43"/>
      <c r="N923" s="43"/>
      <c r="O923" s="43"/>
      <c r="P923" s="43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</row>
    <row r="924" ht="15.75" customHeight="1">
      <c r="A924" s="87"/>
      <c r="B924" s="88"/>
      <c r="C924" s="87"/>
      <c r="D924" s="87"/>
      <c r="E924" s="87"/>
      <c r="F924" s="92"/>
      <c r="G924" s="92"/>
      <c r="H924" s="87"/>
      <c r="I924" s="91"/>
      <c r="J924" s="87"/>
      <c r="K924" s="45" t="b">
        <v>0</v>
      </c>
      <c r="L924" s="45"/>
      <c r="M924" s="43"/>
      <c r="N924" s="43"/>
      <c r="O924" s="43"/>
      <c r="P924" s="43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</row>
    <row r="925" ht="15.75" customHeight="1">
      <c r="A925" s="87"/>
      <c r="B925" s="88"/>
      <c r="C925" s="87"/>
      <c r="D925" s="87"/>
      <c r="E925" s="87"/>
      <c r="F925" s="92"/>
      <c r="G925" s="92"/>
      <c r="H925" s="87"/>
      <c r="I925" s="91"/>
      <c r="J925" s="87"/>
      <c r="K925" s="45" t="b">
        <v>0</v>
      </c>
      <c r="L925" s="45"/>
      <c r="M925" s="43"/>
      <c r="N925" s="43"/>
      <c r="O925" s="43"/>
      <c r="P925" s="43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</row>
    <row r="926" ht="15.75" customHeight="1">
      <c r="A926" s="87"/>
      <c r="B926" s="88"/>
      <c r="C926" s="87"/>
      <c r="D926" s="87"/>
      <c r="E926" s="87"/>
      <c r="F926" s="92"/>
      <c r="G926" s="92"/>
      <c r="H926" s="87"/>
      <c r="I926" s="91"/>
      <c r="J926" s="87"/>
      <c r="K926" s="45" t="b">
        <v>0</v>
      </c>
      <c r="L926" s="45"/>
      <c r="M926" s="43"/>
      <c r="N926" s="43"/>
      <c r="O926" s="43"/>
      <c r="P926" s="43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</row>
    <row r="927" ht="15.75" customHeight="1">
      <c r="A927" s="87"/>
      <c r="B927" s="88"/>
      <c r="C927" s="87"/>
      <c r="D927" s="87"/>
      <c r="E927" s="87"/>
      <c r="F927" s="92"/>
      <c r="G927" s="92"/>
      <c r="H927" s="87"/>
      <c r="I927" s="91"/>
      <c r="J927" s="87"/>
      <c r="K927" s="45" t="b">
        <v>0</v>
      </c>
      <c r="L927" s="45"/>
      <c r="M927" s="43"/>
      <c r="N927" s="43"/>
      <c r="O927" s="43"/>
      <c r="P927" s="43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</row>
    <row r="928" ht="15.75" customHeight="1">
      <c r="A928" s="87"/>
      <c r="B928" s="88"/>
      <c r="C928" s="87"/>
      <c r="D928" s="87"/>
      <c r="E928" s="87"/>
      <c r="F928" s="92"/>
      <c r="G928" s="92"/>
      <c r="H928" s="87"/>
      <c r="I928" s="91"/>
      <c r="J928" s="87"/>
      <c r="K928" s="45" t="b">
        <v>0</v>
      </c>
      <c r="L928" s="45"/>
      <c r="M928" s="43"/>
      <c r="N928" s="43"/>
      <c r="O928" s="43"/>
      <c r="P928" s="43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</row>
    <row r="929" ht="15.75" customHeight="1">
      <c r="A929" s="87"/>
      <c r="B929" s="88"/>
      <c r="C929" s="87"/>
      <c r="D929" s="87"/>
      <c r="E929" s="87"/>
      <c r="F929" s="92"/>
      <c r="G929" s="92"/>
      <c r="H929" s="87"/>
      <c r="I929" s="91"/>
      <c r="J929" s="87"/>
      <c r="K929" s="45" t="b">
        <v>0</v>
      </c>
      <c r="L929" s="45"/>
      <c r="M929" s="43"/>
      <c r="N929" s="43"/>
      <c r="O929" s="43"/>
      <c r="P929" s="43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</row>
    <row r="930" ht="15.75" customHeight="1">
      <c r="A930" s="87"/>
      <c r="B930" s="88"/>
      <c r="C930" s="87"/>
      <c r="D930" s="87"/>
      <c r="E930" s="87"/>
      <c r="F930" s="92"/>
      <c r="G930" s="92"/>
      <c r="H930" s="87"/>
      <c r="I930" s="91"/>
      <c r="J930" s="87"/>
      <c r="K930" s="45" t="b">
        <v>0</v>
      </c>
      <c r="L930" s="45"/>
      <c r="M930" s="43"/>
      <c r="N930" s="43"/>
      <c r="O930" s="43"/>
      <c r="P930" s="43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</row>
    <row r="931" ht="15.75" customHeight="1">
      <c r="A931" s="87"/>
      <c r="B931" s="88"/>
      <c r="C931" s="87"/>
      <c r="D931" s="87"/>
      <c r="E931" s="87"/>
      <c r="F931" s="92"/>
      <c r="G931" s="92"/>
      <c r="H931" s="87"/>
      <c r="I931" s="91"/>
      <c r="J931" s="87"/>
      <c r="K931" s="45" t="b">
        <v>0</v>
      </c>
      <c r="L931" s="45"/>
      <c r="M931" s="43"/>
      <c r="N931" s="43"/>
      <c r="O931" s="43"/>
      <c r="P931" s="43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</row>
    <row r="932" ht="15.75" customHeight="1">
      <c r="A932" s="87"/>
      <c r="B932" s="88"/>
      <c r="C932" s="87"/>
      <c r="D932" s="87"/>
      <c r="E932" s="87"/>
      <c r="F932" s="92"/>
      <c r="G932" s="92"/>
      <c r="H932" s="87"/>
      <c r="I932" s="91"/>
      <c r="J932" s="87"/>
      <c r="K932" s="45" t="b">
        <v>0</v>
      </c>
      <c r="L932" s="45"/>
      <c r="M932" s="43"/>
      <c r="N932" s="43"/>
      <c r="O932" s="43"/>
      <c r="P932" s="43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</row>
    <row r="933" ht="15.75" customHeight="1">
      <c r="A933" s="87"/>
      <c r="B933" s="88"/>
      <c r="C933" s="87"/>
      <c r="D933" s="87"/>
      <c r="E933" s="87"/>
      <c r="F933" s="92"/>
      <c r="G933" s="92"/>
      <c r="H933" s="87"/>
      <c r="I933" s="91"/>
      <c r="J933" s="87"/>
      <c r="K933" s="45" t="b">
        <v>0</v>
      </c>
      <c r="L933" s="45"/>
      <c r="M933" s="43"/>
      <c r="N933" s="43"/>
      <c r="O933" s="43"/>
      <c r="P933" s="43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</row>
    <row r="934" ht="15.75" customHeight="1">
      <c r="A934" s="87"/>
      <c r="B934" s="88"/>
      <c r="C934" s="87"/>
      <c r="D934" s="87"/>
      <c r="E934" s="87"/>
      <c r="F934" s="92"/>
      <c r="G934" s="92"/>
      <c r="H934" s="87"/>
      <c r="I934" s="91"/>
      <c r="J934" s="87"/>
      <c r="K934" s="45" t="b">
        <v>0</v>
      </c>
      <c r="L934" s="45"/>
      <c r="M934" s="43"/>
      <c r="N934" s="43"/>
      <c r="O934" s="43"/>
      <c r="P934" s="43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</row>
    <row r="935" ht="15.75" customHeight="1">
      <c r="A935" s="87"/>
      <c r="B935" s="88"/>
      <c r="C935" s="87"/>
      <c r="D935" s="87"/>
      <c r="E935" s="87"/>
      <c r="F935" s="92"/>
      <c r="G935" s="92"/>
      <c r="H935" s="87"/>
      <c r="I935" s="91"/>
      <c r="J935" s="87"/>
      <c r="K935" s="45" t="b">
        <v>0</v>
      </c>
      <c r="L935" s="45"/>
      <c r="M935" s="43"/>
      <c r="N935" s="43"/>
      <c r="O935" s="43"/>
      <c r="P935" s="43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</row>
    <row r="936" ht="15.75" customHeight="1">
      <c r="A936" s="87"/>
      <c r="B936" s="88"/>
      <c r="C936" s="87"/>
      <c r="D936" s="87"/>
      <c r="E936" s="87"/>
      <c r="F936" s="92"/>
      <c r="G936" s="92"/>
      <c r="H936" s="87"/>
      <c r="I936" s="91"/>
      <c r="J936" s="87"/>
      <c r="K936" s="45" t="b">
        <v>0</v>
      </c>
      <c r="L936" s="45"/>
      <c r="M936" s="43"/>
      <c r="N936" s="43"/>
      <c r="O936" s="43"/>
      <c r="P936" s="43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</row>
    <row r="937" ht="15.75" customHeight="1">
      <c r="A937" s="87"/>
      <c r="B937" s="88"/>
      <c r="C937" s="87"/>
      <c r="D937" s="87"/>
      <c r="E937" s="87"/>
      <c r="F937" s="92"/>
      <c r="G937" s="92"/>
      <c r="H937" s="87"/>
      <c r="I937" s="91"/>
      <c r="J937" s="87"/>
      <c r="K937" s="45" t="b">
        <v>0</v>
      </c>
      <c r="L937" s="45"/>
      <c r="M937" s="43"/>
      <c r="N937" s="43"/>
      <c r="O937" s="43"/>
      <c r="P937" s="43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</row>
    <row r="938" ht="15.75" customHeight="1">
      <c r="A938" s="87"/>
      <c r="B938" s="88"/>
      <c r="C938" s="87"/>
      <c r="D938" s="87"/>
      <c r="E938" s="87"/>
      <c r="F938" s="92"/>
      <c r="G938" s="92"/>
      <c r="H938" s="87"/>
      <c r="I938" s="91"/>
      <c r="J938" s="87"/>
      <c r="K938" s="45" t="b">
        <v>0</v>
      </c>
      <c r="L938" s="45"/>
      <c r="M938" s="43"/>
      <c r="N938" s="43"/>
      <c r="O938" s="43"/>
      <c r="P938" s="43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</row>
    <row r="939" ht="15.75" customHeight="1">
      <c r="A939" s="87"/>
      <c r="B939" s="88"/>
      <c r="C939" s="87"/>
      <c r="D939" s="87"/>
      <c r="E939" s="87"/>
      <c r="F939" s="92"/>
      <c r="G939" s="92"/>
      <c r="H939" s="87"/>
      <c r="I939" s="91"/>
      <c r="J939" s="87"/>
      <c r="K939" s="45" t="b">
        <v>0</v>
      </c>
      <c r="L939" s="45"/>
      <c r="M939" s="43"/>
      <c r="N939" s="43"/>
      <c r="O939" s="43"/>
      <c r="P939" s="43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</row>
    <row r="940" ht="15.75" customHeight="1">
      <c r="A940" s="87"/>
      <c r="B940" s="88"/>
      <c r="C940" s="87"/>
      <c r="D940" s="87"/>
      <c r="E940" s="87"/>
      <c r="F940" s="92"/>
      <c r="G940" s="92"/>
      <c r="H940" s="87"/>
      <c r="I940" s="91"/>
      <c r="J940" s="87"/>
      <c r="K940" s="45" t="b">
        <v>0</v>
      </c>
      <c r="L940" s="45"/>
      <c r="M940" s="43"/>
      <c r="N940" s="43"/>
      <c r="O940" s="43"/>
      <c r="P940" s="43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</row>
    <row r="941" ht="15.75" customHeight="1">
      <c r="A941" s="87"/>
      <c r="B941" s="88"/>
      <c r="C941" s="87"/>
      <c r="D941" s="87"/>
      <c r="E941" s="87"/>
      <c r="F941" s="92"/>
      <c r="G941" s="92"/>
      <c r="H941" s="87"/>
      <c r="I941" s="91"/>
      <c r="J941" s="87"/>
      <c r="K941" s="45" t="b">
        <v>0</v>
      </c>
      <c r="L941" s="45"/>
      <c r="M941" s="43"/>
      <c r="N941" s="43"/>
      <c r="O941" s="43"/>
      <c r="P941" s="43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</row>
    <row r="942" ht="15.75" customHeight="1">
      <c r="A942" s="87"/>
      <c r="B942" s="88"/>
      <c r="C942" s="87"/>
      <c r="D942" s="87"/>
      <c r="E942" s="87"/>
      <c r="F942" s="92"/>
      <c r="G942" s="92"/>
      <c r="H942" s="87"/>
      <c r="I942" s="91"/>
      <c r="J942" s="87"/>
      <c r="K942" s="45" t="b">
        <v>0</v>
      </c>
      <c r="L942" s="45"/>
      <c r="M942" s="43"/>
      <c r="N942" s="43"/>
      <c r="O942" s="43"/>
      <c r="P942" s="43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</row>
    <row r="943" ht="15.75" customHeight="1">
      <c r="A943" s="87"/>
      <c r="B943" s="88"/>
      <c r="C943" s="87"/>
      <c r="D943" s="87"/>
      <c r="E943" s="87"/>
      <c r="F943" s="92"/>
      <c r="G943" s="92"/>
      <c r="H943" s="87"/>
      <c r="I943" s="91"/>
      <c r="J943" s="87"/>
      <c r="K943" s="45" t="b">
        <v>0</v>
      </c>
      <c r="L943" s="45"/>
      <c r="M943" s="43"/>
      <c r="N943" s="43"/>
      <c r="O943" s="43"/>
      <c r="P943" s="43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</row>
    <row r="944" ht="15.75" customHeight="1">
      <c r="A944" s="87"/>
      <c r="B944" s="88"/>
      <c r="C944" s="87"/>
      <c r="D944" s="87"/>
      <c r="E944" s="87"/>
      <c r="F944" s="92"/>
      <c r="G944" s="92"/>
      <c r="H944" s="87"/>
      <c r="I944" s="91"/>
      <c r="J944" s="87"/>
      <c r="K944" s="45" t="b">
        <v>0</v>
      </c>
      <c r="L944" s="45"/>
      <c r="M944" s="43"/>
      <c r="N944" s="43"/>
      <c r="O944" s="43"/>
      <c r="P944" s="43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</row>
    <row r="945" ht="15.75" customHeight="1">
      <c r="A945" s="87"/>
      <c r="B945" s="88"/>
      <c r="C945" s="87"/>
      <c r="D945" s="87"/>
      <c r="E945" s="87"/>
      <c r="F945" s="92"/>
      <c r="G945" s="92"/>
      <c r="H945" s="87"/>
      <c r="I945" s="91"/>
      <c r="J945" s="87"/>
      <c r="K945" s="45" t="b">
        <v>0</v>
      </c>
      <c r="L945" s="45"/>
      <c r="M945" s="43"/>
      <c r="N945" s="43"/>
      <c r="O945" s="43"/>
      <c r="P945" s="43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</row>
    <row r="946" ht="15.75" customHeight="1">
      <c r="A946" s="87"/>
      <c r="B946" s="88"/>
      <c r="C946" s="87"/>
      <c r="D946" s="87"/>
      <c r="E946" s="87"/>
      <c r="F946" s="92"/>
      <c r="G946" s="92"/>
      <c r="H946" s="87"/>
      <c r="I946" s="91"/>
      <c r="J946" s="87"/>
      <c r="K946" s="45" t="b">
        <v>0</v>
      </c>
      <c r="L946" s="45"/>
      <c r="M946" s="43"/>
      <c r="N946" s="43"/>
      <c r="O946" s="43"/>
      <c r="P946" s="43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</row>
    <row r="947" ht="15.75" customHeight="1">
      <c r="A947" s="87"/>
      <c r="B947" s="88"/>
      <c r="C947" s="87"/>
      <c r="D947" s="87"/>
      <c r="E947" s="87"/>
      <c r="F947" s="92"/>
      <c r="G947" s="92"/>
      <c r="H947" s="87"/>
      <c r="I947" s="91"/>
      <c r="J947" s="87"/>
      <c r="K947" s="45" t="b">
        <v>0</v>
      </c>
      <c r="L947" s="45"/>
      <c r="M947" s="43"/>
      <c r="N947" s="43"/>
      <c r="O947" s="43"/>
      <c r="P947" s="43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</row>
    <row r="948" ht="15.75" customHeight="1">
      <c r="A948" s="87"/>
      <c r="B948" s="88"/>
      <c r="C948" s="87"/>
      <c r="D948" s="87"/>
      <c r="E948" s="87"/>
      <c r="F948" s="92"/>
      <c r="G948" s="92"/>
      <c r="H948" s="87"/>
      <c r="I948" s="91"/>
      <c r="J948" s="87"/>
      <c r="K948" s="45" t="b">
        <v>0</v>
      </c>
      <c r="L948" s="45"/>
      <c r="M948" s="43"/>
      <c r="N948" s="43"/>
      <c r="O948" s="43"/>
      <c r="P948" s="43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</row>
    <row r="949" ht="15.75" customHeight="1">
      <c r="A949" s="87"/>
      <c r="B949" s="88"/>
      <c r="C949" s="87"/>
      <c r="D949" s="87"/>
      <c r="E949" s="87"/>
      <c r="F949" s="92"/>
      <c r="G949" s="92"/>
      <c r="H949" s="87"/>
      <c r="I949" s="91"/>
      <c r="J949" s="87"/>
      <c r="K949" s="45" t="b">
        <v>0</v>
      </c>
      <c r="L949" s="45"/>
      <c r="M949" s="43"/>
      <c r="N949" s="43"/>
      <c r="O949" s="43"/>
      <c r="P949" s="43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</row>
    <row r="950" ht="15.75" customHeight="1">
      <c r="A950" s="87"/>
      <c r="B950" s="88"/>
      <c r="C950" s="87"/>
      <c r="D950" s="87"/>
      <c r="E950" s="87"/>
      <c r="F950" s="92"/>
      <c r="G950" s="92"/>
      <c r="H950" s="87"/>
      <c r="I950" s="91"/>
      <c r="J950" s="87"/>
      <c r="K950" s="45" t="b">
        <v>0</v>
      </c>
      <c r="L950" s="45"/>
      <c r="M950" s="43"/>
      <c r="N950" s="43"/>
      <c r="O950" s="43"/>
      <c r="P950" s="43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</row>
    <row r="951" ht="15.75" customHeight="1">
      <c r="A951" s="87"/>
      <c r="B951" s="88"/>
      <c r="C951" s="87"/>
      <c r="D951" s="87"/>
      <c r="E951" s="87"/>
      <c r="F951" s="92"/>
      <c r="G951" s="92"/>
      <c r="H951" s="87"/>
      <c r="I951" s="91"/>
      <c r="J951" s="87"/>
      <c r="K951" s="45" t="b">
        <v>0</v>
      </c>
      <c r="L951" s="45"/>
      <c r="M951" s="43"/>
      <c r="N951" s="43"/>
      <c r="O951" s="43"/>
      <c r="P951" s="43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</row>
    <row r="952" ht="15.75" customHeight="1">
      <c r="A952" s="87"/>
      <c r="B952" s="88"/>
      <c r="C952" s="87"/>
      <c r="D952" s="87"/>
      <c r="E952" s="87"/>
      <c r="F952" s="92"/>
      <c r="G952" s="92"/>
      <c r="H952" s="87"/>
      <c r="I952" s="91"/>
      <c r="J952" s="87"/>
      <c r="K952" s="45" t="b">
        <v>0</v>
      </c>
      <c r="L952" s="45"/>
      <c r="M952" s="43"/>
      <c r="N952" s="43"/>
      <c r="O952" s="43"/>
      <c r="P952" s="43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</row>
    <row r="953" ht="15.75" customHeight="1">
      <c r="A953" s="87"/>
      <c r="B953" s="88"/>
      <c r="C953" s="87"/>
      <c r="D953" s="87"/>
      <c r="E953" s="87"/>
      <c r="F953" s="92"/>
      <c r="G953" s="92"/>
      <c r="H953" s="87"/>
      <c r="I953" s="91"/>
      <c r="J953" s="87"/>
      <c r="K953" s="45" t="b">
        <v>0</v>
      </c>
      <c r="L953" s="45"/>
      <c r="M953" s="43"/>
      <c r="N953" s="43"/>
      <c r="O953" s="43"/>
      <c r="P953" s="43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</row>
    <row r="954" ht="15.75" customHeight="1">
      <c r="A954" s="87"/>
      <c r="B954" s="88"/>
      <c r="C954" s="87"/>
      <c r="D954" s="87"/>
      <c r="E954" s="87"/>
      <c r="F954" s="92"/>
      <c r="G954" s="92"/>
      <c r="H954" s="87"/>
      <c r="I954" s="91"/>
      <c r="J954" s="87"/>
      <c r="K954" s="45" t="b">
        <v>0</v>
      </c>
      <c r="L954" s="45"/>
      <c r="M954" s="43"/>
      <c r="N954" s="43"/>
      <c r="O954" s="43"/>
      <c r="P954" s="43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</row>
    <row r="955" ht="15.75" customHeight="1">
      <c r="A955" s="87"/>
      <c r="B955" s="88"/>
      <c r="C955" s="87"/>
      <c r="D955" s="87"/>
      <c r="E955" s="87"/>
      <c r="F955" s="92"/>
      <c r="G955" s="92"/>
      <c r="H955" s="87"/>
      <c r="I955" s="91"/>
      <c r="J955" s="87"/>
      <c r="K955" s="45" t="b">
        <v>0</v>
      </c>
      <c r="L955" s="45"/>
      <c r="M955" s="43"/>
      <c r="N955" s="43"/>
      <c r="O955" s="43"/>
      <c r="P955" s="43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</row>
    <row r="956" ht="15.75" customHeight="1">
      <c r="A956" s="87"/>
      <c r="B956" s="88"/>
      <c r="C956" s="87"/>
      <c r="D956" s="87"/>
      <c r="E956" s="87"/>
      <c r="F956" s="92"/>
      <c r="G956" s="92"/>
      <c r="H956" s="87"/>
      <c r="I956" s="91"/>
      <c r="J956" s="87"/>
      <c r="K956" s="45" t="b">
        <v>0</v>
      </c>
      <c r="L956" s="45"/>
      <c r="M956" s="43"/>
      <c r="N956" s="43"/>
      <c r="O956" s="43"/>
      <c r="P956" s="43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</row>
    <row r="957" ht="15.75" customHeight="1">
      <c r="A957" s="87"/>
      <c r="B957" s="88"/>
      <c r="C957" s="87"/>
      <c r="D957" s="87"/>
      <c r="E957" s="87"/>
      <c r="F957" s="92"/>
      <c r="G957" s="92"/>
      <c r="H957" s="87"/>
      <c r="I957" s="91"/>
      <c r="J957" s="87"/>
      <c r="K957" s="45" t="b">
        <v>0</v>
      </c>
      <c r="L957" s="45"/>
      <c r="M957" s="43"/>
      <c r="N957" s="43"/>
      <c r="O957" s="43"/>
      <c r="P957" s="43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</row>
    <row r="958" ht="15.75" customHeight="1">
      <c r="A958" s="87"/>
      <c r="B958" s="88"/>
      <c r="C958" s="87"/>
      <c r="D958" s="87"/>
      <c r="E958" s="87"/>
      <c r="F958" s="92"/>
      <c r="G958" s="92"/>
      <c r="H958" s="87"/>
      <c r="I958" s="91"/>
      <c r="J958" s="87"/>
      <c r="K958" s="45" t="b">
        <v>0</v>
      </c>
      <c r="L958" s="45"/>
      <c r="M958" s="43"/>
      <c r="N958" s="43"/>
      <c r="O958" s="43"/>
      <c r="P958" s="43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</row>
    <row r="959" ht="15.75" customHeight="1">
      <c r="A959" s="87"/>
      <c r="B959" s="88"/>
      <c r="C959" s="87"/>
      <c r="D959" s="87"/>
      <c r="E959" s="87"/>
      <c r="F959" s="92"/>
      <c r="G959" s="92"/>
      <c r="H959" s="87"/>
      <c r="I959" s="91"/>
      <c r="J959" s="87"/>
      <c r="K959" s="45" t="b">
        <v>0</v>
      </c>
      <c r="L959" s="45"/>
      <c r="M959" s="43"/>
      <c r="N959" s="43"/>
      <c r="O959" s="43"/>
      <c r="P959" s="43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</row>
    <row r="960" ht="15.75" customHeight="1">
      <c r="A960" s="87"/>
      <c r="B960" s="88"/>
      <c r="C960" s="87"/>
      <c r="D960" s="87"/>
      <c r="E960" s="87"/>
      <c r="F960" s="92"/>
      <c r="G960" s="92"/>
      <c r="H960" s="87"/>
      <c r="I960" s="91"/>
      <c r="J960" s="87"/>
      <c r="K960" s="45" t="b">
        <v>0</v>
      </c>
      <c r="L960" s="45"/>
      <c r="M960" s="43"/>
      <c r="N960" s="43"/>
      <c r="O960" s="43"/>
      <c r="P960" s="43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</row>
    <row r="961" ht="15.75" customHeight="1">
      <c r="A961" s="87"/>
      <c r="B961" s="88"/>
      <c r="C961" s="87"/>
      <c r="D961" s="87"/>
      <c r="E961" s="87"/>
      <c r="F961" s="92"/>
      <c r="G961" s="92"/>
      <c r="H961" s="87"/>
      <c r="I961" s="91"/>
      <c r="J961" s="87"/>
      <c r="K961" s="45" t="b">
        <v>0</v>
      </c>
      <c r="L961" s="45"/>
      <c r="M961" s="43"/>
      <c r="N961" s="43"/>
      <c r="O961" s="43"/>
      <c r="P961" s="43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</row>
    <row r="962" ht="15.75" customHeight="1">
      <c r="A962" s="87"/>
      <c r="B962" s="88"/>
      <c r="C962" s="87"/>
      <c r="D962" s="87"/>
      <c r="E962" s="87"/>
      <c r="F962" s="92"/>
      <c r="G962" s="92"/>
      <c r="H962" s="87"/>
      <c r="I962" s="91"/>
      <c r="J962" s="87"/>
      <c r="K962" s="45" t="b">
        <v>0</v>
      </c>
      <c r="L962" s="45"/>
      <c r="M962" s="43"/>
      <c r="N962" s="43"/>
      <c r="O962" s="43"/>
      <c r="P962" s="43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</row>
    <row r="963" ht="15.75" customHeight="1">
      <c r="A963" s="87"/>
      <c r="B963" s="88"/>
      <c r="C963" s="87"/>
      <c r="D963" s="87"/>
      <c r="E963" s="87"/>
      <c r="F963" s="92"/>
      <c r="G963" s="92"/>
      <c r="H963" s="87"/>
      <c r="I963" s="91"/>
      <c r="J963" s="87"/>
      <c r="K963" s="45" t="b">
        <v>0</v>
      </c>
      <c r="L963" s="45"/>
      <c r="M963" s="43"/>
      <c r="N963" s="43"/>
      <c r="O963" s="43"/>
      <c r="P963" s="43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</row>
    <row r="964" ht="15.75" customHeight="1">
      <c r="A964" s="87"/>
      <c r="B964" s="88"/>
      <c r="C964" s="87"/>
      <c r="D964" s="87"/>
      <c r="E964" s="87"/>
      <c r="F964" s="92"/>
      <c r="G964" s="92"/>
      <c r="H964" s="87"/>
      <c r="I964" s="91"/>
      <c r="J964" s="87"/>
      <c r="K964" s="45" t="b">
        <v>0</v>
      </c>
      <c r="L964" s="45"/>
      <c r="M964" s="43"/>
      <c r="N964" s="43"/>
      <c r="O964" s="43"/>
      <c r="P964" s="43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</row>
    <row r="965" ht="15.75" customHeight="1">
      <c r="A965" s="87"/>
      <c r="B965" s="88"/>
      <c r="C965" s="87"/>
      <c r="D965" s="87"/>
      <c r="E965" s="87"/>
      <c r="F965" s="92"/>
      <c r="G965" s="92"/>
      <c r="H965" s="87"/>
      <c r="I965" s="91"/>
      <c r="J965" s="87"/>
      <c r="K965" s="45" t="b">
        <v>0</v>
      </c>
      <c r="L965" s="45"/>
      <c r="M965" s="43"/>
      <c r="N965" s="43"/>
      <c r="O965" s="43"/>
      <c r="P965" s="43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</row>
    <row r="966" ht="15.75" customHeight="1">
      <c r="A966" s="87"/>
      <c r="B966" s="88"/>
      <c r="C966" s="87"/>
      <c r="D966" s="87"/>
      <c r="E966" s="87"/>
      <c r="F966" s="92"/>
      <c r="G966" s="92"/>
      <c r="H966" s="87"/>
      <c r="I966" s="91"/>
      <c r="J966" s="87"/>
      <c r="K966" s="45" t="b">
        <v>0</v>
      </c>
      <c r="L966" s="45"/>
      <c r="M966" s="43"/>
      <c r="N966" s="43"/>
      <c r="O966" s="43"/>
      <c r="P966" s="43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</row>
    <row r="967" ht="15.75" customHeight="1">
      <c r="A967" s="87"/>
      <c r="B967" s="88"/>
      <c r="C967" s="87"/>
      <c r="D967" s="87"/>
      <c r="E967" s="87"/>
      <c r="F967" s="92"/>
      <c r="G967" s="92"/>
      <c r="H967" s="87"/>
      <c r="I967" s="91"/>
      <c r="J967" s="87"/>
      <c r="K967" s="45" t="b">
        <v>0</v>
      </c>
      <c r="L967" s="45"/>
      <c r="M967" s="43"/>
      <c r="N967" s="43"/>
      <c r="O967" s="43"/>
      <c r="P967" s="43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</row>
    <row r="968" ht="15.75" customHeight="1">
      <c r="A968" s="87"/>
      <c r="B968" s="88"/>
      <c r="C968" s="87"/>
      <c r="D968" s="87"/>
      <c r="E968" s="87"/>
      <c r="F968" s="92"/>
      <c r="G968" s="92"/>
      <c r="H968" s="87"/>
      <c r="I968" s="91"/>
      <c r="J968" s="87"/>
      <c r="K968" s="45" t="b">
        <v>0</v>
      </c>
      <c r="L968" s="45"/>
      <c r="M968" s="43"/>
      <c r="N968" s="43"/>
      <c r="O968" s="43"/>
      <c r="P968" s="43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</row>
    <row r="969" ht="15.75" customHeight="1">
      <c r="A969" s="87"/>
      <c r="B969" s="88"/>
      <c r="C969" s="87"/>
      <c r="D969" s="87"/>
      <c r="E969" s="87"/>
      <c r="F969" s="92"/>
      <c r="G969" s="92"/>
      <c r="H969" s="87"/>
      <c r="I969" s="91"/>
      <c r="J969" s="87"/>
      <c r="K969" s="45" t="b">
        <v>0</v>
      </c>
      <c r="L969" s="45"/>
      <c r="M969" s="43"/>
      <c r="N969" s="43"/>
      <c r="O969" s="43"/>
      <c r="P969" s="43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</row>
    <row r="970" ht="15.75" customHeight="1">
      <c r="A970" s="87"/>
      <c r="B970" s="88"/>
      <c r="C970" s="87"/>
      <c r="D970" s="87"/>
      <c r="E970" s="87"/>
      <c r="F970" s="92"/>
      <c r="G970" s="92"/>
      <c r="H970" s="87"/>
      <c r="I970" s="91"/>
      <c r="J970" s="87"/>
      <c r="K970" s="45" t="b">
        <v>0</v>
      </c>
      <c r="L970" s="45"/>
      <c r="M970" s="43"/>
      <c r="N970" s="43"/>
      <c r="O970" s="43"/>
      <c r="P970" s="43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</row>
    <row r="971" ht="15.75" customHeight="1">
      <c r="A971" s="87"/>
      <c r="B971" s="88"/>
      <c r="C971" s="87"/>
      <c r="D971" s="87"/>
      <c r="E971" s="87"/>
      <c r="F971" s="92"/>
      <c r="G971" s="92"/>
      <c r="H971" s="87"/>
      <c r="I971" s="91"/>
      <c r="J971" s="87"/>
      <c r="K971" s="45" t="b">
        <v>0</v>
      </c>
      <c r="L971" s="45"/>
      <c r="M971" s="43"/>
      <c r="N971" s="43"/>
      <c r="O971" s="43"/>
      <c r="P971" s="43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</row>
    <row r="972" ht="15.75" customHeight="1">
      <c r="A972" s="87"/>
      <c r="B972" s="88"/>
      <c r="C972" s="87"/>
      <c r="D972" s="87"/>
      <c r="E972" s="87"/>
      <c r="F972" s="92"/>
      <c r="G972" s="92"/>
      <c r="H972" s="87"/>
      <c r="I972" s="91"/>
      <c r="J972" s="87"/>
      <c r="K972" s="45" t="b">
        <v>0</v>
      </c>
      <c r="L972" s="45"/>
      <c r="M972" s="43"/>
      <c r="N972" s="43"/>
      <c r="O972" s="43"/>
      <c r="P972" s="43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</row>
    <row r="973" ht="15.75" customHeight="1">
      <c r="A973" s="87"/>
      <c r="B973" s="88"/>
      <c r="C973" s="87"/>
      <c r="D973" s="87"/>
      <c r="E973" s="87"/>
      <c r="F973" s="92"/>
      <c r="G973" s="92"/>
      <c r="H973" s="87"/>
      <c r="I973" s="91"/>
      <c r="J973" s="87"/>
      <c r="K973" s="45" t="b">
        <v>0</v>
      </c>
      <c r="L973" s="45"/>
      <c r="M973" s="43"/>
      <c r="N973" s="43"/>
      <c r="O973" s="43"/>
      <c r="P973" s="43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</row>
    <row r="974" ht="15.75" customHeight="1">
      <c r="A974" s="87"/>
      <c r="B974" s="88"/>
      <c r="C974" s="87"/>
      <c r="D974" s="87"/>
      <c r="E974" s="87"/>
      <c r="F974" s="92"/>
      <c r="G974" s="92"/>
      <c r="H974" s="87"/>
      <c r="I974" s="91"/>
      <c r="J974" s="87"/>
      <c r="K974" s="45" t="b">
        <v>0</v>
      </c>
      <c r="L974" s="45"/>
      <c r="M974" s="43"/>
      <c r="N974" s="43"/>
      <c r="O974" s="43"/>
      <c r="P974" s="43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</row>
    <row r="975" ht="15.75" customHeight="1">
      <c r="A975" s="87"/>
      <c r="B975" s="88"/>
      <c r="C975" s="87"/>
      <c r="D975" s="87"/>
      <c r="E975" s="87"/>
      <c r="F975" s="92"/>
      <c r="G975" s="92"/>
      <c r="H975" s="87"/>
      <c r="I975" s="91"/>
      <c r="J975" s="87"/>
      <c r="K975" s="45" t="b">
        <v>0</v>
      </c>
      <c r="L975" s="45"/>
      <c r="M975" s="43"/>
      <c r="N975" s="43"/>
      <c r="O975" s="43"/>
      <c r="P975" s="43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</row>
    <row r="976" ht="15.75" customHeight="1">
      <c r="A976" s="87"/>
      <c r="B976" s="88"/>
      <c r="C976" s="87"/>
      <c r="D976" s="87"/>
      <c r="E976" s="87"/>
      <c r="F976" s="92"/>
      <c r="G976" s="92"/>
      <c r="H976" s="87"/>
      <c r="I976" s="91"/>
      <c r="J976" s="87"/>
      <c r="K976" s="45" t="b">
        <v>0</v>
      </c>
      <c r="L976" s="45"/>
      <c r="M976" s="43"/>
      <c r="N976" s="43"/>
      <c r="O976" s="43"/>
      <c r="P976" s="43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</row>
    <row r="977" ht="15.75" customHeight="1">
      <c r="A977" s="87"/>
      <c r="B977" s="88"/>
      <c r="C977" s="87"/>
      <c r="D977" s="87"/>
      <c r="E977" s="87"/>
      <c r="F977" s="92"/>
      <c r="G977" s="92"/>
      <c r="H977" s="87"/>
      <c r="I977" s="91"/>
      <c r="J977" s="87"/>
      <c r="K977" s="45" t="b">
        <v>0</v>
      </c>
      <c r="L977" s="45"/>
      <c r="M977" s="43"/>
      <c r="N977" s="43"/>
      <c r="O977" s="43"/>
      <c r="P977" s="43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</row>
    <row r="978" ht="15.75" customHeight="1">
      <c r="A978" s="87"/>
      <c r="B978" s="88"/>
      <c r="C978" s="87"/>
      <c r="D978" s="87"/>
      <c r="E978" s="87"/>
      <c r="F978" s="92"/>
      <c r="G978" s="92"/>
      <c r="H978" s="87"/>
      <c r="I978" s="91"/>
      <c r="J978" s="87"/>
      <c r="K978" s="45" t="b">
        <v>0</v>
      </c>
      <c r="L978" s="45"/>
      <c r="M978" s="43"/>
      <c r="N978" s="43"/>
      <c r="O978" s="43"/>
      <c r="P978" s="43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</row>
    <row r="979" ht="15.75" customHeight="1">
      <c r="A979" s="87"/>
      <c r="B979" s="88"/>
      <c r="C979" s="87"/>
      <c r="D979" s="87"/>
      <c r="E979" s="87"/>
      <c r="F979" s="92"/>
      <c r="G979" s="92"/>
      <c r="H979" s="87"/>
      <c r="I979" s="91"/>
      <c r="J979" s="87"/>
      <c r="K979" s="45" t="b">
        <v>0</v>
      </c>
      <c r="L979" s="45"/>
      <c r="M979" s="43"/>
      <c r="N979" s="43"/>
      <c r="O979" s="43"/>
      <c r="P979" s="43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</row>
    <row r="980" ht="15.75" customHeight="1">
      <c r="A980" s="87"/>
      <c r="B980" s="88"/>
      <c r="C980" s="87"/>
      <c r="D980" s="87"/>
      <c r="E980" s="87"/>
      <c r="F980" s="92"/>
      <c r="G980" s="92"/>
      <c r="H980" s="87"/>
      <c r="I980" s="91"/>
      <c r="J980" s="87"/>
      <c r="K980" s="45" t="b">
        <v>0</v>
      </c>
      <c r="L980" s="45"/>
      <c r="M980" s="43"/>
      <c r="N980" s="43"/>
      <c r="O980" s="43"/>
      <c r="P980" s="43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</row>
    <row r="981" ht="15.75" customHeight="1">
      <c r="A981" s="87"/>
      <c r="B981" s="88"/>
      <c r="C981" s="87"/>
      <c r="D981" s="87"/>
      <c r="E981" s="87"/>
      <c r="F981" s="92"/>
      <c r="G981" s="92"/>
      <c r="H981" s="87"/>
      <c r="I981" s="91"/>
      <c r="J981" s="87"/>
      <c r="K981" s="45" t="b">
        <v>0</v>
      </c>
      <c r="L981" s="45"/>
      <c r="M981" s="43"/>
      <c r="N981" s="43"/>
      <c r="O981" s="43"/>
      <c r="P981" s="43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</row>
    <row r="982" ht="15.75" customHeight="1">
      <c r="A982" s="87"/>
      <c r="B982" s="88"/>
      <c r="C982" s="87"/>
      <c r="D982" s="87"/>
      <c r="E982" s="87"/>
      <c r="F982" s="92"/>
      <c r="G982" s="92"/>
      <c r="H982" s="87"/>
      <c r="I982" s="91"/>
      <c r="J982" s="87"/>
      <c r="K982" s="45" t="b">
        <v>0</v>
      </c>
      <c r="L982" s="45"/>
      <c r="M982" s="43"/>
      <c r="N982" s="43"/>
      <c r="O982" s="43"/>
      <c r="P982" s="43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</row>
    <row r="983" ht="15.75" customHeight="1">
      <c r="A983" s="87"/>
      <c r="B983" s="88"/>
      <c r="C983" s="87"/>
      <c r="D983" s="87"/>
      <c r="E983" s="87"/>
      <c r="F983" s="92"/>
      <c r="G983" s="92"/>
      <c r="H983" s="87"/>
      <c r="I983" s="91"/>
      <c r="J983" s="87"/>
      <c r="K983" s="45" t="b">
        <v>0</v>
      </c>
      <c r="L983" s="45"/>
      <c r="M983" s="43"/>
      <c r="N983" s="43"/>
      <c r="O983" s="43"/>
      <c r="P983" s="43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</row>
    <row r="984" ht="15.75" customHeight="1">
      <c r="A984" s="87"/>
      <c r="B984" s="88"/>
      <c r="C984" s="87"/>
      <c r="D984" s="87"/>
      <c r="E984" s="87"/>
      <c r="F984" s="92"/>
      <c r="G984" s="92"/>
      <c r="H984" s="87"/>
      <c r="I984" s="91"/>
      <c r="J984" s="87"/>
      <c r="K984" s="45" t="b">
        <v>0</v>
      </c>
      <c r="L984" s="45"/>
      <c r="M984" s="43"/>
      <c r="N984" s="43"/>
      <c r="O984" s="43"/>
      <c r="P984" s="43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</row>
    <row r="985" ht="15.75" customHeight="1">
      <c r="A985" s="87"/>
      <c r="B985" s="88"/>
      <c r="C985" s="87"/>
      <c r="D985" s="87"/>
      <c r="E985" s="87"/>
      <c r="F985" s="92"/>
      <c r="G985" s="92"/>
      <c r="H985" s="87"/>
      <c r="I985" s="91"/>
      <c r="J985" s="87"/>
      <c r="K985" s="45" t="b">
        <v>0</v>
      </c>
      <c r="L985" s="45"/>
      <c r="M985" s="43"/>
      <c r="N985" s="43"/>
      <c r="O985" s="43"/>
      <c r="P985" s="43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</row>
    <row r="986" ht="15.75" customHeight="1">
      <c r="A986" s="87"/>
      <c r="B986" s="88"/>
      <c r="C986" s="87"/>
      <c r="D986" s="87"/>
      <c r="E986" s="87"/>
      <c r="F986" s="92"/>
      <c r="G986" s="92"/>
      <c r="H986" s="87"/>
      <c r="I986" s="91"/>
      <c r="J986" s="87"/>
      <c r="K986" s="45" t="b">
        <v>0</v>
      </c>
      <c r="L986" s="45"/>
      <c r="M986" s="43"/>
      <c r="N986" s="43"/>
      <c r="O986" s="43"/>
      <c r="P986" s="43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</row>
    <row r="987" ht="15.75" customHeight="1">
      <c r="A987" s="87"/>
      <c r="B987" s="88"/>
      <c r="C987" s="87"/>
      <c r="D987" s="87"/>
      <c r="E987" s="87"/>
      <c r="F987" s="92"/>
      <c r="G987" s="92"/>
      <c r="H987" s="87"/>
      <c r="I987" s="91"/>
      <c r="J987" s="87"/>
      <c r="K987" s="45" t="b">
        <v>0</v>
      </c>
      <c r="L987" s="45"/>
      <c r="M987" s="43"/>
      <c r="N987" s="43"/>
      <c r="O987" s="43"/>
      <c r="P987" s="43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</row>
    <row r="988" ht="15.75" customHeight="1">
      <c r="A988" s="87"/>
      <c r="B988" s="88"/>
      <c r="C988" s="87"/>
      <c r="D988" s="87"/>
      <c r="E988" s="87"/>
      <c r="F988" s="92"/>
      <c r="G988" s="92"/>
      <c r="H988" s="87"/>
      <c r="I988" s="91"/>
      <c r="J988" s="87"/>
      <c r="K988" s="45" t="b">
        <v>0</v>
      </c>
      <c r="L988" s="45"/>
      <c r="M988" s="43"/>
      <c r="N988" s="43"/>
      <c r="O988" s="43"/>
      <c r="P988" s="43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</row>
    <row r="989" ht="15.75" customHeight="1">
      <c r="A989" s="87"/>
      <c r="B989" s="88"/>
      <c r="C989" s="87"/>
      <c r="D989" s="87"/>
      <c r="E989" s="87"/>
      <c r="F989" s="92"/>
      <c r="G989" s="92"/>
      <c r="H989" s="87"/>
      <c r="I989" s="91"/>
      <c r="J989" s="87"/>
      <c r="K989" s="45" t="b">
        <v>0</v>
      </c>
      <c r="L989" s="45"/>
      <c r="M989" s="43"/>
      <c r="N989" s="43"/>
      <c r="O989" s="43"/>
      <c r="P989" s="43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</row>
    <row r="990" ht="15.75" customHeight="1">
      <c r="A990" s="87"/>
      <c r="B990" s="88"/>
      <c r="C990" s="87"/>
      <c r="D990" s="87"/>
      <c r="E990" s="87"/>
      <c r="F990" s="92"/>
      <c r="G990" s="92"/>
      <c r="H990" s="87"/>
      <c r="I990" s="91"/>
      <c r="J990" s="87"/>
      <c r="K990" s="45" t="b">
        <v>0</v>
      </c>
      <c r="L990" s="45"/>
      <c r="M990" s="43"/>
      <c r="N990" s="43"/>
      <c r="O990" s="43"/>
      <c r="P990" s="43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</row>
    <row r="991" ht="15.75" customHeight="1">
      <c r="A991" s="87"/>
      <c r="B991" s="88"/>
      <c r="C991" s="87"/>
      <c r="D991" s="87"/>
      <c r="E991" s="87"/>
      <c r="F991" s="92"/>
      <c r="G991" s="92"/>
      <c r="H991" s="87"/>
      <c r="I991" s="91"/>
      <c r="J991" s="87"/>
      <c r="K991" s="45" t="b">
        <v>0</v>
      </c>
      <c r="L991" s="45"/>
      <c r="M991" s="43"/>
      <c r="N991" s="43"/>
      <c r="O991" s="43"/>
      <c r="P991" s="43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</row>
    <row r="992" ht="15.75" customHeight="1">
      <c r="A992" s="87"/>
      <c r="B992" s="88"/>
      <c r="C992" s="87"/>
      <c r="D992" s="87"/>
      <c r="E992" s="87"/>
      <c r="F992" s="92"/>
      <c r="G992" s="92"/>
      <c r="H992" s="87"/>
      <c r="I992" s="91"/>
      <c r="J992" s="87"/>
      <c r="K992" s="45" t="b">
        <v>0</v>
      </c>
      <c r="L992" s="45"/>
      <c r="M992" s="43"/>
      <c r="N992" s="43"/>
      <c r="O992" s="43"/>
      <c r="P992" s="43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</row>
    <row r="993" ht="15.75" customHeight="1">
      <c r="A993" s="87"/>
      <c r="B993" s="88"/>
      <c r="C993" s="87"/>
      <c r="D993" s="87"/>
      <c r="E993" s="87"/>
      <c r="F993" s="92"/>
      <c r="G993" s="92"/>
      <c r="H993" s="87"/>
      <c r="I993" s="91"/>
      <c r="J993" s="87"/>
      <c r="K993" s="45" t="b">
        <v>0</v>
      </c>
      <c r="L993" s="45"/>
      <c r="M993" s="43"/>
      <c r="N993" s="43"/>
      <c r="O993" s="43"/>
      <c r="P993" s="43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</row>
    <row r="994" ht="15.75" customHeight="1">
      <c r="A994" s="87"/>
      <c r="B994" s="88"/>
      <c r="C994" s="87"/>
      <c r="D994" s="87"/>
      <c r="E994" s="87"/>
      <c r="F994" s="92"/>
      <c r="G994" s="92"/>
      <c r="H994" s="87"/>
      <c r="I994" s="91"/>
      <c r="J994" s="87"/>
      <c r="K994" s="45" t="b">
        <v>0</v>
      </c>
      <c r="L994" s="45"/>
      <c r="M994" s="43"/>
      <c r="N994" s="43"/>
      <c r="O994" s="43"/>
      <c r="P994" s="43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</row>
    <row r="995" ht="15.75" customHeight="1">
      <c r="A995" s="87"/>
      <c r="B995" s="88"/>
      <c r="C995" s="87"/>
      <c r="D995" s="87"/>
      <c r="E995" s="87"/>
      <c r="F995" s="92"/>
      <c r="G995" s="92"/>
      <c r="H995" s="87"/>
      <c r="I995" s="91"/>
      <c r="J995" s="87"/>
      <c r="K995" s="45" t="b">
        <v>0</v>
      </c>
      <c r="L995" s="45"/>
      <c r="M995" s="43"/>
      <c r="N995" s="43"/>
      <c r="O995" s="43"/>
      <c r="P995" s="43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</row>
    <row r="996" ht="15.75" customHeight="1">
      <c r="A996" s="87"/>
      <c r="B996" s="88"/>
      <c r="C996" s="87"/>
      <c r="D996" s="87"/>
      <c r="E996" s="87"/>
      <c r="F996" s="92"/>
      <c r="G996" s="92"/>
      <c r="H996" s="87"/>
      <c r="I996" s="91"/>
      <c r="J996" s="87"/>
      <c r="K996" s="45" t="b">
        <v>0</v>
      </c>
      <c r="L996" s="45"/>
      <c r="M996" s="43"/>
      <c r="N996" s="43"/>
      <c r="O996" s="43"/>
      <c r="P996" s="43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</row>
    <row r="997" ht="15.75" customHeight="1">
      <c r="A997" s="87"/>
      <c r="B997" s="88"/>
      <c r="C997" s="87"/>
      <c r="D997" s="87"/>
      <c r="E997" s="87"/>
      <c r="F997" s="92"/>
      <c r="G997" s="92"/>
      <c r="H997" s="87"/>
      <c r="I997" s="91"/>
      <c r="J997" s="87"/>
      <c r="K997" s="45" t="b">
        <v>0</v>
      </c>
      <c r="L997" s="45"/>
      <c r="M997" s="43"/>
      <c r="N997" s="43"/>
      <c r="O997" s="43"/>
      <c r="P997" s="43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</row>
    <row r="998" ht="15.75" customHeight="1">
      <c r="A998" s="87"/>
      <c r="B998" s="88"/>
      <c r="C998" s="87"/>
      <c r="D998" s="87"/>
      <c r="E998" s="87"/>
      <c r="F998" s="92"/>
      <c r="G998" s="92"/>
      <c r="H998" s="87"/>
      <c r="I998" s="91"/>
      <c r="J998" s="87"/>
      <c r="K998" s="45" t="b">
        <v>0</v>
      </c>
      <c r="L998" s="45"/>
      <c r="M998" s="43"/>
      <c r="N998" s="43"/>
      <c r="O998" s="43"/>
      <c r="P998" s="43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</row>
    <row r="999" ht="15.75" customHeight="1">
      <c r="A999" s="87"/>
      <c r="B999" s="88"/>
      <c r="C999" s="87"/>
      <c r="D999" s="87"/>
      <c r="E999" s="87"/>
      <c r="F999" s="92"/>
      <c r="G999" s="92"/>
      <c r="H999" s="87"/>
      <c r="I999" s="91"/>
      <c r="J999" s="87"/>
      <c r="K999" s="45" t="b">
        <v>0</v>
      </c>
      <c r="L999" s="45"/>
      <c r="M999" s="43"/>
      <c r="N999" s="43"/>
      <c r="O999" s="43"/>
      <c r="P999" s="43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</row>
    <row r="1000" ht="15.75" customHeight="1">
      <c r="A1000" s="87"/>
      <c r="B1000" s="88"/>
      <c r="C1000" s="87"/>
      <c r="D1000" s="87"/>
      <c r="E1000" s="87"/>
      <c r="F1000" s="92"/>
      <c r="G1000" s="92"/>
      <c r="H1000" s="87"/>
      <c r="I1000" s="91"/>
      <c r="J1000" s="87"/>
      <c r="K1000" s="45" t="b">
        <v>0</v>
      </c>
      <c r="L1000" s="45"/>
      <c r="M1000" s="43"/>
      <c r="N1000" s="43"/>
      <c r="O1000" s="43"/>
      <c r="P1000" s="43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</row>
    <row r="1001" ht="15.75" customHeight="1">
      <c r="A1001" s="87"/>
      <c r="B1001" s="88"/>
      <c r="C1001" s="87"/>
      <c r="D1001" s="87"/>
      <c r="E1001" s="87"/>
      <c r="F1001" s="92"/>
      <c r="G1001" s="92"/>
      <c r="H1001" s="87"/>
      <c r="I1001" s="91"/>
      <c r="J1001" s="87"/>
      <c r="K1001" s="45" t="b">
        <v>0</v>
      </c>
      <c r="L1001" s="45"/>
      <c r="M1001" s="43"/>
      <c r="N1001" s="43"/>
      <c r="O1001" s="43"/>
      <c r="P1001" s="43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</row>
    <row r="1002" ht="15.75" customHeight="1">
      <c r="A1002" s="87"/>
      <c r="B1002" s="88"/>
      <c r="C1002" s="87"/>
      <c r="D1002" s="87"/>
      <c r="E1002" s="87"/>
      <c r="F1002" s="92"/>
      <c r="G1002" s="92"/>
      <c r="H1002" s="87"/>
      <c r="I1002" s="91"/>
      <c r="J1002" s="87"/>
      <c r="K1002" s="45" t="b">
        <v>0</v>
      </c>
      <c r="L1002" s="45"/>
      <c r="M1002" s="43"/>
      <c r="N1002" s="43"/>
      <c r="O1002" s="43"/>
      <c r="P1002" s="43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</row>
    <row r="1003" ht="15.75" customHeight="1">
      <c r="A1003" s="87"/>
      <c r="B1003" s="88"/>
      <c r="C1003" s="87"/>
      <c r="D1003" s="87"/>
      <c r="E1003" s="87"/>
      <c r="F1003" s="92"/>
      <c r="G1003" s="92"/>
      <c r="H1003" s="87"/>
      <c r="I1003" s="91"/>
      <c r="J1003" s="87"/>
      <c r="K1003" s="45" t="b">
        <v>0</v>
      </c>
      <c r="L1003" s="45"/>
      <c r="M1003" s="43"/>
      <c r="N1003" s="43"/>
      <c r="O1003" s="43"/>
      <c r="P1003" s="43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</row>
    <row r="1004" ht="15.75" customHeight="1">
      <c r="A1004" s="87"/>
      <c r="B1004" s="88"/>
      <c r="C1004" s="87"/>
      <c r="D1004" s="87"/>
      <c r="E1004" s="87"/>
      <c r="F1004" s="92"/>
      <c r="G1004" s="92"/>
      <c r="H1004" s="87"/>
      <c r="I1004" s="91"/>
      <c r="J1004" s="87"/>
      <c r="K1004" s="45" t="b">
        <v>0</v>
      </c>
      <c r="L1004" s="45"/>
      <c r="M1004" s="43"/>
      <c r="N1004" s="43"/>
      <c r="O1004" s="43"/>
      <c r="P1004" s="43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</row>
    <row r="1005" ht="15.75" customHeight="1">
      <c r="A1005" s="87"/>
      <c r="B1005" s="88"/>
      <c r="C1005" s="87"/>
      <c r="D1005" s="87"/>
      <c r="E1005" s="87"/>
      <c r="F1005" s="92"/>
      <c r="G1005" s="92"/>
      <c r="H1005" s="87"/>
      <c r="I1005" s="91"/>
      <c r="J1005" s="87"/>
      <c r="K1005" s="45" t="b">
        <v>0</v>
      </c>
      <c r="L1005" s="45"/>
      <c r="M1005" s="43"/>
      <c r="N1005" s="43"/>
      <c r="O1005" s="43"/>
      <c r="P1005" s="43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</row>
    <row r="1006" ht="15.75" customHeight="1">
      <c r="A1006" s="87"/>
      <c r="B1006" s="88"/>
      <c r="C1006" s="87"/>
      <c r="D1006" s="87"/>
      <c r="E1006" s="87"/>
      <c r="F1006" s="92"/>
      <c r="G1006" s="92"/>
      <c r="H1006" s="87"/>
      <c r="I1006" s="91"/>
      <c r="J1006" s="87"/>
      <c r="K1006" s="45" t="b">
        <v>0</v>
      </c>
      <c r="L1006" s="45"/>
      <c r="M1006" s="43"/>
      <c r="N1006" s="43"/>
      <c r="O1006" s="43"/>
      <c r="P1006" s="43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</row>
    <row r="1007" ht="15.75" customHeight="1">
      <c r="A1007" s="87"/>
      <c r="B1007" s="88"/>
      <c r="C1007" s="87"/>
      <c r="D1007" s="87"/>
      <c r="E1007" s="87"/>
      <c r="F1007" s="92"/>
      <c r="G1007" s="92"/>
      <c r="H1007" s="87"/>
      <c r="I1007" s="91"/>
      <c r="J1007" s="87"/>
      <c r="K1007" s="45" t="b">
        <v>0</v>
      </c>
      <c r="L1007" s="45"/>
      <c r="M1007" s="43"/>
      <c r="N1007" s="43"/>
      <c r="O1007" s="43"/>
      <c r="P1007" s="43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</row>
    <row r="1008" ht="15.75" customHeight="1">
      <c r="A1008" s="5"/>
      <c r="B1008" s="65"/>
      <c r="C1008" s="5"/>
      <c r="D1008" s="5"/>
      <c r="E1008" s="5"/>
      <c r="F1008" s="5"/>
      <c r="G1008" s="5"/>
      <c r="H1008" s="5"/>
      <c r="I1008" s="83"/>
      <c r="J1008" s="5"/>
      <c r="K1008" s="43" t="b">
        <v>0</v>
      </c>
      <c r="L1008" s="43"/>
      <c r="M1008" s="43"/>
      <c r="N1008" s="43"/>
      <c r="O1008" s="43"/>
      <c r="P1008" s="43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</row>
    <row r="1009" ht="15.75" customHeight="1">
      <c r="A1009" s="5"/>
      <c r="B1009" s="65"/>
      <c r="C1009" s="5"/>
      <c r="D1009" s="5"/>
      <c r="E1009" s="5"/>
      <c r="F1009" s="5"/>
      <c r="G1009" s="5"/>
      <c r="H1009" s="5"/>
      <c r="I1009" s="83"/>
      <c r="J1009" s="5"/>
      <c r="K1009" s="43" t="b">
        <v>0</v>
      </c>
      <c r="L1009" s="43"/>
      <c r="M1009" s="43"/>
      <c r="N1009" s="43"/>
      <c r="O1009" s="43"/>
      <c r="P1009" s="43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</row>
    <row r="1010" ht="15.75" customHeight="1">
      <c r="A1010" s="5"/>
      <c r="B1010" s="65"/>
      <c r="C1010" s="5"/>
      <c r="D1010" s="5"/>
      <c r="E1010" s="5"/>
      <c r="F1010" s="5"/>
      <c r="G1010" s="5"/>
      <c r="H1010" s="5"/>
      <c r="I1010" s="83"/>
      <c r="J1010" s="5"/>
      <c r="K1010" s="43" t="b">
        <v>0</v>
      </c>
      <c r="L1010" s="43"/>
      <c r="M1010" s="43"/>
      <c r="N1010" s="43"/>
      <c r="O1010" s="43"/>
      <c r="P1010" s="43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</row>
    <row r="1011" ht="15.75" customHeight="1">
      <c r="A1011" s="5"/>
      <c r="B1011" s="65"/>
      <c r="C1011" s="5"/>
      <c r="D1011" s="5"/>
      <c r="E1011" s="5"/>
      <c r="F1011" s="5"/>
      <c r="G1011" s="5"/>
      <c r="H1011" s="5"/>
      <c r="I1011" s="83"/>
      <c r="J1011" s="5"/>
      <c r="K1011" s="43" t="b">
        <v>0</v>
      </c>
      <c r="L1011" s="43"/>
      <c r="M1011" s="43"/>
      <c r="N1011" s="43"/>
      <c r="O1011" s="43"/>
      <c r="P1011" s="43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</row>
    <row r="1012" ht="15.75" customHeight="1">
      <c r="A1012" s="5"/>
      <c r="B1012" s="65"/>
      <c r="C1012" s="5"/>
      <c r="D1012" s="5"/>
      <c r="E1012" s="5"/>
      <c r="F1012" s="5"/>
      <c r="G1012" s="5"/>
      <c r="H1012" s="5"/>
      <c r="I1012" s="83"/>
      <c r="J1012" s="5"/>
      <c r="K1012" s="43" t="b">
        <v>0</v>
      </c>
      <c r="L1012" s="43"/>
      <c r="M1012" s="43"/>
      <c r="N1012" s="43"/>
      <c r="O1012" s="43"/>
      <c r="P1012" s="43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</row>
    <row r="1013" ht="15.75" customHeight="1">
      <c r="A1013" s="5"/>
      <c r="B1013" s="65"/>
      <c r="C1013" s="5"/>
      <c r="D1013" s="5"/>
      <c r="E1013" s="5"/>
      <c r="F1013" s="5"/>
      <c r="G1013" s="5"/>
      <c r="H1013" s="5"/>
      <c r="I1013" s="83"/>
      <c r="J1013" s="5"/>
      <c r="K1013" s="43" t="b">
        <v>0</v>
      </c>
      <c r="L1013" s="43"/>
      <c r="M1013" s="43"/>
      <c r="N1013" s="43"/>
      <c r="O1013" s="43"/>
      <c r="P1013" s="43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</row>
    <row r="1014" ht="15.75" customHeight="1">
      <c r="A1014" s="5"/>
      <c r="B1014" s="65"/>
      <c r="C1014" s="5"/>
      <c r="D1014" s="5"/>
      <c r="E1014" s="5"/>
      <c r="F1014" s="5"/>
      <c r="G1014" s="5"/>
      <c r="H1014" s="5"/>
      <c r="I1014" s="83"/>
      <c r="J1014" s="5"/>
      <c r="K1014" s="43" t="b">
        <v>0</v>
      </c>
      <c r="L1014" s="43"/>
      <c r="M1014" s="43"/>
      <c r="N1014" s="43"/>
      <c r="O1014" s="43"/>
      <c r="P1014" s="43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</row>
    <row r="1015" ht="15.75" customHeight="1">
      <c r="A1015" s="5"/>
      <c r="B1015" s="65"/>
      <c r="C1015" s="5"/>
      <c r="D1015" s="5"/>
      <c r="E1015" s="5"/>
      <c r="F1015" s="5"/>
      <c r="G1015" s="5"/>
      <c r="H1015" s="5"/>
      <c r="I1015" s="83"/>
      <c r="J1015" s="5"/>
      <c r="K1015" s="43" t="b">
        <v>0</v>
      </c>
      <c r="L1015" s="43"/>
      <c r="M1015" s="43"/>
      <c r="N1015" s="43"/>
      <c r="O1015" s="43"/>
      <c r="P1015" s="43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</row>
    <row r="1016" ht="15.75" customHeight="1">
      <c r="A1016" s="5"/>
      <c r="B1016" s="65"/>
      <c r="C1016" s="5"/>
      <c r="D1016" s="5"/>
      <c r="E1016" s="5"/>
      <c r="F1016" s="5"/>
      <c r="G1016" s="5"/>
      <c r="H1016" s="5"/>
      <c r="I1016" s="83"/>
      <c r="J1016" s="5"/>
      <c r="K1016" s="43" t="b">
        <v>0</v>
      </c>
      <c r="L1016" s="43"/>
      <c r="M1016" s="43"/>
      <c r="N1016" s="43"/>
      <c r="O1016" s="43"/>
      <c r="P1016" s="43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</row>
    <row r="1017" ht="15.75" customHeight="1">
      <c r="A1017" s="5"/>
      <c r="B1017" s="65"/>
      <c r="C1017" s="5"/>
      <c r="D1017" s="5"/>
      <c r="E1017" s="5"/>
      <c r="F1017" s="5"/>
      <c r="G1017" s="5"/>
      <c r="H1017" s="5"/>
      <c r="I1017" s="83"/>
      <c r="J1017" s="5"/>
      <c r="K1017" s="43" t="b">
        <v>0</v>
      </c>
      <c r="L1017" s="43"/>
      <c r="M1017" s="43"/>
      <c r="N1017" s="43"/>
      <c r="O1017" s="43"/>
      <c r="P1017" s="43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</row>
    <row r="1018" ht="15.75" customHeight="1">
      <c r="A1018" s="5"/>
      <c r="B1018" s="65"/>
      <c r="C1018" s="5"/>
      <c r="D1018" s="5"/>
      <c r="E1018" s="5"/>
      <c r="F1018" s="5"/>
      <c r="G1018" s="5"/>
      <c r="H1018" s="5"/>
      <c r="I1018" s="83"/>
      <c r="J1018" s="5"/>
      <c r="K1018" s="43" t="b">
        <v>0</v>
      </c>
      <c r="L1018" s="43"/>
      <c r="M1018" s="43"/>
      <c r="N1018" s="43"/>
      <c r="O1018" s="43"/>
      <c r="P1018" s="43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</row>
    <row r="1019" ht="15.75" customHeight="1">
      <c r="A1019" s="5"/>
      <c r="B1019" s="65"/>
      <c r="C1019" s="5"/>
      <c r="D1019" s="5"/>
      <c r="E1019" s="5"/>
      <c r="F1019" s="5"/>
      <c r="G1019" s="5"/>
      <c r="H1019" s="5"/>
      <c r="I1019" s="83"/>
      <c r="J1019" s="5"/>
      <c r="K1019" s="43" t="b">
        <v>0</v>
      </c>
      <c r="L1019" s="43"/>
      <c r="M1019" s="43"/>
      <c r="N1019" s="43"/>
      <c r="O1019" s="43"/>
      <c r="P1019" s="43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</row>
    <row r="1020" ht="15.75" customHeight="1">
      <c r="A1020" s="5"/>
      <c r="B1020" s="65"/>
      <c r="C1020" s="5"/>
      <c r="D1020" s="5"/>
      <c r="E1020" s="5"/>
      <c r="F1020" s="5"/>
      <c r="G1020" s="5"/>
      <c r="H1020" s="5"/>
      <c r="I1020" s="83"/>
      <c r="J1020" s="5"/>
      <c r="K1020" s="43" t="b">
        <v>0</v>
      </c>
      <c r="L1020" s="43"/>
      <c r="M1020" s="43"/>
      <c r="N1020" s="43"/>
      <c r="O1020" s="43"/>
      <c r="P1020" s="43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</row>
    <row r="1021" ht="15.75" customHeight="1">
      <c r="A1021" s="5"/>
      <c r="B1021" s="65"/>
      <c r="C1021" s="5"/>
      <c r="D1021" s="5"/>
      <c r="E1021" s="5"/>
      <c r="F1021" s="5"/>
      <c r="G1021" s="5"/>
      <c r="H1021" s="5"/>
      <c r="I1021" s="83"/>
      <c r="J1021" s="5"/>
      <c r="K1021" s="43" t="b">
        <v>0</v>
      </c>
      <c r="L1021" s="43"/>
      <c r="M1021" s="43"/>
      <c r="N1021" s="43"/>
      <c r="O1021" s="43"/>
      <c r="P1021" s="43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</row>
    <row r="1022" ht="15.75" customHeight="1">
      <c r="A1022" s="5"/>
      <c r="B1022" s="65"/>
      <c r="C1022" s="5"/>
      <c r="D1022" s="5"/>
      <c r="E1022" s="5"/>
      <c r="F1022" s="5"/>
      <c r="G1022" s="5"/>
      <c r="H1022" s="5"/>
      <c r="I1022" s="83"/>
      <c r="J1022" s="5"/>
      <c r="K1022" s="43" t="b">
        <v>0</v>
      </c>
      <c r="L1022" s="43"/>
      <c r="M1022" s="43"/>
      <c r="N1022" s="43"/>
      <c r="O1022" s="43"/>
      <c r="P1022" s="43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</row>
    <row r="1023" ht="15.75" customHeight="1">
      <c r="A1023" s="5"/>
      <c r="B1023" s="65"/>
      <c r="C1023" s="5"/>
      <c r="D1023" s="5"/>
      <c r="E1023" s="5"/>
      <c r="F1023" s="5"/>
      <c r="G1023" s="5"/>
      <c r="H1023" s="5"/>
      <c r="I1023" s="83"/>
      <c r="J1023" s="5"/>
      <c r="K1023" s="43" t="b">
        <v>0</v>
      </c>
      <c r="L1023" s="43"/>
      <c r="M1023" s="43"/>
      <c r="N1023" s="43"/>
      <c r="O1023" s="43"/>
      <c r="P1023" s="43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</row>
    <row r="1024" ht="15.75" customHeight="1">
      <c r="A1024" s="5"/>
      <c r="B1024" s="65"/>
      <c r="C1024" s="5"/>
      <c r="D1024" s="5"/>
      <c r="E1024" s="5"/>
      <c r="F1024" s="5"/>
      <c r="G1024" s="5"/>
      <c r="H1024" s="5"/>
      <c r="I1024" s="83"/>
      <c r="J1024" s="5"/>
      <c r="K1024" s="43" t="b">
        <v>0</v>
      </c>
      <c r="L1024" s="43"/>
      <c r="M1024" s="43"/>
      <c r="N1024" s="43"/>
      <c r="O1024" s="43"/>
      <c r="P1024" s="43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</row>
  </sheetData>
  <dataValidations>
    <dataValidation type="list" allowBlank="1" showErrorMessage="1" sqref="C3:C171">
      <formula1>"Bahan Baku,Operasional,Peralatan,Lain-lain,PLN"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57"/>
    <col customWidth="1" min="3" max="3" width="5.14"/>
    <col customWidth="1" min="4" max="4" width="18.0"/>
    <col customWidth="1" min="5" max="6" width="18.14"/>
    <col customWidth="1" min="8" max="8" width="15.14"/>
  </cols>
  <sheetData>
    <row r="1" ht="36.0" customHeight="1">
      <c r="A1" s="93" t="s">
        <v>1</v>
      </c>
      <c r="B1" s="93" t="s">
        <v>82</v>
      </c>
      <c r="C1" s="93" t="s">
        <v>83</v>
      </c>
      <c r="D1" s="94" t="s">
        <v>5</v>
      </c>
      <c r="E1" s="94" t="s">
        <v>6</v>
      </c>
      <c r="F1" s="93" t="s">
        <v>84</v>
      </c>
      <c r="G1" s="95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</row>
    <row r="2">
      <c r="A2" s="97">
        <v>46188.0</v>
      </c>
      <c r="B2" s="98" t="s">
        <v>120</v>
      </c>
      <c r="C2" s="98">
        <v>1.0</v>
      </c>
      <c r="D2" s="99">
        <v>53000.0</v>
      </c>
      <c r="E2" s="99">
        <f t="shared" ref="E2:E324" si="1">SUM(D2*C2)</f>
        <v>53000</v>
      </c>
      <c r="F2" s="98" t="s">
        <v>121</v>
      </c>
      <c r="H2" s="100" t="s">
        <v>122</v>
      </c>
      <c r="I2" s="101">
        <v>300000.0</v>
      </c>
    </row>
    <row r="3">
      <c r="A3" s="97">
        <v>46190.0</v>
      </c>
      <c r="B3" s="98" t="s">
        <v>123</v>
      </c>
      <c r="C3" s="98">
        <v>1.0</v>
      </c>
      <c r="D3" s="99">
        <v>25000.0</v>
      </c>
      <c r="E3" s="99">
        <f t="shared" si="1"/>
        <v>25000</v>
      </c>
      <c r="F3" s="98" t="s">
        <v>124</v>
      </c>
      <c r="H3" s="100" t="s">
        <v>125</v>
      </c>
      <c r="I3" s="102">
        <f>SUM(E:E)</f>
        <v>300000</v>
      </c>
    </row>
    <row r="4">
      <c r="A4" s="97">
        <v>46196.0</v>
      </c>
      <c r="B4" s="98" t="s">
        <v>123</v>
      </c>
      <c r="C4" s="98">
        <v>1.0</v>
      </c>
      <c r="D4" s="99">
        <v>22000.0</v>
      </c>
      <c r="E4" s="99">
        <f t="shared" si="1"/>
        <v>22000</v>
      </c>
      <c r="F4" s="98" t="s">
        <v>124</v>
      </c>
      <c r="H4" s="100" t="s">
        <v>126</v>
      </c>
      <c r="I4" s="102">
        <f>SUM(I2-I3)</f>
        <v>0</v>
      </c>
    </row>
    <row r="5">
      <c r="A5" s="97">
        <v>46165.0</v>
      </c>
      <c r="B5" s="98" t="s">
        <v>127</v>
      </c>
      <c r="C5" s="98">
        <v>1.0</v>
      </c>
      <c r="D5" s="99">
        <v>8000.0</v>
      </c>
      <c r="E5" s="99">
        <f t="shared" si="1"/>
        <v>8000</v>
      </c>
      <c r="F5" s="98" t="s">
        <v>128</v>
      </c>
      <c r="H5" s="83"/>
    </row>
    <row r="6">
      <c r="A6" s="97">
        <v>46203.0</v>
      </c>
      <c r="B6" s="98" t="s">
        <v>123</v>
      </c>
      <c r="C6" s="98">
        <v>1.0</v>
      </c>
      <c r="D6" s="99">
        <v>25000.0</v>
      </c>
      <c r="E6" s="99">
        <f t="shared" si="1"/>
        <v>25000</v>
      </c>
      <c r="F6" s="98" t="s">
        <v>124</v>
      </c>
      <c r="H6" s="83"/>
    </row>
    <row r="7">
      <c r="A7" s="97">
        <v>46207.0</v>
      </c>
      <c r="B7" s="98" t="s">
        <v>123</v>
      </c>
      <c r="C7" s="98">
        <v>1.0</v>
      </c>
      <c r="D7" s="99">
        <v>25000.0</v>
      </c>
      <c r="E7" s="99">
        <f t="shared" si="1"/>
        <v>25000</v>
      </c>
      <c r="F7" s="98" t="s">
        <v>124</v>
      </c>
      <c r="H7" s="83"/>
    </row>
    <row r="8">
      <c r="A8" s="97">
        <v>46207.0</v>
      </c>
      <c r="B8" s="98" t="s">
        <v>100</v>
      </c>
      <c r="C8" s="98">
        <v>1.0</v>
      </c>
      <c r="D8" s="99">
        <v>34000.0</v>
      </c>
      <c r="E8" s="99">
        <f t="shared" si="1"/>
        <v>34000</v>
      </c>
      <c r="F8" s="98" t="s">
        <v>128</v>
      </c>
      <c r="H8" s="83"/>
    </row>
    <row r="9">
      <c r="A9" s="97">
        <v>46209.0</v>
      </c>
      <c r="B9" s="98" t="s">
        <v>127</v>
      </c>
      <c r="C9" s="98">
        <v>1.0</v>
      </c>
      <c r="D9" s="99">
        <v>8000.0</v>
      </c>
      <c r="E9" s="99">
        <f t="shared" si="1"/>
        <v>8000</v>
      </c>
      <c r="F9" s="98" t="s">
        <v>128</v>
      </c>
      <c r="H9" s="83"/>
    </row>
    <row r="10">
      <c r="A10" s="97">
        <v>46211.0</v>
      </c>
      <c r="B10" s="75" t="s">
        <v>129</v>
      </c>
      <c r="C10" s="75">
        <v>1.0</v>
      </c>
      <c r="D10" s="99">
        <v>75000.0</v>
      </c>
      <c r="E10" s="99">
        <f t="shared" si="1"/>
        <v>75000</v>
      </c>
      <c r="F10" s="98" t="s">
        <v>90</v>
      </c>
      <c r="H10" s="83"/>
    </row>
    <row r="11">
      <c r="A11" s="97">
        <v>46211.0</v>
      </c>
      <c r="B11" s="98" t="s">
        <v>123</v>
      </c>
      <c r="C11" s="98">
        <v>1.0</v>
      </c>
      <c r="D11" s="99">
        <v>25000.0</v>
      </c>
      <c r="E11" s="99">
        <f t="shared" si="1"/>
        <v>25000</v>
      </c>
      <c r="F11" s="98" t="s">
        <v>124</v>
      </c>
      <c r="H11" s="83"/>
    </row>
    <row r="12">
      <c r="B12" s="5"/>
      <c r="C12" s="5"/>
      <c r="D12" s="99">
        <v>0.0</v>
      </c>
      <c r="E12" s="99">
        <f t="shared" si="1"/>
        <v>0</v>
      </c>
      <c r="F12" s="98"/>
      <c r="H12" s="83"/>
    </row>
    <row r="13">
      <c r="B13" s="5"/>
      <c r="C13" s="5"/>
      <c r="D13" s="99">
        <v>0.0</v>
      </c>
      <c r="E13" s="99">
        <f t="shared" si="1"/>
        <v>0</v>
      </c>
      <c r="F13" s="98"/>
      <c r="H13" s="5"/>
    </row>
    <row r="14">
      <c r="B14" s="5"/>
      <c r="C14" s="5"/>
      <c r="D14" s="99">
        <v>0.0</v>
      </c>
      <c r="E14" s="99">
        <f t="shared" si="1"/>
        <v>0</v>
      </c>
      <c r="F14" s="98"/>
      <c r="H14" s="5"/>
    </row>
    <row r="15">
      <c r="B15" s="5"/>
      <c r="C15" s="5"/>
      <c r="D15" s="99">
        <v>0.0</v>
      </c>
      <c r="E15" s="99">
        <f t="shared" si="1"/>
        <v>0</v>
      </c>
      <c r="F15" s="98"/>
      <c r="H15" s="5"/>
    </row>
    <row r="16">
      <c r="B16" s="5"/>
      <c r="C16" s="5"/>
      <c r="D16" s="99">
        <v>0.0</v>
      </c>
      <c r="E16" s="99">
        <f t="shared" si="1"/>
        <v>0</v>
      </c>
      <c r="F16" s="98"/>
      <c r="H16" s="5"/>
    </row>
    <row r="17">
      <c r="A17" s="30"/>
      <c r="B17" s="30"/>
      <c r="C17" s="30"/>
      <c r="D17" s="99">
        <v>0.0</v>
      </c>
      <c r="E17" s="99">
        <f t="shared" si="1"/>
        <v>0</v>
      </c>
      <c r="F17" s="98"/>
      <c r="G17" s="30"/>
      <c r="H17" s="5"/>
    </row>
    <row r="18">
      <c r="B18" s="5"/>
      <c r="C18" s="5"/>
      <c r="D18" s="99">
        <v>0.0</v>
      </c>
      <c r="E18" s="99">
        <f t="shared" si="1"/>
        <v>0</v>
      </c>
      <c r="F18" s="98"/>
      <c r="G18" s="30"/>
      <c r="H18" s="5"/>
    </row>
    <row r="19">
      <c r="B19" s="5"/>
      <c r="C19" s="5"/>
      <c r="D19" s="99">
        <v>0.0</v>
      </c>
      <c r="E19" s="99">
        <f t="shared" si="1"/>
        <v>0</v>
      </c>
      <c r="F19" s="98"/>
      <c r="G19" s="30"/>
      <c r="H19" s="5"/>
    </row>
    <row r="20">
      <c r="B20" s="5"/>
      <c r="C20" s="5"/>
      <c r="D20" s="99">
        <v>0.0</v>
      </c>
      <c r="E20" s="99">
        <f t="shared" si="1"/>
        <v>0</v>
      </c>
      <c r="F20" s="98"/>
      <c r="G20" s="30"/>
      <c r="H20" s="5"/>
    </row>
    <row r="21">
      <c r="B21" s="5"/>
      <c r="C21" s="5"/>
      <c r="D21" s="99">
        <v>0.0</v>
      </c>
      <c r="E21" s="99">
        <f t="shared" si="1"/>
        <v>0</v>
      </c>
      <c r="F21" s="98"/>
      <c r="H21" s="83"/>
    </row>
    <row r="22">
      <c r="B22" s="5"/>
      <c r="C22" s="5"/>
      <c r="D22" s="99">
        <v>0.0</v>
      </c>
      <c r="E22" s="99">
        <f t="shared" si="1"/>
        <v>0</v>
      </c>
      <c r="F22" s="98"/>
      <c r="G22" s="30"/>
      <c r="H22" s="5"/>
    </row>
    <row r="23">
      <c r="B23" s="5"/>
      <c r="C23" s="5"/>
      <c r="D23" s="99">
        <v>0.0</v>
      </c>
      <c r="E23" s="99">
        <f t="shared" si="1"/>
        <v>0</v>
      </c>
      <c r="F23" s="98"/>
      <c r="G23" s="30"/>
      <c r="H23" s="5"/>
    </row>
    <row r="24">
      <c r="B24" s="5"/>
      <c r="C24" s="5"/>
      <c r="D24" s="99">
        <v>0.0</v>
      </c>
      <c r="E24" s="99">
        <f t="shared" si="1"/>
        <v>0</v>
      </c>
      <c r="F24" s="98"/>
      <c r="G24" s="30"/>
      <c r="H24" s="5"/>
    </row>
    <row r="25">
      <c r="B25" s="5"/>
      <c r="C25" s="5"/>
      <c r="D25" s="99">
        <v>0.0</v>
      </c>
      <c r="E25" s="99">
        <f t="shared" si="1"/>
        <v>0</v>
      </c>
      <c r="F25" s="98"/>
      <c r="H25" s="83"/>
    </row>
    <row r="26">
      <c r="A26" s="30"/>
      <c r="B26" s="30"/>
      <c r="C26" s="30"/>
      <c r="D26" s="99">
        <v>0.0</v>
      </c>
      <c r="E26" s="99">
        <f t="shared" si="1"/>
        <v>0</v>
      </c>
      <c r="F26" s="98"/>
      <c r="G26" s="30"/>
      <c r="H26" s="5"/>
    </row>
    <row r="27">
      <c r="A27" s="30"/>
      <c r="B27" s="30"/>
      <c r="C27" s="30"/>
      <c r="D27" s="99">
        <v>0.0</v>
      </c>
      <c r="E27" s="99">
        <f t="shared" si="1"/>
        <v>0</v>
      </c>
      <c r="F27" s="98"/>
      <c r="G27" s="30"/>
      <c r="H27" s="5"/>
    </row>
    <row r="28">
      <c r="A28" s="30"/>
      <c r="B28" s="30"/>
      <c r="C28" s="30"/>
      <c r="D28" s="99">
        <v>0.0</v>
      </c>
      <c r="E28" s="99">
        <f t="shared" si="1"/>
        <v>0</v>
      </c>
      <c r="F28" s="98"/>
      <c r="G28" s="30"/>
      <c r="H28" s="5"/>
    </row>
    <row r="29">
      <c r="A29" s="30"/>
      <c r="B29" s="30"/>
      <c r="C29" s="30"/>
      <c r="D29" s="99">
        <v>0.0</v>
      </c>
      <c r="E29" s="99">
        <f t="shared" si="1"/>
        <v>0</v>
      </c>
      <c r="F29" s="98"/>
      <c r="G29" s="30"/>
      <c r="H29" s="5"/>
    </row>
    <row r="30">
      <c r="A30" s="30"/>
      <c r="B30" s="30"/>
      <c r="C30" s="30"/>
      <c r="D30" s="99">
        <v>0.0</v>
      </c>
      <c r="E30" s="99">
        <f t="shared" si="1"/>
        <v>0</v>
      </c>
      <c r="F30" s="98"/>
      <c r="G30" s="30"/>
      <c r="H30" s="5"/>
    </row>
    <row r="31">
      <c r="A31" s="30"/>
      <c r="B31" s="30"/>
      <c r="C31" s="30"/>
      <c r="D31" s="99">
        <v>0.0</v>
      </c>
      <c r="E31" s="99">
        <f t="shared" si="1"/>
        <v>0</v>
      </c>
      <c r="F31" s="98"/>
      <c r="G31" s="30"/>
      <c r="H31" s="5"/>
    </row>
    <row r="32">
      <c r="A32" s="30"/>
      <c r="B32" s="30"/>
      <c r="C32" s="30"/>
      <c r="D32" s="99">
        <v>0.0</v>
      </c>
      <c r="E32" s="99">
        <f t="shared" si="1"/>
        <v>0</v>
      </c>
      <c r="F32" s="98"/>
      <c r="G32" s="30"/>
      <c r="H32" s="5"/>
    </row>
    <row r="33">
      <c r="A33" s="30"/>
      <c r="B33" s="30"/>
      <c r="C33" s="30"/>
      <c r="D33" s="99">
        <v>0.0</v>
      </c>
      <c r="E33" s="99">
        <f t="shared" si="1"/>
        <v>0</v>
      </c>
      <c r="F33" s="98"/>
      <c r="G33" s="30"/>
      <c r="H33" s="5"/>
    </row>
    <row r="34">
      <c r="A34" s="30"/>
      <c r="B34" s="30"/>
      <c r="C34" s="30"/>
      <c r="D34" s="99">
        <v>0.0</v>
      </c>
      <c r="E34" s="99">
        <f t="shared" si="1"/>
        <v>0</v>
      </c>
      <c r="F34" s="98"/>
      <c r="G34" s="30"/>
      <c r="H34" s="5"/>
    </row>
    <row r="35">
      <c r="A35" s="30"/>
      <c r="B35" s="30"/>
      <c r="C35" s="30"/>
      <c r="D35" s="99">
        <v>0.0</v>
      </c>
      <c r="E35" s="99">
        <f t="shared" si="1"/>
        <v>0</v>
      </c>
      <c r="F35" s="98"/>
      <c r="G35" s="30"/>
      <c r="H35" s="5"/>
    </row>
    <row r="36">
      <c r="A36" s="30"/>
      <c r="B36" s="30"/>
      <c r="C36" s="30"/>
      <c r="D36" s="99">
        <v>0.0</v>
      </c>
      <c r="E36" s="99">
        <f t="shared" si="1"/>
        <v>0</v>
      </c>
      <c r="F36" s="98"/>
      <c r="G36" s="30"/>
      <c r="H36" s="5"/>
    </row>
    <row r="37">
      <c r="A37" s="30"/>
      <c r="B37" s="30"/>
      <c r="C37" s="30"/>
      <c r="D37" s="99">
        <v>0.0</v>
      </c>
      <c r="E37" s="99">
        <f t="shared" si="1"/>
        <v>0</v>
      </c>
      <c r="F37" s="98"/>
      <c r="G37" s="30"/>
      <c r="H37" s="5"/>
    </row>
    <row r="38">
      <c r="A38" s="30"/>
      <c r="B38" s="30"/>
      <c r="C38" s="30"/>
      <c r="D38" s="99">
        <v>0.0</v>
      </c>
      <c r="E38" s="99">
        <f t="shared" si="1"/>
        <v>0</v>
      </c>
      <c r="F38" s="98"/>
      <c r="G38" s="30"/>
      <c r="H38" s="5"/>
      <c r="I38" s="97">
        <v>46154.0</v>
      </c>
      <c r="J38" s="98" t="s">
        <v>130</v>
      </c>
      <c r="K38" s="98">
        <v>1.0</v>
      </c>
      <c r="L38" s="99">
        <v>24000.0</v>
      </c>
      <c r="M38" s="99">
        <f t="shared" ref="M38:M51" si="2">SUM(L38*K38)</f>
        <v>24000</v>
      </c>
      <c r="N38" s="98" t="s">
        <v>90</v>
      </c>
      <c r="O38" s="103"/>
    </row>
    <row r="39">
      <c r="A39" s="30"/>
      <c r="B39" s="30"/>
      <c r="C39" s="30"/>
      <c r="D39" s="99">
        <v>0.0</v>
      </c>
      <c r="E39" s="99">
        <f t="shared" si="1"/>
        <v>0</v>
      </c>
      <c r="F39" s="98"/>
      <c r="G39" s="30"/>
      <c r="H39" s="5"/>
      <c r="I39" s="97">
        <v>46155.0</v>
      </c>
      <c r="J39" s="98" t="s">
        <v>131</v>
      </c>
      <c r="K39" s="98">
        <v>2.0</v>
      </c>
      <c r="L39" s="99">
        <v>15000.0</v>
      </c>
      <c r="M39" s="99">
        <f t="shared" si="2"/>
        <v>30000</v>
      </c>
      <c r="N39" s="98" t="s">
        <v>128</v>
      </c>
      <c r="O39" s="103"/>
    </row>
    <row r="40">
      <c r="A40" s="30"/>
      <c r="B40" s="30"/>
      <c r="C40" s="30"/>
      <c r="D40" s="99">
        <v>0.0</v>
      </c>
      <c r="E40" s="99">
        <f t="shared" si="1"/>
        <v>0</v>
      </c>
      <c r="F40" s="98"/>
      <c r="G40" s="30"/>
      <c r="H40" s="5"/>
      <c r="I40" s="97">
        <v>46155.0</v>
      </c>
      <c r="J40" s="98" t="s">
        <v>132</v>
      </c>
      <c r="K40" s="98">
        <v>1.0</v>
      </c>
      <c r="L40" s="99">
        <v>12000.0</v>
      </c>
      <c r="M40" s="99">
        <f t="shared" si="2"/>
        <v>12000</v>
      </c>
      <c r="N40" s="98" t="s">
        <v>121</v>
      </c>
      <c r="O40" s="103"/>
    </row>
    <row r="41">
      <c r="A41" s="30"/>
      <c r="B41" s="30"/>
      <c r="C41" s="30"/>
      <c r="D41" s="99">
        <v>0.0</v>
      </c>
      <c r="E41" s="99">
        <f t="shared" si="1"/>
        <v>0</v>
      </c>
      <c r="F41" s="98"/>
      <c r="G41" s="30"/>
      <c r="H41" s="5"/>
      <c r="I41" s="97">
        <v>46158.0</v>
      </c>
      <c r="J41" s="98" t="s">
        <v>130</v>
      </c>
      <c r="K41" s="98">
        <v>1.0</v>
      </c>
      <c r="L41" s="99">
        <v>40000.0</v>
      </c>
      <c r="M41" s="99">
        <f t="shared" si="2"/>
        <v>40000</v>
      </c>
      <c r="N41" s="98" t="s">
        <v>133</v>
      </c>
      <c r="O41" s="98" t="s">
        <v>134</v>
      </c>
    </row>
    <row r="42">
      <c r="A42" s="30"/>
      <c r="B42" s="30"/>
      <c r="C42" s="30"/>
      <c r="D42" s="99">
        <v>0.0</v>
      </c>
      <c r="E42" s="99">
        <f t="shared" si="1"/>
        <v>0</v>
      </c>
      <c r="F42" s="98"/>
      <c r="G42" s="30"/>
      <c r="H42" s="5"/>
      <c r="I42" s="97">
        <v>46158.0</v>
      </c>
      <c r="J42" s="98" t="s">
        <v>130</v>
      </c>
      <c r="K42" s="98">
        <v>1.0</v>
      </c>
      <c r="L42" s="99">
        <v>29000.0</v>
      </c>
      <c r="M42" s="99">
        <f t="shared" si="2"/>
        <v>29000</v>
      </c>
      <c r="N42" s="98" t="s">
        <v>133</v>
      </c>
      <c r="O42" s="98" t="s">
        <v>134</v>
      </c>
    </row>
    <row r="43">
      <c r="A43" s="30"/>
      <c r="B43" s="30"/>
      <c r="C43" s="30"/>
      <c r="D43" s="99">
        <v>0.0</v>
      </c>
      <c r="E43" s="99">
        <f t="shared" si="1"/>
        <v>0</v>
      </c>
      <c r="F43" s="98"/>
      <c r="G43" s="30"/>
      <c r="H43" s="5"/>
      <c r="I43" s="97">
        <v>46158.0</v>
      </c>
      <c r="J43" s="98" t="s">
        <v>130</v>
      </c>
      <c r="K43" s="98">
        <v>1.0</v>
      </c>
      <c r="L43" s="99">
        <v>75000.0</v>
      </c>
      <c r="M43" s="99">
        <f t="shared" si="2"/>
        <v>75000</v>
      </c>
      <c r="N43" s="98" t="s">
        <v>90</v>
      </c>
      <c r="O43" s="103"/>
    </row>
    <row r="44">
      <c r="A44" s="30"/>
      <c r="B44" s="30"/>
      <c r="C44" s="30"/>
      <c r="D44" s="99">
        <v>0.0</v>
      </c>
      <c r="E44" s="99">
        <f t="shared" si="1"/>
        <v>0</v>
      </c>
      <c r="F44" s="98"/>
      <c r="G44" s="30"/>
      <c r="H44" s="5"/>
      <c r="I44" s="97">
        <v>46164.0</v>
      </c>
      <c r="J44" s="98" t="s">
        <v>130</v>
      </c>
      <c r="K44" s="98">
        <v>1.0</v>
      </c>
      <c r="L44" s="99">
        <v>30000.0</v>
      </c>
      <c r="M44" s="99">
        <f t="shared" si="2"/>
        <v>30000</v>
      </c>
      <c r="N44" s="98" t="s">
        <v>90</v>
      </c>
      <c r="O44" s="103"/>
    </row>
    <row r="45">
      <c r="A45" s="30"/>
      <c r="B45" s="30"/>
      <c r="C45" s="30"/>
      <c r="D45" s="99">
        <v>0.0</v>
      </c>
      <c r="E45" s="99">
        <f t="shared" si="1"/>
        <v>0</v>
      </c>
      <c r="F45" s="98"/>
      <c r="G45" s="30"/>
      <c r="H45" s="5"/>
      <c r="I45" s="97">
        <v>46165.0</v>
      </c>
      <c r="J45" s="98" t="s">
        <v>130</v>
      </c>
      <c r="K45" s="98">
        <v>1.0</v>
      </c>
      <c r="L45" s="99">
        <v>27000.0</v>
      </c>
      <c r="M45" s="99">
        <f t="shared" si="2"/>
        <v>27000</v>
      </c>
      <c r="N45" s="98" t="s">
        <v>133</v>
      </c>
      <c r="O45" s="98" t="s">
        <v>134</v>
      </c>
    </row>
    <row r="46">
      <c r="A46" s="30"/>
      <c r="B46" s="30"/>
      <c r="C46" s="30"/>
      <c r="D46" s="99">
        <v>0.0</v>
      </c>
      <c r="E46" s="99">
        <f t="shared" si="1"/>
        <v>0</v>
      </c>
      <c r="F46" s="98"/>
      <c r="G46" s="30"/>
      <c r="H46" s="5"/>
      <c r="I46" s="97">
        <v>46165.0</v>
      </c>
      <c r="J46" s="98" t="s">
        <v>127</v>
      </c>
      <c r="K46" s="98">
        <v>2.0</v>
      </c>
      <c r="L46" s="99">
        <v>6500.0</v>
      </c>
      <c r="M46" s="99">
        <f t="shared" si="2"/>
        <v>13000</v>
      </c>
      <c r="N46" s="98" t="s">
        <v>128</v>
      </c>
    </row>
    <row r="47">
      <c r="A47" s="30"/>
      <c r="B47" s="30"/>
      <c r="C47" s="30"/>
      <c r="D47" s="99">
        <v>0.0</v>
      </c>
      <c r="E47" s="99">
        <f t="shared" si="1"/>
        <v>0</v>
      </c>
      <c r="F47" s="98"/>
      <c r="G47" s="30"/>
      <c r="H47" s="5"/>
      <c r="I47" s="97">
        <v>46167.0</v>
      </c>
      <c r="J47" s="98" t="s">
        <v>130</v>
      </c>
      <c r="K47" s="98">
        <v>1.0</v>
      </c>
      <c r="L47" s="99">
        <v>15000.0</v>
      </c>
      <c r="M47" s="99">
        <f t="shared" si="2"/>
        <v>15000</v>
      </c>
      <c r="N47" s="98" t="s">
        <v>90</v>
      </c>
      <c r="O47" s="30"/>
    </row>
    <row r="48">
      <c r="A48" s="30"/>
      <c r="B48" s="30"/>
      <c r="C48" s="30"/>
      <c r="D48" s="99">
        <v>0.0</v>
      </c>
      <c r="E48" s="99">
        <f t="shared" si="1"/>
        <v>0</v>
      </c>
      <c r="F48" s="98"/>
      <c r="G48" s="30"/>
      <c r="H48" s="5"/>
      <c r="I48" s="97">
        <v>46172.0</v>
      </c>
      <c r="J48" s="98" t="s">
        <v>130</v>
      </c>
      <c r="K48" s="98">
        <v>1.0</v>
      </c>
      <c r="L48" s="99">
        <v>15000.0</v>
      </c>
      <c r="M48" s="99">
        <f t="shared" si="2"/>
        <v>15000</v>
      </c>
      <c r="N48" s="98" t="s">
        <v>90</v>
      </c>
      <c r="O48" s="30"/>
    </row>
    <row r="49">
      <c r="A49" s="30"/>
      <c r="B49" s="30"/>
      <c r="C49" s="30"/>
      <c r="D49" s="99">
        <v>0.0</v>
      </c>
      <c r="E49" s="99">
        <f t="shared" si="1"/>
        <v>0</v>
      </c>
      <c r="F49" s="98"/>
      <c r="G49" s="30"/>
      <c r="H49" s="5"/>
      <c r="I49" s="97">
        <v>46178.0</v>
      </c>
      <c r="J49" s="98" t="s">
        <v>130</v>
      </c>
      <c r="K49" s="98">
        <v>1.0</v>
      </c>
      <c r="L49" s="99">
        <v>30000.0</v>
      </c>
      <c r="M49" s="99">
        <f t="shared" si="2"/>
        <v>30000</v>
      </c>
      <c r="N49" s="98" t="s">
        <v>90</v>
      </c>
      <c r="O49" s="30"/>
    </row>
    <row r="50">
      <c r="A50" s="30"/>
      <c r="B50" s="30"/>
      <c r="C50" s="30"/>
      <c r="D50" s="99">
        <v>0.0</v>
      </c>
      <c r="E50" s="99">
        <f t="shared" si="1"/>
        <v>0</v>
      </c>
      <c r="F50" s="98"/>
      <c r="G50" s="30"/>
      <c r="H50" s="5"/>
      <c r="I50" s="97">
        <v>46181.0</v>
      </c>
      <c r="J50" s="98" t="s">
        <v>135</v>
      </c>
      <c r="K50" s="98">
        <v>1.0</v>
      </c>
      <c r="L50" s="99">
        <v>23000.0</v>
      </c>
      <c r="M50" s="99">
        <f t="shared" si="2"/>
        <v>23000</v>
      </c>
      <c r="N50" s="98" t="s">
        <v>133</v>
      </c>
      <c r="O50" s="98" t="s">
        <v>134</v>
      </c>
    </row>
    <row r="51">
      <c r="A51" s="30"/>
      <c r="B51" s="30"/>
      <c r="C51" s="30"/>
      <c r="D51" s="99">
        <v>0.0</v>
      </c>
      <c r="E51" s="99">
        <f t="shared" si="1"/>
        <v>0</v>
      </c>
      <c r="F51" s="98"/>
      <c r="G51" s="30"/>
      <c r="H51" s="5"/>
      <c r="I51" s="97">
        <v>46183.0</v>
      </c>
      <c r="J51" s="98" t="s">
        <v>123</v>
      </c>
      <c r="K51" s="98">
        <v>1.0</v>
      </c>
      <c r="L51" s="99">
        <v>20000.0</v>
      </c>
      <c r="M51" s="99">
        <f t="shared" si="2"/>
        <v>20000</v>
      </c>
      <c r="N51" s="98" t="s">
        <v>136</v>
      </c>
      <c r="O51" s="30"/>
    </row>
    <row r="52">
      <c r="A52" s="30"/>
      <c r="B52" s="30"/>
      <c r="C52" s="30"/>
      <c r="D52" s="99">
        <v>0.0</v>
      </c>
      <c r="E52" s="99">
        <f t="shared" si="1"/>
        <v>0</v>
      </c>
      <c r="F52" s="98"/>
      <c r="G52" s="30"/>
      <c r="H52" s="5"/>
      <c r="I52" s="97">
        <v>46187.0</v>
      </c>
      <c r="J52" s="98" t="s">
        <v>123</v>
      </c>
      <c r="K52" s="98">
        <v>1.0</v>
      </c>
      <c r="L52" s="99">
        <v>17000.0</v>
      </c>
      <c r="M52" s="99">
        <v>17000.0</v>
      </c>
      <c r="N52" s="98" t="s">
        <v>136</v>
      </c>
      <c r="O52" s="30"/>
    </row>
    <row r="53">
      <c r="A53" s="30"/>
      <c r="B53" s="30"/>
      <c r="C53" s="30"/>
      <c r="D53" s="99">
        <v>0.0</v>
      </c>
      <c r="E53" s="99">
        <f t="shared" si="1"/>
        <v>0</v>
      </c>
      <c r="F53" s="98"/>
      <c r="G53" s="30"/>
      <c r="H53" s="5"/>
    </row>
    <row r="54">
      <c r="A54" s="30"/>
      <c r="B54" s="30"/>
      <c r="C54" s="30"/>
      <c r="D54" s="99">
        <v>0.0</v>
      </c>
      <c r="E54" s="99">
        <f t="shared" si="1"/>
        <v>0</v>
      </c>
      <c r="F54" s="98"/>
      <c r="G54" s="30"/>
      <c r="H54" s="5"/>
    </row>
    <row r="55">
      <c r="A55" s="30"/>
      <c r="B55" s="30"/>
      <c r="C55" s="30"/>
      <c r="D55" s="99">
        <v>0.0</v>
      </c>
      <c r="E55" s="99">
        <f t="shared" si="1"/>
        <v>0</v>
      </c>
      <c r="F55" s="98"/>
      <c r="G55" s="30"/>
      <c r="H55" s="5"/>
    </row>
    <row r="56">
      <c r="A56" s="30"/>
      <c r="B56" s="30"/>
      <c r="C56" s="30"/>
      <c r="D56" s="99">
        <v>0.0</v>
      </c>
      <c r="E56" s="99">
        <f t="shared" si="1"/>
        <v>0</v>
      </c>
      <c r="F56" s="98"/>
      <c r="G56" s="30"/>
      <c r="H56" s="5"/>
    </row>
    <row r="57">
      <c r="A57" s="30"/>
      <c r="B57" s="30"/>
      <c r="C57" s="30"/>
      <c r="D57" s="99">
        <v>0.0</v>
      </c>
      <c r="E57" s="99">
        <f t="shared" si="1"/>
        <v>0</v>
      </c>
      <c r="F57" s="98"/>
      <c r="G57" s="30"/>
      <c r="H57" s="5"/>
    </row>
    <row r="58">
      <c r="A58" s="30"/>
      <c r="B58" s="30"/>
      <c r="C58" s="30"/>
      <c r="D58" s="99">
        <v>0.0</v>
      </c>
      <c r="E58" s="99">
        <f t="shared" si="1"/>
        <v>0</v>
      </c>
      <c r="F58" s="98"/>
      <c r="G58" s="30"/>
      <c r="H58" s="5"/>
    </row>
    <row r="59">
      <c r="A59" s="30"/>
      <c r="B59" s="30"/>
      <c r="C59" s="30"/>
      <c r="D59" s="99">
        <v>0.0</v>
      </c>
      <c r="E59" s="99">
        <f t="shared" si="1"/>
        <v>0</v>
      </c>
      <c r="F59" s="98"/>
      <c r="G59" s="30"/>
      <c r="H59" s="5"/>
    </row>
    <row r="60">
      <c r="A60" s="30"/>
      <c r="B60" s="30"/>
      <c r="C60" s="30"/>
      <c r="D60" s="99">
        <v>0.0</v>
      </c>
      <c r="E60" s="99">
        <f t="shared" si="1"/>
        <v>0</v>
      </c>
      <c r="F60" s="98"/>
      <c r="G60" s="30"/>
      <c r="H60" s="5"/>
    </row>
    <row r="61">
      <c r="A61" s="30"/>
      <c r="B61" s="30"/>
      <c r="C61" s="30"/>
      <c r="D61" s="99">
        <v>0.0</v>
      </c>
      <c r="E61" s="99">
        <f t="shared" si="1"/>
        <v>0</v>
      </c>
      <c r="F61" s="98"/>
      <c r="G61" s="30"/>
      <c r="H61" s="5"/>
    </row>
    <row r="62">
      <c r="A62" s="30"/>
      <c r="B62" s="30"/>
      <c r="C62" s="30"/>
      <c r="D62" s="99">
        <v>0.0</v>
      </c>
      <c r="E62" s="99">
        <f t="shared" si="1"/>
        <v>0</v>
      </c>
      <c r="F62" s="98"/>
      <c r="G62" s="30"/>
      <c r="H62" s="5"/>
    </row>
    <row r="63">
      <c r="A63" s="30"/>
      <c r="B63" s="30"/>
      <c r="C63" s="30"/>
      <c r="D63" s="99">
        <v>0.0</v>
      </c>
      <c r="E63" s="99">
        <f t="shared" si="1"/>
        <v>0</v>
      </c>
      <c r="F63" s="98"/>
      <c r="G63" s="30"/>
      <c r="H63" s="5"/>
    </row>
    <row r="64">
      <c r="A64" s="30"/>
      <c r="B64" s="30"/>
      <c r="C64" s="30"/>
      <c r="D64" s="99">
        <v>0.0</v>
      </c>
      <c r="E64" s="99">
        <f t="shared" si="1"/>
        <v>0</v>
      </c>
      <c r="F64" s="98"/>
      <c r="G64" s="30"/>
      <c r="H64" s="5"/>
    </row>
    <row r="65">
      <c r="A65" s="30"/>
      <c r="B65" s="30"/>
      <c r="C65" s="30"/>
      <c r="D65" s="99">
        <v>0.0</v>
      </c>
      <c r="E65" s="99">
        <f t="shared" si="1"/>
        <v>0</v>
      </c>
      <c r="F65" s="98"/>
      <c r="G65" s="30"/>
      <c r="H65" s="5"/>
    </row>
    <row r="66">
      <c r="A66" s="30"/>
      <c r="B66" s="30"/>
      <c r="C66" s="30"/>
      <c r="D66" s="99">
        <v>0.0</v>
      </c>
      <c r="E66" s="99">
        <f t="shared" si="1"/>
        <v>0</v>
      </c>
      <c r="F66" s="98"/>
      <c r="G66" s="30"/>
      <c r="H66" s="5"/>
    </row>
    <row r="67">
      <c r="A67" s="30"/>
      <c r="B67" s="30"/>
      <c r="C67" s="30"/>
      <c r="D67" s="99">
        <v>0.0</v>
      </c>
      <c r="E67" s="99">
        <f t="shared" si="1"/>
        <v>0</v>
      </c>
      <c r="F67" s="98"/>
      <c r="G67" s="30"/>
      <c r="H67" s="5"/>
    </row>
    <row r="68">
      <c r="A68" s="30"/>
      <c r="B68" s="30"/>
      <c r="C68" s="30"/>
      <c r="D68" s="99">
        <v>0.0</v>
      </c>
      <c r="E68" s="99">
        <f t="shared" si="1"/>
        <v>0</v>
      </c>
      <c r="F68" s="98"/>
      <c r="G68" s="30"/>
      <c r="H68" s="5"/>
    </row>
    <row r="69">
      <c r="A69" s="30"/>
      <c r="B69" s="30"/>
      <c r="C69" s="30"/>
      <c r="D69" s="99">
        <v>0.0</v>
      </c>
      <c r="E69" s="99">
        <f t="shared" si="1"/>
        <v>0</v>
      </c>
      <c r="F69" s="98"/>
      <c r="G69" s="30"/>
      <c r="H69" s="5"/>
    </row>
    <row r="70">
      <c r="A70" s="30"/>
      <c r="B70" s="30"/>
      <c r="C70" s="30"/>
      <c r="D70" s="99">
        <v>0.0</v>
      </c>
      <c r="E70" s="99">
        <f t="shared" si="1"/>
        <v>0</v>
      </c>
      <c r="F70" s="98"/>
      <c r="G70" s="30"/>
      <c r="H70" s="5"/>
    </row>
    <row r="71">
      <c r="A71" s="30"/>
      <c r="B71" s="30"/>
      <c r="C71" s="30"/>
      <c r="D71" s="99">
        <v>0.0</v>
      </c>
      <c r="E71" s="99">
        <f t="shared" si="1"/>
        <v>0</v>
      </c>
      <c r="F71" s="98"/>
      <c r="G71" s="30"/>
      <c r="H71" s="5"/>
    </row>
    <row r="72">
      <c r="A72" s="30"/>
      <c r="B72" s="30"/>
      <c r="C72" s="30"/>
      <c r="D72" s="99">
        <v>0.0</v>
      </c>
      <c r="E72" s="99">
        <f t="shared" si="1"/>
        <v>0</v>
      </c>
      <c r="F72" s="98"/>
      <c r="G72" s="30"/>
      <c r="H72" s="5"/>
    </row>
    <row r="73">
      <c r="A73" s="30"/>
      <c r="B73" s="30"/>
      <c r="C73" s="30"/>
      <c r="D73" s="99">
        <v>0.0</v>
      </c>
      <c r="E73" s="99">
        <f t="shared" si="1"/>
        <v>0</v>
      </c>
      <c r="F73" s="98"/>
      <c r="G73" s="30"/>
      <c r="H73" s="5"/>
    </row>
    <row r="74">
      <c r="A74" s="30"/>
      <c r="B74" s="30"/>
      <c r="C74" s="30"/>
      <c r="D74" s="99">
        <v>0.0</v>
      </c>
      <c r="E74" s="99">
        <f t="shared" si="1"/>
        <v>0</v>
      </c>
      <c r="F74" s="98"/>
      <c r="G74" s="30"/>
      <c r="H74" s="5"/>
    </row>
    <row r="75">
      <c r="A75" s="30"/>
      <c r="B75" s="30"/>
      <c r="C75" s="30"/>
      <c r="D75" s="99">
        <v>0.0</v>
      </c>
      <c r="E75" s="99">
        <f t="shared" si="1"/>
        <v>0</v>
      </c>
      <c r="F75" s="98"/>
      <c r="G75" s="30"/>
      <c r="H75" s="5"/>
    </row>
    <row r="76">
      <c r="A76" s="30"/>
      <c r="B76" s="30"/>
      <c r="C76" s="30"/>
      <c r="D76" s="99">
        <v>0.0</v>
      </c>
      <c r="E76" s="99">
        <f t="shared" si="1"/>
        <v>0</v>
      </c>
      <c r="F76" s="98"/>
      <c r="G76" s="30"/>
      <c r="H76" s="5"/>
    </row>
    <row r="77">
      <c r="A77" s="30"/>
      <c r="B77" s="30"/>
      <c r="C77" s="30"/>
      <c r="D77" s="99">
        <v>0.0</v>
      </c>
      <c r="E77" s="99">
        <f t="shared" si="1"/>
        <v>0</v>
      </c>
      <c r="F77" s="98"/>
      <c r="G77" s="30"/>
      <c r="H77" s="5"/>
    </row>
    <row r="78">
      <c r="A78" s="30"/>
      <c r="B78" s="30"/>
      <c r="C78" s="30"/>
      <c r="D78" s="99">
        <v>0.0</v>
      </c>
      <c r="E78" s="99">
        <f t="shared" si="1"/>
        <v>0</v>
      </c>
      <c r="F78" s="98"/>
      <c r="G78" s="30"/>
      <c r="H78" s="5"/>
    </row>
    <row r="79">
      <c r="A79" s="30"/>
      <c r="B79" s="30"/>
      <c r="C79" s="30"/>
      <c r="D79" s="99">
        <v>0.0</v>
      </c>
      <c r="E79" s="99">
        <f t="shared" si="1"/>
        <v>0</v>
      </c>
      <c r="F79" s="98"/>
      <c r="G79" s="30"/>
      <c r="H79" s="5"/>
    </row>
    <row r="80">
      <c r="A80" s="30"/>
      <c r="B80" s="30"/>
      <c r="C80" s="30"/>
      <c r="D80" s="99">
        <v>0.0</v>
      </c>
      <c r="E80" s="99">
        <f t="shared" si="1"/>
        <v>0</v>
      </c>
      <c r="F80" s="98"/>
      <c r="G80" s="30"/>
      <c r="H80" s="5"/>
    </row>
    <row r="81">
      <c r="A81" s="30"/>
      <c r="B81" s="30"/>
      <c r="C81" s="30"/>
      <c r="D81" s="99">
        <v>0.0</v>
      </c>
      <c r="E81" s="99">
        <f t="shared" si="1"/>
        <v>0</v>
      </c>
      <c r="F81" s="98"/>
      <c r="G81" s="30"/>
      <c r="H81" s="5"/>
    </row>
    <row r="82">
      <c r="A82" s="30"/>
      <c r="B82" s="30"/>
      <c r="C82" s="30"/>
      <c r="D82" s="99">
        <v>0.0</v>
      </c>
      <c r="E82" s="99">
        <f t="shared" si="1"/>
        <v>0</v>
      </c>
      <c r="F82" s="98"/>
      <c r="G82" s="30"/>
      <c r="H82" s="5"/>
    </row>
    <row r="83">
      <c r="A83" s="30"/>
      <c r="B83" s="30"/>
      <c r="C83" s="30"/>
      <c r="D83" s="99">
        <v>0.0</v>
      </c>
      <c r="E83" s="99">
        <f t="shared" si="1"/>
        <v>0</v>
      </c>
      <c r="F83" s="98"/>
      <c r="G83" s="30"/>
      <c r="H83" s="5"/>
    </row>
    <row r="84">
      <c r="A84" s="30"/>
      <c r="B84" s="30"/>
      <c r="C84" s="30"/>
      <c r="D84" s="99">
        <v>0.0</v>
      </c>
      <c r="E84" s="99">
        <f t="shared" si="1"/>
        <v>0</v>
      </c>
      <c r="F84" s="98"/>
      <c r="G84" s="30"/>
      <c r="H84" s="5"/>
    </row>
    <row r="85">
      <c r="A85" s="30"/>
      <c r="B85" s="30"/>
      <c r="C85" s="30"/>
      <c r="D85" s="99">
        <v>0.0</v>
      </c>
      <c r="E85" s="99">
        <f t="shared" si="1"/>
        <v>0</v>
      </c>
      <c r="F85" s="98"/>
      <c r="G85" s="30"/>
      <c r="H85" s="5"/>
    </row>
    <row r="86">
      <c r="A86" s="30"/>
      <c r="B86" s="30"/>
      <c r="C86" s="30"/>
      <c r="D86" s="99">
        <v>0.0</v>
      </c>
      <c r="E86" s="99">
        <f t="shared" si="1"/>
        <v>0</v>
      </c>
      <c r="F86" s="98"/>
      <c r="G86" s="30"/>
      <c r="H86" s="5"/>
    </row>
    <row r="87">
      <c r="A87" s="30"/>
      <c r="B87" s="30"/>
      <c r="C87" s="30"/>
      <c r="D87" s="99">
        <v>0.0</v>
      </c>
      <c r="E87" s="99">
        <f t="shared" si="1"/>
        <v>0</v>
      </c>
      <c r="F87" s="98"/>
      <c r="G87" s="30"/>
      <c r="H87" s="5"/>
    </row>
    <row r="88">
      <c r="A88" s="30"/>
      <c r="B88" s="30"/>
      <c r="C88" s="30"/>
      <c r="D88" s="99">
        <v>0.0</v>
      </c>
      <c r="E88" s="99">
        <f t="shared" si="1"/>
        <v>0</v>
      </c>
      <c r="F88" s="98"/>
      <c r="G88" s="30"/>
      <c r="H88" s="5"/>
    </row>
    <row r="89">
      <c r="A89" s="30"/>
      <c r="B89" s="30"/>
      <c r="C89" s="30"/>
      <c r="D89" s="99">
        <v>0.0</v>
      </c>
      <c r="E89" s="99">
        <f t="shared" si="1"/>
        <v>0</v>
      </c>
      <c r="F89" s="98"/>
      <c r="G89" s="30"/>
      <c r="H89" s="5"/>
    </row>
    <row r="90">
      <c r="A90" s="30"/>
      <c r="B90" s="30"/>
      <c r="C90" s="30"/>
      <c r="D90" s="99">
        <v>0.0</v>
      </c>
      <c r="E90" s="99">
        <f t="shared" si="1"/>
        <v>0</v>
      </c>
      <c r="F90" s="98"/>
      <c r="G90" s="30"/>
      <c r="H90" s="5"/>
    </row>
    <row r="91">
      <c r="A91" s="30"/>
      <c r="B91" s="30"/>
      <c r="C91" s="30"/>
      <c r="D91" s="99">
        <v>0.0</v>
      </c>
      <c r="E91" s="99">
        <f t="shared" si="1"/>
        <v>0</v>
      </c>
      <c r="F91" s="98"/>
      <c r="G91" s="30"/>
      <c r="H91" s="5"/>
    </row>
    <row r="92">
      <c r="A92" s="30"/>
      <c r="B92" s="30"/>
      <c r="C92" s="30"/>
      <c r="D92" s="99">
        <v>0.0</v>
      </c>
      <c r="E92" s="99">
        <f t="shared" si="1"/>
        <v>0</v>
      </c>
      <c r="F92" s="98"/>
      <c r="G92" s="30"/>
      <c r="H92" s="5"/>
    </row>
    <row r="93">
      <c r="A93" s="30"/>
      <c r="B93" s="30"/>
      <c r="C93" s="30"/>
      <c r="D93" s="99">
        <v>0.0</v>
      </c>
      <c r="E93" s="99">
        <f t="shared" si="1"/>
        <v>0</v>
      </c>
      <c r="F93" s="98"/>
      <c r="G93" s="30"/>
      <c r="H93" s="5"/>
    </row>
    <row r="94">
      <c r="A94" s="30"/>
      <c r="B94" s="30"/>
      <c r="C94" s="30"/>
      <c r="D94" s="99">
        <v>0.0</v>
      </c>
      <c r="E94" s="99">
        <f t="shared" si="1"/>
        <v>0</v>
      </c>
      <c r="F94" s="98"/>
      <c r="G94" s="30"/>
      <c r="H94" s="5"/>
    </row>
    <row r="95">
      <c r="A95" s="30"/>
      <c r="B95" s="30"/>
      <c r="C95" s="30"/>
      <c r="D95" s="99">
        <v>0.0</v>
      </c>
      <c r="E95" s="99">
        <f t="shared" si="1"/>
        <v>0</v>
      </c>
      <c r="F95" s="98"/>
      <c r="G95" s="30"/>
      <c r="H95" s="5"/>
    </row>
    <row r="96">
      <c r="A96" s="30"/>
      <c r="B96" s="30"/>
      <c r="C96" s="30"/>
      <c r="D96" s="99">
        <v>0.0</v>
      </c>
      <c r="E96" s="99">
        <f t="shared" si="1"/>
        <v>0</v>
      </c>
      <c r="F96" s="98"/>
      <c r="G96" s="30"/>
      <c r="H96" s="5"/>
    </row>
    <row r="97">
      <c r="A97" s="30"/>
      <c r="B97" s="30"/>
      <c r="C97" s="30"/>
      <c r="D97" s="99">
        <v>0.0</v>
      </c>
      <c r="E97" s="99">
        <f t="shared" si="1"/>
        <v>0</v>
      </c>
      <c r="F97" s="98"/>
      <c r="G97" s="30"/>
      <c r="H97" s="5"/>
    </row>
    <row r="98">
      <c r="A98" s="30"/>
      <c r="B98" s="30"/>
      <c r="C98" s="30"/>
      <c r="D98" s="99">
        <v>0.0</v>
      </c>
      <c r="E98" s="99">
        <f t="shared" si="1"/>
        <v>0</v>
      </c>
      <c r="F98" s="98"/>
      <c r="G98" s="30"/>
      <c r="H98" s="5"/>
    </row>
    <row r="99">
      <c r="A99" s="30"/>
      <c r="B99" s="30"/>
      <c r="C99" s="30"/>
      <c r="D99" s="99">
        <v>0.0</v>
      </c>
      <c r="E99" s="99">
        <f t="shared" si="1"/>
        <v>0</v>
      </c>
      <c r="F99" s="98"/>
      <c r="G99" s="30"/>
      <c r="H99" s="5"/>
    </row>
    <row r="100">
      <c r="A100" s="30"/>
      <c r="B100" s="30"/>
      <c r="C100" s="30"/>
      <c r="D100" s="99">
        <v>0.0</v>
      </c>
      <c r="E100" s="99">
        <f t="shared" si="1"/>
        <v>0</v>
      </c>
      <c r="F100" s="98"/>
      <c r="G100" s="30"/>
      <c r="H100" s="5"/>
    </row>
    <row r="101">
      <c r="A101" s="30"/>
      <c r="B101" s="30"/>
      <c r="C101" s="30"/>
      <c r="D101" s="99">
        <v>0.0</v>
      </c>
      <c r="E101" s="99">
        <f t="shared" si="1"/>
        <v>0</v>
      </c>
      <c r="F101" s="98"/>
      <c r="G101" s="30"/>
      <c r="H101" s="5"/>
    </row>
    <row r="102">
      <c r="A102" s="30"/>
      <c r="B102" s="30"/>
      <c r="C102" s="30"/>
      <c r="D102" s="99">
        <v>0.0</v>
      </c>
      <c r="E102" s="99">
        <f t="shared" si="1"/>
        <v>0</v>
      </c>
      <c r="F102" s="98"/>
      <c r="G102" s="30"/>
      <c r="H102" s="5"/>
    </row>
    <row r="103">
      <c r="A103" s="30"/>
      <c r="B103" s="30"/>
      <c r="C103" s="30"/>
      <c r="D103" s="99">
        <v>0.0</v>
      </c>
      <c r="E103" s="99">
        <f t="shared" si="1"/>
        <v>0</v>
      </c>
      <c r="F103" s="98"/>
      <c r="G103" s="30"/>
      <c r="H103" s="5"/>
    </row>
    <row r="104">
      <c r="A104" s="30"/>
      <c r="B104" s="30"/>
      <c r="C104" s="30"/>
      <c r="D104" s="99">
        <v>0.0</v>
      </c>
      <c r="E104" s="99">
        <f t="shared" si="1"/>
        <v>0</v>
      </c>
      <c r="F104" s="98"/>
      <c r="G104" s="30"/>
      <c r="H104" s="5"/>
    </row>
    <row r="105">
      <c r="A105" s="30"/>
      <c r="B105" s="30"/>
      <c r="C105" s="30"/>
      <c r="D105" s="99">
        <v>0.0</v>
      </c>
      <c r="E105" s="99">
        <f t="shared" si="1"/>
        <v>0</v>
      </c>
      <c r="F105" s="98"/>
      <c r="G105" s="30"/>
      <c r="H105" s="5"/>
    </row>
    <row r="106">
      <c r="A106" s="30"/>
      <c r="B106" s="30"/>
      <c r="C106" s="30"/>
      <c r="D106" s="99">
        <v>0.0</v>
      </c>
      <c r="E106" s="99">
        <f t="shared" si="1"/>
        <v>0</v>
      </c>
      <c r="F106" s="98"/>
      <c r="G106" s="30"/>
      <c r="H106" s="5"/>
    </row>
    <row r="107">
      <c r="A107" s="30"/>
      <c r="B107" s="30"/>
      <c r="C107" s="30"/>
      <c r="D107" s="99">
        <v>0.0</v>
      </c>
      <c r="E107" s="99">
        <f t="shared" si="1"/>
        <v>0</v>
      </c>
      <c r="F107" s="98"/>
      <c r="G107" s="30"/>
      <c r="H107" s="5"/>
    </row>
    <row r="108">
      <c r="A108" s="30"/>
      <c r="B108" s="30"/>
      <c r="C108" s="30"/>
      <c r="D108" s="99">
        <v>0.0</v>
      </c>
      <c r="E108" s="99">
        <f t="shared" si="1"/>
        <v>0</v>
      </c>
      <c r="F108" s="98"/>
      <c r="G108" s="30"/>
      <c r="H108" s="5"/>
    </row>
    <row r="109">
      <c r="A109" s="30"/>
      <c r="B109" s="30"/>
      <c r="C109" s="30"/>
      <c r="D109" s="99">
        <v>0.0</v>
      </c>
      <c r="E109" s="99">
        <f t="shared" si="1"/>
        <v>0</v>
      </c>
      <c r="F109" s="98"/>
      <c r="G109" s="30"/>
      <c r="H109" s="5"/>
    </row>
    <row r="110">
      <c r="A110" s="30"/>
      <c r="B110" s="30"/>
      <c r="C110" s="30"/>
      <c r="D110" s="99">
        <v>0.0</v>
      </c>
      <c r="E110" s="99">
        <f t="shared" si="1"/>
        <v>0</v>
      </c>
      <c r="F110" s="98"/>
      <c r="G110" s="30"/>
      <c r="H110" s="5"/>
    </row>
    <row r="111">
      <c r="A111" s="30"/>
      <c r="B111" s="30"/>
      <c r="C111" s="30"/>
      <c r="D111" s="99">
        <v>0.0</v>
      </c>
      <c r="E111" s="99">
        <f t="shared" si="1"/>
        <v>0</v>
      </c>
      <c r="F111" s="98"/>
      <c r="G111" s="30"/>
      <c r="H111" s="5"/>
    </row>
    <row r="112">
      <c r="A112" s="30"/>
      <c r="B112" s="30"/>
      <c r="C112" s="30"/>
      <c r="D112" s="99">
        <v>0.0</v>
      </c>
      <c r="E112" s="99">
        <f t="shared" si="1"/>
        <v>0</v>
      </c>
      <c r="F112" s="98"/>
      <c r="G112" s="30"/>
      <c r="H112" s="5"/>
    </row>
    <row r="113">
      <c r="A113" s="30"/>
      <c r="B113" s="30"/>
      <c r="C113" s="30"/>
      <c r="D113" s="99">
        <v>0.0</v>
      </c>
      <c r="E113" s="99">
        <f t="shared" si="1"/>
        <v>0</v>
      </c>
      <c r="F113" s="98"/>
      <c r="G113" s="30"/>
      <c r="H113" s="5"/>
    </row>
    <row r="114">
      <c r="A114" s="30"/>
      <c r="B114" s="30"/>
      <c r="C114" s="30"/>
      <c r="D114" s="99">
        <v>0.0</v>
      </c>
      <c r="E114" s="99">
        <f t="shared" si="1"/>
        <v>0</v>
      </c>
      <c r="F114" s="98"/>
      <c r="G114" s="30"/>
      <c r="H114" s="5"/>
    </row>
    <row r="115">
      <c r="A115" s="30"/>
      <c r="B115" s="30"/>
      <c r="C115" s="30"/>
      <c r="D115" s="99">
        <v>0.0</v>
      </c>
      <c r="E115" s="99">
        <f t="shared" si="1"/>
        <v>0</v>
      </c>
      <c r="F115" s="98"/>
      <c r="G115" s="30"/>
      <c r="H115" s="5"/>
    </row>
    <row r="116">
      <c r="A116" s="30"/>
      <c r="B116" s="30"/>
      <c r="C116" s="30"/>
      <c r="D116" s="99">
        <v>0.0</v>
      </c>
      <c r="E116" s="99">
        <f t="shared" si="1"/>
        <v>0</v>
      </c>
      <c r="F116" s="98"/>
      <c r="G116" s="30"/>
      <c r="H116" s="5"/>
    </row>
    <row r="117">
      <c r="A117" s="30"/>
      <c r="B117" s="30"/>
      <c r="C117" s="30"/>
      <c r="D117" s="99">
        <v>0.0</v>
      </c>
      <c r="E117" s="99">
        <f t="shared" si="1"/>
        <v>0</v>
      </c>
      <c r="F117" s="98"/>
      <c r="G117" s="30"/>
      <c r="H117" s="5"/>
    </row>
    <row r="118">
      <c r="A118" s="30"/>
      <c r="B118" s="30"/>
      <c r="C118" s="30"/>
      <c r="D118" s="99">
        <v>0.0</v>
      </c>
      <c r="E118" s="99">
        <f t="shared" si="1"/>
        <v>0</v>
      </c>
      <c r="F118" s="98"/>
      <c r="G118" s="30"/>
      <c r="H118" s="5"/>
    </row>
    <row r="119">
      <c r="A119" s="30"/>
      <c r="B119" s="30"/>
      <c r="C119" s="30"/>
      <c r="D119" s="99">
        <v>0.0</v>
      </c>
      <c r="E119" s="99">
        <f t="shared" si="1"/>
        <v>0</v>
      </c>
      <c r="F119" s="98"/>
      <c r="G119" s="30"/>
      <c r="H119" s="5"/>
    </row>
    <row r="120">
      <c r="A120" s="30"/>
      <c r="B120" s="30"/>
      <c r="C120" s="30"/>
      <c r="D120" s="99">
        <v>0.0</v>
      </c>
      <c r="E120" s="99">
        <f t="shared" si="1"/>
        <v>0</v>
      </c>
      <c r="F120" s="98"/>
      <c r="G120" s="30"/>
      <c r="H120" s="5"/>
    </row>
    <row r="121">
      <c r="A121" s="30"/>
      <c r="B121" s="30"/>
      <c r="C121" s="30"/>
      <c r="D121" s="99">
        <v>0.0</v>
      </c>
      <c r="E121" s="99">
        <f t="shared" si="1"/>
        <v>0</v>
      </c>
      <c r="F121" s="98"/>
      <c r="G121" s="30"/>
      <c r="H121" s="5"/>
    </row>
    <row r="122">
      <c r="A122" s="30"/>
      <c r="B122" s="30"/>
      <c r="C122" s="30"/>
      <c r="D122" s="99">
        <v>0.0</v>
      </c>
      <c r="E122" s="99">
        <f t="shared" si="1"/>
        <v>0</v>
      </c>
      <c r="F122" s="98"/>
      <c r="G122" s="30"/>
      <c r="H122" s="5"/>
    </row>
    <row r="123">
      <c r="A123" s="30"/>
      <c r="B123" s="30"/>
      <c r="C123" s="30"/>
      <c r="D123" s="99">
        <v>0.0</v>
      </c>
      <c r="E123" s="99">
        <f t="shared" si="1"/>
        <v>0</v>
      </c>
      <c r="F123" s="98"/>
      <c r="G123" s="30"/>
      <c r="H123" s="5"/>
    </row>
    <row r="124">
      <c r="A124" s="30"/>
      <c r="B124" s="30"/>
      <c r="C124" s="30"/>
      <c r="D124" s="99">
        <v>0.0</v>
      </c>
      <c r="E124" s="99">
        <f t="shared" si="1"/>
        <v>0</v>
      </c>
      <c r="F124" s="98"/>
      <c r="G124" s="30"/>
      <c r="H124" s="5"/>
    </row>
    <row r="125">
      <c r="A125" s="30"/>
      <c r="B125" s="30"/>
      <c r="C125" s="30"/>
      <c r="D125" s="99">
        <v>0.0</v>
      </c>
      <c r="E125" s="99">
        <f t="shared" si="1"/>
        <v>0</v>
      </c>
      <c r="F125" s="98"/>
      <c r="G125" s="30"/>
      <c r="H125" s="5"/>
    </row>
    <row r="126">
      <c r="A126" s="30"/>
      <c r="B126" s="30"/>
      <c r="C126" s="30"/>
      <c r="D126" s="99">
        <v>0.0</v>
      </c>
      <c r="E126" s="99">
        <f t="shared" si="1"/>
        <v>0</v>
      </c>
      <c r="F126" s="98"/>
      <c r="G126" s="30"/>
      <c r="H126" s="5"/>
    </row>
    <row r="127">
      <c r="A127" s="30"/>
      <c r="B127" s="30"/>
      <c r="C127" s="30"/>
      <c r="D127" s="99">
        <v>0.0</v>
      </c>
      <c r="E127" s="99">
        <f t="shared" si="1"/>
        <v>0</v>
      </c>
      <c r="F127" s="98"/>
      <c r="G127" s="30"/>
      <c r="H127" s="5"/>
    </row>
    <row r="128">
      <c r="A128" s="30"/>
      <c r="B128" s="30"/>
      <c r="C128" s="30"/>
      <c r="D128" s="99">
        <v>0.0</v>
      </c>
      <c r="E128" s="99">
        <f t="shared" si="1"/>
        <v>0</v>
      </c>
      <c r="F128" s="98"/>
      <c r="G128" s="30"/>
      <c r="H128" s="5"/>
    </row>
    <row r="129">
      <c r="A129" s="30"/>
      <c r="B129" s="30"/>
      <c r="C129" s="30"/>
      <c r="D129" s="99">
        <v>0.0</v>
      </c>
      <c r="E129" s="99">
        <f t="shared" si="1"/>
        <v>0</v>
      </c>
      <c r="F129" s="98"/>
      <c r="G129" s="30"/>
      <c r="H129" s="5"/>
    </row>
    <row r="130">
      <c r="A130" s="30"/>
      <c r="B130" s="30"/>
      <c r="C130" s="30"/>
      <c r="D130" s="99">
        <v>0.0</v>
      </c>
      <c r="E130" s="99">
        <f t="shared" si="1"/>
        <v>0</v>
      </c>
      <c r="F130" s="98"/>
      <c r="G130" s="30"/>
      <c r="H130" s="5"/>
    </row>
    <row r="131">
      <c r="A131" s="30"/>
      <c r="B131" s="30"/>
      <c r="C131" s="30"/>
      <c r="D131" s="99">
        <v>0.0</v>
      </c>
      <c r="E131" s="99">
        <f t="shared" si="1"/>
        <v>0</v>
      </c>
      <c r="F131" s="98"/>
      <c r="G131" s="30"/>
      <c r="H131" s="5"/>
    </row>
    <row r="132">
      <c r="A132" s="30"/>
      <c r="B132" s="30"/>
      <c r="C132" s="30"/>
      <c r="D132" s="99">
        <v>0.0</v>
      </c>
      <c r="E132" s="99">
        <f t="shared" si="1"/>
        <v>0</v>
      </c>
      <c r="F132" s="98"/>
      <c r="G132" s="30"/>
      <c r="H132" s="5"/>
    </row>
    <row r="133">
      <c r="A133" s="30"/>
      <c r="B133" s="30"/>
      <c r="C133" s="30"/>
      <c r="D133" s="99">
        <v>0.0</v>
      </c>
      <c r="E133" s="99">
        <f t="shared" si="1"/>
        <v>0</v>
      </c>
      <c r="F133" s="98"/>
      <c r="G133" s="30"/>
      <c r="H133" s="5"/>
    </row>
    <row r="134">
      <c r="A134" s="30"/>
      <c r="B134" s="30"/>
      <c r="C134" s="30"/>
      <c r="D134" s="99">
        <v>0.0</v>
      </c>
      <c r="E134" s="99">
        <f t="shared" si="1"/>
        <v>0</v>
      </c>
      <c r="F134" s="98"/>
      <c r="G134" s="30"/>
      <c r="H134" s="5"/>
    </row>
    <row r="135">
      <c r="A135" s="30"/>
      <c r="B135" s="30"/>
      <c r="C135" s="30"/>
      <c r="D135" s="99">
        <v>0.0</v>
      </c>
      <c r="E135" s="99">
        <f t="shared" si="1"/>
        <v>0</v>
      </c>
      <c r="F135" s="98"/>
      <c r="G135" s="30"/>
      <c r="H135" s="5"/>
    </row>
    <row r="136">
      <c r="A136" s="30"/>
      <c r="B136" s="30"/>
      <c r="C136" s="30"/>
      <c r="D136" s="99">
        <v>0.0</v>
      </c>
      <c r="E136" s="99">
        <f t="shared" si="1"/>
        <v>0</v>
      </c>
      <c r="F136" s="98"/>
      <c r="G136" s="30"/>
      <c r="H136" s="5"/>
    </row>
    <row r="137">
      <c r="A137" s="30"/>
      <c r="B137" s="30"/>
      <c r="C137" s="30"/>
      <c r="D137" s="99">
        <v>0.0</v>
      </c>
      <c r="E137" s="99">
        <f t="shared" si="1"/>
        <v>0</v>
      </c>
      <c r="F137" s="98"/>
      <c r="G137" s="30"/>
      <c r="H137" s="5"/>
    </row>
    <row r="138">
      <c r="A138" s="30"/>
      <c r="B138" s="30"/>
      <c r="C138" s="30"/>
      <c r="D138" s="99">
        <v>0.0</v>
      </c>
      <c r="E138" s="99">
        <f t="shared" si="1"/>
        <v>0</v>
      </c>
      <c r="F138" s="98"/>
      <c r="G138" s="30"/>
      <c r="H138" s="5"/>
    </row>
    <row r="139">
      <c r="A139" s="30"/>
      <c r="B139" s="30"/>
      <c r="C139" s="30"/>
      <c r="D139" s="99">
        <v>0.0</v>
      </c>
      <c r="E139" s="99">
        <f t="shared" si="1"/>
        <v>0</v>
      </c>
      <c r="F139" s="98"/>
      <c r="G139" s="30"/>
      <c r="H139" s="5"/>
    </row>
    <row r="140">
      <c r="A140" s="30"/>
      <c r="B140" s="30"/>
      <c r="C140" s="30"/>
      <c r="D140" s="99">
        <v>0.0</v>
      </c>
      <c r="E140" s="99">
        <f t="shared" si="1"/>
        <v>0</v>
      </c>
      <c r="F140" s="98"/>
      <c r="G140" s="30"/>
      <c r="H140" s="5"/>
    </row>
    <row r="141">
      <c r="A141" s="30"/>
      <c r="B141" s="30"/>
      <c r="C141" s="30"/>
      <c r="D141" s="99">
        <v>0.0</v>
      </c>
      <c r="E141" s="99">
        <f t="shared" si="1"/>
        <v>0</v>
      </c>
      <c r="F141" s="98"/>
      <c r="G141" s="30"/>
      <c r="H141" s="5"/>
    </row>
    <row r="142">
      <c r="A142" s="30"/>
      <c r="B142" s="30"/>
      <c r="C142" s="30"/>
      <c r="D142" s="99">
        <v>0.0</v>
      </c>
      <c r="E142" s="99">
        <f t="shared" si="1"/>
        <v>0</v>
      </c>
      <c r="F142" s="98"/>
      <c r="G142" s="30"/>
      <c r="H142" s="5"/>
    </row>
    <row r="143">
      <c r="A143" s="30"/>
      <c r="B143" s="30"/>
      <c r="C143" s="30"/>
      <c r="D143" s="99">
        <v>0.0</v>
      </c>
      <c r="E143" s="99">
        <f t="shared" si="1"/>
        <v>0</v>
      </c>
      <c r="F143" s="98"/>
      <c r="G143" s="30"/>
      <c r="H143" s="5"/>
    </row>
    <row r="144">
      <c r="A144" s="30"/>
      <c r="B144" s="30"/>
      <c r="C144" s="30"/>
      <c r="D144" s="99">
        <v>0.0</v>
      </c>
      <c r="E144" s="99">
        <f t="shared" si="1"/>
        <v>0</v>
      </c>
      <c r="F144" s="98"/>
      <c r="G144" s="30"/>
      <c r="H144" s="5"/>
    </row>
    <row r="145">
      <c r="A145" s="30"/>
      <c r="B145" s="30"/>
      <c r="C145" s="30"/>
      <c r="D145" s="99">
        <v>0.0</v>
      </c>
      <c r="E145" s="99">
        <f t="shared" si="1"/>
        <v>0</v>
      </c>
      <c r="F145" s="98"/>
      <c r="G145" s="30"/>
      <c r="H145" s="5"/>
    </row>
    <row r="146">
      <c r="A146" s="30"/>
      <c r="B146" s="30"/>
      <c r="C146" s="30"/>
      <c r="D146" s="99">
        <v>0.0</v>
      </c>
      <c r="E146" s="99">
        <f t="shared" si="1"/>
        <v>0</v>
      </c>
      <c r="F146" s="98"/>
      <c r="G146" s="30"/>
      <c r="H146" s="5"/>
    </row>
    <row r="147">
      <c r="A147" s="30"/>
      <c r="B147" s="30"/>
      <c r="C147" s="30"/>
      <c r="D147" s="99">
        <v>0.0</v>
      </c>
      <c r="E147" s="99">
        <f t="shared" si="1"/>
        <v>0</v>
      </c>
      <c r="F147" s="98"/>
      <c r="G147" s="30"/>
      <c r="H147" s="5"/>
    </row>
    <row r="148">
      <c r="A148" s="30"/>
      <c r="B148" s="30"/>
      <c r="C148" s="30"/>
      <c r="D148" s="99">
        <v>0.0</v>
      </c>
      <c r="E148" s="99">
        <f t="shared" si="1"/>
        <v>0</v>
      </c>
      <c r="F148" s="98"/>
      <c r="G148" s="30"/>
      <c r="H148" s="5"/>
    </row>
    <row r="149">
      <c r="A149" s="30"/>
      <c r="B149" s="30"/>
      <c r="C149" s="30"/>
      <c r="D149" s="99">
        <v>0.0</v>
      </c>
      <c r="E149" s="99">
        <f t="shared" si="1"/>
        <v>0</v>
      </c>
      <c r="F149" s="98"/>
      <c r="G149" s="30"/>
      <c r="H149" s="5"/>
    </row>
    <row r="150">
      <c r="A150" s="30"/>
      <c r="B150" s="30"/>
      <c r="C150" s="30"/>
      <c r="D150" s="99">
        <v>0.0</v>
      </c>
      <c r="E150" s="99">
        <f t="shared" si="1"/>
        <v>0</v>
      </c>
      <c r="F150" s="98"/>
      <c r="G150" s="30"/>
      <c r="H150" s="5"/>
    </row>
    <row r="151">
      <c r="A151" s="30"/>
      <c r="B151" s="30"/>
      <c r="C151" s="30"/>
      <c r="D151" s="99">
        <v>0.0</v>
      </c>
      <c r="E151" s="99">
        <f t="shared" si="1"/>
        <v>0</v>
      </c>
      <c r="F151" s="98"/>
      <c r="G151" s="30"/>
      <c r="H151" s="5"/>
    </row>
    <row r="152">
      <c r="A152" s="30"/>
      <c r="B152" s="30"/>
      <c r="C152" s="30"/>
      <c r="D152" s="99">
        <v>0.0</v>
      </c>
      <c r="E152" s="99">
        <f t="shared" si="1"/>
        <v>0</v>
      </c>
      <c r="F152" s="98"/>
      <c r="G152" s="30"/>
      <c r="H152" s="5"/>
    </row>
    <row r="153">
      <c r="A153" s="30"/>
      <c r="B153" s="30"/>
      <c r="C153" s="30"/>
      <c r="D153" s="99">
        <v>0.0</v>
      </c>
      <c r="E153" s="99">
        <f t="shared" si="1"/>
        <v>0</v>
      </c>
      <c r="F153" s="98"/>
      <c r="G153" s="30"/>
      <c r="H153" s="5"/>
    </row>
    <row r="154">
      <c r="A154" s="30"/>
      <c r="B154" s="30"/>
      <c r="C154" s="30"/>
      <c r="D154" s="99">
        <v>0.0</v>
      </c>
      <c r="E154" s="99">
        <f t="shared" si="1"/>
        <v>0</v>
      </c>
      <c r="F154" s="98"/>
      <c r="G154" s="30"/>
      <c r="H154" s="5"/>
    </row>
    <row r="155">
      <c r="A155" s="30"/>
      <c r="B155" s="30"/>
      <c r="C155" s="30"/>
      <c r="D155" s="99">
        <v>0.0</v>
      </c>
      <c r="E155" s="99">
        <f t="shared" si="1"/>
        <v>0</v>
      </c>
      <c r="F155" s="98"/>
      <c r="G155" s="30"/>
      <c r="H155" s="5"/>
    </row>
    <row r="156">
      <c r="A156" s="30"/>
      <c r="B156" s="30"/>
      <c r="C156" s="30"/>
      <c r="D156" s="99">
        <v>0.0</v>
      </c>
      <c r="E156" s="99">
        <f t="shared" si="1"/>
        <v>0</v>
      </c>
      <c r="F156" s="98"/>
      <c r="G156" s="30"/>
      <c r="H156" s="5"/>
    </row>
    <row r="157">
      <c r="A157" s="30"/>
      <c r="B157" s="30"/>
      <c r="C157" s="30"/>
      <c r="D157" s="99">
        <v>0.0</v>
      </c>
      <c r="E157" s="99">
        <f t="shared" si="1"/>
        <v>0</v>
      </c>
      <c r="F157" s="98"/>
      <c r="G157" s="30"/>
      <c r="H157" s="5"/>
    </row>
    <row r="158">
      <c r="A158" s="30"/>
      <c r="B158" s="30"/>
      <c r="C158" s="30"/>
      <c r="D158" s="99">
        <v>0.0</v>
      </c>
      <c r="E158" s="99">
        <f t="shared" si="1"/>
        <v>0</v>
      </c>
      <c r="F158" s="98"/>
      <c r="G158" s="30"/>
      <c r="H158" s="5"/>
    </row>
    <row r="159">
      <c r="A159" s="30"/>
      <c r="B159" s="30"/>
      <c r="C159" s="30"/>
      <c r="D159" s="99">
        <v>0.0</v>
      </c>
      <c r="E159" s="99">
        <f t="shared" si="1"/>
        <v>0</v>
      </c>
      <c r="F159" s="98"/>
      <c r="G159" s="30"/>
      <c r="H159" s="5"/>
    </row>
    <row r="160">
      <c r="A160" s="30"/>
      <c r="B160" s="30"/>
      <c r="C160" s="30"/>
      <c r="D160" s="99">
        <v>0.0</v>
      </c>
      <c r="E160" s="99">
        <f t="shared" si="1"/>
        <v>0</v>
      </c>
      <c r="F160" s="98"/>
      <c r="G160" s="30"/>
      <c r="H160" s="5"/>
    </row>
    <row r="161">
      <c r="A161" s="30"/>
      <c r="B161" s="30"/>
      <c r="C161" s="30"/>
      <c r="D161" s="99">
        <v>0.0</v>
      </c>
      <c r="E161" s="99">
        <f t="shared" si="1"/>
        <v>0</v>
      </c>
      <c r="F161" s="98"/>
      <c r="G161" s="30"/>
      <c r="H161" s="5"/>
    </row>
    <row r="162">
      <c r="A162" s="30"/>
      <c r="B162" s="30"/>
      <c r="C162" s="30"/>
      <c r="D162" s="99">
        <v>0.0</v>
      </c>
      <c r="E162" s="99">
        <f t="shared" si="1"/>
        <v>0</v>
      </c>
      <c r="F162" s="98"/>
      <c r="G162" s="30"/>
      <c r="H162" s="5"/>
    </row>
    <row r="163">
      <c r="A163" s="30"/>
      <c r="B163" s="30"/>
      <c r="C163" s="30"/>
      <c r="D163" s="99">
        <v>0.0</v>
      </c>
      <c r="E163" s="99">
        <f t="shared" si="1"/>
        <v>0</v>
      </c>
      <c r="F163" s="98"/>
      <c r="G163" s="30"/>
      <c r="H163" s="5"/>
    </row>
    <row r="164">
      <c r="A164" s="30"/>
      <c r="B164" s="30"/>
      <c r="C164" s="30"/>
      <c r="D164" s="99">
        <v>0.0</v>
      </c>
      <c r="E164" s="99">
        <f t="shared" si="1"/>
        <v>0</v>
      </c>
      <c r="F164" s="98"/>
      <c r="G164" s="30"/>
      <c r="H164" s="5"/>
    </row>
    <row r="165">
      <c r="A165" s="30"/>
      <c r="B165" s="30"/>
      <c r="C165" s="30"/>
      <c r="D165" s="99">
        <v>0.0</v>
      </c>
      <c r="E165" s="99">
        <f t="shared" si="1"/>
        <v>0</v>
      </c>
      <c r="F165" s="98"/>
      <c r="G165" s="30"/>
      <c r="H165" s="5"/>
    </row>
    <row r="166">
      <c r="A166" s="30"/>
      <c r="B166" s="30"/>
      <c r="C166" s="30"/>
      <c r="D166" s="99">
        <v>0.0</v>
      </c>
      <c r="E166" s="99">
        <f t="shared" si="1"/>
        <v>0</v>
      </c>
      <c r="F166" s="98"/>
      <c r="G166" s="30"/>
      <c r="H166" s="5"/>
    </row>
    <row r="167">
      <c r="A167" s="30"/>
      <c r="B167" s="30"/>
      <c r="C167" s="30"/>
      <c r="D167" s="99">
        <v>0.0</v>
      </c>
      <c r="E167" s="99">
        <f t="shared" si="1"/>
        <v>0</v>
      </c>
      <c r="F167" s="98"/>
      <c r="G167" s="30"/>
      <c r="H167" s="5"/>
    </row>
    <row r="168">
      <c r="A168" s="30"/>
      <c r="B168" s="30"/>
      <c r="C168" s="30"/>
      <c r="D168" s="99">
        <v>0.0</v>
      </c>
      <c r="E168" s="99">
        <f t="shared" si="1"/>
        <v>0</v>
      </c>
      <c r="F168" s="30"/>
      <c r="G168" s="30"/>
      <c r="H168" s="5"/>
    </row>
    <row r="169">
      <c r="A169" s="30"/>
      <c r="B169" s="30"/>
      <c r="C169" s="30"/>
      <c r="D169" s="99">
        <v>0.0</v>
      </c>
      <c r="E169" s="99">
        <f t="shared" si="1"/>
        <v>0</v>
      </c>
      <c r="F169" s="30"/>
      <c r="G169" s="30"/>
      <c r="H169" s="5"/>
    </row>
    <row r="170">
      <c r="A170" s="30"/>
      <c r="B170" s="30"/>
      <c r="C170" s="30"/>
      <c r="D170" s="99">
        <v>0.0</v>
      </c>
      <c r="E170" s="99">
        <f t="shared" si="1"/>
        <v>0</v>
      </c>
      <c r="F170" s="30"/>
      <c r="G170" s="30"/>
      <c r="H170" s="5"/>
    </row>
    <row r="171">
      <c r="A171" s="30"/>
      <c r="B171" s="30"/>
      <c r="C171" s="30"/>
      <c r="D171" s="99">
        <v>0.0</v>
      </c>
      <c r="E171" s="99">
        <f t="shared" si="1"/>
        <v>0</v>
      </c>
      <c r="F171" s="30"/>
      <c r="G171" s="30"/>
      <c r="H171" s="5"/>
    </row>
    <row r="172">
      <c r="A172" s="30"/>
      <c r="B172" s="30"/>
      <c r="C172" s="30"/>
      <c r="D172" s="99">
        <v>0.0</v>
      </c>
      <c r="E172" s="99">
        <f t="shared" si="1"/>
        <v>0</v>
      </c>
      <c r="F172" s="30"/>
      <c r="G172" s="30"/>
      <c r="H172" s="5"/>
    </row>
    <row r="173">
      <c r="A173" s="30"/>
      <c r="B173" s="30"/>
      <c r="C173" s="30"/>
      <c r="D173" s="99">
        <v>0.0</v>
      </c>
      <c r="E173" s="99">
        <f t="shared" si="1"/>
        <v>0</v>
      </c>
      <c r="F173" s="30"/>
      <c r="G173" s="30"/>
      <c r="H173" s="5"/>
    </row>
    <row r="174">
      <c r="A174" s="30"/>
      <c r="B174" s="30"/>
      <c r="C174" s="30"/>
      <c r="D174" s="99">
        <v>0.0</v>
      </c>
      <c r="E174" s="99">
        <f t="shared" si="1"/>
        <v>0</v>
      </c>
      <c r="F174" s="30"/>
      <c r="G174" s="30"/>
      <c r="H174" s="5"/>
    </row>
    <row r="175">
      <c r="A175" s="30"/>
      <c r="B175" s="30"/>
      <c r="C175" s="30"/>
      <c r="D175" s="99">
        <v>0.0</v>
      </c>
      <c r="E175" s="99">
        <f t="shared" si="1"/>
        <v>0</v>
      </c>
      <c r="F175" s="30"/>
      <c r="G175" s="30"/>
      <c r="H175" s="5"/>
    </row>
    <row r="176">
      <c r="A176" s="30"/>
      <c r="B176" s="30"/>
      <c r="C176" s="30"/>
      <c r="D176" s="99">
        <v>0.0</v>
      </c>
      <c r="E176" s="99">
        <f t="shared" si="1"/>
        <v>0</v>
      </c>
      <c r="F176" s="30"/>
      <c r="G176" s="30"/>
      <c r="H176" s="5"/>
    </row>
    <row r="177">
      <c r="A177" s="30"/>
      <c r="B177" s="30"/>
      <c r="C177" s="30"/>
      <c r="D177" s="99">
        <v>0.0</v>
      </c>
      <c r="E177" s="99">
        <f t="shared" si="1"/>
        <v>0</v>
      </c>
      <c r="F177" s="30"/>
      <c r="G177" s="30"/>
      <c r="H177" s="5"/>
    </row>
    <row r="178">
      <c r="A178" s="30"/>
      <c r="B178" s="30"/>
      <c r="C178" s="30"/>
      <c r="D178" s="99">
        <v>0.0</v>
      </c>
      <c r="E178" s="99">
        <f t="shared" si="1"/>
        <v>0</v>
      </c>
      <c r="F178" s="30"/>
      <c r="G178" s="30"/>
      <c r="H178" s="5"/>
    </row>
    <row r="179">
      <c r="A179" s="30"/>
      <c r="B179" s="30"/>
      <c r="C179" s="30"/>
      <c r="D179" s="99">
        <v>0.0</v>
      </c>
      <c r="E179" s="99">
        <f t="shared" si="1"/>
        <v>0</v>
      </c>
      <c r="F179" s="30"/>
      <c r="G179" s="30"/>
      <c r="H179" s="5"/>
    </row>
    <row r="180">
      <c r="A180" s="30"/>
      <c r="B180" s="30"/>
      <c r="C180" s="30"/>
      <c r="D180" s="99">
        <v>0.0</v>
      </c>
      <c r="E180" s="99">
        <f t="shared" si="1"/>
        <v>0</v>
      </c>
      <c r="F180" s="30"/>
      <c r="G180" s="30"/>
      <c r="H180" s="5"/>
    </row>
    <row r="181">
      <c r="A181" s="30"/>
      <c r="B181" s="30"/>
      <c r="C181" s="30"/>
      <c r="D181" s="99">
        <v>0.0</v>
      </c>
      <c r="E181" s="99">
        <f t="shared" si="1"/>
        <v>0</v>
      </c>
      <c r="F181" s="30"/>
      <c r="G181" s="30"/>
      <c r="H181" s="5"/>
    </row>
    <row r="182">
      <c r="A182" s="30"/>
      <c r="B182" s="30"/>
      <c r="C182" s="30"/>
      <c r="D182" s="99">
        <v>0.0</v>
      </c>
      <c r="E182" s="99">
        <f t="shared" si="1"/>
        <v>0</v>
      </c>
      <c r="F182" s="30"/>
      <c r="G182" s="30"/>
      <c r="H182" s="5"/>
    </row>
    <row r="183">
      <c r="A183" s="30"/>
      <c r="B183" s="30"/>
      <c r="C183" s="30"/>
      <c r="D183" s="99">
        <v>0.0</v>
      </c>
      <c r="E183" s="99">
        <f t="shared" si="1"/>
        <v>0</v>
      </c>
      <c r="F183" s="30"/>
      <c r="G183" s="30"/>
      <c r="H183" s="5"/>
    </row>
    <row r="184">
      <c r="A184" s="30"/>
      <c r="B184" s="30"/>
      <c r="C184" s="30"/>
      <c r="D184" s="99">
        <v>0.0</v>
      </c>
      <c r="E184" s="99">
        <f t="shared" si="1"/>
        <v>0</v>
      </c>
      <c r="F184" s="30"/>
      <c r="G184" s="30"/>
      <c r="H184" s="5"/>
    </row>
    <row r="185">
      <c r="A185" s="30"/>
      <c r="B185" s="30"/>
      <c r="C185" s="30"/>
      <c r="D185" s="99">
        <v>0.0</v>
      </c>
      <c r="E185" s="99">
        <f t="shared" si="1"/>
        <v>0</v>
      </c>
      <c r="F185" s="30"/>
      <c r="G185" s="30"/>
      <c r="H185" s="5"/>
    </row>
    <row r="186">
      <c r="A186" s="30"/>
      <c r="B186" s="30"/>
      <c r="C186" s="30"/>
      <c r="D186" s="99">
        <v>0.0</v>
      </c>
      <c r="E186" s="99">
        <f t="shared" si="1"/>
        <v>0</v>
      </c>
      <c r="F186" s="30"/>
      <c r="G186" s="30"/>
      <c r="H186" s="5"/>
    </row>
    <row r="187">
      <c r="A187" s="30"/>
      <c r="B187" s="30"/>
      <c r="C187" s="30"/>
      <c r="D187" s="99">
        <v>0.0</v>
      </c>
      <c r="E187" s="99">
        <f t="shared" si="1"/>
        <v>0</v>
      </c>
      <c r="F187" s="30"/>
      <c r="G187" s="30"/>
      <c r="H187" s="5"/>
    </row>
    <row r="188">
      <c r="A188" s="30"/>
      <c r="B188" s="30"/>
      <c r="C188" s="30"/>
      <c r="D188" s="99">
        <v>0.0</v>
      </c>
      <c r="E188" s="99">
        <f t="shared" si="1"/>
        <v>0</v>
      </c>
      <c r="F188" s="30"/>
      <c r="G188" s="30"/>
      <c r="H188" s="5"/>
    </row>
    <row r="189">
      <c r="A189" s="30"/>
      <c r="B189" s="30"/>
      <c r="C189" s="30"/>
      <c r="D189" s="99">
        <v>0.0</v>
      </c>
      <c r="E189" s="99">
        <f t="shared" si="1"/>
        <v>0</v>
      </c>
      <c r="F189" s="30"/>
      <c r="G189" s="30"/>
      <c r="H189" s="5"/>
    </row>
    <row r="190">
      <c r="A190" s="30"/>
      <c r="B190" s="30"/>
      <c r="C190" s="30"/>
      <c r="D190" s="99">
        <v>0.0</v>
      </c>
      <c r="E190" s="99">
        <f t="shared" si="1"/>
        <v>0</v>
      </c>
      <c r="F190" s="30"/>
      <c r="G190" s="30"/>
      <c r="H190" s="5"/>
    </row>
    <row r="191">
      <c r="A191" s="30"/>
      <c r="B191" s="30"/>
      <c r="C191" s="30"/>
      <c r="D191" s="99">
        <v>0.0</v>
      </c>
      <c r="E191" s="99">
        <f t="shared" si="1"/>
        <v>0</v>
      </c>
      <c r="F191" s="30"/>
      <c r="G191" s="30"/>
      <c r="H191" s="5"/>
    </row>
    <row r="192">
      <c r="A192" s="30"/>
      <c r="B192" s="30"/>
      <c r="C192" s="30"/>
      <c r="D192" s="99">
        <v>0.0</v>
      </c>
      <c r="E192" s="99">
        <f t="shared" si="1"/>
        <v>0</v>
      </c>
      <c r="F192" s="30"/>
      <c r="G192" s="30"/>
      <c r="H192" s="5"/>
    </row>
    <row r="193">
      <c r="A193" s="30"/>
      <c r="B193" s="30"/>
      <c r="C193" s="30"/>
      <c r="D193" s="99">
        <v>0.0</v>
      </c>
      <c r="E193" s="99">
        <f t="shared" si="1"/>
        <v>0</v>
      </c>
      <c r="F193" s="30"/>
      <c r="G193" s="30"/>
      <c r="H193" s="5"/>
    </row>
    <row r="194">
      <c r="A194" s="30"/>
      <c r="B194" s="30"/>
      <c r="C194" s="30"/>
      <c r="D194" s="99">
        <v>0.0</v>
      </c>
      <c r="E194" s="99">
        <f t="shared" si="1"/>
        <v>0</v>
      </c>
      <c r="F194" s="30"/>
      <c r="G194" s="30"/>
      <c r="H194" s="5"/>
    </row>
    <row r="195">
      <c r="A195" s="30"/>
      <c r="B195" s="30"/>
      <c r="C195" s="30"/>
      <c r="D195" s="99">
        <v>0.0</v>
      </c>
      <c r="E195" s="99">
        <f t="shared" si="1"/>
        <v>0</v>
      </c>
      <c r="F195" s="30"/>
      <c r="G195" s="30"/>
      <c r="H195" s="5"/>
    </row>
    <row r="196">
      <c r="A196" s="30"/>
      <c r="B196" s="30"/>
      <c r="C196" s="30"/>
      <c r="D196" s="99">
        <v>0.0</v>
      </c>
      <c r="E196" s="99">
        <f t="shared" si="1"/>
        <v>0</v>
      </c>
      <c r="F196" s="30"/>
      <c r="G196" s="30"/>
      <c r="H196" s="5"/>
    </row>
    <row r="197">
      <c r="A197" s="30"/>
      <c r="B197" s="30"/>
      <c r="C197" s="30"/>
      <c r="D197" s="99">
        <v>0.0</v>
      </c>
      <c r="E197" s="99">
        <f t="shared" si="1"/>
        <v>0</v>
      </c>
      <c r="F197" s="30"/>
      <c r="G197" s="30"/>
      <c r="H197" s="5"/>
    </row>
    <row r="198">
      <c r="A198" s="30"/>
      <c r="B198" s="30"/>
      <c r="C198" s="30"/>
      <c r="D198" s="99">
        <v>0.0</v>
      </c>
      <c r="E198" s="99">
        <f t="shared" si="1"/>
        <v>0</v>
      </c>
      <c r="F198" s="30"/>
      <c r="G198" s="30"/>
      <c r="H198" s="5"/>
    </row>
    <row r="199">
      <c r="A199" s="30"/>
      <c r="B199" s="30"/>
      <c r="C199" s="30"/>
      <c r="D199" s="99">
        <v>0.0</v>
      </c>
      <c r="E199" s="99">
        <f t="shared" si="1"/>
        <v>0</v>
      </c>
      <c r="F199" s="30"/>
      <c r="G199" s="30"/>
      <c r="H199" s="5"/>
    </row>
    <row r="200">
      <c r="A200" s="30"/>
      <c r="B200" s="30"/>
      <c r="C200" s="30"/>
      <c r="D200" s="99">
        <v>0.0</v>
      </c>
      <c r="E200" s="99">
        <f t="shared" si="1"/>
        <v>0</v>
      </c>
      <c r="F200" s="30"/>
      <c r="G200" s="30"/>
      <c r="H200" s="5"/>
    </row>
    <row r="201">
      <c r="A201" s="30"/>
      <c r="B201" s="30"/>
      <c r="C201" s="30"/>
      <c r="D201" s="99">
        <v>0.0</v>
      </c>
      <c r="E201" s="99">
        <f t="shared" si="1"/>
        <v>0</v>
      </c>
      <c r="F201" s="30"/>
      <c r="G201" s="30"/>
      <c r="H201" s="5"/>
    </row>
    <row r="202">
      <c r="A202" s="30"/>
      <c r="B202" s="30"/>
      <c r="C202" s="30"/>
      <c r="D202" s="99">
        <v>0.0</v>
      </c>
      <c r="E202" s="99">
        <f t="shared" si="1"/>
        <v>0</v>
      </c>
      <c r="F202" s="30"/>
      <c r="G202" s="30"/>
      <c r="H202" s="5"/>
    </row>
    <row r="203">
      <c r="A203" s="30"/>
      <c r="B203" s="30"/>
      <c r="C203" s="30"/>
      <c r="D203" s="99">
        <v>0.0</v>
      </c>
      <c r="E203" s="99">
        <f t="shared" si="1"/>
        <v>0</v>
      </c>
      <c r="F203" s="30"/>
      <c r="G203" s="30"/>
      <c r="H203" s="5"/>
    </row>
    <row r="204">
      <c r="A204" s="30"/>
      <c r="B204" s="30"/>
      <c r="C204" s="30"/>
      <c r="D204" s="99">
        <v>0.0</v>
      </c>
      <c r="E204" s="99">
        <f t="shared" si="1"/>
        <v>0</v>
      </c>
      <c r="F204" s="30"/>
      <c r="G204" s="30"/>
      <c r="H204" s="5"/>
    </row>
    <row r="205">
      <c r="A205" s="30"/>
      <c r="B205" s="30"/>
      <c r="C205" s="30"/>
      <c r="D205" s="99">
        <v>0.0</v>
      </c>
      <c r="E205" s="99">
        <f t="shared" si="1"/>
        <v>0</v>
      </c>
      <c r="F205" s="30"/>
      <c r="G205" s="30"/>
      <c r="H205" s="5"/>
    </row>
    <row r="206">
      <c r="A206" s="30"/>
      <c r="B206" s="30"/>
      <c r="C206" s="30"/>
      <c r="D206" s="99">
        <v>0.0</v>
      </c>
      <c r="E206" s="99">
        <f t="shared" si="1"/>
        <v>0</v>
      </c>
      <c r="F206" s="30"/>
      <c r="G206" s="30"/>
      <c r="H206" s="5"/>
    </row>
    <row r="207">
      <c r="A207" s="30"/>
      <c r="B207" s="30"/>
      <c r="C207" s="30"/>
      <c r="D207" s="99">
        <v>0.0</v>
      </c>
      <c r="E207" s="99">
        <f t="shared" si="1"/>
        <v>0</v>
      </c>
      <c r="F207" s="30"/>
      <c r="G207" s="30"/>
      <c r="H207" s="5"/>
    </row>
    <row r="208">
      <c r="A208" s="30"/>
      <c r="B208" s="30"/>
      <c r="C208" s="30"/>
      <c r="D208" s="99">
        <v>0.0</v>
      </c>
      <c r="E208" s="99">
        <f t="shared" si="1"/>
        <v>0</v>
      </c>
      <c r="F208" s="30"/>
      <c r="G208" s="30"/>
      <c r="H208" s="5"/>
    </row>
    <row r="209">
      <c r="A209" s="30"/>
      <c r="B209" s="30"/>
      <c r="C209" s="30"/>
      <c r="D209" s="99">
        <v>0.0</v>
      </c>
      <c r="E209" s="99">
        <f t="shared" si="1"/>
        <v>0</v>
      </c>
      <c r="F209" s="30"/>
      <c r="G209" s="30"/>
      <c r="H209" s="5"/>
    </row>
    <row r="210">
      <c r="A210" s="30"/>
      <c r="B210" s="30"/>
      <c r="C210" s="30"/>
      <c r="D210" s="99">
        <v>0.0</v>
      </c>
      <c r="E210" s="99">
        <f t="shared" si="1"/>
        <v>0</v>
      </c>
      <c r="F210" s="30"/>
      <c r="G210" s="30"/>
      <c r="H210" s="5"/>
    </row>
    <row r="211">
      <c r="A211" s="30"/>
      <c r="B211" s="30"/>
      <c r="C211" s="30"/>
      <c r="D211" s="99">
        <v>0.0</v>
      </c>
      <c r="E211" s="99">
        <f t="shared" si="1"/>
        <v>0</v>
      </c>
      <c r="F211" s="30"/>
      <c r="G211" s="30"/>
      <c r="H211" s="5"/>
    </row>
    <row r="212">
      <c r="A212" s="30"/>
      <c r="B212" s="30"/>
      <c r="C212" s="30"/>
      <c r="D212" s="99">
        <v>0.0</v>
      </c>
      <c r="E212" s="99">
        <f t="shared" si="1"/>
        <v>0</v>
      </c>
      <c r="F212" s="30"/>
      <c r="G212" s="30"/>
      <c r="H212" s="5"/>
    </row>
    <row r="213">
      <c r="A213" s="30"/>
      <c r="B213" s="30"/>
      <c r="C213" s="30"/>
      <c r="D213" s="99">
        <v>0.0</v>
      </c>
      <c r="E213" s="99">
        <f t="shared" si="1"/>
        <v>0</v>
      </c>
      <c r="F213" s="30"/>
      <c r="G213" s="30"/>
      <c r="H213" s="5"/>
    </row>
    <row r="214">
      <c r="A214" s="30"/>
      <c r="B214" s="30"/>
      <c r="C214" s="30"/>
      <c r="D214" s="99">
        <v>0.0</v>
      </c>
      <c r="E214" s="99">
        <f t="shared" si="1"/>
        <v>0</v>
      </c>
      <c r="F214" s="30"/>
      <c r="G214" s="30"/>
      <c r="H214" s="5"/>
    </row>
    <row r="215">
      <c r="A215" s="30"/>
      <c r="B215" s="30"/>
      <c r="C215" s="30"/>
      <c r="D215" s="99">
        <v>0.0</v>
      </c>
      <c r="E215" s="99">
        <f t="shared" si="1"/>
        <v>0</v>
      </c>
      <c r="F215" s="30"/>
      <c r="G215" s="30"/>
      <c r="H215" s="5"/>
    </row>
    <row r="216">
      <c r="A216" s="30"/>
      <c r="B216" s="30"/>
      <c r="C216" s="30"/>
      <c r="D216" s="99">
        <v>0.0</v>
      </c>
      <c r="E216" s="99">
        <f t="shared" si="1"/>
        <v>0</v>
      </c>
      <c r="F216" s="30"/>
      <c r="G216" s="30"/>
      <c r="H216" s="5"/>
    </row>
    <row r="217">
      <c r="A217" s="30"/>
      <c r="B217" s="30"/>
      <c r="C217" s="30"/>
      <c r="D217" s="99">
        <v>0.0</v>
      </c>
      <c r="E217" s="99">
        <f t="shared" si="1"/>
        <v>0</v>
      </c>
      <c r="F217" s="30"/>
      <c r="G217" s="30"/>
      <c r="H217" s="5"/>
    </row>
    <row r="218">
      <c r="A218" s="30"/>
      <c r="B218" s="30"/>
      <c r="C218" s="30"/>
      <c r="D218" s="99">
        <v>0.0</v>
      </c>
      <c r="E218" s="99">
        <f t="shared" si="1"/>
        <v>0</v>
      </c>
      <c r="F218" s="30"/>
      <c r="G218" s="30"/>
      <c r="H218" s="5"/>
    </row>
    <row r="219">
      <c r="A219" s="30"/>
      <c r="B219" s="30"/>
      <c r="C219" s="30"/>
      <c r="D219" s="99">
        <v>0.0</v>
      </c>
      <c r="E219" s="99">
        <f t="shared" si="1"/>
        <v>0</v>
      </c>
      <c r="F219" s="30"/>
      <c r="G219" s="30"/>
      <c r="H219" s="5"/>
    </row>
    <row r="220">
      <c r="A220" s="30"/>
      <c r="B220" s="30"/>
      <c r="C220" s="30"/>
      <c r="D220" s="99">
        <v>0.0</v>
      </c>
      <c r="E220" s="99">
        <f t="shared" si="1"/>
        <v>0</v>
      </c>
      <c r="F220" s="30"/>
      <c r="G220" s="30"/>
      <c r="H220" s="5"/>
    </row>
    <row r="221">
      <c r="A221" s="30"/>
      <c r="B221" s="30"/>
      <c r="C221" s="30"/>
      <c r="D221" s="99">
        <v>0.0</v>
      </c>
      <c r="E221" s="99">
        <f t="shared" si="1"/>
        <v>0</v>
      </c>
      <c r="F221" s="30"/>
      <c r="G221" s="30"/>
      <c r="H221" s="5"/>
    </row>
    <row r="222">
      <c r="A222" s="30"/>
      <c r="B222" s="30"/>
      <c r="C222" s="30"/>
      <c r="D222" s="99">
        <v>0.0</v>
      </c>
      <c r="E222" s="99">
        <f t="shared" si="1"/>
        <v>0</v>
      </c>
      <c r="F222" s="30"/>
      <c r="G222" s="30"/>
      <c r="H222" s="5"/>
    </row>
    <row r="223">
      <c r="A223" s="30"/>
      <c r="B223" s="30"/>
      <c r="C223" s="30"/>
      <c r="D223" s="99">
        <v>0.0</v>
      </c>
      <c r="E223" s="99">
        <f t="shared" si="1"/>
        <v>0</v>
      </c>
      <c r="F223" s="30"/>
      <c r="G223" s="30"/>
      <c r="H223" s="5"/>
    </row>
    <row r="224">
      <c r="A224" s="30"/>
      <c r="B224" s="30"/>
      <c r="C224" s="30"/>
      <c r="D224" s="99">
        <v>0.0</v>
      </c>
      <c r="E224" s="99">
        <f t="shared" si="1"/>
        <v>0</v>
      </c>
      <c r="F224" s="30"/>
      <c r="G224" s="30"/>
      <c r="H224" s="5"/>
    </row>
    <row r="225">
      <c r="A225" s="30"/>
      <c r="B225" s="30"/>
      <c r="C225" s="30"/>
      <c r="D225" s="99">
        <v>0.0</v>
      </c>
      <c r="E225" s="99">
        <f t="shared" si="1"/>
        <v>0</v>
      </c>
      <c r="F225" s="30"/>
      <c r="G225" s="30"/>
      <c r="H225" s="5"/>
    </row>
    <row r="226">
      <c r="A226" s="30"/>
      <c r="B226" s="30"/>
      <c r="C226" s="30"/>
      <c r="D226" s="99">
        <v>0.0</v>
      </c>
      <c r="E226" s="99">
        <f t="shared" si="1"/>
        <v>0</v>
      </c>
      <c r="F226" s="30"/>
      <c r="G226" s="30"/>
      <c r="H226" s="5"/>
    </row>
    <row r="227">
      <c r="A227" s="30"/>
      <c r="B227" s="30"/>
      <c r="C227" s="30"/>
      <c r="D227" s="99">
        <v>0.0</v>
      </c>
      <c r="E227" s="99">
        <f t="shared" si="1"/>
        <v>0</v>
      </c>
      <c r="F227" s="30"/>
      <c r="G227" s="30"/>
      <c r="H227" s="5"/>
    </row>
    <row r="228">
      <c r="A228" s="30"/>
      <c r="B228" s="30"/>
      <c r="C228" s="30"/>
      <c r="D228" s="99">
        <v>0.0</v>
      </c>
      <c r="E228" s="99">
        <f t="shared" si="1"/>
        <v>0</v>
      </c>
      <c r="F228" s="30"/>
      <c r="G228" s="30"/>
      <c r="H228" s="5"/>
    </row>
    <row r="229">
      <c r="A229" s="30"/>
      <c r="B229" s="30"/>
      <c r="C229" s="30"/>
      <c r="D229" s="99">
        <v>0.0</v>
      </c>
      <c r="E229" s="99">
        <f t="shared" si="1"/>
        <v>0</v>
      </c>
      <c r="F229" s="30"/>
      <c r="G229" s="30"/>
      <c r="H229" s="5"/>
    </row>
    <row r="230">
      <c r="A230" s="30"/>
      <c r="B230" s="30"/>
      <c r="C230" s="30"/>
      <c r="D230" s="99">
        <v>0.0</v>
      </c>
      <c r="E230" s="99">
        <f t="shared" si="1"/>
        <v>0</v>
      </c>
      <c r="F230" s="30"/>
      <c r="G230" s="30"/>
      <c r="H230" s="5"/>
    </row>
    <row r="231">
      <c r="A231" s="30"/>
      <c r="B231" s="30"/>
      <c r="C231" s="30"/>
      <c r="D231" s="99">
        <v>0.0</v>
      </c>
      <c r="E231" s="99">
        <f t="shared" si="1"/>
        <v>0</v>
      </c>
      <c r="F231" s="30"/>
      <c r="G231" s="30"/>
      <c r="H231" s="5"/>
    </row>
    <row r="232">
      <c r="A232" s="30"/>
      <c r="B232" s="30"/>
      <c r="C232" s="30"/>
      <c r="D232" s="99">
        <v>0.0</v>
      </c>
      <c r="E232" s="99">
        <f t="shared" si="1"/>
        <v>0</v>
      </c>
      <c r="F232" s="30"/>
      <c r="G232" s="30"/>
      <c r="H232" s="5"/>
    </row>
    <row r="233">
      <c r="A233" s="30"/>
      <c r="B233" s="30"/>
      <c r="C233" s="30"/>
      <c r="D233" s="99">
        <v>0.0</v>
      </c>
      <c r="E233" s="99">
        <f t="shared" si="1"/>
        <v>0</v>
      </c>
      <c r="F233" s="30"/>
      <c r="G233" s="30"/>
      <c r="H233" s="5"/>
    </row>
    <row r="234">
      <c r="A234" s="30"/>
      <c r="B234" s="30"/>
      <c r="C234" s="30"/>
      <c r="D234" s="99">
        <v>0.0</v>
      </c>
      <c r="E234" s="99">
        <f t="shared" si="1"/>
        <v>0</v>
      </c>
      <c r="F234" s="30"/>
      <c r="G234" s="30"/>
      <c r="H234" s="5"/>
    </row>
    <row r="235">
      <c r="A235" s="30"/>
      <c r="B235" s="30"/>
      <c r="C235" s="30"/>
      <c r="D235" s="99">
        <v>0.0</v>
      </c>
      <c r="E235" s="99">
        <f t="shared" si="1"/>
        <v>0</v>
      </c>
      <c r="F235" s="30"/>
      <c r="G235" s="30"/>
      <c r="H235" s="5"/>
    </row>
    <row r="236">
      <c r="A236" s="30"/>
      <c r="B236" s="30"/>
      <c r="C236" s="30"/>
      <c r="D236" s="99">
        <v>0.0</v>
      </c>
      <c r="E236" s="99">
        <f t="shared" si="1"/>
        <v>0</v>
      </c>
      <c r="F236" s="30"/>
      <c r="G236" s="30"/>
      <c r="H236" s="5"/>
    </row>
    <row r="237">
      <c r="A237" s="30"/>
      <c r="B237" s="30"/>
      <c r="C237" s="30"/>
      <c r="D237" s="99">
        <v>0.0</v>
      </c>
      <c r="E237" s="99">
        <f t="shared" si="1"/>
        <v>0</v>
      </c>
      <c r="F237" s="30"/>
      <c r="G237" s="30"/>
      <c r="H237" s="5"/>
    </row>
    <row r="238">
      <c r="A238" s="30"/>
      <c r="B238" s="30"/>
      <c r="C238" s="30"/>
      <c r="D238" s="99">
        <v>0.0</v>
      </c>
      <c r="E238" s="99">
        <f t="shared" si="1"/>
        <v>0</v>
      </c>
      <c r="F238" s="30"/>
      <c r="G238" s="30"/>
      <c r="H238" s="5"/>
    </row>
    <row r="239">
      <c r="A239" s="30"/>
      <c r="B239" s="30"/>
      <c r="C239" s="30"/>
      <c r="D239" s="99">
        <v>0.0</v>
      </c>
      <c r="E239" s="99">
        <f t="shared" si="1"/>
        <v>0</v>
      </c>
      <c r="F239" s="30"/>
      <c r="G239" s="30"/>
      <c r="H239" s="5"/>
    </row>
    <row r="240">
      <c r="A240" s="30"/>
      <c r="B240" s="30"/>
      <c r="C240" s="30"/>
      <c r="D240" s="99">
        <v>0.0</v>
      </c>
      <c r="E240" s="99">
        <f t="shared" si="1"/>
        <v>0</v>
      </c>
      <c r="F240" s="30"/>
      <c r="G240" s="30"/>
      <c r="H240" s="5"/>
    </row>
    <row r="241">
      <c r="A241" s="30"/>
      <c r="B241" s="30"/>
      <c r="C241" s="30"/>
      <c r="D241" s="99">
        <v>0.0</v>
      </c>
      <c r="E241" s="99">
        <f t="shared" si="1"/>
        <v>0</v>
      </c>
      <c r="F241" s="30"/>
      <c r="G241" s="30"/>
      <c r="H241" s="5"/>
    </row>
    <row r="242">
      <c r="A242" s="30"/>
      <c r="B242" s="30"/>
      <c r="C242" s="30"/>
      <c r="D242" s="99">
        <v>0.0</v>
      </c>
      <c r="E242" s="99">
        <f t="shared" si="1"/>
        <v>0</v>
      </c>
      <c r="F242" s="30"/>
      <c r="G242" s="30"/>
      <c r="H242" s="5"/>
    </row>
    <row r="243">
      <c r="A243" s="30"/>
      <c r="B243" s="30"/>
      <c r="C243" s="30"/>
      <c r="D243" s="99">
        <v>0.0</v>
      </c>
      <c r="E243" s="99">
        <f t="shared" si="1"/>
        <v>0</v>
      </c>
      <c r="F243" s="30"/>
      <c r="G243" s="30"/>
      <c r="H243" s="5"/>
    </row>
    <row r="244">
      <c r="A244" s="30"/>
      <c r="B244" s="30"/>
      <c r="C244" s="30"/>
      <c r="D244" s="99">
        <v>0.0</v>
      </c>
      <c r="E244" s="99">
        <f t="shared" si="1"/>
        <v>0</v>
      </c>
      <c r="F244" s="30"/>
      <c r="G244" s="30"/>
      <c r="H244" s="5"/>
    </row>
    <row r="245">
      <c r="A245" s="30"/>
      <c r="B245" s="30"/>
      <c r="C245" s="30"/>
      <c r="D245" s="99">
        <v>0.0</v>
      </c>
      <c r="E245" s="99">
        <f t="shared" si="1"/>
        <v>0</v>
      </c>
      <c r="F245" s="30"/>
      <c r="G245" s="30"/>
      <c r="H245" s="5"/>
    </row>
    <row r="246">
      <c r="A246" s="30"/>
      <c r="B246" s="30"/>
      <c r="C246" s="30"/>
      <c r="D246" s="99">
        <v>0.0</v>
      </c>
      <c r="E246" s="99">
        <f t="shared" si="1"/>
        <v>0</v>
      </c>
      <c r="F246" s="30"/>
      <c r="G246" s="30"/>
      <c r="H246" s="5"/>
    </row>
    <row r="247">
      <c r="A247" s="30"/>
      <c r="B247" s="30"/>
      <c r="C247" s="30"/>
      <c r="D247" s="99">
        <v>0.0</v>
      </c>
      <c r="E247" s="99">
        <f t="shared" si="1"/>
        <v>0</v>
      </c>
      <c r="F247" s="30"/>
      <c r="G247" s="30"/>
      <c r="H247" s="5"/>
    </row>
    <row r="248">
      <c r="A248" s="30"/>
      <c r="B248" s="30"/>
      <c r="C248" s="30"/>
      <c r="D248" s="99">
        <v>0.0</v>
      </c>
      <c r="E248" s="99">
        <f t="shared" si="1"/>
        <v>0</v>
      </c>
      <c r="F248" s="30"/>
      <c r="G248" s="30"/>
      <c r="H248" s="5"/>
    </row>
    <row r="249">
      <c r="A249" s="30"/>
      <c r="B249" s="30"/>
      <c r="C249" s="30"/>
      <c r="D249" s="99">
        <v>0.0</v>
      </c>
      <c r="E249" s="99">
        <f t="shared" si="1"/>
        <v>0</v>
      </c>
      <c r="F249" s="30"/>
      <c r="G249" s="30"/>
      <c r="H249" s="5"/>
    </row>
    <row r="250">
      <c r="A250" s="30"/>
      <c r="B250" s="30"/>
      <c r="C250" s="30"/>
      <c r="D250" s="99">
        <v>0.0</v>
      </c>
      <c r="E250" s="99">
        <f t="shared" si="1"/>
        <v>0</v>
      </c>
      <c r="F250" s="30"/>
      <c r="G250" s="30"/>
      <c r="H250" s="5"/>
    </row>
    <row r="251">
      <c r="A251" s="30"/>
      <c r="B251" s="30"/>
      <c r="C251" s="30"/>
      <c r="D251" s="99">
        <v>0.0</v>
      </c>
      <c r="E251" s="99">
        <f t="shared" si="1"/>
        <v>0</v>
      </c>
      <c r="F251" s="30"/>
      <c r="G251" s="30"/>
      <c r="H251" s="5"/>
    </row>
    <row r="252">
      <c r="A252" s="30"/>
      <c r="B252" s="30"/>
      <c r="C252" s="30"/>
      <c r="D252" s="99">
        <v>0.0</v>
      </c>
      <c r="E252" s="99">
        <f t="shared" si="1"/>
        <v>0</v>
      </c>
      <c r="F252" s="30"/>
      <c r="G252" s="30"/>
      <c r="H252" s="5"/>
    </row>
    <row r="253">
      <c r="A253" s="30"/>
      <c r="B253" s="30"/>
      <c r="C253" s="30"/>
      <c r="D253" s="99">
        <v>0.0</v>
      </c>
      <c r="E253" s="99">
        <f t="shared" si="1"/>
        <v>0</v>
      </c>
      <c r="F253" s="30"/>
      <c r="G253" s="30"/>
      <c r="H253" s="5"/>
    </row>
    <row r="254">
      <c r="A254" s="30"/>
      <c r="B254" s="30"/>
      <c r="C254" s="30"/>
      <c r="D254" s="99">
        <v>0.0</v>
      </c>
      <c r="E254" s="99">
        <f t="shared" si="1"/>
        <v>0</v>
      </c>
      <c r="F254" s="30"/>
      <c r="G254" s="30"/>
      <c r="H254" s="5"/>
    </row>
    <row r="255">
      <c r="A255" s="30"/>
      <c r="B255" s="30"/>
      <c r="C255" s="30"/>
      <c r="D255" s="99">
        <v>0.0</v>
      </c>
      <c r="E255" s="99">
        <f t="shared" si="1"/>
        <v>0</v>
      </c>
      <c r="F255" s="30"/>
      <c r="G255" s="30"/>
      <c r="H255" s="5"/>
    </row>
    <row r="256">
      <c r="A256" s="30"/>
      <c r="B256" s="30"/>
      <c r="C256" s="30"/>
      <c r="D256" s="99">
        <v>0.0</v>
      </c>
      <c r="E256" s="99">
        <f t="shared" si="1"/>
        <v>0</v>
      </c>
      <c r="F256" s="30"/>
      <c r="G256" s="30"/>
      <c r="H256" s="5"/>
    </row>
    <row r="257">
      <c r="A257" s="30"/>
      <c r="B257" s="30"/>
      <c r="C257" s="30"/>
      <c r="D257" s="99">
        <v>0.0</v>
      </c>
      <c r="E257" s="99">
        <f t="shared" si="1"/>
        <v>0</v>
      </c>
      <c r="F257" s="30"/>
      <c r="G257" s="30"/>
      <c r="H257" s="5"/>
    </row>
    <row r="258">
      <c r="A258" s="30"/>
      <c r="B258" s="30"/>
      <c r="C258" s="30"/>
      <c r="D258" s="99">
        <v>0.0</v>
      </c>
      <c r="E258" s="99">
        <f t="shared" si="1"/>
        <v>0</v>
      </c>
      <c r="F258" s="30"/>
      <c r="G258" s="30"/>
      <c r="H258" s="5"/>
    </row>
    <row r="259">
      <c r="A259" s="30"/>
      <c r="B259" s="30"/>
      <c r="C259" s="30"/>
      <c r="D259" s="99">
        <v>0.0</v>
      </c>
      <c r="E259" s="99">
        <f t="shared" si="1"/>
        <v>0</v>
      </c>
      <c r="F259" s="30"/>
      <c r="G259" s="30"/>
      <c r="H259" s="5"/>
    </row>
    <row r="260">
      <c r="A260" s="30"/>
      <c r="B260" s="30"/>
      <c r="C260" s="30"/>
      <c r="D260" s="99">
        <v>0.0</v>
      </c>
      <c r="E260" s="99">
        <f t="shared" si="1"/>
        <v>0</v>
      </c>
      <c r="F260" s="30"/>
      <c r="G260" s="30"/>
      <c r="H260" s="5"/>
    </row>
    <row r="261">
      <c r="A261" s="30"/>
      <c r="B261" s="30"/>
      <c r="C261" s="30"/>
      <c r="D261" s="99">
        <v>0.0</v>
      </c>
      <c r="E261" s="99">
        <f t="shared" si="1"/>
        <v>0</v>
      </c>
      <c r="F261" s="30"/>
      <c r="G261" s="30"/>
      <c r="H261" s="5"/>
    </row>
    <row r="262">
      <c r="A262" s="30"/>
      <c r="B262" s="30"/>
      <c r="C262" s="30"/>
      <c r="D262" s="99">
        <v>0.0</v>
      </c>
      <c r="E262" s="99">
        <f t="shared" si="1"/>
        <v>0</v>
      </c>
      <c r="F262" s="30"/>
      <c r="G262" s="30"/>
      <c r="H262" s="5"/>
    </row>
    <row r="263">
      <c r="A263" s="30"/>
      <c r="B263" s="30"/>
      <c r="C263" s="30"/>
      <c r="D263" s="99">
        <v>0.0</v>
      </c>
      <c r="E263" s="99">
        <f t="shared" si="1"/>
        <v>0</v>
      </c>
      <c r="F263" s="30"/>
      <c r="G263" s="30"/>
      <c r="H263" s="5"/>
    </row>
    <row r="264">
      <c r="A264" s="30"/>
      <c r="B264" s="30"/>
      <c r="C264" s="30"/>
      <c r="D264" s="99">
        <v>0.0</v>
      </c>
      <c r="E264" s="99">
        <f t="shared" si="1"/>
        <v>0</v>
      </c>
      <c r="F264" s="30"/>
      <c r="G264" s="30"/>
      <c r="H264" s="5"/>
    </row>
    <row r="265">
      <c r="A265" s="30"/>
      <c r="B265" s="30"/>
      <c r="C265" s="30"/>
      <c r="D265" s="99">
        <v>0.0</v>
      </c>
      <c r="E265" s="99">
        <f t="shared" si="1"/>
        <v>0</v>
      </c>
      <c r="F265" s="30"/>
      <c r="G265" s="30"/>
      <c r="H265" s="5"/>
    </row>
    <row r="266">
      <c r="A266" s="30"/>
      <c r="B266" s="30"/>
      <c r="C266" s="30"/>
      <c r="D266" s="99">
        <v>0.0</v>
      </c>
      <c r="E266" s="99">
        <f t="shared" si="1"/>
        <v>0</v>
      </c>
      <c r="F266" s="30"/>
      <c r="G266" s="30"/>
      <c r="H266" s="5"/>
    </row>
    <row r="267">
      <c r="A267" s="30"/>
      <c r="B267" s="30"/>
      <c r="C267" s="30"/>
      <c r="D267" s="99">
        <v>0.0</v>
      </c>
      <c r="E267" s="99">
        <f t="shared" si="1"/>
        <v>0</v>
      </c>
      <c r="F267" s="30"/>
      <c r="G267" s="30"/>
      <c r="H267" s="5"/>
    </row>
    <row r="268">
      <c r="A268" s="30"/>
      <c r="B268" s="30"/>
      <c r="C268" s="30"/>
      <c r="D268" s="99">
        <v>0.0</v>
      </c>
      <c r="E268" s="99">
        <f t="shared" si="1"/>
        <v>0</v>
      </c>
      <c r="F268" s="30"/>
      <c r="G268" s="30"/>
      <c r="H268" s="5"/>
    </row>
    <row r="269">
      <c r="A269" s="30"/>
      <c r="B269" s="30"/>
      <c r="C269" s="30"/>
      <c r="D269" s="99">
        <v>0.0</v>
      </c>
      <c r="E269" s="99">
        <f t="shared" si="1"/>
        <v>0</v>
      </c>
      <c r="F269" s="30"/>
      <c r="G269" s="30"/>
      <c r="H269" s="5"/>
    </row>
    <row r="270">
      <c r="A270" s="30"/>
      <c r="B270" s="30"/>
      <c r="C270" s="30"/>
      <c r="D270" s="99">
        <v>0.0</v>
      </c>
      <c r="E270" s="99">
        <f t="shared" si="1"/>
        <v>0</v>
      </c>
      <c r="F270" s="30"/>
      <c r="G270" s="30"/>
      <c r="H270" s="5"/>
    </row>
    <row r="271">
      <c r="A271" s="30"/>
      <c r="B271" s="30"/>
      <c r="C271" s="30"/>
      <c r="D271" s="99">
        <v>0.0</v>
      </c>
      <c r="E271" s="99">
        <f t="shared" si="1"/>
        <v>0</v>
      </c>
      <c r="F271" s="30"/>
      <c r="G271" s="30"/>
      <c r="H271" s="5"/>
    </row>
    <row r="272">
      <c r="A272" s="30"/>
      <c r="B272" s="30"/>
      <c r="C272" s="30"/>
      <c r="D272" s="99">
        <v>0.0</v>
      </c>
      <c r="E272" s="99">
        <f t="shared" si="1"/>
        <v>0</v>
      </c>
      <c r="F272" s="30"/>
      <c r="G272" s="30"/>
      <c r="H272" s="5"/>
    </row>
    <row r="273">
      <c r="A273" s="30"/>
      <c r="B273" s="30"/>
      <c r="C273" s="30"/>
      <c r="D273" s="99">
        <v>0.0</v>
      </c>
      <c r="E273" s="99">
        <f t="shared" si="1"/>
        <v>0</v>
      </c>
      <c r="F273" s="30"/>
      <c r="G273" s="30"/>
      <c r="H273" s="5"/>
    </row>
    <row r="274">
      <c r="A274" s="30"/>
      <c r="B274" s="30"/>
      <c r="C274" s="30"/>
      <c r="D274" s="99">
        <v>0.0</v>
      </c>
      <c r="E274" s="99">
        <f t="shared" si="1"/>
        <v>0</v>
      </c>
      <c r="F274" s="30"/>
      <c r="G274" s="30"/>
      <c r="H274" s="5"/>
    </row>
    <row r="275">
      <c r="A275" s="30"/>
      <c r="B275" s="30"/>
      <c r="C275" s="30"/>
      <c r="D275" s="99">
        <v>0.0</v>
      </c>
      <c r="E275" s="99">
        <f t="shared" si="1"/>
        <v>0</v>
      </c>
      <c r="F275" s="30"/>
      <c r="G275" s="30"/>
      <c r="H275" s="5"/>
    </row>
    <row r="276">
      <c r="A276" s="30"/>
      <c r="B276" s="30"/>
      <c r="C276" s="30"/>
      <c r="D276" s="99">
        <v>0.0</v>
      </c>
      <c r="E276" s="99">
        <f t="shared" si="1"/>
        <v>0</v>
      </c>
      <c r="F276" s="30"/>
      <c r="G276" s="30"/>
      <c r="H276" s="5"/>
    </row>
    <row r="277">
      <c r="A277" s="30"/>
      <c r="B277" s="30"/>
      <c r="C277" s="30"/>
      <c r="D277" s="99">
        <v>0.0</v>
      </c>
      <c r="E277" s="99">
        <f t="shared" si="1"/>
        <v>0</v>
      </c>
      <c r="F277" s="30"/>
      <c r="G277" s="30"/>
      <c r="H277" s="5"/>
    </row>
    <row r="278">
      <c r="A278" s="30"/>
      <c r="B278" s="30"/>
      <c r="C278" s="30"/>
      <c r="D278" s="99">
        <v>0.0</v>
      </c>
      <c r="E278" s="99">
        <f t="shared" si="1"/>
        <v>0</v>
      </c>
      <c r="F278" s="30"/>
      <c r="G278" s="30"/>
      <c r="H278" s="5"/>
    </row>
    <row r="279">
      <c r="A279" s="30"/>
      <c r="B279" s="30"/>
      <c r="C279" s="30"/>
      <c r="D279" s="99">
        <v>0.0</v>
      </c>
      <c r="E279" s="99">
        <f t="shared" si="1"/>
        <v>0</v>
      </c>
      <c r="F279" s="30"/>
      <c r="G279" s="30"/>
      <c r="H279" s="5"/>
    </row>
    <row r="280">
      <c r="A280" s="30"/>
      <c r="B280" s="30"/>
      <c r="C280" s="30"/>
      <c r="D280" s="99">
        <v>0.0</v>
      </c>
      <c r="E280" s="99">
        <f t="shared" si="1"/>
        <v>0</v>
      </c>
      <c r="F280" s="30"/>
      <c r="G280" s="30"/>
      <c r="H280" s="5"/>
    </row>
    <row r="281">
      <c r="A281" s="30"/>
      <c r="B281" s="30"/>
      <c r="C281" s="30"/>
      <c r="D281" s="99">
        <v>0.0</v>
      </c>
      <c r="E281" s="99">
        <f t="shared" si="1"/>
        <v>0</v>
      </c>
      <c r="F281" s="30"/>
      <c r="G281" s="30"/>
      <c r="H281" s="5"/>
    </row>
    <row r="282">
      <c r="A282" s="30"/>
      <c r="B282" s="30"/>
      <c r="C282" s="30"/>
      <c r="D282" s="99">
        <v>0.0</v>
      </c>
      <c r="E282" s="99">
        <f t="shared" si="1"/>
        <v>0</v>
      </c>
      <c r="F282" s="30"/>
      <c r="G282" s="30"/>
      <c r="H282" s="5"/>
    </row>
    <row r="283">
      <c r="A283" s="30"/>
      <c r="B283" s="30"/>
      <c r="C283" s="30"/>
      <c r="D283" s="99">
        <v>0.0</v>
      </c>
      <c r="E283" s="99">
        <f t="shared" si="1"/>
        <v>0</v>
      </c>
      <c r="F283" s="30"/>
      <c r="G283" s="30"/>
      <c r="H283" s="5"/>
    </row>
    <row r="284">
      <c r="A284" s="30"/>
      <c r="B284" s="30"/>
      <c r="C284" s="30"/>
      <c r="D284" s="99">
        <v>0.0</v>
      </c>
      <c r="E284" s="99">
        <f t="shared" si="1"/>
        <v>0</v>
      </c>
      <c r="F284" s="30"/>
      <c r="G284" s="30"/>
      <c r="H284" s="5"/>
    </row>
    <row r="285">
      <c r="A285" s="30"/>
      <c r="B285" s="30"/>
      <c r="C285" s="30"/>
      <c r="D285" s="99">
        <v>0.0</v>
      </c>
      <c r="E285" s="99">
        <f t="shared" si="1"/>
        <v>0</v>
      </c>
      <c r="F285" s="30"/>
      <c r="G285" s="30"/>
      <c r="H285" s="5"/>
    </row>
    <row r="286">
      <c r="A286" s="30"/>
      <c r="B286" s="30"/>
      <c r="C286" s="30"/>
      <c r="D286" s="99">
        <v>0.0</v>
      </c>
      <c r="E286" s="99">
        <f t="shared" si="1"/>
        <v>0</v>
      </c>
      <c r="F286" s="30"/>
      <c r="G286" s="30"/>
      <c r="H286" s="5"/>
    </row>
    <row r="287">
      <c r="A287" s="30"/>
      <c r="B287" s="30"/>
      <c r="C287" s="30"/>
      <c r="D287" s="99">
        <v>0.0</v>
      </c>
      <c r="E287" s="99">
        <f t="shared" si="1"/>
        <v>0</v>
      </c>
      <c r="F287" s="30"/>
      <c r="G287" s="30"/>
      <c r="H287" s="5"/>
    </row>
    <row r="288">
      <c r="A288" s="30"/>
      <c r="B288" s="30"/>
      <c r="C288" s="30"/>
      <c r="D288" s="99">
        <v>0.0</v>
      </c>
      <c r="E288" s="99">
        <f t="shared" si="1"/>
        <v>0</v>
      </c>
      <c r="F288" s="30"/>
      <c r="G288" s="30"/>
      <c r="H288" s="5"/>
    </row>
    <row r="289">
      <c r="A289" s="30"/>
      <c r="B289" s="30"/>
      <c r="C289" s="30"/>
      <c r="D289" s="99">
        <v>0.0</v>
      </c>
      <c r="E289" s="99">
        <f t="shared" si="1"/>
        <v>0</v>
      </c>
      <c r="F289" s="30"/>
      <c r="G289" s="30"/>
      <c r="H289" s="5"/>
    </row>
    <row r="290">
      <c r="A290" s="30"/>
      <c r="B290" s="30"/>
      <c r="C290" s="30"/>
      <c r="D290" s="99">
        <v>0.0</v>
      </c>
      <c r="E290" s="99">
        <f t="shared" si="1"/>
        <v>0</v>
      </c>
      <c r="F290" s="30"/>
      <c r="G290" s="30"/>
      <c r="H290" s="5"/>
    </row>
    <row r="291">
      <c r="A291" s="30"/>
      <c r="B291" s="30"/>
      <c r="C291" s="30"/>
      <c r="D291" s="99">
        <v>0.0</v>
      </c>
      <c r="E291" s="99">
        <f t="shared" si="1"/>
        <v>0</v>
      </c>
      <c r="F291" s="30"/>
      <c r="G291" s="30"/>
      <c r="H291" s="5"/>
    </row>
    <row r="292">
      <c r="A292" s="30"/>
      <c r="B292" s="30"/>
      <c r="C292" s="30"/>
      <c r="D292" s="99">
        <v>0.0</v>
      </c>
      <c r="E292" s="99">
        <f t="shared" si="1"/>
        <v>0</v>
      </c>
      <c r="F292" s="30"/>
      <c r="G292" s="30"/>
      <c r="H292" s="5"/>
    </row>
    <row r="293">
      <c r="A293" s="30"/>
      <c r="B293" s="30"/>
      <c r="C293" s="30"/>
      <c r="D293" s="99">
        <v>0.0</v>
      </c>
      <c r="E293" s="99">
        <f t="shared" si="1"/>
        <v>0</v>
      </c>
      <c r="F293" s="30"/>
      <c r="G293" s="30"/>
      <c r="H293" s="5"/>
    </row>
    <row r="294">
      <c r="A294" s="30"/>
      <c r="B294" s="30"/>
      <c r="C294" s="30"/>
      <c r="D294" s="99">
        <v>0.0</v>
      </c>
      <c r="E294" s="99">
        <f t="shared" si="1"/>
        <v>0</v>
      </c>
      <c r="F294" s="30"/>
      <c r="G294" s="30"/>
      <c r="H294" s="5"/>
    </row>
    <row r="295">
      <c r="A295" s="30"/>
      <c r="B295" s="30"/>
      <c r="C295" s="30"/>
      <c r="D295" s="99">
        <v>0.0</v>
      </c>
      <c r="E295" s="99">
        <f t="shared" si="1"/>
        <v>0</v>
      </c>
      <c r="F295" s="30"/>
      <c r="G295" s="30"/>
      <c r="H295" s="5"/>
    </row>
    <row r="296">
      <c r="A296" s="30"/>
      <c r="B296" s="30"/>
      <c r="C296" s="30"/>
      <c r="D296" s="99">
        <v>0.0</v>
      </c>
      <c r="E296" s="99">
        <f t="shared" si="1"/>
        <v>0</v>
      </c>
      <c r="F296" s="30"/>
      <c r="G296" s="30"/>
      <c r="H296" s="5"/>
    </row>
    <row r="297">
      <c r="A297" s="30"/>
      <c r="B297" s="30"/>
      <c r="C297" s="30"/>
      <c r="D297" s="99">
        <v>0.0</v>
      </c>
      <c r="E297" s="99">
        <f t="shared" si="1"/>
        <v>0</v>
      </c>
      <c r="F297" s="30"/>
      <c r="G297" s="30"/>
      <c r="H297" s="5"/>
    </row>
    <row r="298">
      <c r="A298" s="30"/>
      <c r="B298" s="30"/>
      <c r="C298" s="30"/>
      <c r="D298" s="99">
        <v>0.0</v>
      </c>
      <c r="E298" s="99">
        <f t="shared" si="1"/>
        <v>0</v>
      </c>
      <c r="F298" s="30"/>
      <c r="G298" s="30"/>
      <c r="H298" s="5"/>
    </row>
    <row r="299">
      <c r="A299" s="30"/>
      <c r="B299" s="30"/>
      <c r="C299" s="30"/>
      <c r="D299" s="99">
        <v>0.0</v>
      </c>
      <c r="E299" s="99">
        <f t="shared" si="1"/>
        <v>0</v>
      </c>
      <c r="F299" s="30"/>
      <c r="G299" s="30"/>
      <c r="H299" s="5"/>
    </row>
    <row r="300">
      <c r="A300" s="30"/>
      <c r="B300" s="30"/>
      <c r="C300" s="30"/>
      <c r="D300" s="99">
        <v>0.0</v>
      </c>
      <c r="E300" s="99">
        <f t="shared" si="1"/>
        <v>0</v>
      </c>
      <c r="F300" s="30"/>
      <c r="G300" s="30"/>
      <c r="H300" s="5"/>
    </row>
    <row r="301">
      <c r="A301" s="30"/>
      <c r="B301" s="30"/>
      <c r="C301" s="30"/>
      <c r="D301" s="99">
        <v>0.0</v>
      </c>
      <c r="E301" s="99">
        <f t="shared" si="1"/>
        <v>0</v>
      </c>
      <c r="F301" s="30"/>
      <c r="G301" s="30"/>
      <c r="H301" s="5"/>
    </row>
    <row r="302">
      <c r="A302" s="30"/>
      <c r="B302" s="30"/>
      <c r="C302" s="30"/>
      <c r="D302" s="99">
        <v>0.0</v>
      </c>
      <c r="E302" s="99">
        <f t="shared" si="1"/>
        <v>0</v>
      </c>
      <c r="F302" s="30"/>
      <c r="G302" s="30"/>
      <c r="H302" s="5"/>
    </row>
    <row r="303">
      <c r="A303" s="30"/>
      <c r="B303" s="30"/>
      <c r="C303" s="30"/>
      <c r="D303" s="99">
        <v>0.0</v>
      </c>
      <c r="E303" s="99">
        <f t="shared" si="1"/>
        <v>0</v>
      </c>
      <c r="F303" s="30"/>
      <c r="G303" s="30"/>
      <c r="H303" s="5"/>
    </row>
    <row r="304">
      <c r="A304" s="30"/>
      <c r="B304" s="30"/>
      <c r="C304" s="30"/>
      <c r="D304" s="99">
        <v>0.0</v>
      </c>
      <c r="E304" s="99">
        <f t="shared" si="1"/>
        <v>0</v>
      </c>
      <c r="F304" s="30"/>
      <c r="G304" s="30"/>
      <c r="H304" s="5"/>
    </row>
    <row r="305">
      <c r="A305" s="30"/>
      <c r="B305" s="30"/>
      <c r="C305" s="30"/>
      <c r="D305" s="99">
        <v>0.0</v>
      </c>
      <c r="E305" s="99">
        <f t="shared" si="1"/>
        <v>0</v>
      </c>
      <c r="F305" s="30"/>
      <c r="G305" s="30"/>
      <c r="H305" s="5"/>
    </row>
    <row r="306">
      <c r="A306" s="30"/>
      <c r="B306" s="30"/>
      <c r="C306" s="30"/>
      <c r="D306" s="99">
        <v>0.0</v>
      </c>
      <c r="E306" s="99">
        <f t="shared" si="1"/>
        <v>0</v>
      </c>
      <c r="F306" s="30"/>
      <c r="G306" s="30"/>
      <c r="H306" s="5"/>
    </row>
    <row r="307">
      <c r="A307" s="30"/>
      <c r="B307" s="30"/>
      <c r="C307" s="30"/>
      <c r="D307" s="99">
        <v>0.0</v>
      </c>
      <c r="E307" s="99">
        <f t="shared" si="1"/>
        <v>0</v>
      </c>
      <c r="F307" s="30"/>
      <c r="G307" s="30"/>
      <c r="H307" s="5"/>
    </row>
    <row r="308">
      <c r="A308" s="30"/>
      <c r="B308" s="30"/>
      <c r="C308" s="30"/>
      <c r="D308" s="99">
        <v>0.0</v>
      </c>
      <c r="E308" s="99">
        <f t="shared" si="1"/>
        <v>0</v>
      </c>
      <c r="F308" s="30"/>
      <c r="G308" s="30"/>
      <c r="H308" s="5"/>
    </row>
    <row r="309">
      <c r="A309" s="30"/>
      <c r="B309" s="30"/>
      <c r="C309" s="30"/>
      <c r="D309" s="99">
        <v>0.0</v>
      </c>
      <c r="E309" s="99">
        <f t="shared" si="1"/>
        <v>0</v>
      </c>
      <c r="F309" s="30"/>
      <c r="G309" s="30"/>
      <c r="H309" s="5"/>
    </row>
    <row r="310">
      <c r="A310" s="30"/>
      <c r="B310" s="30"/>
      <c r="C310" s="30"/>
      <c r="D310" s="99">
        <v>0.0</v>
      </c>
      <c r="E310" s="99">
        <f t="shared" si="1"/>
        <v>0</v>
      </c>
      <c r="F310" s="30"/>
      <c r="G310" s="30"/>
      <c r="H310" s="5"/>
    </row>
    <row r="311">
      <c r="A311" s="30"/>
      <c r="B311" s="30"/>
      <c r="C311" s="30"/>
      <c r="D311" s="99">
        <v>0.0</v>
      </c>
      <c r="E311" s="99">
        <f t="shared" si="1"/>
        <v>0</v>
      </c>
      <c r="F311" s="30"/>
      <c r="G311" s="30"/>
      <c r="H311" s="5"/>
    </row>
    <row r="312">
      <c r="A312" s="30"/>
      <c r="B312" s="30"/>
      <c r="C312" s="30"/>
      <c r="D312" s="99">
        <v>0.0</v>
      </c>
      <c r="E312" s="99">
        <f t="shared" si="1"/>
        <v>0</v>
      </c>
      <c r="F312" s="30"/>
      <c r="G312" s="30"/>
      <c r="H312" s="5"/>
    </row>
    <row r="313">
      <c r="A313" s="30"/>
      <c r="B313" s="30"/>
      <c r="C313" s="30"/>
      <c r="D313" s="99">
        <v>0.0</v>
      </c>
      <c r="E313" s="99">
        <f t="shared" si="1"/>
        <v>0</v>
      </c>
      <c r="F313" s="30"/>
      <c r="G313" s="30"/>
      <c r="H313" s="5"/>
    </row>
    <row r="314">
      <c r="A314" s="30"/>
      <c r="B314" s="30"/>
      <c r="C314" s="30"/>
      <c r="D314" s="99">
        <v>0.0</v>
      </c>
      <c r="E314" s="99">
        <f t="shared" si="1"/>
        <v>0</v>
      </c>
      <c r="F314" s="30"/>
      <c r="G314" s="30"/>
      <c r="H314" s="5"/>
    </row>
    <row r="315">
      <c r="A315" s="30"/>
      <c r="B315" s="30"/>
      <c r="C315" s="30"/>
      <c r="D315" s="99">
        <v>0.0</v>
      </c>
      <c r="E315" s="99">
        <f t="shared" si="1"/>
        <v>0</v>
      </c>
      <c r="F315" s="30"/>
      <c r="G315" s="30"/>
      <c r="H315" s="5"/>
    </row>
    <row r="316">
      <c r="A316" s="30"/>
      <c r="B316" s="30"/>
      <c r="C316" s="30"/>
      <c r="D316" s="99">
        <v>0.0</v>
      </c>
      <c r="E316" s="99">
        <f t="shared" si="1"/>
        <v>0</v>
      </c>
      <c r="F316" s="30"/>
      <c r="G316" s="30"/>
      <c r="H316" s="5"/>
    </row>
    <row r="317">
      <c r="A317" s="30"/>
      <c r="B317" s="30"/>
      <c r="C317" s="30"/>
      <c r="D317" s="99">
        <v>0.0</v>
      </c>
      <c r="E317" s="99">
        <f t="shared" si="1"/>
        <v>0</v>
      </c>
      <c r="F317" s="30"/>
      <c r="G317" s="30"/>
      <c r="H317" s="5"/>
    </row>
    <row r="318">
      <c r="A318" s="30"/>
      <c r="B318" s="30"/>
      <c r="C318" s="30"/>
      <c r="D318" s="99">
        <v>0.0</v>
      </c>
      <c r="E318" s="99">
        <f t="shared" si="1"/>
        <v>0</v>
      </c>
      <c r="F318" s="30"/>
      <c r="G318" s="30"/>
      <c r="H318" s="5"/>
    </row>
    <row r="319">
      <c r="A319" s="30"/>
      <c r="B319" s="30"/>
      <c r="C319" s="30"/>
      <c r="D319" s="99">
        <v>0.0</v>
      </c>
      <c r="E319" s="99">
        <f t="shared" si="1"/>
        <v>0</v>
      </c>
      <c r="F319" s="30"/>
      <c r="G319" s="30"/>
      <c r="H319" s="5"/>
    </row>
    <row r="320">
      <c r="A320" s="30"/>
      <c r="B320" s="30"/>
      <c r="C320" s="30"/>
      <c r="D320" s="99">
        <v>0.0</v>
      </c>
      <c r="E320" s="99">
        <f t="shared" si="1"/>
        <v>0</v>
      </c>
      <c r="F320" s="30"/>
      <c r="G320" s="30"/>
      <c r="H320" s="5"/>
    </row>
    <row r="321">
      <c r="A321" s="30"/>
      <c r="B321" s="30"/>
      <c r="C321" s="30"/>
      <c r="D321" s="99">
        <v>0.0</v>
      </c>
      <c r="E321" s="99">
        <f t="shared" si="1"/>
        <v>0</v>
      </c>
      <c r="F321" s="30"/>
      <c r="G321" s="30"/>
      <c r="H321" s="5"/>
    </row>
    <row r="322">
      <c r="A322" s="30"/>
      <c r="B322" s="30"/>
      <c r="C322" s="30"/>
      <c r="D322" s="99">
        <v>0.0</v>
      </c>
      <c r="E322" s="99">
        <f t="shared" si="1"/>
        <v>0</v>
      </c>
      <c r="F322" s="30"/>
      <c r="G322" s="30"/>
      <c r="H322" s="5"/>
    </row>
    <row r="323">
      <c r="A323" s="30"/>
      <c r="B323" s="30"/>
      <c r="C323" s="30"/>
      <c r="D323" s="99">
        <v>0.0</v>
      </c>
      <c r="E323" s="99">
        <f t="shared" si="1"/>
        <v>0</v>
      </c>
      <c r="F323" s="30"/>
      <c r="G323" s="30"/>
      <c r="H323" s="5"/>
    </row>
    <row r="324">
      <c r="A324" s="30"/>
      <c r="B324" s="30"/>
      <c r="C324" s="30"/>
      <c r="D324" s="99">
        <v>0.0</v>
      </c>
      <c r="E324" s="99">
        <f t="shared" si="1"/>
        <v>0</v>
      </c>
      <c r="F324" s="30"/>
      <c r="G324" s="30"/>
      <c r="H324" s="5"/>
    </row>
    <row r="325">
      <c r="A325" s="30"/>
      <c r="B325" s="30"/>
      <c r="C325" s="30"/>
      <c r="D325" s="104"/>
      <c r="E325" s="104"/>
      <c r="F325" s="30"/>
      <c r="G325" s="30"/>
      <c r="H325" s="5"/>
    </row>
    <row r="326">
      <c r="A326" s="30"/>
      <c r="B326" s="30"/>
      <c r="C326" s="30"/>
      <c r="D326" s="104"/>
      <c r="E326" s="104"/>
      <c r="F326" s="30"/>
      <c r="G326" s="30"/>
      <c r="H326" s="5"/>
    </row>
    <row r="327">
      <c r="A327" s="30"/>
      <c r="B327" s="30"/>
      <c r="C327" s="30"/>
      <c r="D327" s="104"/>
      <c r="E327" s="104"/>
      <c r="F327" s="30"/>
      <c r="G327" s="30"/>
      <c r="H327" s="5"/>
    </row>
    <row r="328">
      <c r="A328" s="30"/>
      <c r="B328" s="30"/>
      <c r="C328" s="30"/>
      <c r="D328" s="104"/>
      <c r="E328" s="104"/>
      <c r="F328" s="30"/>
      <c r="G328" s="30"/>
      <c r="H328" s="5"/>
    </row>
    <row r="329">
      <c r="A329" s="30"/>
      <c r="B329" s="30"/>
      <c r="C329" s="30"/>
      <c r="D329" s="104"/>
      <c r="E329" s="104"/>
      <c r="F329" s="30"/>
      <c r="G329" s="30"/>
      <c r="H329" s="5"/>
    </row>
    <row r="330">
      <c r="A330" s="30"/>
      <c r="B330" s="30"/>
      <c r="C330" s="30"/>
      <c r="D330" s="104"/>
      <c r="E330" s="104"/>
      <c r="F330" s="30"/>
      <c r="G330" s="30"/>
      <c r="H330" s="5"/>
    </row>
    <row r="331">
      <c r="A331" s="30"/>
      <c r="B331" s="30"/>
      <c r="C331" s="30"/>
      <c r="D331" s="104"/>
      <c r="E331" s="104"/>
      <c r="F331" s="30"/>
      <c r="G331" s="30"/>
      <c r="H331" s="5"/>
    </row>
    <row r="332">
      <c r="A332" s="30"/>
      <c r="B332" s="30"/>
      <c r="C332" s="30"/>
      <c r="D332" s="104"/>
      <c r="E332" s="104"/>
      <c r="F332" s="30"/>
      <c r="G332" s="30"/>
      <c r="H332" s="5"/>
    </row>
    <row r="333">
      <c r="A333" s="30"/>
      <c r="B333" s="30"/>
      <c r="C333" s="30"/>
      <c r="D333" s="104"/>
      <c r="E333" s="104"/>
      <c r="F333" s="30"/>
      <c r="G333" s="30"/>
      <c r="H333" s="5"/>
    </row>
    <row r="334">
      <c r="A334" s="30"/>
      <c r="B334" s="30"/>
      <c r="C334" s="30"/>
      <c r="D334" s="104"/>
      <c r="E334" s="104"/>
      <c r="F334" s="30"/>
      <c r="G334" s="30"/>
      <c r="H334" s="5"/>
    </row>
    <row r="335">
      <c r="A335" s="30"/>
      <c r="B335" s="30"/>
      <c r="C335" s="30"/>
      <c r="D335" s="104"/>
      <c r="E335" s="104"/>
      <c r="F335" s="30"/>
      <c r="G335" s="30"/>
      <c r="H335" s="5"/>
    </row>
    <row r="336">
      <c r="A336" s="30"/>
      <c r="B336" s="30"/>
      <c r="C336" s="30"/>
      <c r="D336" s="104"/>
      <c r="E336" s="104"/>
      <c r="F336" s="30"/>
      <c r="G336" s="30"/>
      <c r="H336" s="5"/>
    </row>
    <row r="337">
      <c r="A337" s="30"/>
      <c r="B337" s="30"/>
      <c r="C337" s="30"/>
      <c r="D337" s="104"/>
      <c r="E337" s="104"/>
      <c r="F337" s="30"/>
      <c r="G337" s="30"/>
      <c r="H337" s="5"/>
    </row>
    <row r="338">
      <c r="A338" s="30"/>
      <c r="B338" s="30"/>
      <c r="C338" s="30"/>
      <c r="D338" s="104"/>
      <c r="E338" s="104"/>
      <c r="F338" s="30"/>
      <c r="G338" s="30"/>
      <c r="H338" s="5"/>
    </row>
    <row r="339">
      <c r="A339" s="30"/>
      <c r="B339" s="30"/>
      <c r="C339" s="30"/>
      <c r="D339" s="104"/>
      <c r="E339" s="104"/>
      <c r="F339" s="30"/>
      <c r="G339" s="30"/>
      <c r="H339" s="5"/>
    </row>
    <row r="340">
      <c r="A340" s="30"/>
      <c r="B340" s="30"/>
      <c r="C340" s="30"/>
      <c r="D340" s="104"/>
      <c r="E340" s="104"/>
      <c r="F340" s="30"/>
      <c r="G340" s="30"/>
      <c r="H340" s="5"/>
    </row>
    <row r="341">
      <c r="A341" s="30"/>
      <c r="B341" s="30"/>
      <c r="C341" s="30"/>
      <c r="D341" s="104"/>
      <c r="E341" s="104"/>
      <c r="F341" s="30"/>
      <c r="G341" s="30"/>
      <c r="H341" s="5"/>
    </row>
    <row r="342">
      <c r="A342" s="30"/>
      <c r="B342" s="30"/>
      <c r="C342" s="30"/>
      <c r="D342" s="104"/>
      <c r="E342" s="104"/>
      <c r="F342" s="30"/>
      <c r="G342" s="30"/>
      <c r="H342" s="5"/>
    </row>
    <row r="343">
      <c r="A343" s="30"/>
      <c r="B343" s="30"/>
      <c r="C343" s="30"/>
      <c r="D343" s="104"/>
      <c r="E343" s="104"/>
      <c r="F343" s="30"/>
      <c r="G343" s="30"/>
      <c r="H343" s="5"/>
    </row>
    <row r="344">
      <c r="A344" s="30"/>
      <c r="B344" s="30"/>
      <c r="C344" s="30"/>
      <c r="D344" s="104"/>
      <c r="E344" s="104"/>
      <c r="F344" s="30"/>
      <c r="G344" s="30"/>
      <c r="H344" s="5"/>
    </row>
    <row r="345">
      <c r="A345" s="30"/>
      <c r="B345" s="30"/>
      <c r="C345" s="30"/>
      <c r="D345" s="104"/>
      <c r="E345" s="104"/>
      <c r="F345" s="30"/>
      <c r="G345" s="30"/>
      <c r="H345" s="5"/>
    </row>
    <row r="346">
      <c r="A346" s="30"/>
      <c r="B346" s="30"/>
      <c r="C346" s="30"/>
      <c r="D346" s="104"/>
      <c r="E346" s="104"/>
      <c r="F346" s="30"/>
      <c r="G346" s="30"/>
      <c r="H346" s="5"/>
    </row>
    <row r="347">
      <c r="A347" s="30"/>
      <c r="B347" s="30"/>
      <c r="C347" s="30"/>
      <c r="D347" s="104"/>
      <c r="E347" s="104"/>
      <c r="F347" s="30"/>
      <c r="G347" s="30"/>
      <c r="H347" s="5"/>
    </row>
    <row r="348">
      <c r="A348" s="30"/>
      <c r="B348" s="30"/>
      <c r="C348" s="30"/>
      <c r="D348" s="104"/>
      <c r="E348" s="104"/>
      <c r="F348" s="30"/>
      <c r="G348" s="30"/>
      <c r="H348" s="5"/>
    </row>
    <row r="349">
      <c r="A349" s="30"/>
      <c r="B349" s="30"/>
      <c r="C349" s="30"/>
      <c r="D349" s="104"/>
      <c r="E349" s="104"/>
      <c r="F349" s="30"/>
      <c r="G349" s="30"/>
      <c r="H349" s="5"/>
    </row>
    <row r="350">
      <c r="A350" s="30"/>
      <c r="B350" s="30"/>
      <c r="C350" s="30"/>
      <c r="D350" s="104"/>
      <c r="E350" s="104"/>
      <c r="F350" s="30"/>
      <c r="G350" s="30"/>
      <c r="H350" s="5"/>
    </row>
    <row r="351">
      <c r="A351" s="30"/>
      <c r="B351" s="30"/>
      <c r="C351" s="30"/>
      <c r="D351" s="104"/>
      <c r="E351" s="104"/>
      <c r="F351" s="30"/>
      <c r="G351" s="30"/>
      <c r="H351" s="5"/>
    </row>
    <row r="352">
      <c r="A352" s="30"/>
      <c r="B352" s="30"/>
      <c r="C352" s="30"/>
      <c r="D352" s="104"/>
      <c r="E352" s="104"/>
      <c r="F352" s="30"/>
      <c r="G352" s="30"/>
      <c r="H352" s="5"/>
    </row>
    <row r="353">
      <c r="A353" s="30"/>
      <c r="B353" s="30"/>
      <c r="C353" s="30"/>
      <c r="D353" s="104"/>
      <c r="E353" s="104"/>
      <c r="F353" s="30"/>
      <c r="G353" s="30"/>
      <c r="H353" s="5"/>
    </row>
    <row r="354">
      <c r="A354" s="30"/>
      <c r="B354" s="30"/>
      <c r="C354" s="30"/>
      <c r="D354" s="104"/>
      <c r="E354" s="104"/>
      <c r="F354" s="30"/>
      <c r="G354" s="30"/>
      <c r="H354" s="5"/>
    </row>
    <row r="355">
      <c r="A355" s="30"/>
      <c r="B355" s="30"/>
      <c r="C355" s="30"/>
      <c r="D355" s="104"/>
      <c r="E355" s="104"/>
      <c r="F355" s="30"/>
      <c r="G355" s="30"/>
      <c r="H355" s="5"/>
    </row>
    <row r="356">
      <c r="A356" s="30"/>
      <c r="B356" s="30"/>
      <c r="C356" s="30"/>
      <c r="D356" s="104"/>
      <c r="E356" s="104"/>
      <c r="F356" s="30"/>
      <c r="G356" s="30"/>
      <c r="H356" s="5"/>
    </row>
    <row r="357">
      <c r="A357" s="30"/>
      <c r="B357" s="30"/>
      <c r="C357" s="30"/>
      <c r="D357" s="104"/>
      <c r="E357" s="104"/>
      <c r="F357" s="30"/>
      <c r="G357" s="30"/>
      <c r="H357" s="5"/>
    </row>
    <row r="358">
      <c r="A358" s="30"/>
      <c r="B358" s="30"/>
      <c r="C358" s="30"/>
      <c r="D358" s="104"/>
      <c r="E358" s="104"/>
      <c r="F358" s="30"/>
      <c r="G358" s="30"/>
      <c r="H358" s="5"/>
    </row>
    <row r="359">
      <c r="A359" s="30"/>
      <c r="B359" s="30"/>
      <c r="C359" s="30"/>
      <c r="D359" s="104"/>
      <c r="E359" s="104"/>
      <c r="F359" s="30"/>
      <c r="G359" s="30"/>
      <c r="H359" s="5"/>
    </row>
    <row r="360">
      <c r="A360" s="30"/>
      <c r="B360" s="30"/>
      <c r="C360" s="30"/>
      <c r="D360" s="104"/>
      <c r="E360" s="104"/>
      <c r="F360" s="30"/>
      <c r="G360" s="30"/>
      <c r="H360" s="5"/>
    </row>
    <row r="361">
      <c r="A361" s="30"/>
      <c r="B361" s="30"/>
      <c r="C361" s="30"/>
      <c r="D361" s="104"/>
      <c r="E361" s="104"/>
      <c r="F361" s="30"/>
      <c r="G361" s="30"/>
      <c r="H361" s="5"/>
    </row>
    <row r="362">
      <c r="A362" s="30"/>
      <c r="B362" s="30"/>
      <c r="C362" s="30"/>
      <c r="D362" s="104"/>
      <c r="E362" s="104"/>
      <c r="F362" s="30"/>
      <c r="G362" s="30"/>
      <c r="H362" s="5"/>
    </row>
    <row r="363">
      <c r="A363" s="30"/>
      <c r="B363" s="30"/>
      <c r="C363" s="30"/>
      <c r="D363" s="104"/>
      <c r="E363" s="104"/>
      <c r="F363" s="30"/>
      <c r="G363" s="30"/>
      <c r="H363" s="5"/>
    </row>
    <row r="364">
      <c r="A364" s="30"/>
      <c r="B364" s="30"/>
      <c r="C364" s="30"/>
      <c r="D364" s="104"/>
      <c r="E364" s="104"/>
      <c r="F364" s="30"/>
      <c r="G364" s="30"/>
      <c r="H364" s="5"/>
    </row>
    <row r="365">
      <c r="A365" s="30"/>
      <c r="B365" s="30"/>
      <c r="C365" s="30"/>
      <c r="D365" s="104"/>
      <c r="E365" s="104"/>
      <c r="F365" s="30"/>
      <c r="G365" s="30"/>
      <c r="H365" s="5"/>
    </row>
    <row r="366">
      <c r="A366" s="30"/>
      <c r="B366" s="30"/>
      <c r="C366" s="30"/>
      <c r="D366" s="104"/>
      <c r="E366" s="104"/>
      <c r="F366" s="30"/>
      <c r="G366" s="30"/>
      <c r="H366" s="5"/>
    </row>
    <row r="367">
      <c r="A367" s="30"/>
      <c r="B367" s="30"/>
      <c r="C367" s="30"/>
      <c r="D367" s="104"/>
      <c r="E367" s="104"/>
      <c r="F367" s="30"/>
      <c r="G367" s="30"/>
      <c r="H367" s="5"/>
    </row>
    <row r="368">
      <c r="A368" s="30"/>
      <c r="B368" s="30"/>
      <c r="C368" s="30"/>
      <c r="D368" s="104"/>
      <c r="E368" s="104"/>
      <c r="F368" s="30"/>
      <c r="G368" s="30"/>
      <c r="H368" s="5"/>
    </row>
    <row r="369">
      <c r="A369" s="30"/>
      <c r="B369" s="30"/>
      <c r="C369" s="30"/>
      <c r="D369" s="104"/>
      <c r="E369" s="104"/>
      <c r="F369" s="30"/>
      <c r="G369" s="30"/>
      <c r="H369" s="5"/>
    </row>
    <row r="370">
      <c r="A370" s="30"/>
      <c r="B370" s="30"/>
      <c r="C370" s="30"/>
      <c r="D370" s="104"/>
      <c r="E370" s="104"/>
      <c r="F370" s="30"/>
      <c r="G370" s="30"/>
      <c r="H370" s="5"/>
    </row>
    <row r="371">
      <c r="A371" s="30"/>
      <c r="B371" s="30"/>
      <c r="C371" s="30"/>
      <c r="D371" s="104"/>
      <c r="E371" s="104"/>
      <c r="F371" s="30"/>
      <c r="G371" s="30"/>
      <c r="H371" s="5"/>
    </row>
    <row r="372">
      <c r="A372" s="30"/>
      <c r="B372" s="30"/>
      <c r="C372" s="30"/>
      <c r="D372" s="104"/>
      <c r="E372" s="104"/>
      <c r="F372" s="30"/>
      <c r="G372" s="30"/>
      <c r="H372" s="5"/>
    </row>
    <row r="373">
      <c r="A373" s="30"/>
      <c r="B373" s="30"/>
      <c r="C373" s="30"/>
      <c r="D373" s="104"/>
      <c r="E373" s="104"/>
      <c r="F373" s="30"/>
      <c r="G373" s="30"/>
      <c r="H373" s="5"/>
    </row>
    <row r="374">
      <c r="A374" s="30"/>
      <c r="B374" s="30"/>
      <c r="C374" s="30"/>
      <c r="D374" s="104"/>
      <c r="E374" s="104"/>
      <c r="F374" s="30"/>
      <c r="G374" s="30"/>
      <c r="H374" s="5"/>
    </row>
    <row r="375">
      <c r="A375" s="30"/>
      <c r="B375" s="30"/>
      <c r="C375" s="30"/>
      <c r="D375" s="104"/>
      <c r="E375" s="104"/>
      <c r="F375" s="30"/>
      <c r="G375" s="30"/>
      <c r="H375" s="5"/>
    </row>
    <row r="376">
      <c r="A376" s="30"/>
      <c r="B376" s="30"/>
      <c r="C376" s="30"/>
      <c r="D376" s="104"/>
      <c r="E376" s="104"/>
      <c r="F376" s="30"/>
      <c r="G376" s="30"/>
      <c r="H376" s="5"/>
    </row>
    <row r="377">
      <c r="A377" s="30"/>
      <c r="B377" s="30"/>
      <c r="C377" s="30"/>
      <c r="D377" s="104"/>
      <c r="E377" s="104"/>
      <c r="F377" s="30"/>
      <c r="G377" s="30"/>
      <c r="H377" s="5"/>
    </row>
    <row r="378">
      <c r="A378" s="30"/>
      <c r="B378" s="30"/>
      <c r="C378" s="30"/>
      <c r="D378" s="104"/>
      <c r="E378" s="104"/>
      <c r="F378" s="30"/>
      <c r="G378" s="30"/>
      <c r="H378" s="5"/>
    </row>
    <row r="379">
      <c r="A379" s="30"/>
      <c r="B379" s="30"/>
      <c r="C379" s="30"/>
      <c r="D379" s="104"/>
      <c r="E379" s="104"/>
      <c r="F379" s="30"/>
      <c r="G379" s="30"/>
      <c r="H379" s="5"/>
    </row>
    <row r="380">
      <c r="A380" s="30"/>
      <c r="B380" s="30"/>
      <c r="C380" s="30"/>
      <c r="D380" s="104"/>
      <c r="E380" s="104"/>
      <c r="F380" s="30"/>
      <c r="G380" s="30"/>
      <c r="H380" s="5"/>
    </row>
    <row r="381">
      <c r="A381" s="30"/>
      <c r="B381" s="30"/>
      <c r="C381" s="30"/>
      <c r="D381" s="104"/>
      <c r="E381" s="104"/>
      <c r="F381" s="30"/>
      <c r="G381" s="30"/>
      <c r="H381" s="5"/>
    </row>
    <row r="382">
      <c r="A382" s="30"/>
      <c r="B382" s="30"/>
      <c r="C382" s="30"/>
      <c r="D382" s="104"/>
      <c r="E382" s="104"/>
      <c r="F382" s="30"/>
      <c r="G382" s="30"/>
      <c r="H382" s="5"/>
    </row>
    <row r="383">
      <c r="A383" s="30"/>
      <c r="B383" s="30"/>
      <c r="C383" s="30"/>
      <c r="D383" s="104"/>
      <c r="E383" s="104"/>
      <c r="F383" s="30"/>
      <c r="G383" s="30"/>
      <c r="H383" s="5"/>
    </row>
    <row r="384">
      <c r="A384" s="30"/>
      <c r="B384" s="30"/>
      <c r="C384" s="30"/>
      <c r="D384" s="104"/>
      <c r="E384" s="104"/>
      <c r="F384" s="30"/>
      <c r="G384" s="30"/>
      <c r="H384" s="5"/>
    </row>
    <row r="385">
      <c r="A385" s="30"/>
      <c r="B385" s="30"/>
      <c r="C385" s="30"/>
      <c r="D385" s="104"/>
      <c r="E385" s="104"/>
      <c r="F385" s="30"/>
      <c r="G385" s="30"/>
      <c r="H385" s="5"/>
    </row>
    <row r="386">
      <c r="A386" s="30"/>
      <c r="B386" s="30"/>
      <c r="C386" s="30"/>
      <c r="D386" s="104"/>
      <c r="E386" s="104"/>
      <c r="F386" s="30"/>
      <c r="G386" s="30"/>
      <c r="H386" s="5"/>
    </row>
    <row r="387">
      <c r="A387" s="30"/>
      <c r="B387" s="30"/>
      <c r="C387" s="30"/>
      <c r="D387" s="104"/>
      <c r="E387" s="104"/>
      <c r="F387" s="30"/>
      <c r="G387" s="30"/>
      <c r="H387" s="5"/>
    </row>
    <row r="388">
      <c r="A388" s="30"/>
      <c r="B388" s="30"/>
      <c r="C388" s="30"/>
      <c r="D388" s="104"/>
      <c r="E388" s="104"/>
      <c r="F388" s="30"/>
      <c r="G388" s="30"/>
      <c r="H388" s="5"/>
    </row>
    <row r="389">
      <c r="A389" s="30"/>
      <c r="B389" s="30"/>
      <c r="C389" s="30"/>
      <c r="D389" s="104"/>
      <c r="E389" s="104"/>
      <c r="F389" s="30"/>
      <c r="G389" s="30"/>
      <c r="H389" s="5"/>
    </row>
    <row r="390">
      <c r="A390" s="30"/>
      <c r="B390" s="30"/>
      <c r="C390" s="30"/>
      <c r="D390" s="104"/>
      <c r="E390" s="104"/>
      <c r="F390" s="30"/>
      <c r="G390" s="30"/>
      <c r="H390" s="5"/>
    </row>
    <row r="391">
      <c r="A391" s="30"/>
      <c r="B391" s="30"/>
      <c r="C391" s="30"/>
      <c r="D391" s="104"/>
      <c r="E391" s="104"/>
      <c r="F391" s="30"/>
      <c r="G391" s="30"/>
      <c r="H391" s="5"/>
    </row>
    <row r="392">
      <c r="A392" s="30"/>
      <c r="B392" s="30"/>
      <c r="C392" s="30"/>
      <c r="D392" s="104"/>
      <c r="E392" s="104"/>
      <c r="F392" s="30"/>
      <c r="G392" s="30"/>
      <c r="H392" s="5"/>
    </row>
    <row r="393">
      <c r="A393" s="30"/>
      <c r="B393" s="30"/>
      <c r="C393" s="30"/>
      <c r="D393" s="104"/>
      <c r="E393" s="104"/>
      <c r="F393" s="30"/>
      <c r="G393" s="30"/>
      <c r="H393" s="5"/>
    </row>
    <row r="394">
      <c r="A394" s="30"/>
      <c r="B394" s="30"/>
      <c r="C394" s="30"/>
      <c r="D394" s="104"/>
      <c r="E394" s="104"/>
      <c r="F394" s="30"/>
      <c r="G394" s="30"/>
      <c r="H394" s="5"/>
    </row>
    <row r="395">
      <c r="A395" s="30"/>
      <c r="B395" s="30"/>
      <c r="C395" s="30"/>
      <c r="D395" s="104"/>
      <c r="E395" s="104"/>
      <c r="F395" s="30"/>
      <c r="G395" s="30"/>
      <c r="H395" s="5"/>
    </row>
    <row r="396">
      <c r="A396" s="30"/>
      <c r="B396" s="30"/>
      <c r="C396" s="30"/>
      <c r="D396" s="104"/>
      <c r="E396" s="104"/>
      <c r="F396" s="30"/>
      <c r="G396" s="30"/>
      <c r="H396" s="5"/>
    </row>
    <row r="397">
      <c r="A397" s="30"/>
      <c r="B397" s="30"/>
      <c r="C397" s="30"/>
      <c r="D397" s="104"/>
      <c r="E397" s="104"/>
      <c r="F397" s="30"/>
      <c r="G397" s="30"/>
      <c r="H397" s="5"/>
    </row>
    <row r="398">
      <c r="A398" s="30"/>
      <c r="B398" s="30"/>
      <c r="C398" s="30"/>
      <c r="D398" s="104"/>
      <c r="E398" s="104"/>
      <c r="F398" s="30"/>
      <c r="G398" s="30"/>
      <c r="H398" s="5"/>
    </row>
    <row r="399">
      <c r="A399" s="30"/>
      <c r="B399" s="30"/>
      <c r="C399" s="30"/>
      <c r="D399" s="104"/>
      <c r="E399" s="104"/>
      <c r="F399" s="30"/>
      <c r="G399" s="30"/>
      <c r="H399" s="5"/>
    </row>
    <row r="400">
      <c r="A400" s="30"/>
      <c r="B400" s="30"/>
      <c r="C400" s="30"/>
      <c r="D400" s="104"/>
      <c r="E400" s="104"/>
      <c r="F400" s="30"/>
      <c r="G400" s="30"/>
      <c r="H400" s="5"/>
    </row>
    <row r="401">
      <c r="A401" s="30"/>
      <c r="B401" s="30"/>
      <c r="C401" s="30"/>
      <c r="D401" s="104"/>
      <c r="E401" s="104"/>
      <c r="F401" s="30"/>
      <c r="G401" s="30"/>
      <c r="H401" s="5"/>
    </row>
    <row r="402">
      <c r="A402" s="30"/>
      <c r="B402" s="30"/>
      <c r="C402" s="30"/>
      <c r="D402" s="104"/>
      <c r="E402" s="104"/>
      <c r="F402" s="30"/>
      <c r="G402" s="30"/>
      <c r="H402" s="5"/>
    </row>
    <row r="403">
      <c r="A403" s="30"/>
      <c r="B403" s="30"/>
      <c r="C403" s="30"/>
      <c r="D403" s="104"/>
      <c r="E403" s="104"/>
      <c r="F403" s="30"/>
      <c r="G403" s="30"/>
      <c r="H403" s="5"/>
    </row>
    <row r="404">
      <c r="A404" s="30"/>
      <c r="B404" s="30"/>
      <c r="C404" s="30"/>
      <c r="D404" s="104"/>
      <c r="E404" s="104"/>
      <c r="F404" s="30"/>
      <c r="G404" s="30"/>
      <c r="H404" s="5"/>
    </row>
    <row r="405">
      <c r="A405" s="30"/>
      <c r="B405" s="30"/>
      <c r="C405" s="30"/>
      <c r="D405" s="104"/>
      <c r="E405" s="104"/>
      <c r="F405" s="30"/>
      <c r="G405" s="30"/>
      <c r="H405" s="5"/>
    </row>
    <row r="406">
      <c r="A406" s="30"/>
      <c r="B406" s="30"/>
      <c r="C406" s="30"/>
      <c r="D406" s="104"/>
      <c r="E406" s="104"/>
      <c r="F406" s="30"/>
      <c r="G406" s="30"/>
      <c r="H406" s="5"/>
    </row>
    <row r="407">
      <c r="A407" s="30"/>
      <c r="B407" s="30"/>
      <c r="C407" s="30"/>
      <c r="D407" s="104"/>
      <c r="E407" s="104"/>
      <c r="F407" s="30"/>
      <c r="G407" s="30"/>
      <c r="H407" s="5"/>
    </row>
    <row r="408">
      <c r="A408" s="30"/>
      <c r="B408" s="30"/>
      <c r="C408" s="30"/>
      <c r="D408" s="104"/>
      <c r="E408" s="104"/>
      <c r="F408" s="30"/>
      <c r="G408" s="30"/>
      <c r="H408" s="5"/>
    </row>
    <row r="409">
      <c r="A409" s="30"/>
      <c r="B409" s="30"/>
      <c r="C409" s="30"/>
      <c r="D409" s="104"/>
      <c r="E409" s="104"/>
      <c r="F409" s="30"/>
      <c r="G409" s="30"/>
      <c r="H409" s="5"/>
    </row>
    <row r="410">
      <c r="A410" s="30"/>
      <c r="B410" s="30"/>
      <c r="C410" s="30"/>
      <c r="D410" s="104"/>
      <c r="E410" s="104"/>
      <c r="F410" s="30"/>
      <c r="G410" s="30"/>
      <c r="H410" s="5"/>
    </row>
    <row r="411">
      <c r="A411" s="30"/>
      <c r="B411" s="30"/>
      <c r="C411" s="30"/>
      <c r="D411" s="104"/>
      <c r="E411" s="104"/>
      <c r="F411" s="30"/>
      <c r="G411" s="30"/>
      <c r="H411" s="5"/>
    </row>
    <row r="412">
      <c r="A412" s="30"/>
      <c r="B412" s="30"/>
      <c r="C412" s="30"/>
      <c r="D412" s="104"/>
      <c r="E412" s="104"/>
      <c r="F412" s="30"/>
      <c r="G412" s="30"/>
      <c r="H412" s="5"/>
    </row>
    <row r="413">
      <c r="A413" s="30"/>
      <c r="B413" s="30"/>
      <c r="C413" s="30"/>
      <c r="D413" s="104"/>
      <c r="E413" s="104"/>
      <c r="F413" s="30"/>
      <c r="G413" s="30"/>
      <c r="H413" s="5"/>
    </row>
    <row r="414">
      <c r="A414" s="30"/>
      <c r="B414" s="30"/>
      <c r="C414" s="30"/>
      <c r="D414" s="104"/>
      <c r="E414" s="104"/>
      <c r="F414" s="30"/>
      <c r="G414" s="30"/>
      <c r="H414" s="5"/>
    </row>
    <row r="415">
      <c r="A415" s="30"/>
      <c r="B415" s="30"/>
      <c r="C415" s="30"/>
      <c r="D415" s="104"/>
      <c r="E415" s="104"/>
      <c r="F415" s="30"/>
      <c r="G415" s="30"/>
      <c r="H415" s="5"/>
    </row>
    <row r="416">
      <c r="A416" s="30"/>
      <c r="B416" s="30"/>
      <c r="C416" s="30"/>
      <c r="D416" s="104"/>
      <c r="E416" s="104"/>
      <c r="F416" s="30"/>
      <c r="G416" s="30"/>
      <c r="H416" s="5"/>
    </row>
    <row r="417">
      <c r="A417" s="30"/>
      <c r="B417" s="30"/>
      <c r="C417" s="30"/>
      <c r="D417" s="104"/>
      <c r="E417" s="104"/>
      <c r="F417" s="30"/>
      <c r="G417" s="30"/>
      <c r="H417" s="5"/>
    </row>
    <row r="418">
      <c r="A418" s="30"/>
      <c r="B418" s="30"/>
      <c r="C418" s="30"/>
      <c r="D418" s="104"/>
      <c r="E418" s="104"/>
      <c r="F418" s="30"/>
      <c r="G418" s="30"/>
      <c r="H418" s="5"/>
    </row>
    <row r="419">
      <c r="A419" s="30"/>
      <c r="B419" s="30"/>
      <c r="C419" s="30"/>
      <c r="D419" s="104"/>
      <c r="E419" s="104"/>
      <c r="F419" s="30"/>
      <c r="G419" s="30"/>
      <c r="H419" s="5"/>
    </row>
    <row r="420">
      <c r="A420" s="30"/>
      <c r="B420" s="30"/>
      <c r="C420" s="30"/>
      <c r="D420" s="104"/>
      <c r="E420" s="104"/>
      <c r="F420" s="30"/>
      <c r="G420" s="30"/>
      <c r="H420" s="5"/>
    </row>
    <row r="421">
      <c r="A421" s="30"/>
      <c r="B421" s="30"/>
      <c r="C421" s="30"/>
      <c r="D421" s="104"/>
      <c r="E421" s="104"/>
      <c r="F421" s="30"/>
      <c r="G421" s="30"/>
      <c r="H421" s="5"/>
    </row>
    <row r="422">
      <c r="A422" s="30"/>
      <c r="B422" s="30"/>
      <c r="C422" s="30"/>
      <c r="D422" s="104"/>
      <c r="E422" s="104"/>
      <c r="F422" s="30"/>
      <c r="G422" s="30"/>
      <c r="H422" s="5"/>
    </row>
    <row r="423">
      <c r="A423" s="30"/>
      <c r="B423" s="30"/>
      <c r="C423" s="30"/>
      <c r="D423" s="104"/>
      <c r="E423" s="104"/>
      <c r="F423" s="30"/>
      <c r="G423" s="30"/>
      <c r="H423" s="5"/>
    </row>
    <row r="424">
      <c r="A424" s="30"/>
      <c r="B424" s="30"/>
      <c r="C424" s="30"/>
      <c r="D424" s="104"/>
      <c r="E424" s="104"/>
      <c r="F424" s="30"/>
      <c r="G424" s="30"/>
      <c r="H424" s="5"/>
    </row>
    <row r="425">
      <c r="A425" s="30"/>
      <c r="B425" s="30"/>
      <c r="C425" s="30"/>
      <c r="D425" s="104"/>
      <c r="E425" s="104"/>
      <c r="F425" s="30"/>
      <c r="G425" s="30"/>
      <c r="H425" s="5"/>
    </row>
    <row r="426">
      <c r="A426" s="30"/>
      <c r="B426" s="30"/>
      <c r="C426" s="30"/>
      <c r="D426" s="104"/>
      <c r="E426" s="104"/>
      <c r="F426" s="30"/>
      <c r="G426" s="30"/>
      <c r="H426" s="5"/>
    </row>
    <row r="427">
      <c r="A427" s="30"/>
      <c r="B427" s="30"/>
      <c r="C427" s="30"/>
      <c r="D427" s="104"/>
      <c r="E427" s="104"/>
      <c r="F427" s="30"/>
      <c r="G427" s="30"/>
      <c r="H427" s="5"/>
    </row>
    <row r="428">
      <c r="A428" s="30"/>
      <c r="B428" s="30"/>
      <c r="C428" s="30"/>
      <c r="D428" s="104"/>
      <c r="E428" s="104"/>
      <c r="F428" s="30"/>
      <c r="G428" s="30"/>
      <c r="H428" s="5"/>
    </row>
    <row r="429">
      <c r="A429" s="30"/>
      <c r="B429" s="30"/>
      <c r="C429" s="30"/>
      <c r="D429" s="104"/>
      <c r="E429" s="104"/>
      <c r="F429" s="30"/>
      <c r="G429" s="30"/>
      <c r="H429" s="5"/>
    </row>
    <row r="430">
      <c r="A430" s="30"/>
      <c r="B430" s="30"/>
      <c r="C430" s="30"/>
      <c r="D430" s="104"/>
      <c r="E430" s="104"/>
      <c r="F430" s="30"/>
      <c r="G430" s="30"/>
      <c r="H430" s="5"/>
    </row>
    <row r="431">
      <c r="A431" s="30"/>
      <c r="B431" s="30"/>
      <c r="C431" s="30"/>
      <c r="D431" s="104"/>
      <c r="E431" s="104"/>
      <c r="F431" s="30"/>
      <c r="G431" s="30"/>
      <c r="H431" s="5"/>
    </row>
    <row r="432">
      <c r="A432" s="30"/>
      <c r="B432" s="30"/>
      <c r="C432" s="30"/>
      <c r="D432" s="104"/>
      <c r="E432" s="104"/>
      <c r="F432" s="30"/>
      <c r="G432" s="30"/>
      <c r="H432" s="5"/>
    </row>
    <row r="433">
      <c r="A433" s="30"/>
      <c r="B433" s="30"/>
      <c r="C433" s="30"/>
      <c r="D433" s="104"/>
      <c r="E433" s="104"/>
      <c r="F433" s="30"/>
      <c r="G433" s="30"/>
      <c r="H433" s="5"/>
    </row>
    <row r="434">
      <c r="A434" s="30"/>
      <c r="B434" s="30"/>
      <c r="C434" s="30"/>
      <c r="D434" s="104"/>
      <c r="E434" s="104"/>
      <c r="F434" s="30"/>
      <c r="G434" s="30"/>
      <c r="H434" s="5"/>
    </row>
    <row r="435">
      <c r="A435" s="30"/>
      <c r="B435" s="30"/>
      <c r="C435" s="30"/>
      <c r="D435" s="104"/>
      <c r="E435" s="104"/>
      <c r="F435" s="30"/>
      <c r="G435" s="30"/>
      <c r="H435" s="5"/>
    </row>
    <row r="436">
      <c r="A436" s="30"/>
      <c r="B436" s="30"/>
      <c r="C436" s="30"/>
      <c r="D436" s="104"/>
      <c r="E436" s="104"/>
      <c r="F436" s="30"/>
      <c r="G436" s="30"/>
      <c r="H436" s="5"/>
    </row>
    <row r="437">
      <c r="A437" s="30"/>
      <c r="B437" s="30"/>
      <c r="C437" s="30"/>
      <c r="D437" s="104"/>
      <c r="E437" s="104"/>
      <c r="F437" s="30"/>
      <c r="G437" s="30"/>
      <c r="H437" s="5"/>
    </row>
    <row r="438">
      <c r="A438" s="30"/>
      <c r="B438" s="30"/>
      <c r="C438" s="30"/>
      <c r="D438" s="104"/>
      <c r="E438" s="104"/>
      <c r="F438" s="30"/>
      <c r="G438" s="30"/>
      <c r="H438" s="5"/>
    </row>
    <row r="439">
      <c r="A439" s="30"/>
      <c r="B439" s="30"/>
      <c r="C439" s="30"/>
      <c r="D439" s="104"/>
      <c r="E439" s="104"/>
      <c r="F439" s="30"/>
      <c r="G439" s="30"/>
      <c r="H439" s="5"/>
    </row>
    <row r="440">
      <c r="A440" s="30"/>
      <c r="B440" s="30"/>
      <c r="C440" s="30"/>
      <c r="D440" s="104"/>
      <c r="E440" s="104"/>
      <c r="F440" s="30"/>
      <c r="G440" s="30"/>
      <c r="H440" s="5"/>
    </row>
    <row r="441">
      <c r="A441" s="30"/>
      <c r="B441" s="30"/>
      <c r="C441" s="30"/>
      <c r="D441" s="104"/>
      <c r="E441" s="104"/>
      <c r="F441" s="30"/>
      <c r="G441" s="30"/>
      <c r="H441" s="5"/>
    </row>
    <row r="442">
      <c r="A442" s="30"/>
      <c r="B442" s="30"/>
      <c r="C442" s="30"/>
      <c r="D442" s="104"/>
      <c r="E442" s="104"/>
      <c r="F442" s="30"/>
      <c r="G442" s="30"/>
      <c r="H442" s="5"/>
    </row>
    <row r="443">
      <c r="A443" s="30"/>
      <c r="B443" s="30"/>
      <c r="C443" s="30"/>
      <c r="D443" s="104"/>
      <c r="E443" s="104"/>
      <c r="F443" s="30"/>
      <c r="G443" s="30"/>
      <c r="H443" s="5"/>
    </row>
    <row r="444">
      <c r="A444" s="30"/>
      <c r="B444" s="30"/>
      <c r="C444" s="30"/>
      <c r="D444" s="104"/>
      <c r="E444" s="104"/>
      <c r="F444" s="30"/>
      <c r="G444" s="30"/>
      <c r="H444" s="5"/>
    </row>
    <row r="445">
      <c r="A445" s="30"/>
      <c r="B445" s="30"/>
      <c r="C445" s="30"/>
      <c r="D445" s="104"/>
      <c r="E445" s="104"/>
      <c r="F445" s="30"/>
      <c r="G445" s="30"/>
      <c r="H445" s="5"/>
    </row>
    <row r="446">
      <c r="A446" s="30"/>
      <c r="B446" s="30"/>
      <c r="C446" s="30"/>
      <c r="D446" s="104"/>
      <c r="E446" s="104"/>
      <c r="F446" s="30"/>
      <c r="G446" s="30"/>
      <c r="H446" s="5"/>
    </row>
    <row r="447">
      <c r="A447" s="30"/>
      <c r="B447" s="30"/>
      <c r="C447" s="30"/>
      <c r="D447" s="104"/>
      <c r="E447" s="104"/>
      <c r="F447" s="30"/>
      <c r="G447" s="30"/>
      <c r="H447" s="5"/>
    </row>
    <row r="448">
      <c r="A448" s="30"/>
      <c r="B448" s="30"/>
      <c r="C448" s="30"/>
      <c r="D448" s="104"/>
      <c r="E448" s="104"/>
      <c r="F448" s="30"/>
      <c r="G448" s="30"/>
      <c r="H448" s="5"/>
    </row>
    <row r="449">
      <c r="A449" s="30"/>
      <c r="B449" s="30"/>
      <c r="C449" s="30"/>
      <c r="D449" s="104"/>
      <c r="E449" s="104"/>
      <c r="F449" s="30"/>
      <c r="G449" s="30"/>
      <c r="H449" s="5"/>
    </row>
    <row r="450">
      <c r="A450" s="30"/>
      <c r="B450" s="30"/>
      <c r="C450" s="30"/>
      <c r="D450" s="104"/>
      <c r="E450" s="104"/>
      <c r="F450" s="30"/>
      <c r="G450" s="30"/>
      <c r="H450" s="5"/>
    </row>
    <row r="451">
      <c r="A451" s="30"/>
      <c r="B451" s="30"/>
      <c r="C451" s="30"/>
      <c r="D451" s="104"/>
      <c r="E451" s="104"/>
      <c r="F451" s="30"/>
      <c r="G451" s="30"/>
      <c r="H451" s="5"/>
    </row>
    <row r="452">
      <c r="A452" s="30"/>
      <c r="B452" s="30"/>
      <c r="C452" s="30"/>
      <c r="D452" s="104"/>
      <c r="E452" s="104"/>
      <c r="F452" s="30"/>
      <c r="G452" s="30"/>
      <c r="H452" s="5"/>
    </row>
    <row r="453">
      <c r="A453" s="30"/>
      <c r="B453" s="30"/>
      <c r="C453" s="30"/>
      <c r="D453" s="104"/>
      <c r="E453" s="104"/>
      <c r="F453" s="30"/>
      <c r="G453" s="30"/>
      <c r="H453" s="5"/>
    </row>
    <row r="454">
      <c r="A454" s="30"/>
      <c r="B454" s="30"/>
      <c r="C454" s="30"/>
      <c r="D454" s="104"/>
      <c r="E454" s="104"/>
      <c r="F454" s="30"/>
      <c r="G454" s="30"/>
      <c r="H454" s="5"/>
    </row>
    <row r="455">
      <c r="A455" s="30"/>
      <c r="B455" s="30"/>
      <c r="C455" s="30"/>
      <c r="D455" s="104"/>
      <c r="E455" s="104"/>
      <c r="F455" s="30"/>
      <c r="G455" s="30"/>
      <c r="H455" s="5"/>
    </row>
    <row r="456">
      <c r="A456" s="30"/>
      <c r="B456" s="30"/>
      <c r="C456" s="30"/>
      <c r="D456" s="104"/>
      <c r="E456" s="104"/>
      <c r="F456" s="30"/>
      <c r="G456" s="30"/>
      <c r="H456" s="5"/>
    </row>
    <row r="457">
      <c r="A457" s="30"/>
      <c r="B457" s="30"/>
      <c r="C457" s="30"/>
      <c r="D457" s="104"/>
      <c r="E457" s="104"/>
      <c r="F457" s="30"/>
      <c r="G457" s="30"/>
      <c r="H457" s="5"/>
    </row>
    <row r="458">
      <c r="A458" s="30"/>
      <c r="B458" s="30"/>
      <c r="C458" s="30"/>
      <c r="D458" s="104"/>
      <c r="E458" s="104"/>
      <c r="F458" s="30"/>
      <c r="G458" s="30"/>
      <c r="H458" s="5"/>
    </row>
    <row r="459">
      <c r="A459" s="30"/>
      <c r="B459" s="30"/>
      <c r="C459" s="30"/>
      <c r="D459" s="104"/>
      <c r="E459" s="104"/>
      <c r="F459" s="30"/>
      <c r="G459" s="30"/>
      <c r="H459" s="5"/>
    </row>
    <row r="460">
      <c r="A460" s="30"/>
      <c r="B460" s="30"/>
      <c r="C460" s="30"/>
      <c r="D460" s="104"/>
      <c r="E460" s="104"/>
      <c r="F460" s="30"/>
      <c r="G460" s="30"/>
      <c r="H460" s="5"/>
    </row>
    <row r="461">
      <c r="A461" s="30"/>
      <c r="B461" s="30"/>
      <c r="C461" s="30"/>
      <c r="D461" s="104"/>
      <c r="E461" s="104"/>
      <c r="F461" s="30"/>
      <c r="G461" s="30"/>
      <c r="H461" s="5"/>
    </row>
    <row r="462">
      <c r="A462" s="30"/>
      <c r="B462" s="30"/>
      <c r="C462" s="30"/>
      <c r="D462" s="104"/>
      <c r="E462" s="104"/>
      <c r="F462" s="30"/>
      <c r="G462" s="30"/>
      <c r="H462" s="5"/>
    </row>
    <row r="463">
      <c r="A463" s="30"/>
      <c r="B463" s="30"/>
      <c r="C463" s="30"/>
      <c r="D463" s="104"/>
      <c r="E463" s="104"/>
      <c r="F463" s="30"/>
      <c r="G463" s="30"/>
      <c r="H463" s="5"/>
    </row>
    <row r="464">
      <c r="A464" s="30"/>
      <c r="B464" s="30"/>
      <c r="C464" s="30"/>
      <c r="D464" s="104"/>
      <c r="E464" s="104"/>
      <c r="F464" s="30"/>
      <c r="G464" s="30"/>
      <c r="H464" s="5"/>
    </row>
    <row r="465">
      <c r="A465" s="30"/>
      <c r="B465" s="30"/>
      <c r="C465" s="30"/>
      <c r="D465" s="104"/>
      <c r="E465" s="104"/>
      <c r="F465" s="30"/>
      <c r="G465" s="30"/>
      <c r="H465" s="5"/>
    </row>
    <row r="466">
      <c r="A466" s="30"/>
      <c r="B466" s="30"/>
      <c r="C466" s="30"/>
      <c r="D466" s="104"/>
      <c r="E466" s="104"/>
      <c r="F466" s="30"/>
      <c r="G466" s="30"/>
      <c r="H466" s="5"/>
    </row>
    <row r="467">
      <c r="A467" s="30"/>
      <c r="B467" s="30"/>
      <c r="C467" s="30"/>
      <c r="D467" s="104"/>
      <c r="E467" s="104"/>
      <c r="F467" s="30"/>
      <c r="G467" s="30"/>
      <c r="H467" s="5"/>
    </row>
    <row r="468">
      <c r="A468" s="30"/>
      <c r="B468" s="30"/>
      <c r="C468" s="30"/>
      <c r="D468" s="104"/>
      <c r="E468" s="104"/>
      <c r="F468" s="30"/>
      <c r="G468" s="30"/>
      <c r="H468" s="5"/>
    </row>
    <row r="469">
      <c r="A469" s="30"/>
      <c r="B469" s="30"/>
      <c r="C469" s="30"/>
      <c r="D469" s="104"/>
      <c r="E469" s="104"/>
      <c r="F469" s="30"/>
      <c r="G469" s="30"/>
      <c r="H469" s="5"/>
    </row>
    <row r="470">
      <c r="A470" s="30"/>
      <c r="B470" s="30"/>
      <c r="C470" s="30"/>
      <c r="D470" s="104"/>
      <c r="E470" s="104"/>
      <c r="F470" s="30"/>
      <c r="G470" s="30"/>
      <c r="H470" s="5"/>
    </row>
    <row r="471">
      <c r="A471" s="30"/>
      <c r="B471" s="30"/>
      <c r="C471" s="30"/>
      <c r="D471" s="104"/>
      <c r="E471" s="104"/>
      <c r="F471" s="30"/>
      <c r="G471" s="30"/>
      <c r="H471" s="5"/>
    </row>
    <row r="472">
      <c r="A472" s="30"/>
      <c r="B472" s="30"/>
      <c r="C472" s="30"/>
      <c r="D472" s="104"/>
      <c r="E472" s="104"/>
      <c r="F472" s="30"/>
      <c r="G472" s="30"/>
      <c r="H472" s="5"/>
    </row>
    <row r="473">
      <c r="A473" s="30"/>
      <c r="B473" s="30"/>
      <c r="C473" s="30"/>
      <c r="D473" s="104"/>
      <c r="E473" s="104"/>
      <c r="F473" s="30"/>
      <c r="G473" s="30"/>
      <c r="H473" s="5"/>
    </row>
    <row r="474">
      <c r="A474" s="30"/>
      <c r="B474" s="30"/>
      <c r="C474" s="30"/>
      <c r="D474" s="104"/>
      <c r="E474" s="104"/>
      <c r="F474" s="30"/>
      <c r="G474" s="30"/>
      <c r="H474" s="5"/>
    </row>
    <row r="475">
      <c r="A475" s="30"/>
      <c r="B475" s="30"/>
      <c r="C475" s="30"/>
      <c r="D475" s="104"/>
      <c r="E475" s="104"/>
      <c r="F475" s="30"/>
      <c r="G475" s="30"/>
      <c r="H475" s="5"/>
    </row>
    <row r="476">
      <c r="A476" s="30"/>
      <c r="B476" s="30"/>
      <c r="C476" s="30"/>
      <c r="D476" s="104"/>
      <c r="E476" s="104"/>
      <c r="F476" s="30"/>
      <c r="G476" s="30"/>
      <c r="H476" s="5"/>
    </row>
    <row r="477">
      <c r="A477" s="30"/>
      <c r="B477" s="30"/>
      <c r="C477" s="30"/>
      <c r="D477" s="104"/>
      <c r="E477" s="104"/>
      <c r="F477" s="30"/>
      <c r="G477" s="30"/>
      <c r="H477" s="5"/>
    </row>
    <row r="478">
      <c r="A478" s="30"/>
      <c r="B478" s="30"/>
      <c r="C478" s="30"/>
      <c r="D478" s="104"/>
      <c r="E478" s="104"/>
      <c r="F478" s="30"/>
      <c r="G478" s="30"/>
      <c r="H478" s="5"/>
    </row>
    <row r="479">
      <c r="A479" s="30"/>
      <c r="B479" s="30"/>
      <c r="C479" s="30"/>
      <c r="D479" s="104"/>
      <c r="E479" s="104"/>
      <c r="F479" s="30"/>
      <c r="G479" s="30"/>
      <c r="H479" s="5"/>
    </row>
    <row r="480">
      <c r="A480" s="30"/>
      <c r="B480" s="30"/>
      <c r="C480" s="30"/>
      <c r="D480" s="104"/>
      <c r="E480" s="104"/>
      <c r="F480" s="30"/>
      <c r="G480" s="30"/>
      <c r="H480" s="5"/>
    </row>
    <row r="481">
      <c r="A481" s="30"/>
      <c r="B481" s="30"/>
      <c r="C481" s="30"/>
      <c r="D481" s="104"/>
      <c r="E481" s="104"/>
      <c r="F481" s="30"/>
      <c r="G481" s="30"/>
      <c r="H481" s="5"/>
    </row>
    <row r="482">
      <c r="A482" s="30"/>
      <c r="B482" s="30"/>
      <c r="C482" s="30"/>
      <c r="D482" s="104"/>
      <c r="E482" s="104"/>
      <c r="F482" s="30"/>
      <c r="G482" s="30"/>
      <c r="H482" s="5"/>
    </row>
    <row r="483">
      <c r="A483" s="30"/>
      <c r="B483" s="30"/>
      <c r="C483" s="30"/>
      <c r="D483" s="104"/>
      <c r="E483" s="104"/>
      <c r="F483" s="30"/>
      <c r="G483" s="30"/>
      <c r="H483" s="5"/>
    </row>
    <row r="484">
      <c r="A484" s="30"/>
      <c r="B484" s="30"/>
      <c r="C484" s="30"/>
      <c r="D484" s="104"/>
      <c r="E484" s="104"/>
      <c r="F484" s="30"/>
      <c r="G484" s="30"/>
      <c r="H484" s="5"/>
    </row>
    <row r="485">
      <c r="A485" s="30"/>
      <c r="B485" s="30"/>
      <c r="C485" s="30"/>
      <c r="D485" s="104"/>
      <c r="E485" s="104"/>
      <c r="F485" s="30"/>
      <c r="G485" s="30"/>
      <c r="H485" s="5"/>
    </row>
    <row r="486">
      <c r="A486" s="30"/>
      <c r="B486" s="30"/>
      <c r="C486" s="30"/>
      <c r="D486" s="104"/>
      <c r="E486" s="104"/>
      <c r="F486" s="30"/>
      <c r="G486" s="30"/>
      <c r="H486" s="5"/>
    </row>
    <row r="487">
      <c r="A487" s="30"/>
      <c r="B487" s="30"/>
      <c r="C487" s="30"/>
      <c r="D487" s="104"/>
      <c r="E487" s="104"/>
      <c r="F487" s="30"/>
      <c r="G487" s="30"/>
      <c r="H487" s="5"/>
    </row>
    <row r="488">
      <c r="A488" s="30"/>
      <c r="B488" s="30"/>
      <c r="C488" s="30"/>
      <c r="D488" s="104"/>
      <c r="E488" s="104"/>
      <c r="F488" s="30"/>
      <c r="G488" s="30"/>
      <c r="H488" s="5"/>
    </row>
    <row r="489">
      <c r="A489" s="30"/>
      <c r="B489" s="30"/>
      <c r="C489" s="30"/>
      <c r="D489" s="104"/>
      <c r="E489" s="104"/>
      <c r="F489" s="30"/>
      <c r="G489" s="30"/>
      <c r="H489" s="5"/>
    </row>
    <row r="490">
      <c r="A490" s="30"/>
      <c r="B490" s="30"/>
      <c r="C490" s="30"/>
      <c r="D490" s="104"/>
      <c r="E490" s="104"/>
      <c r="F490" s="30"/>
      <c r="G490" s="30"/>
      <c r="H490" s="5"/>
    </row>
    <row r="491">
      <c r="A491" s="30"/>
      <c r="B491" s="30"/>
      <c r="C491" s="30"/>
      <c r="D491" s="104"/>
      <c r="E491" s="104"/>
      <c r="F491" s="30"/>
      <c r="G491" s="30"/>
      <c r="H491" s="5"/>
    </row>
    <row r="492">
      <c r="A492" s="30"/>
      <c r="B492" s="30"/>
      <c r="C492" s="30"/>
      <c r="D492" s="104"/>
      <c r="E492" s="104"/>
      <c r="F492" s="30"/>
      <c r="G492" s="30"/>
      <c r="H492" s="5"/>
    </row>
    <row r="493">
      <c r="A493" s="30"/>
      <c r="B493" s="30"/>
      <c r="C493" s="30"/>
      <c r="D493" s="104"/>
      <c r="E493" s="104"/>
      <c r="F493" s="30"/>
      <c r="G493" s="30"/>
      <c r="H493" s="5"/>
    </row>
    <row r="494">
      <c r="A494" s="30"/>
      <c r="B494" s="30"/>
      <c r="C494" s="30"/>
      <c r="D494" s="104"/>
      <c r="E494" s="104"/>
      <c r="F494" s="30"/>
      <c r="G494" s="30"/>
      <c r="H494" s="5"/>
    </row>
    <row r="495">
      <c r="A495" s="30"/>
      <c r="B495" s="30"/>
      <c r="C495" s="30"/>
      <c r="D495" s="104"/>
      <c r="E495" s="104"/>
      <c r="F495" s="30"/>
      <c r="G495" s="30"/>
      <c r="H495" s="5"/>
    </row>
    <row r="496">
      <c r="A496" s="30"/>
      <c r="B496" s="30"/>
      <c r="C496" s="30"/>
      <c r="D496" s="104"/>
      <c r="E496" s="104"/>
      <c r="F496" s="30"/>
      <c r="G496" s="30"/>
      <c r="H496" s="5"/>
    </row>
    <row r="497">
      <c r="A497" s="30"/>
      <c r="B497" s="30"/>
      <c r="C497" s="30"/>
      <c r="D497" s="104"/>
      <c r="E497" s="104"/>
      <c r="F497" s="30"/>
      <c r="G497" s="30"/>
      <c r="H497" s="5"/>
    </row>
    <row r="498">
      <c r="A498" s="30"/>
      <c r="B498" s="30"/>
      <c r="C498" s="30"/>
      <c r="D498" s="104"/>
      <c r="E498" s="104"/>
      <c r="F498" s="30"/>
      <c r="G498" s="30"/>
      <c r="H498" s="5"/>
    </row>
    <row r="499">
      <c r="A499" s="30"/>
      <c r="B499" s="30"/>
      <c r="C499" s="30"/>
      <c r="D499" s="104"/>
      <c r="E499" s="104"/>
      <c r="F499" s="30"/>
      <c r="G499" s="30"/>
      <c r="H499" s="5"/>
    </row>
    <row r="500">
      <c r="A500" s="30"/>
      <c r="B500" s="30"/>
      <c r="C500" s="30"/>
      <c r="D500" s="104"/>
      <c r="E500" s="104"/>
      <c r="F500" s="30"/>
      <c r="G500" s="30"/>
      <c r="H500" s="5"/>
    </row>
    <row r="501">
      <c r="A501" s="30"/>
      <c r="B501" s="30"/>
      <c r="C501" s="30"/>
      <c r="D501" s="104"/>
      <c r="E501" s="104"/>
      <c r="F501" s="30"/>
      <c r="G501" s="30"/>
      <c r="H501" s="5"/>
    </row>
    <row r="502">
      <c r="A502" s="30"/>
      <c r="B502" s="30"/>
      <c r="C502" s="30"/>
      <c r="D502" s="104"/>
      <c r="E502" s="104"/>
      <c r="F502" s="30"/>
      <c r="G502" s="30"/>
      <c r="H502" s="5"/>
    </row>
    <row r="503">
      <c r="A503" s="30"/>
      <c r="B503" s="30"/>
      <c r="C503" s="30"/>
      <c r="D503" s="104"/>
      <c r="E503" s="104"/>
      <c r="F503" s="30"/>
      <c r="G503" s="30"/>
      <c r="H503" s="5"/>
    </row>
    <row r="504">
      <c r="A504" s="30"/>
      <c r="B504" s="30"/>
      <c r="C504" s="30"/>
      <c r="D504" s="104"/>
      <c r="E504" s="104"/>
      <c r="F504" s="30"/>
      <c r="G504" s="30"/>
      <c r="H504" s="5"/>
    </row>
    <row r="505">
      <c r="A505" s="30"/>
      <c r="B505" s="30"/>
      <c r="C505" s="30"/>
      <c r="D505" s="104"/>
      <c r="E505" s="104"/>
      <c r="F505" s="30"/>
      <c r="G505" s="30"/>
      <c r="H505" s="5"/>
    </row>
    <row r="506">
      <c r="A506" s="30"/>
      <c r="B506" s="30"/>
      <c r="C506" s="30"/>
      <c r="D506" s="104"/>
      <c r="E506" s="104"/>
      <c r="F506" s="30"/>
      <c r="G506" s="30"/>
      <c r="H506" s="5"/>
    </row>
    <row r="507">
      <c r="A507" s="30"/>
      <c r="B507" s="30"/>
      <c r="C507" s="30"/>
      <c r="D507" s="104"/>
      <c r="E507" s="104"/>
      <c r="F507" s="30"/>
      <c r="G507" s="30"/>
      <c r="H507" s="5"/>
    </row>
    <row r="508">
      <c r="A508" s="30"/>
      <c r="B508" s="30"/>
      <c r="C508" s="30"/>
      <c r="D508" s="104"/>
      <c r="E508" s="104"/>
      <c r="F508" s="30"/>
      <c r="G508" s="30"/>
      <c r="H508" s="5"/>
    </row>
    <row r="509">
      <c r="A509" s="30"/>
      <c r="B509" s="30"/>
      <c r="C509" s="30"/>
      <c r="D509" s="104"/>
      <c r="E509" s="104"/>
      <c r="F509" s="30"/>
      <c r="G509" s="30"/>
      <c r="H509" s="5"/>
    </row>
    <row r="510">
      <c r="A510" s="30"/>
      <c r="B510" s="30"/>
      <c r="C510" s="30"/>
      <c r="D510" s="104"/>
      <c r="E510" s="104"/>
      <c r="F510" s="30"/>
      <c r="G510" s="30"/>
      <c r="H510" s="5"/>
    </row>
    <row r="511">
      <c r="A511" s="30"/>
      <c r="B511" s="30"/>
      <c r="C511" s="30"/>
      <c r="D511" s="104"/>
      <c r="E511" s="104"/>
      <c r="F511" s="30"/>
      <c r="G511" s="30"/>
      <c r="H511" s="5"/>
    </row>
    <row r="512">
      <c r="A512" s="30"/>
      <c r="B512" s="30"/>
      <c r="C512" s="30"/>
      <c r="D512" s="104"/>
      <c r="E512" s="104"/>
      <c r="F512" s="30"/>
      <c r="G512" s="30"/>
      <c r="H512" s="5"/>
    </row>
    <row r="513">
      <c r="A513" s="30"/>
      <c r="B513" s="30"/>
      <c r="C513" s="30"/>
      <c r="D513" s="104"/>
      <c r="E513" s="104"/>
      <c r="F513" s="30"/>
      <c r="G513" s="30"/>
      <c r="H513" s="5"/>
    </row>
    <row r="514">
      <c r="A514" s="30"/>
      <c r="B514" s="30"/>
      <c r="C514" s="30"/>
      <c r="D514" s="104"/>
      <c r="E514" s="104"/>
      <c r="F514" s="30"/>
      <c r="G514" s="30"/>
      <c r="H514" s="5"/>
    </row>
    <row r="515">
      <c r="A515" s="30"/>
      <c r="B515" s="30"/>
      <c r="C515" s="30"/>
      <c r="D515" s="104"/>
      <c r="E515" s="104"/>
      <c r="F515" s="30"/>
      <c r="G515" s="30"/>
      <c r="H515" s="5"/>
    </row>
    <row r="516">
      <c r="A516" s="30"/>
      <c r="B516" s="30"/>
      <c r="C516" s="30"/>
      <c r="D516" s="104"/>
      <c r="E516" s="104"/>
      <c r="F516" s="30"/>
      <c r="G516" s="30"/>
      <c r="H516" s="5"/>
    </row>
    <row r="517">
      <c r="A517" s="30"/>
      <c r="B517" s="30"/>
      <c r="C517" s="30"/>
      <c r="D517" s="104"/>
      <c r="E517" s="104"/>
      <c r="F517" s="30"/>
      <c r="G517" s="30"/>
      <c r="H517" s="5"/>
    </row>
    <row r="518">
      <c r="A518" s="30"/>
      <c r="B518" s="30"/>
      <c r="C518" s="30"/>
      <c r="D518" s="104"/>
      <c r="E518" s="104"/>
      <c r="F518" s="30"/>
      <c r="G518" s="30"/>
      <c r="H518" s="5"/>
    </row>
    <row r="519">
      <c r="A519" s="30"/>
      <c r="B519" s="30"/>
      <c r="C519" s="30"/>
      <c r="D519" s="104"/>
      <c r="E519" s="104"/>
      <c r="F519" s="30"/>
      <c r="G519" s="30"/>
      <c r="H519" s="5"/>
    </row>
    <row r="520">
      <c r="A520" s="30"/>
      <c r="B520" s="30"/>
      <c r="C520" s="30"/>
      <c r="D520" s="104"/>
      <c r="E520" s="104"/>
      <c r="F520" s="30"/>
      <c r="G520" s="30"/>
      <c r="H520" s="5"/>
    </row>
    <row r="521">
      <c r="A521" s="30"/>
      <c r="B521" s="30"/>
      <c r="C521" s="30"/>
      <c r="D521" s="104"/>
      <c r="E521" s="104"/>
      <c r="F521" s="30"/>
      <c r="G521" s="30"/>
      <c r="H521" s="5"/>
    </row>
    <row r="522">
      <c r="A522" s="30"/>
      <c r="B522" s="30"/>
      <c r="C522" s="30"/>
      <c r="D522" s="104"/>
      <c r="E522" s="104"/>
      <c r="F522" s="30"/>
      <c r="G522" s="30"/>
      <c r="H522" s="5"/>
    </row>
    <row r="523">
      <c r="A523" s="30"/>
      <c r="B523" s="30"/>
      <c r="C523" s="30"/>
      <c r="D523" s="104"/>
      <c r="E523" s="104"/>
      <c r="F523" s="30"/>
      <c r="G523" s="30"/>
      <c r="H523" s="5"/>
    </row>
    <row r="524">
      <c r="A524" s="30"/>
      <c r="B524" s="30"/>
      <c r="C524" s="30"/>
      <c r="D524" s="104"/>
      <c r="E524" s="104"/>
      <c r="F524" s="30"/>
      <c r="G524" s="30"/>
      <c r="H524" s="5"/>
    </row>
    <row r="525">
      <c r="A525" s="30"/>
      <c r="B525" s="30"/>
      <c r="C525" s="30"/>
      <c r="D525" s="104"/>
      <c r="E525" s="104"/>
      <c r="F525" s="30"/>
      <c r="G525" s="30"/>
      <c r="H525" s="5"/>
    </row>
    <row r="526">
      <c r="A526" s="30"/>
      <c r="B526" s="30"/>
      <c r="C526" s="30"/>
      <c r="D526" s="104"/>
      <c r="E526" s="104"/>
      <c r="F526" s="30"/>
      <c r="G526" s="30"/>
      <c r="H526" s="5"/>
    </row>
    <row r="527">
      <c r="A527" s="30"/>
      <c r="B527" s="30"/>
      <c r="C527" s="30"/>
      <c r="D527" s="104"/>
      <c r="E527" s="104"/>
      <c r="F527" s="30"/>
      <c r="G527" s="30"/>
      <c r="H527" s="5"/>
    </row>
    <row r="528">
      <c r="A528" s="30"/>
      <c r="B528" s="30"/>
      <c r="C528" s="30"/>
      <c r="D528" s="104"/>
      <c r="E528" s="104"/>
      <c r="F528" s="30"/>
      <c r="G528" s="30"/>
      <c r="H528" s="5"/>
    </row>
    <row r="529">
      <c r="A529" s="30"/>
      <c r="B529" s="30"/>
      <c r="C529" s="30"/>
      <c r="D529" s="104"/>
      <c r="E529" s="104"/>
      <c r="F529" s="30"/>
      <c r="G529" s="30"/>
      <c r="H529" s="5"/>
    </row>
    <row r="530">
      <c r="A530" s="30"/>
      <c r="B530" s="30"/>
      <c r="C530" s="30"/>
      <c r="D530" s="104"/>
      <c r="E530" s="104"/>
      <c r="F530" s="30"/>
      <c r="G530" s="30"/>
      <c r="H530" s="5"/>
    </row>
    <row r="531">
      <c r="A531" s="30"/>
      <c r="B531" s="30"/>
      <c r="C531" s="30"/>
      <c r="D531" s="104"/>
      <c r="E531" s="104"/>
      <c r="F531" s="30"/>
      <c r="G531" s="30"/>
      <c r="H531" s="5"/>
    </row>
    <row r="532">
      <c r="A532" s="30"/>
      <c r="B532" s="30"/>
      <c r="C532" s="30"/>
      <c r="D532" s="104"/>
      <c r="E532" s="104"/>
      <c r="F532" s="30"/>
      <c r="G532" s="30"/>
      <c r="H532" s="5"/>
    </row>
    <row r="533">
      <c r="A533" s="30"/>
      <c r="B533" s="30"/>
      <c r="C533" s="30"/>
      <c r="D533" s="104"/>
      <c r="E533" s="104"/>
      <c r="F533" s="30"/>
      <c r="G533" s="30"/>
      <c r="H533" s="5"/>
    </row>
    <row r="534">
      <c r="A534" s="30"/>
      <c r="B534" s="30"/>
      <c r="C534" s="30"/>
      <c r="D534" s="104"/>
      <c r="E534" s="104"/>
      <c r="F534" s="30"/>
      <c r="G534" s="30"/>
      <c r="H534" s="5"/>
    </row>
    <row r="535">
      <c r="A535" s="30"/>
      <c r="B535" s="30"/>
      <c r="C535" s="30"/>
      <c r="D535" s="104"/>
      <c r="E535" s="104"/>
      <c r="F535" s="30"/>
      <c r="G535" s="30"/>
      <c r="H535" s="5"/>
    </row>
    <row r="536">
      <c r="A536" s="30"/>
      <c r="B536" s="30"/>
      <c r="C536" s="30"/>
      <c r="D536" s="104"/>
      <c r="E536" s="104"/>
      <c r="F536" s="30"/>
      <c r="G536" s="30"/>
      <c r="H536" s="5"/>
    </row>
    <row r="537">
      <c r="A537" s="30"/>
      <c r="B537" s="30"/>
      <c r="C537" s="30"/>
      <c r="D537" s="104"/>
      <c r="E537" s="104"/>
      <c r="F537" s="30"/>
      <c r="G537" s="30"/>
      <c r="H537" s="5"/>
    </row>
    <row r="538">
      <c r="A538" s="30"/>
      <c r="B538" s="30"/>
      <c r="C538" s="30"/>
      <c r="D538" s="104"/>
      <c r="E538" s="104"/>
      <c r="F538" s="30"/>
      <c r="G538" s="30"/>
      <c r="H538" s="5"/>
    </row>
    <row r="539">
      <c r="A539" s="30"/>
      <c r="B539" s="30"/>
      <c r="C539" s="30"/>
      <c r="D539" s="104"/>
      <c r="E539" s="104"/>
      <c r="F539" s="30"/>
      <c r="G539" s="30"/>
      <c r="H539" s="5"/>
    </row>
    <row r="540">
      <c r="A540" s="30"/>
      <c r="B540" s="30"/>
      <c r="C540" s="30"/>
      <c r="D540" s="104"/>
      <c r="E540" s="104"/>
      <c r="F540" s="30"/>
      <c r="G540" s="30"/>
      <c r="H540" s="5"/>
    </row>
    <row r="541">
      <c r="A541" s="30"/>
      <c r="B541" s="30"/>
      <c r="C541" s="30"/>
      <c r="D541" s="104"/>
      <c r="E541" s="104"/>
      <c r="F541" s="30"/>
      <c r="G541" s="30"/>
      <c r="H541" s="5"/>
    </row>
    <row r="542">
      <c r="A542" s="30"/>
      <c r="B542" s="30"/>
      <c r="C542" s="30"/>
      <c r="D542" s="104"/>
      <c r="E542" s="104"/>
      <c r="F542" s="30"/>
      <c r="G542" s="30"/>
      <c r="H542" s="5"/>
    </row>
    <row r="543">
      <c r="A543" s="30"/>
      <c r="B543" s="30"/>
      <c r="C543" s="30"/>
      <c r="D543" s="104"/>
      <c r="E543" s="104"/>
      <c r="F543" s="30"/>
      <c r="G543" s="30"/>
      <c r="H543" s="5"/>
    </row>
    <row r="544">
      <c r="A544" s="30"/>
      <c r="B544" s="30"/>
      <c r="C544" s="30"/>
      <c r="D544" s="104"/>
      <c r="E544" s="104"/>
      <c r="F544" s="30"/>
      <c r="G544" s="30"/>
      <c r="H544" s="5"/>
    </row>
    <row r="545">
      <c r="A545" s="30"/>
      <c r="B545" s="30"/>
      <c r="C545" s="30"/>
      <c r="D545" s="104"/>
      <c r="E545" s="104"/>
      <c r="F545" s="30"/>
      <c r="G545" s="30"/>
      <c r="H545" s="5"/>
    </row>
    <row r="546">
      <c r="A546" s="30"/>
      <c r="B546" s="30"/>
      <c r="C546" s="30"/>
      <c r="D546" s="104"/>
      <c r="E546" s="104"/>
      <c r="F546" s="30"/>
      <c r="G546" s="30"/>
      <c r="H546" s="5"/>
    </row>
    <row r="547">
      <c r="A547" s="30"/>
      <c r="B547" s="30"/>
      <c r="C547" s="30"/>
      <c r="D547" s="104"/>
      <c r="E547" s="104"/>
      <c r="F547" s="30"/>
      <c r="G547" s="30"/>
      <c r="H547" s="5"/>
    </row>
    <row r="548">
      <c r="A548" s="30"/>
      <c r="B548" s="30"/>
      <c r="C548" s="30"/>
      <c r="D548" s="104"/>
      <c r="E548" s="104"/>
      <c r="F548" s="30"/>
      <c r="G548" s="30"/>
      <c r="H548" s="5"/>
    </row>
    <row r="549">
      <c r="A549" s="30"/>
      <c r="B549" s="30"/>
      <c r="C549" s="30"/>
      <c r="D549" s="104"/>
      <c r="E549" s="104"/>
      <c r="F549" s="30"/>
      <c r="G549" s="30"/>
      <c r="H549" s="5"/>
    </row>
    <row r="550">
      <c r="A550" s="30"/>
      <c r="B550" s="30"/>
      <c r="C550" s="30"/>
      <c r="D550" s="104"/>
      <c r="E550" s="104"/>
      <c r="F550" s="30"/>
      <c r="G550" s="30"/>
      <c r="H550" s="5"/>
    </row>
    <row r="551">
      <c r="A551" s="30"/>
      <c r="B551" s="30"/>
      <c r="C551" s="30"/>
      <c r="D551" s="104"/>
      <c r="E551" s="104"/>
      <c r="F551" s="30"/>
      <c r="G551" s="30"/>
      <c r="H551" s="5"/>
    </row>
    <row r="552">
      <c r="A552" s="30"/>
      <c r="B552" s="30"/>
      <c r="C552" s="30"/>
      <c r="D552" s="104"/>
      <c r="E552" s="104"/>
      <c r="F552" s="30"/>
      <c r="G552" s="30"/>
      <c r="H552" s="5"/>
    </row>
    <row r="553">
      <c r="A553" s="30"/>
      <c r="B553" s="30"/>
      <c r="C553" s="30"/>
      <c r="D553" s="104"/>
      <c r="E553" s="104"/>
      <c r="F553" s="30"/>
      <c r="G553" s="30"/>
      <c r="H553" s="5"/>
    </row>
    <row r="554">
      <c r="A554" s="30"/>
      <c r="B554" s="30"/>
      <c r="C554" s="30"/>
      <c r="D554" s="104"/>
      <c r="E554" s="104"/>
      <c r="F554" s="30"/>
      <c r="G554" s="30"/>
      <c r="H554" s="5"/>
    </row>
    <row r="555">
      <c r="A555" s="30"/>
      <c r="B555" s="30"/>
      <c r="C555" s="30"/>
      <c r="D555" s="104"/>
      <c r="E555" s="104"/>
      <c r="F555" s="30"/>
      <c r="G555" s="30"/>
      <c r="H555" s="5"/>
    </row>
    <row r="556">
      <c r="A556" s="30"/>
      <c r="B556" s="30"/>
      <c r="C556" s="30"/>
      <c r="D556" s="104"/>
      <c r="E556" s="104"/>
      <c r="F556" s="30"/>
      <c r="G556" s="30"/>
      <c r="H556" s="5"/>
    </row>
    <row r="557">
      <c r="A557" s="30"/>
      <c r="B557" s="30"/>
      <c r="C557" s="30"/>
      <c r="D557" s="104"/>
      <c r="E557" s="104"/>
      <c r="F557" s="30"/>
      <c r="G557" s="30"/>
      <c r="H557" s="5"/>
    </row>
    <row r="558">
      <c r="A558" s="30"/>
      <c r="B558" s="30"/>
      <c r="C558" s="30"/>
      <c r="D558" s="104"/>
      <c r="E558" s="104"/>
      <c r="F558" s="30"/>
      <c r="G558" s="30"/>
      <c r="H558" s="5"/>
    </row>
    <row r="559">
      <c r="A559" s="30"/>
      <c r="B559" s="30"/>
      <c r="C559" s="30"/>
      <c r="D559" s="104"/>
      <c r="E559" s="104"/>
      <c r="F559" s="30"/>
      <c r="G559" s="30"/>
      <c r="H559" s="5"/>
    </row>
    <row r="560">
      <c r="A560" s="30"/>
      <c r="B560" s="30"/>
      <c r="C560" s="30"/>
      <c r="D560" s="104"/>
      <c r="E560" s="104"/>
      <c r="F560" s="30"/>
      <c r="G560" s="30"/>
      <c r="H560" s="5"/>
    </row>
    <row r="561">
      <c r="A561" s="30"/>
      <c r="B561" s="30"/>
      <c r="C561" s="30"/>
      <c r="D561" s="104"/>
      <c r="E561" s="104"/>
      <c r="F561" s="30"/>
      <c r="G561" s="30"/>
      <c r="H561" s="5"/>
    </row>
    <row r="562">
      <c r="A562" s="30"/>
      <c r="B562" s="30"/>
      <c r="C562" s="30"/>
      <c r="D562" s="104"/>
      <c r="E562" s="104"/>
      <c r="F562" s="30"/>
      <c r="G562" s="30"/>
      <c r="H562" s="5"/>
    </row>
    <row r="563">
      <c r="A563" s="30"/>
      <c r="B563" s="30"/>
      <c r="C563" s="30"/>
      <c r="D563" s="104"/>
      <c r="E563" s="104"/>
      <c r="F563" s="30"/>
      <c r="G563" s="30"/>
      <c r="H563" s="5"/>
    </row>
    <row r="564">
      <c r="A564" s="30"/>
      <c r="B564" s="30"/>
      <c r="C564" s="30"/>
      <c r="D564" s="104"/>
      <c r="E564" s="104"/>
      <c r="F564" s="30"/>
      <c r="G564" s="30"/>
      <c r="H564" s="5"/>
    </row>
    <row r="565">
      <c r="A565" s="30"/>
      <c r="B565" s="30"/>
      <c r="C565" s="30"/>
      <c r="D565" s="104"/>
      <c r="E565" s="104"/>
      <c r="F565" s="30"/>
      <c r="G565" s="30"/>
      <c r="H565" s="5"/>
    </row>
    <row r="566">
      <c r="A566" s="30"/>
      <c r="B566" s="30"/>
      <c r="C566" s="30"/>
      <c r="D566" s="104"/>
      <c r="E566" s="104"/>
      <c r="F566" s="30"/>
      <c r="G566" s="30"/>
      <c r="H566" s="5"/>
    </row>
    <row r="567">
      <c r="A567" s="30"/>
      <c r="B567" s="30"/>
      <c r="C567" s="30"/>
      <c r="D567" s="104"/>
      <c r="E567" s="104"/>
      <c r="F567" s="30"/>
      <c r="G567" s="30"/>
      <c r="H567" s="5"/>
    </row>
    <row r="568">
      <c r="A568" s="30"/>
      <c r="B568" s="30"/>
      <c r="C568" s="30"/>
      <c r="D568" s="104"/>
      <c r="E568" s="104"/>
      <c r="F568" s="30"/>
      <c r="G568" s="30"/>
      <c r="H568" s="5"/>
    </row>
    <row r="569">
      <c r="A569" s="30"/>
      <c r="B569" s="30"/>
      <c r="C569" s="30"/>
      <c r="D569" s="104"/>
      <c r="E569" s="104"/>
      <c r="F569" s="30"/>
      <c r="G569" s="30"/>
      <c r="H569" s="5"/>
    </row>
    <row r="570">
      <c r="A570" s="30"/>
      <c r="B570" s="30"/>
      <c r="C570" s="30"/>
      <c r="D570" s="104"/>
      <c r="E570" s="104"/>
      <c r="F570" s="30"/>
      <c r="G570" s="30"/>
      <c r="H570" s="5"/>
    </row>
    <row r="571">
      <c r="A571" s="30"/>
      <c r="B571" s="30"/>
      <c r="C571" s="30"/>
      <c r="D571" s="104"/>
      <c r="E571" s="104"/>
      <c r="F571" s="30"/>
      <c r="G571" s="30"/>
      <c r="H571" s="5"/>
    </row>
    <row r="572">
      <c r="A572" s="30"/>
      <c r="B572" s="30"/>
      <c r="C572" s="30"/>
      <c r="D572" s="104"/>
      <c r="E572" s="104"/>
      <c r="F572" s="30"/>
      <c r="G572" s="30"/>
      <c r="H572" s="5"/>
    </row>
    <row r="573">
      <c r="A573" s="30"/>
      <c r="B573" s="30"/>
      <c r="C573" s="30"/>
      <c r="D573" s="104"/>
      <c r="E573" s="104"/>
      <c r="F573" s="30"/>
      <c r="G573" s="30"/>
      <c r="H573" s="5"/>
    </row>
    <row r="574">
      <c r="A574" s="30"/>
      <c r="B574" s="30"/>
      <c r="C574" s="30"/>
      <c r="D574" s="104"/>
      <c r="E574" s="104"/>
      <c r="F574" s="30"/>
      <c r="G574" s="30"/>
      <c r="H574" s="5"/>
    </row>
    <row r="575">
      <c r="A575" s="30"/>
      <c r="B575" s="30"/>
      <c r="C575" s="30"/>
      <c r="D575" s="104"/>
      <c r="E575" s="104"/>
      <c r="F575" s="30"/>
      <c r="G575" s="30"/>
      <c r="H575" s="5"/>
    </row>
    <row r="576">
      <c r="A576" s="30"/>
      <c r="B576" s="30"/>
      <c r="C576" s="30"/>
      <c r="D576" s="104"/>
      <c r="E576" s="104"/>
      <c r="F576" s="30"/>
      <c r="G576" s="30"/>
      <c r="H576" s="5"/>
    </row>
    <row r="577">
      <c r="A577" s="30"/>
      <c r="B577" s="30"/>
      <c r="C577" s="30"/>
      <c r="D577" s="104"/>
      <c r="E577" s="104"/>
      <c r="F577" s="30"/>
      <c r="G577" s="30"/>
      <c r="H577" s="5"/>
    </row>
    <row r="578">
      <c r="A578" s="30"/>
      <c r="B578" s="30"/>
      <c r="C578" s="30"/>
      <c r="D578" s="104"/>
      <c r="E578" s="104"/>
      <c r="F578" s="30"/>
      <c r="G578" s="30"/>
      <c r="H578" s="5"/>
    </row>
    <row r="579">
      <c r="A579" s="30"/>
      <c r="B579" s="30"/>
      <c r="C579" s="30"/>
      <c r="D579" s="104"/>
      <c r="E579" s="104"/>
      <c r="F579" s="30"/>
      <c r="G579" s="30"/>
      <c r="H579" s="5"/>
    </row>
    <row r="580">
      <c r="A580" s="30"/>
      <c r="B580" s="30"/>
      <c r="C580" s="30"/>
      <c r="D580" s="104"/>
      <c r="E580" s="104"/>
      <c r="F580" s="30"/>
      <c r="G580" s="30"/>
      <c r="H580" s="5"/>
    </row>
    <row r="581">
      <c r="A581" s="30"/>
      <c r="B581" s="30"/>
      <c r="C581" s="30"/>
      <c r="D581" s="104"/>
      <c r="E581" s="104"/>
      <c r="F581" s="30"/>
      <c r="G581" s="30"/>
      <c r="H581" s="5"/>
    </row>
    <row r="582">
      <c r="A582" s="30"/>
      <c r="B582" s="30"/>
      <c r="C582" s="30"/>
      <c r="D582" s="104"/>
      <c r="E582" s="104"/>
      <c r="F582" s="30"/>
      <c r="G582" s="30"/>
      <c r="H582" s="5"/>
    </row>
    <row r="583">
      <c r="A583" s="30"/>
      <c r="B583" s="30"/>
      <c r="C583" s="30"/>
      <c r="D583" s="104"/>
      <c r="E583" s="104"/>
      <c r="F583" s="30"/>
      <c r="G583" s="30"/>
      <c r="H583" s="5"/>
    </row>
    <row r="584">
      <c r="A584" s="30"/>
      <c r="B584" s="30"/>
      <c r="C584" s="30"/>
      <c r="D584" s="104"/>
      <c r="E584" s="104"/>
      <c r="F584" s="30"/>
      <c r="G584" s="30"/>
      <c r="H584" s="5"/>
    </row>
    <row r="585">
      <c r="A585" s="30"/>
      <c r="B585" s="30"/>
      <c r="C585" s="30"/>
      <c r="D585" s="104"/>
      <c r="E585" s="104"/>
      <c r="F585" s="30"/>
      <c r="G585" s="30"/>
      <c r="H585" s="5"/>
    </row>
    <row r="586">
      <c r="A586" s="30"/>
      <c r="B586" s="30"/>
      <c r="C586" s="30"/>
      <c r="D586" s="104"/>
      <c r="E586" s="104"/>
      <c r="F586" s="30"/>
      <c r="G586" s="30"/>
      <c r="H586" s="5"/>
    </row>
    <row r="587">
      <c r="A587" s="30"/>
      <c r="B587" s="30"/>
      <c r="C587" s="30"/>
      <c r="D587" s="104"/>
      <c r="E587" s="104"/>
      <c r="F587" s="30"/>
      <c r="G587" s="30"/>
      <c r="H587" s="5"/>
    </row>
    <row r="588">
      <c r="A588" s="30"/>
      <c r="B588" s="30"/>
      <c r="C588" s="30"/>
      <c r="D588" s="104"/>
      <c r="E588" s="104"/>
      <c r="F588" s="30"/>
      <c r="G588" s="30"/>
      <c r="H588" s="5"/>
    </row>
    <row r="589">
      <c r="A589" s="30"/>
      <c r="B589" s="30"/>
      <c r="C589" s="30"/>
      <c r="D589" s="104"/>
      <c r="E589" s="104"/>
      <c r="F589" s="30"/>
      <c r="G589" s="30"/>
      <c r="H589" s="5"/>
    </row>
    <row r="590">
      <c r="A590" s="30"/>
      <c r="B590" s="30"/>
      <c r="C590" s="30"/>
      <c r="D590" s="104"/>
      <c r="E590" s="104"/>
      <c r="F590" s="30"/>
      <c r="G590" s="30"/>
      <c r="H590" s="5"/>
    </row>
    <row r="591">
      <c r="A591" s="30"/>
      <c r="B591" s="30"/>
      <c r="C591" s="30"/>
      <c r="D591" s="104"/>
      <c r="E591" s="104"/>
      <c r="F591" s="30"/>
      <c r="G591" s="30"/>
      <c r="H591" s="5"/>
    </row>
    <row r="592">
      <c r="A592" s="30"/>
      <c r="B592" s="30"/>
      <c r="C592" s="30"/>
      <c r="D592" s="104"/>
      <c r="E592" s="104"/>
      <c r="F592" s="30"/>
      <c r="G592" s="30"/>
      <c r="H592" s="5"/>
    </row>
    <row r="593">
      <c r="A593" s="30"/>
      <c r="B593" s="30"/>
      <c r="C593" s="30"/>
      <c r="D593" s="104"/>
      <c r="E593" s="104"/>
      <c r="F593" s="30"/>
      <c r="G593" s="30"/>
      <c r="H593" s="5"/>
    </row>
    <row r="594">
      <c r="A594" s="30"/>
      <c r="B594" s="30"/>
      <c r="C594" s="30"/>
      <c r="D594" s="104"/>
      <c r="E594" s="104"/>
      <c r="F594" s="30"/>
      <c r="G594" s="30"/>
      <c r="H594" s="5"/>
    </row>
    <row r="595">
      <c r="A595" s="30"/>
      <c r="B595" s="30"/>
      <c r="C595" s="30"/>
      <c r="D595" s="104"/>
      <c r="E595" s="104"/>
      <c r="F595" s="30"/>
      <c r="G595" s="30"/>
      <c r="H595" s="5"/>
    </row>
    <row r="596">
      <c r="A596" s="30"/>
      <c r="B596" s="30"/>
      <c r="C596" s="30"/>
      <c r="D596" s="104"/>
      <c r="E596" s="104"/>
      <c r="F596" s="30"/>
      <c r="G596" s="30"/>
      <c r="H596" s="5"/>
    </row>
    <row r="597">
      <c r="A597" s="30"/>
      <c r="B597" s="30"/>
      <c r="C597" s="30"/>
      <c r="D597" s="104"/>
      <c r="E597" s="104"/>
      <c r="F597" s="30"/>
      <c r="G597" s="30"/>
      <c r="H597" s="5"/>
    </row>
    <row r="598">
      <c r="A598" s="30"/>
      <c r="B598" s="30"/>
      <c r="C598" s="30"/>
      <c r="D598" s="104"/>
      <c r="E598" s="104"/>
      <c r="F598" s="30"/>
      <c r="G598" s="30"/>
      <c r="H598" s="5"/>
    </row>
    <row r="599">
      <c r="A599" s="30"/>
      <c r="B599" s="30"/>
      <c r="C599" s="30"/>
      <c r="D599" s="104"/>
      <c r="E599" s="104"/>
      <c r="F599" s="30"/>
      <c r="G599" s="30"/>
      <c r="H599" s="5"/>
    </row>
    <row r="600">
      <c r="A600" s="30"/>
      <c r="B600" s="30"/>
      <c r="C600" s="30"/>
      <c r="D600" s="104"/>
      <c r="E600" s="104"/>
      <c r="F600" s="30"/>
      <c r="G600" s="30"/>
      <c r="H600" s="5"/>
    </row>
    <row r="601">
      <c r="A601" s="30"/>
      <c r="B601" s="30"/>
      <c r="C601" s="30"/>
      <c r="D601" s="104"/>
      <c r="E601" s="104"/>
      <c r="F601" s="30"/>
      <c r="G601" s="30"/>
      <c r="H601" s="5"/>
    </row>
    <row r="602">
      <c r="A602" s="30"/>
      <c r="B602" s="30"/>
      <c r="C602" s="30"/>
      <c r="D602" s="104"/>
      <c r="E602" s="104"/>
      <c r="F602" s="30"/>
      <c r="G602" s="30"/>
      <c r="H602" s="5"/>
    </row>
    <row r="603">
      <c r="A603" s="30"/>
      <c r="B603" s="30"/>
      <c r="C603" s="30"/>
      <c r="D603" s="104"/>
      <c r="E603" s="104"/>
      <c r="F603" s="30"/>
      <c r="G603" s="30"/>
      <c r="H603" s="5"/>
    </row>
    <row r="604">
      <c r="A604" s="30"/>
      <c r="B604" s="30"/>
      <c r="C604" s="30"/>
      <c r="D604" s="104"/>
      <c r="E604" s="104"/>
      <c r="F604" s="30"/>
      <c r="G604" s="30"/>
      <c r="H604" s="5"/>
    </row>
    <row r="605">
      <c r="A605" s="30"/>
      <c r="B605" s="30"/>
      <c r="C605" s="30"/>
      <c r="D605" s="104"/>
      <c r="E605" s="104"/>
      <c r="F605" s="30"/>
      <c r="G605" s="30"/>
      <c r="H605" s="5"/>
    </row>
    <row r="606">
      <c r="A606" s="30"/>
      <c r="B606" s="30"/>
      <c r="C606" s="30"/>
      <c r="D606" s="104"/>
      <c r="E606" s="104"/>
      <c r="F606" s="30"/>
      <c r="G606" s="30"/>
      <c r="H606" s="5"/>
    </row>
    <row r="607">
      <c r="A607" s="30"/>
      <c r="B607" s="30"/>
      <c r="C607" s="30"/>
      <c r="D607" s="104"/>
      <c r="E607" s="104"/>
      <c r="F607" s="30"/>
      <c r="G607" s="30"/>
      <c r="H607" s="5"/>
    </row>
    <row r="608">
      <c r="A608" s="30"/>
      <c r="B608" s="30"/>
      <c r="C608" s="30"/>
      <c r="D608" s="104"/>
      <c r="E608" s="104"/>
      <c r="F608" s="30"/>
      <c r="G608" s="30"/>
      <c r="H608" s="5"/>
    </row>
    <row r="609">
      <c r="A609" s="30"/>
      <c r="B609" s="30"/>
      <c r="C609" s="30"/>
      <c r="D609" s="104"/>
      <c r="E609" s="104"/>
      <c r="F609" s="30"/>
      <c r="G609" s="30"/>
      <c r="H609" s="5"/>
    </row>
    <row r="610">
      <c r="A610" s="30"/>
      <c r="B610" s="30"/>
      <c r="C610" s="30"/>
      <c r="D610" s="104"/>
      <c r="E610" s="104"/>
      <c r="F610" s="30"/>
      <c r="G610" s="30"/>
      <c r="H610" s="5"/>
    </row>
    <row r="611">
      <c r="A611" s="30"/>
      <c r="B611" s="30"/>
      <c r="C611" s="30"/>
      <c r="D611" s="104"/>
      <c r="E611" s="104"/>
      <c r="F611" s="30"/>
      <c r="G611" s="30"/>
      <c r="H611" s="5"/>
    </row>
    <row r="612">
      <c r="A612" s="30"/>
      <c r="B612" s="30"/>
      <c r="C612" s="30"/>
      <c r="D612" s="104"/>
      <c r="E612" s="104"/>
      <c r="F612" s="30"/>
      <c r="G612" s="30"/>
      <c r="H612" s="5"/>
    </row>
    <row r="613">
      <c r="A613" s="30"/>
      <c r="B613" s="30"/>
      <c r="C613" s="30"/>
      <c r="D613" s="104"/>
      <c r="E613" s="104"/>
      <c r="F613" s="30"/>
      <c r="G613" s="30"/>
      <c r="H613" s="5"/>
    </row>
    <row r="614">
      <c r="A614" s="30"/>
      <c r="B614" s="30"/>
      <c r="C614" s="30"/>
      <c r="D614" s="104"/>
      <c r="E614" s="104"/>
      <c r="F614" s="30"/>
      <c r="G614" s="30"/>
      <c r="H614" s="5"/>
    </row>
    <row r="615">
      <c r="A615" s="30"/>
      <c r="B615" s="30"/>
      <c r="C615" s="30"/>
      <c r="D615" s="104"/>
      <c r="E615" s="104"/>
      <c r="F615" s="30"/>
      <c r="G615" s="30"/>
      <c r="H615" s="5"/>
    </row>
    <row r="616">
      <c r="A616" s="30"/>
      <c r="B616" s="30"/>
      <c r="C616" s="30"/>
      <c r="D616" s="104"/>
      <c r="E616" s="104"/>
      <c r="F616" s="30"/>
      <c r="G616" s="30"/>
      <c r="H616" s="5"/>
    </row>
    <row r="617">
      <c r="A617" s="30"/>
      <c r="B617" s="30"/>
      <c r="C617" s="30"/>
      <c r="D617" s="104"/>
      <c r="E617" s="104"/>
      <c r="F617" s="30"/>
      <c r="G617" s="30"/>
      <c r="H617" s="5"/>
    </row>
    <row r="618">
      <c r="A618" s="30"/>
      <c r="B618" s="30"/>
      <c r="C618" s="30"/>
      <c r="D618" s="104"/>
      <c r="E618" s="104"/>
      <c r="F618" s="30"/>
      <c r="G618" s="30"/>
      <c r="H618" s="5"/>
    </row>
    <row r="619">
      <c r="A619" s="30"/>
      <c r="B619" s="30"/>
      <c r="C619" s="30"/>
      <c r="D619" s="104"/>
      <c r="E619" s="104"/>
      <c r="F619" s="30"/>
      <c r="G619" s="30"/>
      <c r="H619" s="5"/>
    </row>
    <row r="620">
      <c r="A620" s="30"/>
      <c r="B620" s="30"/>
      <c r="C620" s="30"/>
      <c r="D620" s="104"/>
      <c r="E620" s="104"/>
      <c r="F620" s="30"/>
      <c r="G620" s="30"/>
      <c r="H620" s="5"/>
    </row>
    <row r="621">
      <c r="A621" s="30"/>
      <c r="B621" s="30"/>
      <c r="C621" s="30"/>
      <c r="D621" s="104"/>
      <c r="E621" s="104"/>
      <c r="F621" s="30"/>
      <c r="G621" s="30"/>
      <c r="H621" s="5"/>
    </row>
    <row r="622">
      <c r="A622" s="30"/>
      <c r="B622" s="30"/>
      <c r="C622" s="30"/>
      <c r="D622" s="104"/>
      <c r="E622" s="104"/>
      <c r="F622" s="30"/>
      <c r="G622" s="30"/>
      <c r="H622" s="5"/>
    </row>
    <row r="623">
      <c r="A623" s="30"/>
      <c r="B623" s="30"/>
      <c r="C623" s="30"/>
      <c r="D623" s="104"/>
      <c r="E623" s="104"/>
      <c r="F623" s="30"/>
      <c r="G623" s="30"/>
      <c r="H623" s="5"/>
    </row>
    <row r="624">
      <c r="A624" s="30"/>
      <c r="B624" s="30"/>
      <c r="C624" s="30"/>
      <c r="D624" s="104"/>
      <c r="E624" s="104"/>
      <c r="F624" s="30"/>
      <c r="G624" s="30"/>
      <c r="H624" s="5"/>
    </row>
    <row r="625">
      <c r="A625" s="30"/>
      <c r="B625" s="30"/>
      <c r="C625" s="30"/>
      <c r="D625" s="104"/>
      <c r="E625" s="104"/>
      <c r="F625" s="30"/>
      <c r="G625" s="30"/>
      <c r="H625" s="5"/>
    </row>
    <row r="626">
      <c r="A626" s="30"/>
      <c r="B626" s="30"/>
      <c r="C626" s="30"/>
      <c r="D626" s="104"/>
      <c r="E626" s="104"/>
      <c r="F626" s="30"/>
      <c r="G626" s="30"/>
      <c r="H626" s="5"/>
    </row>
    <row r="627">
      <c r="A627" s="30"/>
      <c r="B627" s="30"/>
      <c r="C627" s="30"/>
      <c r="D627" s="104"/>
      <c r="E627" s="104"/>
      <c r="F627" s="30"/>
      <c r="G627" s="30"/>
      <c r="H627" s="5"/>
    </row>
    <row r="628">
      <c r="A628" s="30"/>
      <c r="B628" s="30"/>
      <c r="C628" s="30"/>
      <c r="D628" s="104"/>
      <c r="E628" s="104"/>
      <c r="F628" s="30"/>
      <c r="G628" s="30"/>
      <c r="H628" s="5"/>
    </row>
    <row r="629">
      <c r="A629" s="30"/>
      <c r="B629" s="30"/>
      <c r="C629" s="30"/>
      <c r="D629" s="104"/>
      <c r="E629" s="104"/>
      <c r="F629" s="30"/>
      <c r="G629" s="30"/>
      <c r="H629" s="5"/>
    </row>
    <row r="630">
      <c r="A630" s="30"/>
      <c r="B630" s="30"/>
      <c r="C630" s="30"/>
      <c r="D630" s="104"/>
      <c r="E630" s="104"/>
      <c r="F630" s="30"/>
      <c r="G630" s="30"/>
      <c r="H630" s="5"/>
    </row>
    <row r="631">
      <c r="A631" s="30"/>
      <c r="B631" s="30"/>
      <c r="C631" s="30"/>
      <c r="D631" s="104"/>
      <c r="E631" s="104"/>
      <c r="F631" s="30"/>
      <c r="G631" s="30"/>
      <c r="H631" s="5"/>
    </row>
    <row r="632">
      <c r="A632" s="30"/>
      <c r="B632" s="30"/>
      <c r="C632" s="30"/>
      <c r="D632" s="104"/>
      <c r="E632" s="104"/>
      <c r="F632" s="30"/>
      <c r="G632" s="30"/>
      <c r="H632" s="5"/>
    </row>
    <row r="633">
      <c r="A633" s="30"/>
      <c r="B633" s="30"/>
      <c r="C633" s="30"/>
      <c r="D633" s="104"/>
      <c r="E633" s="104"/>
      <c r="F633" s="30"/>
      <c r="G633" s="30"/>
      <c r="H633" s="5"/>
    </row>
    <row r="634">
      <c r="A634" s="30"/>
      <c r="B634" s="30"/>
      <c r="C634" s="30"/>
      <c r="D634" s="104"/>
      <c r="E634" s="104"/>
      <c r="F634" s="30"/>
      <c r="G634" s="30"/>
      <c r="H634" s="5"/>
    </row>
    <row r="635">
      <c r="A635" s="30"/>
      <c r="B635" s="30"/>
      <c r="C635" s="30"/>
      <c r="D635" s="104"/>
      <c r="E635" s="104"/>
      <c r="F635" s="30"/>
      <c r="G635" s="30"/>
      <c r="H635" s="5"/>
    </row>
    <row r="636">
      <c r="A636" s="30"/>
      <c r="B636" s="30"/>
      <c r="C636" s="30"/>
      <c r="D636" s="104"/>
      <c r="E636" s="104"/>
      <c r="F636" s="30"/>
      <c r="G636" s="30"/>
      <c r="H636" s="5"/>
    </row>
    <row r="637">
      <c r="A637" s="30"/>
      <c r="B637" s="30"/>
      <c r="C637" s="30"/>
      <c r="D637" s="104"/>
      <c r="E637" s="104"/>
      <c r="F637" s="30"/>
      <c r="G637" s="30"/>
      <c r="H637" s="5"/>
    </row>
    <row r="638">
      <c r="A638" s="30"/>
      <c r="B638" s="30"/>
      <c r="C638" s="30"/>
      <c r="D638" s="104"/>
      <c r="E638" s="104"/>
      <c r="F638" s="30"/>
      <c r="G638" s="30"/>
      <c r="H638" s="5"/>
    </row>
    <row r="639">
      <c r="A639" s="30"/>
      <c r="B639" s="30"/>
      <c r="C639" s="30"/>
      <c r="D639" s="104"/>
      <c r="E639" s="104"/>
      <c r="F639" s="30"/>
      <c r="G639" s="30"/>
      <c r="H639" s="5"/>
    </row>
    <row r="640">
      <c r="A640" s="30"/>
      <c r="B640" s="30"/>
      <c r="C640" s="30"/>
      <c r="D640" s="104"/>
      <c r="E640" s="104"/>
      <c r="F640" s="30"/>
      <c r="G640" s="30"/>
      <c r="H640" s="5"/>
    </row>
    <row r="641">
      <c r="A641" s="30"/>
      <c r="B641" s="30"/>
      <c r="C641" s="30"/>
      <c r="D641" s="104"/>
      <c r="E641" s="104"/>
      <c r="F641" s="30"/>
      <c r="G641" s="30"/>
      <c r="H641" s="5"/>
    </row>
    <row r="642">
      <c r="A642" s="30"/>
      <c r="B642" s="30"/>
      <c r="C642" s="30"/>
      <c r="D642" s="104"/>
      <c r="E642" s="104"/>
      <c r="F642" s="30"/>
      <c r="G642" s="30"/>
      <c r="H642" s="5"/>
    </row>
    <row r="643">
      <c r="A643" s="30"/>
      <c r="B643" s="30"/>
      <c r="C643" s="30"/>
      <c r="D643" s="104"/>
      <c r="E643" s="104"/>
      <c r="F643" s="30"/>
      <c r="G643" s="30"/>
      <c r="H643" s="5"/>
    </row>
    <row r="644">
      <c r="A644" s="30"/>
      <c r="B644" s="30"/>
      <c r="C644" s="30"/>
      <c r="D644" s="104"/>
      <c r="E644" s="104"/>
      <c r="F644" s="30"/>
      <c r="G644" s="30"/>
      <c r="H644" s="5"/>
    </row>
    <row r="645">
      <c r="A645" s="30"/>
      <c r="B645" s="30"/>
      <c r="C645" s="30"/>
      <c r="D645" s="104"/>
      <c r="E645" s="104"/>
      <c r="F645" s="30"/>
      <c r="G645" s="30"/>
      <c r="H645" s="5"/>
    </row>
    <row r="646">
      <c r="A646" s="30"/>
      <c r="B646" s="30"/>
      <c r="C646" s="30"/>
      <c r="D646" s="104"/>
      <c r="E646" s="104"/>
      <c r="F646" s="30"/>
      <c r="G646" s="30"/>
      <c r="H646" s="5"/>
    </row>
    <row r="647">
      <c r="A647" s="30"/>
      <c r="B647" s="30"/>
      <c r="C647" s="30"/>
      <c r="D647" s="104"/>
      <c r="E647" s="104"/>
      <c r="F647" s="30"/>
      <c r="G647" s="30"/>
      <c r="H647" s="5"/>
    </row>
    <row r="648">
      <c r="A648" s="30"/>
      <c r="B648" s="30"/>
      <c r="C648" s="30"/>
      <c r="D648" s="104"/>
      <c r="E648" s="104"/>
      <c r="F648" s="30"/>
      <c r="G648" s="30"/>
      <c r="H648" s="5"/>
    </row>
    <row r="649">
      <c r="A649" s="30"/>
      <c r="B649" s="30"/>
      <c r="C649" s="30"/>
      <c r="D649" s="104"/>
      <c r="E649" s="104"/>
      <c r="F649" s="30"/>
      <c r="G649" s="30"/>
      <c r="H649" s="5"/>
    </row>
    <row r="650">
      <c r="A650" s="30"/>
      <c r="B650" s="30"/>
      <c r="C650" s="30"/>
      <c r="D650" s="104"/>
      <c r="E650" s="104"/>
      <c r="F650" s="30"/>
      <c r="G650" s="30"/>
      <c r="H650" s="5"/>
    </row>
    <row r="651">
      <c r="A651" s="30"/>
      <c r="B651" s="30"/>
      <c r="C651" s="30"/>
      <c r="D651" s="104"/>
      <c r="E651" s="104"/>
      <c r="F651" s="30"/>
      <c r="G651" s="30"/>
      <c r="H651" s="5"/>
    </row>
    <row r="652">
      <c r="A652" s="30"/>
      <c r="B652" s="30"/>
      <c r="C652" s="30"/>
      <c r="D652" s="104"/>
      <c r="E652" s="104"/>
      <c r="F652" s="30"/>
      <c r="G652" s="30"/>
      <c r="H652" s="5"/>
    </row>
    <row r="653">
      <c r="A653" s="30"/>
      <c r="B653" s="30"/>
      <c r="C653" s="30"/>
      <c r="D653" s="104"/>
      <c r="E653" s="104"/>
      <c r="F653" s="30"/>
      <c r="G653" s="30"/>
      <c r="H653" s="5"/>
    </row>
    <row r="654">
      <c r="A654" s="30"/>
      <c r="B654" s="30"/>
      <c r="C654" s="30"/>
      <c r="D654" s="104"/>
      <c r="E654" s="104"/>
      <c r="F654" s="30"/>
      <c r="G654" s="30"/>
      <c r="H654" s="5"/>
    </row>
    <row r="655">
      <c r="A655" s="30"/>
      <c r="B655" s="30"/>
      <c r="C655" s="30"/>
      <c r="D655" s="104"/>
      <c r="E655" s="104"/>
      <c r="F655" s="30"/>
      <c r="G655" s="30"/>
      <c r="H655" s="5"/>
    </row>
    <row r="656">
      <c r="A656" s="30"/>
      <c r="B656" s="30"/>
      <c r="C656" s="30"/>
      <c r="D656" s="104"/>
      <c r="E656" s="104"/>
      <c r="F656" s="30"/>
      <c r="G656" s="30"/>
      <c r="H656" s="5"/>
    </row>
    <row r="657">
      <c r="A657" s="30"/>
      <c r="B657" s="30"/>
      <c r="C657" s="30"/>
      <c r="D657" s="104"/>
      <c r="E657" s="104"/>
      <c r="F657" s="30"/>
      <c r="G657" s="30"/>
      <c r="H657" s="5"/>
    </row>
    <row r="658">
      <c r="A658" s="30"/>
      <c r="B658" s="30"/>
      <c r="C658" s="30"/>
      <c r="D658" s="104"/>
      <c r="E658" s="104"/>
      <c r="F658" s="30"/>
      <c r="G658" s="30"/>
      <c r="H658" s="5"/>
    </row>
    <row r="659">
      <c r="A659" s="30"/>
      <c r="B659" s="30"/>
      <c r="C659" s="30"/>
      <c r="D659" s="104"/>
      <c r="E659" s="104"/>
      <c r="F659" s="30"/>
      <c r="G659" s="30"/>
      <c r="H659" s="5"/>
    </row>
    <row r="660">
      <c r="A660" s="30"/>
      <c r="B660" s="30"/>
      <c r="C660" s="30"/>
      <c r="D660" s="104"/>
      <c r="E660" s="104"/>
      <c r="F660" s="30"/>
      <c r="G660" s="30"/>
      <c r="H660" s="5"/>
    </row>
    <row r="661">
      <c r="A661" s="30"/>
      <c r="B661" s="30"/>
      <c r="C661" s="30"/>
      <c r="D661" s="104"/>
      <c r="E661" s="104"/>
      <c r="F661" s="30"/>
      <c r="G661" s="30"/>
      <c r="H661" s="5"/>
    </row>
    <row r="662">
      <c r="A662" s="30"/>
      <c r="B662" s="30"/>
      <c r="C662" s="30"/>
      <c r="D662" s="104"/>
      <c r="E662" s="104"/>
      <c r="F662" s="30"/>
      <c r="G662" s="30"/>
      <c r="H662" s="5"/>
    </row>
    <row r="663">
      <c r="A663" s="30"/>
      <c r="B663" s="30"/>
      <c r="C663" s="30"/>
      <c r="D663" s="104"/>
      <c r="E663" s="104"/>
      <c r="F663" s="30"/>
      <c r="G663" s="30"/>
      <c r="H663" s="5"/>
    </row>
    <row r="664">
      <c r="A664" s="30"/>
      <c r="B664" s="30"/>
      <c r="C664" s="30"/>
      <c r="D664" s="104"/>
      <c r="E664" s="104"/>
      <c r="F664" s="30"/>
      <c r="G664" s="30"/>
      <c r="H664" s="5"/>
    </row>
    <row r="665">
      <c r="A665" s="30"/>
      <c r="B665" s="30"/>
      <c r="C665" s="30"/>
      <c r="D665" s="104"/>
      <c r="E665" s="104"/>
      <c r="F665" s="30"/>
      <c r="G665" s="30"/>
      <c r="H665" s="5"/>
    </row>
    <row r="666">
      <c r="A666" s="30"/>
      <c r="B666" s="30"/>
      <c r="C666" s="30"/>
      <c r="D666" s="104"/>
      <c r="E666" s="104"/>
      <c r="F666" s="30"/>
      <c r="G666" s="30"/>
      <c r="H666" s="5"/>
    </row>
    <row r="667">
      <c r="A667" s="30"/>
      <c r="B667" s="30"/>
      <c r="C667" s="30"/>
      <c r="D667" s="104"/>
      <c r="E667" s="104"/>
      <c r="F667" s="30"/>
      <c r="G667" s="30"/>
      <c r="H667" s="5"/>
    </row>
    <row r="668">
      <c r="A668" s="30"/>
      <c r="B668" s="30"/>
      <c r="C668" s="30"/>
      <c r="D668" s="104"/>
      <c r="E668" s="104"/>
      <c r="F668" s="30"/>
      <c r="G668" s="30"/>
      <c r="H668" s="5"/>
    </row>
    <row r="669">
      <c r="A669" s="30"/>
      <c r="B669" s="30"/>
      <c r="C669" s="30"/>
      <c r="D669" s="104"/>
      <c r="E669" s="104"/>
      <c r="F669" s="30"/>
      <c r="G669" s="30"/>
      <c r="H669" s="5"/>
    </row>
    <row r="670">
      <c r="A670" s="30"/>
      <c r="B670" s="30"/>
      <c r="C670" s="30"/>
      <c r="D670" s="104"/>
      <c r="E670" s="104"/>
      <c r="F670" s="30"/>
      <c r="G670" s="30"/>
      <c r="H670" s="5"/>
    </row>
    <row r="671">
      <c r="A671" s="30"/>
      <c r="B671" s="30"/>
      <c r="C671" s="30"/>
      <c r="D671" s="104"/>
      <c r="E671" s="104"/>
      <c r="F671" s="30"/>
      <c r="G671" s="30"/>
      <c r="H671" s="5"/>
    </row>
    <row r="672">
      <c r="A672" s="30"/>
      <c r="B672" s="30"/>
      <c r="C672" s="30"/>
      <c r="D672" s="104"/>
      <c r="E672" s="104"/>
      <c r="F672" s="30"/>
      <c r="G672" s="30"/>
      <c r="H672" s="5"/>
    </row>
    <row r="673">
      <c r="A673" s="30"/>
      <c r="B673" s="30"/>
      <c r="C673" s="30"/>
      <c r="D673" s="104"/>
      <c r="E673" s="104"/>
      <c r="F673" s="30"/>
      <c r="G673" s="30"/>
      <c r="H673" s="5"/>
    </row>
    <row r="674">
      <c r="A674" s="30"/>
      <c r="B674" s="30"/>
      <c r="C674" s="30"/>
      <c r="D674" s="104"/>
      <c r="E674" s="104"/>
      <c r="F674" s="30"/>
      <c r="G674" s="30"/>
      <c r="H674" s="5"/>
    </row>
    <row r="675">
      <c r="A675" s="30"/>
      <c r="B675" s="30"/>
      <c r="C675" s="30"/>
      <c r="D675" s="104"/>
      <c r="E675" s="104"/>
      <c r="F675" s="30"/>
      <c r="G675" s="30"/>
      <c r="H675" s="5"/>
    </row>
    <row r="676">
      <c r="A676" s="30"/>
      <c r="B676" s="30"/>
      <c r="C676" s="30"/>
      <c r="D676" s="104"/>
      <c r="E676" s="104"/>
      <c r="F676" s="30"/>
      <c r="G676" s="30"/>
      <c r="H676" s="5"/>
    </row>
    <row r="677">
      <c r="A677" s="30"/>
      <c r="B677" s="30"/>
      <c r="C677" s="30"/>
      <c r="D677" s="104"/>
      <c r="E677" s="104"/>
      <c r="F677" s="30"/>
      <c r="G677" s="30"/>
      <c r="H677" s="5"/>
    </row>
    <row r="678">
      <c r="A678" s="30"/>
      <c r="B678" s="30"/>
      <c r="C678" s="30"/>
      <c r="D678" s="104"/>
      <c r="E678" s="104"/>
      <c r="F678" s="30"/>
      <c r="G678" s="30"/>
      <c r="H678" s="5"/>
    </row>
    <row r="679">
      <c r="A679" s="30"/>
      <c r="B679" s="30"/>
      <c r="C679" s="30"/>
      <c r="D679" s="104"/>
      <c r="E679" s="104"/>
      <c r="F679" s="30"/>
      <c r="G679" s="30"/>
      <c r="H679" s="5"/>
    </row>
    <row r="680">
      <c r="A680" s="30"/>
      <c r="B680" s="30"/>
      <c r="C680" s="30"/>
      <c r="D680" s="104"/>
      <c r="E680" s="104"/>
      <c r="F680" s="30"/>
      <c r="G680" s="30"/>
      <c r="H680" s="5"/>
    </row>
    <row r="681">
      <c r="A681" s="30"/>
      <c r="B681" s="30"/>
      <c r="C681" s="30"/>
      <c r="D681" s="104"/>
      <c r="E681" s="104"/>
      <c r="F681" s="30"/>
      <c r="G681" s="30"/>
      <c r="H681" s="5"/>
    </row>
    <row r="682">
      <c r="A682" s="30"/>
      <c r="B682" s="30"/>
      <c r="C682" s="30"/>
      <c r="D682" s="104"/>
      <c r="E682" s="104"/>
      <c r="F682" s="30"/>
      <c r="G682" s="30"/>
      <c r="H682" s="5"/>
    </row>
    <row r="683">
      <c r="A683" s="30"/>
      <c r="B683" s="30"/>
      <c r="C683" s="30"/>
      <c r="D683" s="104"/>
      <c r="E683" s="104"/>
      <c r="F683" s="30"/>
      <c r="G683" s="30"/>
      <c r="H683" s="5"/>
    </row>
    <row r="684">
      <c r="A684" s="30"/>
      <c r="B684" s="30"/>
      <c r="C684" s="30"/>
      <c r="D684" s="104"/>
      <c r="E684" s="104"/>
      <c r="F684" s="30"/>
      <c r="G684" s="30"/>
      <c r="H684" s="5"/>
    </row>
    <row r="685">
      <c r="A685" s="30"/>
      <c r="B685" s="30"/>
      <c r="C685" s="30"/>
      <c r="D685" s="104"/>
      <c r="E685" s="104"/>
      <c r="F685" s="30"/>
      <c r="G685" s="30"/>
      <c r="H685" s="5"/>
    </row>
    <row r="686">
      <c r="A686" s="30"/>
      <c r="B686" s="30"/>
      <c r="C686" s="30"/>
      <c r="D686" s="104"/>
      <c r="E686" s="104"/>
      <c r="F686" s="30"/>
      <c r="G686" s="30"/>
      <c r="H686" s="5"/>
    </row>
    <row r="687">
      <c r="A687" s="30"/>
      <c r="B687" s="30"/>
      <c r="C687" s="30"/>
      <c r="D687" s="104"/>
      <c r="E687" s="104"/>
      <c r="F687" s="30"/>
      <c r="G687" s="30"/>
      <c r="H687" s="5"/>
    </row>
    <row r="688">
      <c r="A688" s="30"/>
      <c r="B688" s="30"/>
      <c r="C688" s="30"/>
      <c r="D688" s="104"/>
      <c r="E688" s="104"/>
      <c r="F688" s="30"/>
      <c r="G688" s="30"/>
      <c r="H688" s="5"/>
    </row>
    <row r="689">
      <c r="A689" s="30"/>
      <c r="B689" s="30"/>
      <c r="C689" s="30"/>
      <c r="D689" s="104"/>
      <c r="E689" s="104"/>
      <c r="F689" s="30"/>
      <c r="G689" s="30"/>
      <c r="H689" s="5"/>
    </row>
    <row r="690">
      <c r="A690" s="30"/>
      <c r="B690" s="30"/>
      <c r="C690" s="30"/>
      <c r="D690" s="104"/>
      <c r="E690" s="104"/>
      <c r="F690" s="30"/>
      <c r="G690" s="30"/>
      <c r="H690" s="5"/>
    </row>
    <row r="691">
      <c r="A691" s="30"/>
      <c r="B691" s="30"/>
      <c r="C691" s="30"/>
      <c r="D691" s="104"/>
      <c r="E691" s="104"/>
      <c r="F691" s="30"/>
      <c r="G691" s="30"/>
      <c r="H691" s="5"/>
    </row>
    <row r="692">
      <c r="A692" s="30"/>
      <c r="B692" s="30"/>
      <c r="C692" s="30"/>
      <c r="D692" s="104"/>
      <c r="E692" s="104"/>
      <c r="F692" s="30"/>
      <c r="G692" s="30"/>
      <c r="H692" s="5"/>
    </row>
    <row r="693">
      <c r="A693" s="30"/>
      <c r="B693" s="30"/>
      <c r="C693" s="30"/>
      <c r="D693" s="104"/>
      <c r="E693" s="104"/>
      <c r="F693" s="30"/>
      <c r="G693" s="30"/>
      <c r="H693" s="5"/>
    </row>
    <row r="694">
      <c r="A694" s="30"/>
      <c r="B694" s="30"/>
      <c r="C694" s="30"/>
      <c r="D694" s="104"/>
      <c r="E694" s="104"/>
      <c r="F694" s="30"/>
      <c r="G694" s="30"/>
      <c r="H694" s="5"/>
    </row>
    <row r="695">
      <c r="A695" s="30"/>
      <c r="B695" s="30"/>
      <c r="C695" s="30"/>
      <c r="D695" s="104"/>
      <c r="E695" s="104"/>
      <c r="F695" s="30"/>
      <c r="G695" s="30"/>
      <c r="H695" s="5"/>
    </row>
    <row r="696">
      <c r="A696" s="30"/>
      <c r="B696" s="30"/>
      <c r="C696" s="30"/>
      <c r="D696" s="104"/>
      <c r="E696" s="104"/>
      <c r="F696" s="30"/>
      <c r="G696" s="30"/>
      <c r="H696" s="5"/>
    </row>
    <row r="697">
      <c r="A697" s="30"/>
      <c r="B697" s="30"/>
      <c r="C697" s="30"/>
      <c r="D697" s="104"/>
      <c r="E697" s="104"/>
      <c r="F697" s="30"/>
      <c r="G697" s="30"/>
      <c r="H697" s="5"/>
    </row>
    <row r="698">
      <c r="A698" s="30"/>
      <c r="B698" s="30"/>
      <c r="C698" s="30"/>
      <c r="D698" s="104"/>
      <c r="E698" s="104"/>
      <c r="F698" s="30"/>
      <c r="G698" s="30"/>
      <c r="H698" s="5"/>
    </row>
    <row r="699">
      <c r="A699" s="30"/>
      <c r="B699" s="30"/>
      <c r="C699" s="30"/>
      <c r="D699" s="104"/>
      <c r="E699" s="104"/>
      <c r="F699" s="30"/>
      <c r="G699" s="30"/>
      <c r="H699" s="5"/>
    </row>
    <row r="700">
      <c r="A700" s="30"/>
      <c r="B700" s="30"/>
      <c r="C700" s="30"/>
      <c r="D700" s="104"/>
      <c r="E700" s="104"/>
      <c r="F700" s="30"/>
      <c r="G700" s="30"/>
      <c r="H700" s="5"/>
    </row>
    <row r="701">
      <c r="A701" s="30"/>
      <c r="B701" s="30"/>
      <c r="C701" s="30"/>
      <c r="D701" s="104"/>
      <c r="E701" s="104"/>
      <c r="F701" s="30"/>
      <c r="G701" s="30"/>
      <c r="H701" s="5"/>
    </row>
    <row r="702">
      <c r="A702" s="30"/>
      <c r="B702" s="30"/>
      <c r="C702" s="30"/>
      <c r="D702" s="104"/>
      <c r="E702" s="104"/>
      <c r="F702" s="30"/>
      <c r="G702" s="30"/>
      <c r="H702" s="5"/>
    </row>
    <row r="703">
      <c r="A703" s="30"/>
      <c r="B703" s="30"/>
      <c r="C703" s="30"/>
      <c r="D703" s="104"/>
      <c r="E703" s="104"/>
      <c r="F703" s="30"/>
      <c r="G703" s="30"/>
      <c r="H703" s="5"/>
    </row>
    <row r="704">
      <c r="A704" s="30"/>
      <c r="B704" s="30"/>
      <c r="C704" s="30"/>
      <c r="D704" s="104"/>
      <c r="E704" s="104"/>
      <c r="F704" s="30"/>
      <c r="G704" s="30"/>
      <c r="H704" s="5"/>
    </row>
    <row r="705">
      <c r="A705" s="30"/>
      <c r="B705" s="30"/>
      <c r="C705" s="30"/>
      <c r="D705" s="104"/>
      <c r="E705" s="104"/>
      <c r="F705" s="30"/>
      <c r="G705" s="30"/>
      <c r="H705" s="5"/>
    </row>
    <row r="706">
      <c r="A706" s="30"/>
      <c r="B706" s="30"/>
      <c r="C706" s="30"/>
      <c r="D706" s="104"/>
      <c r="E706" s="104"/>
      <c r="F706" s="30"/>
      <c r="G706" s="30"/>
      <c r="H706" s="5"/>
    </row>
    <row r="707">
      <c r="A707" s="30"/>
      <c r="B707" s="30"/>
      <c r="C707" s="30"/>
      <c r="D707" s="104"/>
      <c r="E707" s="104"/>
      <c r="F707" s="30"/>
      <c r="G707" s="30"/>
      <c r="H707" s="5"/>
    </row>
    <row r="708">
      <c r="A708" s="30"/>
      <c r="B708" s="30"/>
      <c r="C708" s="30"/>
      <c r="D708" s="104"/>
      <c r="E708" s="104"/>
      <c r="F708" s="30"/>
      <c r="G708" s="30"/>
      <c r="H708" s="5"/>
    </row>
    <row r="709">
      <c r="A709" s="30"/>
      <c r="B709" s="30"/>
      <c r="C709" s="30"/>
      <c r="D709" s="104"/>
      <c r="E709" s="104"/>
      <c r="F709" s="30"/>
      <c r="G709" s="30"/>
      <c r="H709" s="5"/>
    </row>
    <row r="710">
      <c r="A710" s="30"/>
      <c r="B710" s="30"/>
      <c r="C710" s="30"/>
      <c r="D710" s="104"/>
      <c r="E710" s="104"/>
      <c r="F710" s="30"/>
      <c r="G710" s="30"/>
      <c r="H710" s="5"/>
    </row>
    <row r="711">
      <c r="A711" s="30"/>
      <c r="B711" s="30"/>
      <c r="C711" s="30"/>
      <c r="D711" s="104"/>
      <c r="E711" s="104"/>
      <c r="F711" s="30"/>
      <c r="G711" s="30"/>
      <c r="H711" s="5"/>
    </row>
    <row r="712">
      <c r="A712" s="30"/>
      <c r="B712" s="30"/>
      <c r="C712" s="30"/>
      <c r="D712" s="104"/>
      <c r="E712" s="104"/>
      <c r="F712" s="30"/>
      <c r="G712" s="30"/>
      <c r="H712" s="5"/>
    </row>
    <row r="713">
      <c r="A713" s="30"/>
      <c r="B713" s="30"/>
      <c r="C713" s="30"/>
      <c r="D713" s="104"/>
      <c r="E713" s="104"/>
      <c r="F713" s="30"/>
      <c r="G713" s="30"/>
      <c r="H713" s="5"/>
    </row>
    <row r="714">
      <c r="A714" s="30"/>
      <c r="B714" s="30"/>
      <c r="C714" s="30"/>
      <c r="D714" s="104"/>
      <c r="E714" s="104"/>
      <c r="F714" s="30"/>
      <c r="G714" s="30"/>
      <c r="H714" s="5"/>
    </row>
    <row r="715">
      <c r="A715" s="30"/>
      <c r="B715" s="30"/>
      <c r="C715" s="30"/>
      <c r="D715" s="104"/>
      <c r="E715" s="104"/>
      <c r="F715" s="30"/>
      <c r="G715" s="30"/>
      <c r="H715" s="5"/>
    </row>
    <row r="716">
      <c r="A716" s="30"/>
      <c r="B716" s="30"/>
      <c r="C716" s="30"/>
      <c r="D716" s="104"/>
      <c r="E716" s="104"/>
      <c r="F716" s="30"/>
      <c r="G716" s="30"/>
      <c r="H716" s="5"/>
    </row>
    <row r="717">
      <c r="A717" s="30"/>
      <c r="B717" s="30"/>
      <c r="C717" s="30"/>
      <c r="D717" s="104"/>
      <c r="E717" s="104"/>
      <c r="F717" s="30"/>
      <c r="G717" s="30"/>
      <c r="H717" s="5"/>
    </row>
    <row r="718">
      <c r="A718" s="30"/>
      <c r="B718" s="30"/>
      <c r="C718" s="30"/>
      <c r="D718" s="104"/>
      <c r="E718" s="104"/>
      <c r="F718" s="30"/>
      <c r="G718" s="30"/>
      <c r="H718" s="5"/>
    </row>
    <row r="719">
      <c r="A719" s="30"/>
      <c r="B719" s="30"/>
      <c r="C719" s="30"/>
      <c r="D719" s="104"/>
      <c r="E719" s="104"/>
      <c r="F719" s="30"/>
      <c r="G719" s="30"/>
      <c r="H719" s="5"/>
    </row>
    <row r="720">
      <c r="A720" s="30"/>
      <c r="B720" s="30"/>
      <c r="C720" s="30"/>
      <c r="D720" s="104"/>
      <c r="E720" s="104"/>
      <c r="F720" s="30"/>
      <c r="G720" s="30"/>
      <c r="H720" s="5"/>
    </row>
    <row r="721">
      <c r="A721" s="30"/>
      <c r="B721" s="30"/>
      <c r="C721" s="30"/>
      <c r="D721" s="104"/>
      <c r="E721" s="104"/>
      <c r="F721" s="30"/>
      <c r="G721" s="30"/>
      <c r="H721" s="5"/>
    </row>
    <row r="722">
      <c r="A722" s="30"/>
      <c r="B722" s="30"/>
      <c r="C722" s="30"/>
      <c r="D722" s="104"/>
      <c r="E722" s="104"/>
      <c r="F722" s="30"/>
      <c r="G722" s="30"/>
      <c r="H722" s="5"/>
    </row>
    <row r="723">
      <c r="A723" s="30"/>
      <c r="B723" s="30"/>
      <c r="C723" s="30"/>
      <c r="D723" s="104"/>
      <c r="E723" s="104"/>
      <c r="F723" s="30"/>
      <c r="G723" s="30"/>
      <c r="H723" s="5"/>
    </row>
    <row r="724">
      <c r="A724" s="30"/>
      <c r="B724" s="30"/>
      <c r="C724" s="30"/>
      <c r="D724" s="104"/>
      <c r="E724" s="104"/>
      <c r="F724" s="30"/>
      <c r="G724" s="30"/>
      <c r="H724" s="5"/>
    </row>
    <row r="725">
      <c r="A725" s="30"/>
      <c r="B725" s="30"/>
      <c r="C725" s="30"/>
      <c r="D725" s="104"/>
      <c r="E725" s="104"/>
      <c r="F725" s="30"/>
      <c r="G725" s="30"/>
      <c r="H725" s="5"/>
    </row>
    <row r="726">
      <c r="A726" s="30"/>
      <c r="B726" s="30"/>
      <c r="C726" s="30"/>
      <c r="D726" s="104"/>
      <c r="E726" s="104"/>
      <c r="F726" s="30"/>
      <c r="G726" s="30"/>
      <c r="H726" s="5"/>
    </row>
    <row r="727">
      <c r="A727" s="30"/>
      <c r="B727" s="30"/>
      <c r="C727" s="30"/>
      <c r="D727" s="104"/>
      <c r="E727" s="104"/>
      <c r="F727" s="30"/>
      <c r="G727" s="30"/>
      <c r="H727" s="5"/>
    </row>
    <row r="728">
      <c r="A728" s="30"/>
      <c r="B728" s="30"/>
      <c r="C728" s="30"/>
      <c r="D728" s="104"/>
      <c r="E728" s="104"/>
      <c r="F728" s="30"/>
      <c r="G728" s="30"/>
      <c r="H728" s="5"/>
    </row>
    <row r="729">
      <c r="A729" s="30"/>
      <c r="B729" s="30"/>
      <c r="C729" s="30"/>
      <c r="D729" s="104"/>
      <c r="E729" s="104"/>
      <c r="F729" s="30"/>
      <c r="G729" s="30"/>
      <c r="H729" s="5"/>
    </row>
    <row r="730">
      <c r="A730" s="30"/>
      <c r="B730" s="30"/>
      <c r="C730" s="30"/>
      <c r="D730" s="104"/>
      <c r="E730" s="104"/>
      <c r="F730" s="30"/>
      <c r="G730" s="30"/>
      <c r="H730" s="5"/>
    </row>
    <row r="731">
      <c r="A731" s="30"/>
      <c r="B731" s="30"/>
      <c r="C731" s="30"/>
      <c r="D731" s="104"/>
      <c r="E731" s="104"/>
      <c r="F731" s="30"/>
      <c r="G731" s="30"/>
      <c r="H731" s="5"/>
    </row>
    <row r="732">
      <c r="A732" s="30"/>
      <c r="B732" s="30"/>
      <c r="C732" s="30"/>
      <c r="D732" s="104"/>
      <c r="E732" s="104"/>
      <c r="F732" s="30"/>
      <c r="G732" s="30"/>
      <c r="H732" s="5"/>
    </row>
    <row r="733">
      <c r="A733" s="30"/>
      <c r="B733" s="30"/>
      <c r="C733" s="30"/>
      <c r="D733" s="104"/>
      <c r="E733" s="104"/>
      <c r="F733" s="30"/>
      <c r="G733" s="30"/>
      <c r="H733" s="5"/>
    </row>
    <row r="734">
      <c r="A734" s="30"/>
      <c r="B734" s="30"/>
      <c r="C734" s="30"/>
      <c r="D734" s="104"/>
      <c r="E734" s="104"/>
      <c r="F734" s="30"/>
      <c r="G734" s="30"/>
      <c r="H734" s="5"/>
    </row>
    <row r="735">
      <c r="A735" s="30"/>
      <c r="B735" s="30"/>
      <c r="C735" s="30"/>
      <c r="D735" s="104"/>
      <c r="E735" s="104"/>
      <c r="F735" s="30"/>
      <c r="G735" s="30"/>
      <c r="H735" s="5"/>
    </row>
    <row r="736">
      <c r="A736" s="30"/>
      <c r="B736" s="30"/>
      <c r="C736" s="30"/>
      <c r="D736" s="104"/>
      <c r="E736" s="104"/>
      <c r="F736" s="30"/>
      <c r="G736" s="30"/>
      <c r="H736" s="5"/>
    </row>
    <row r="737">
      <c r="A737" s="30"/>
      <c r="B737" s="30"/>
      <c r="C737" s="30"/>
      <c r="D737" s="104"/>
      <c r="E737" s="104"/>
      <c r="F737" s="30"/>
      <c r="G737" s="30"/>
      <c r="H737" s="5"/>
    </row>
    <row r="738">
      <c r="A738" s="30"/>
      <c r="B738" s="30"/>
      <c r="C738" s="30"/>
      <c r="D738" s="104"/>
      <c r="E738" s="104"/>
      <c r="F738" s="30"/>
      <c r="G738" s="30"/>
      <c r="H738" s="5"/>
    </row>
    <row r="739">
      <c r="A739" s="30"/>
      <c r="B739" s="30"/>
      <c r="C739" s="30"/>
      <c r="D739" s="104"/>
      <c r="E739" s="104"/>
      <c r="F739" s="30"/>
      <c r="G739" s="30"/>
      <c r="H739" s="5"/>
    </row>
    <row r="740">
      <c r="A740" s="30"/>
      <c r="B740" s="30"/>
      <c r="C740" s="30"/>
      <c r="D740" s="104"/>
      <c r="E740" s="104"/>
      <c r="F740" s="30"/>
      <c r="G740" s="30"/>
      <c r="H740" s="5"/>
    </row>
    <row r="741">
      <c r="A741" s="30"/>
      <c r="B741" s="30"/>
      <c r="C741" s="30"/>
      <c r="D741" s="104"/>
      <c r="E741" s="104"/>
      <c r="F741" s="30"/>
      <c r="G741" s="30"/>
      <c r="H741" s="5"/>
    </row>
    <row r="742">
      <c r="A742" s="30"/>
      <c r="B742" s="30"/>
      <c r="C742" s="30"/>
      <c r="D742" s="104"/>
      <c r="E742" s="104"/>
      <c r="F742" s="30"/>
      <c r="G742" s="30"/>
      <c r="H742" s="5"/>
    </row>
    <row r="743">
      <c r="A743" s="30"/>
      <c r="B743" s="30"/>
      <c r="C743" s="30"/>
      <c r="D743" s="104"/>
      <c r="E743" s="104"/>
      <c r="F743" s="30"/>
      <c r="G743" s="30"/>
      <c r="H743" s="5"/>
    </row>
    <row r="744">
      <c r="A744" s="30"/>
      <c r="B744" s="30"/>
      <c r="C744" s="30"/>
      <c r="D744" s="104"/>
      <c r="E744" s="104"/>
      <c r="F744" s="30"/>
      <c r="G744" s="30"/>
      <c r="H744" s="5"/>
    </row>
    <row r="745">
      <c r="A745" s="30"/>
      <c r="B745" s="30"/>
      <c r="C745" s="30"/>
      <c r="D745" s="104"/>
      <c r="E745" s="104"/>
      <c r="F745" s="30"/>
      <c r="G745" s="30"/>
      <c r="H745" s="5"/>
    </row>
    <row r="746">
      <c r="A746" s="30"/>
      <c r="B746" s="30"/>
      <c r="C746" s="30"/>
      <c r="D746" s="104"/>
      <c r="E746" s="104"/>
      <c r="F746" s="30"/>
      <c r="G746" s="30"/>
      <c r="H746" s="5"/>
    </row>
    <row r="747">
      <c r="A747" s="30"/>
      <c r="B747" s="30"/>
      <c r="C747" s="30"/>
      <c r="D747" s="104"/>
      <c r="E747" s="104"/>
      <c r="F747" s="30"/>
      <c r="G747" s="30"/>
      <c r="H747" s="5"/>
    </row>
    <row r="748">
      <c r="A748" s="30"/>
      <c r="B748" s="30"/>
      <c r="C748" s="30"/>
      <c r="D748" s="104"/>
      <c r="E748" s="104"/>
      <c r="F748" s="30"/>
      <c r="G748" s="30"/>
      <c r="H748" s="5"/>
    </row>
    <row r="749">
      <c r="A749" s="30"/>
      <c r="B749" s="30"/>
      <c r="C749" s="30"/>
      <c r="D749" s="104"/>
      <c r="E749" s="104"/>
      <c r="F749" s="30"/>
      <c r="G749" s="30"/>
      <c r="H749" s="5"/>
    </row>
    <row r="750">
      <c r="A750" s="30"/>
      <c r="B750" s="30"/>
      <c r="C750" s="30"/>
      <c r="D750" s="104"/>
      <c r="E750" s="104"/>
      <c r="F750" s="30"/>
      <c r="G750" s="30"/>
      <c r="H750" s="5"/>
    </row>
    <row r="751">
      <c r="A751" s="30"/>
      <c r="B751" s="30"/>
      <c r="C751" s="30"/>
      <c r="D751" s="104"/>
      <c r="E751" s="104"/>
      <c r="F751" s="30"/>
      <c r="G751" s="30"/>
      <c r="H751" s="5"/>
    </row>
    <row r="752">
      <c r="A752" s="30"/>
      <c r="B752" s="30"/>
      <c r="C752" s="30"/>
      <c r="D752" s="104"/>
      <c r="E752" s="104"/>
      <c r="F752" s="30"/>
      <c r="G752" s="30"/>
      <c r="H752" s="5"/>
    </row>
    <row r="753">
      <c r="A753" s="30"/>
      <c r="B753" s="30"/>
      <c r="C753" s="30"/>
      <c r="D753" s="104"/>
      <c r="E753" s="104"/>
      <c r="F753" s="30"/>
      <c r="G753" s="30"/>
      <c r="H753" s="5"/>
    </row>
    <row r="754">
      <c r="A754" s="30"/>
      <c r="B754" s="30"/>
      <c r="C754" s="30"/>
      <c r="D754" s="104"/>
      <c r="E754" s="104"/>
      <c r="F754" s="30"/>
      <c r="G754" s="30"/>
      <c r="H754" s="5"/>
    </row>
    <row r="755">
      <c r="A755" s="30"/>
      <c r="B755" s="30"/>
      <c r="C755" s="30"/>
      <c r="D755" s="104"/>
      <c r="E755" s="104"/>
      <c r="F755" s="30"/>
      <c r="G755" s="30"/>
      <c r="H755" s="5"/>
    </row>
    <row r="756">
      <c r="A756" s="30"/>
      <c r="B756" s="30"/>
      <c r="C756" s="30"/>
      <c r="D756" s="104"/>
      <c r="E756" s="104"/>
      <c r="F756" s="30"/>
      <c r="G756" s="30"/>
      <c r="H756" s="5"/>
    </row>
    <row r="757">
      <c r="A757" s="30"/>
      <c r="B757" s="30"/>
      <c r="C757" s="30"/>
      <c r="D757" s="104"/>
      <c r="E757" s="104"/>
      <c r="F757" s="30"/>
      <c r="G757" s="30"/>
      <c r="H757" s="5"/>
    </row>
    <row r="758">
      <c r="A758" s="30"/>
      <c r="B758" s="30"/>
      <c r="C758" s="30"/>
      <c r="D758" s="104"/>
      <c r="E758" s="104"/>
      <c r="F758" s="30"/>
      <c r="G758" s="30"/>
      <c r="H758" s="5"/>
    </row>
    <row r="759">
      <c r="A759" s="30"/>
      <c r="B759" s="30"/>
      <c r="C759" s="30"/>
      <c r="D759" s="104"/>
      <c r="E759" s="104"/>
      <c r="F759" s="30"/>
      <c r="G759" s="30"/>
      <c r="H759" s="5"/>
    </row>
    <row r="760">
      <c r="A760" s="30"/>
      <c r="B760" s="30"/>
      <c r="C760" s="30"/>
      <c r="D760" s="104"/>
      <c r="E760" s="104"/>
      <c r="F760" s="30"/>
      <c r="G760" s="30"/>
      <c r="H760" s="5"/>
    </row>
    <row r="761">
      <c r="A761" s="30"/>
      <c r="B761" s="30"/>
      <c r="C761" s="30"/>
      <c r="D761" s="104"/>
      <c r="E761" s="104"/>
      <c r="F761" s="30"/>
      <c r="G761" s="30"/>
      <c r="H761" s="5"/>
    </row>
    <row r="762">
      <c r="A762" s="30"/>
      <c r="B762" s="30"/>
      <c r="C762" s="30"/>
      <c r="D762" s="104"/>
      <c r="E762" s="104"/>
      <c r="F762" s="30"/>
      <c r="G762" s="30"/>
      <c r="H762" s="5"/>
    </row>
    <row r="763">
      <c r="A763" s="30"/>
      <c r="B763" s="30"/>
      <c r="C763" s="30"/>
      <c r="D763" s="104"/>
      <c r="E763" s="104"/>
      <c r="F763" s="30"/>
      <c r="G763" s="30"/>
      <c r="H763" s="5"/>
    </row>
    <row r="764">
      <c r="A764" s="30"/>
      <c r="B764" s="30"/>
      <c r="C764" s="30"/>
      <c r="D764" s="104"/>
      <c r="E764" s="104"/>
      <c r="F764" s="30"/>
      <c r="G764" s="30"/>
      <c r="H764" s="5"/>
    </row>
    <row r="765">
      <c r="A765" s="30"/>
      <c r="B765" s="30"/>
      <c r="C765" s="30"/>
      <c r="D765" s="104"/>
      <c r="E765" s="104"/>
      <c r="F765" s="30"/>
      <c r="G765" s="30"/>
      <c r="H765" s="5"/>
    </row>
    <row r="766">
      <c r="A766" s="30"/>
      <c r="B766" s="30"/>
      <c r="C766" s="30"/>
      <c r="D766" s="104"/>
      <c r="E766" s="104"/>
      <c r="F766" s="30"/>
      <c r="G766" s="30"/>
      <c r="H766" s="5"/>
    </row>
    <row r="767">
      <c r="A767" s="30"/>
      <c r="B767" s="30"/>
      <c r="C767" s="30"/>
      <c r="D767" s="104"/>
      <c r="E767" s="104"/>
      <c r="F767" s="30"/>
      <c r="G767" s="30"/>
      <c r="H767" s="5"/>
    </row>
    <row r="768">
      <c r="A768" s="30"/>
      <c r="B768" s="30"/>
      <c r="C768" s="30"/>
      <c r="D768" s="104"/>
      <c r="E768" s="104"/>
      <c r="F768" s="30"/>
      <c r="G768" s="30"/>
      <c r="H768" s="5"/>
    </row>
    <row r="769">
      <c r="A769" s="30"/>
      <c r="B769" s="30"/>
      <c r="C769" s="30"/>
      <c r="D769" s="104"/>
      <c r="E769" s="104"/>
      <c r="F769" s="30"/>
      <c r="G769" s="30"/>
      <c r="H769" s="5"/>
    </row>
    <row r="770">
      <c r="A770" s="30"/>
      <c r="B770" s="30"/>
      <c r="C770" s="30"/>
      <c r="D770" s="104"/>
      <c r="E770" s="104"/>
      <c r="F770" s="30"/>
      <c r="G770" s="30"/>
      <c r="H770" s="5"/>
    </row>
    <row r="771">
      <c r="A771" s="30"/>
      <c r="B771" s="30"/>
      <c r="C771" s="30"/>
      <c r="D771" s="104"/>
      <c r="E771" s="104"/>
      <c r="F771" s="30"/>
      <c r="G771" s="30"/>
      <c r="H771" s="5"/>
    </row>
    <row r="772">
      <c r="A772" s="30"/>
      <c r="B772" s="30"/>
      <c r="C772" s="30"/>
      <c r="D772" s="104"/>
      <c r="E772" s="104"/>
      <c r="F772" s="30"/>
      <c r="G772" s="30"/>
      <c r="H772" s="5"/>
    </row>
    <row r="773">
      <c r="A773" s="30"/>
      <c r="B773" s="30"/>
      <c r="C773" s="30"/>
      <c r="D773" s="104"/>
      <c r="E773" s="104"/>
      <c r="F773" s="30"/>
      <c r="G773" s="30"/>
      <c r="H773" s="5"/>
    </row>
    <row r="774">
      <c r="A774" s="30"/>
      <c r="B774" s="30"/>
      <c r="C774" s="30"/>
      <c r="D774" s="104"/>
      <c r="E774" s="104"/>
      <c r="F774" s="30"/>
      <c r="G774" s="30"/>
      <c r="H774" s="5"/>
    </row>
    <row r="775">
      <c r="A775" s="30"/>
      <c r="B775" s="30"/>
      <c r="C775" s="30"/>
      <c r="D775" s="104"/>
      <c r="E775" s="104"/>
      <c r="F775" s="30"/>
      <c r="G775" s="30"/>
      <c r="H775" s="5"/>
    </row>
    <row r="776">
      <c r="A776" s="30"/>
      <c r="B776" s="30"/>
      <c r="C776" s="30"/>
      <c r="D776" s="104"/>
      <c r="E776" s="104"/>
      <c r="F776" s="30"/>
      <c r="G776" s="30"/>
      <c r="H776" s="5"/>
    </row>
    <row r="777">
      <c r="A777" s="30"/>
      <c r="B777" s="30"/>
      <c r="C777" s="30"/>
      <c r="D777" s="104"/>
      <c r="E777" s="104"/>
      <c r="F777" s="30"/>
      <c r="G777" s="30"/>
      <c r="H777" s="5"/>
    </row>
    <row r="778">
      <c r="A778" s="30"/>
      <c r="B778" s="30"/>
      <c r="C778" s="30"/>
      <c r="D778" s="104"/>
      <c r="E778" s="104"/>
      <c r="F778" s="30"/>
      <c r="G778" s="30"/>
      <c r="H778" s="5"/>
    </row>
    <row r="779">
      <c r="A779" s="30"/>
      <c r="B779" s="30"/>
      <c r="C779" s="30"/>
      <c r="D779" s="104"/>
      <c r="E779" s="104"/>
      <c r="F779" s="30"/>
      <c r="G779" s="30"/>
      <c r="H779" s="5"/>
    </row>
    <row r="780">
      <c r="A780" s="30"/>
      <c r="B780" s="30"/>
      <c r="C780" s="30"/>
      <c r="D780" s="104"/>
      <c r="E780" s="104"/>
      <c r="F780" s="30"/>
      <c r="G780" s="30"/>
      <c r="H780" s="5"/>
    </row>
    <row r="781">
      <c r="A781" s="30"/>
      <c r="B781" s="30"/>
      <c r="C781" s="30"/>
      <c r="D781" s="104"/>
      <c r="E781" s="104"/>
      <c r="F781" s="30"/>
      <c r="G781" s="30"/>
      <c r="H781" s="5"/>
    </row>
    <row r="782">
      <c r="A782" s="30"/>
      <c r="B782" s="30"/>
      <c r="C782" s="30"/>
      <c r="D782" s="104"/>
      <c r="E782" s="104"/>
      <c r="F782" s="30"/>
      <c r="G782" s="30"/>
      <c r="H782" s="5"/>
    </row>
    <row r="783">
      <c r="A783" s="30"/>
      <c r="B783" s="30"/>
      <c r="C783" s="30"/>
      <c r="D783" s="104"/>
      <c r="E783" s="104"/>
      <c r="F783" s="30"/>
      <c r="G783" s="30"/>
      <c r="H783" s="5"/>
    </row>
    <row r="784">
      <c r="A784" s="30"/>
      <c r="B784" s="30"/>
      <c r="C784" s="30"/>
      <c r="D784" s="104"/>
      <c r="E784" s="104"/>
      <c r="F784" s="30"/>
      <c r="G784" s="30"/>
      <c r="H784" s="5"/>
    </row>
    <row r="785">
      <c r="A785" s="30"/>
      <c r="B785" s="30"/>
      <c r="C785" s="30"/>
      <c r="D785" s="104"/>
      <c r="E785" s="104"/>
      <c r="F785" s="30"/>
      <c r="G785" s="30"/>
      <c r="H785" s="5"/>
    </row>
    <row r="786">
      <c r="A786" s="30"/>
      <c r="B786" s="30"/>
      <c r="C786" s="30"/>
      <c r="D786" s="104"/>
      <c r="E786" s="104"/>
      <c r="F786" s="30"/>
      <c r="G786" s="30"/>
      <c r="H786" s="5"/>
    </row>
    <row r="787">
      <c r="A787" s="30"/>
      <c r="B787" s="30"/>
      <c r="C787" s="30"/>
      <c r="D787" s="104"/>
      <c r="E787" s="104"/>
      <c r="F787" s="30"/>
      <c r="G787" s="30"/>
      <c r="H787" s="5"/>
    </row>
    <row r="788">
      <c r="A788" s="30"/>
      <c r="B788" s="30"/>
      <c r="C788" s="30"/>
      <c r="D788" s="104"/>
      <c r="E788" s="104"/>
      <c r="F788" s="30"/>
      <c r="G788" s="30"/>
      <c r="H788" s="5"/>
    </row>
    <row r="789">
      <c r="A789" s="30"/>
      <c r="B789" s="30"/>
      <c r="C789" s="30"/>
      <c r="D789" s="104"/>
      <c r="E789" s="104"/>
      <c r="F789" s="30"/>
      <c r="G789" s="30"/>
      <c r="H789" s="5"/>
    </row>
    <row r="790">
      <c r="A790" s="30"/>
      <c r="B790" s="30"/>
      <c r="C790" s="30"/>
      <c r="D790" s="104"/>
      <c r="E790" s="104"/>
      <c r="F790" s="30"/>
      <c r="G790" s="30"/>
      <c r="H790" s="5"/>
    </row>
    <row r="791">
      <c r="A791" s="30"/>
      <c r="B791" s="30"/>
      <c r="C791" s="30"/>
      <c r="D791" s="104"/>
      <c r="E791" s="104"/>
      <c r="F791" s="30"/>
      <c r="G791" s="30"/>
      <c r="H791" s="5"/>
    </row>
    <row r="792">
      <c r="A792" s="30"/>
      <c r="B792" s="30"/>
      <c r="C792" s="30"/>
      <c r="D792" s="104"/>
      <c r="E792" s="104"/>
      <c r="F792" s="30"/>
      <c r="G792" s="30"/>
      <c r="H792" s="5"/>
    </row>
    <row r="793">
      <c r="A793" s="30"/>
      <c r="B793" s="30"/>
      <c r="C793" s="30"/>
      <c r="D793" s="104"/>
      <c r="E793" s="104"/>
      <c r="F793" s="30"/>
      <c r="G793" s="30"/>
      <c r="H793" s="5"/>
    </row>
    <row r="794">
      <c r="A794" s="30"/>
      <c r="B794" s="30"/>
      <c r="C794" s="30"/>
      <c r="D794" s="104"/>
      <c r="E794" s="104"/>
      <c r="F794" s="30"/>
      <c r="G794" s="30"/>
      <c r="H794" s="5"/>
    </row>
    <row r="795">
      <c r="A795" s="30"/>
      <c r="B795" s="30"/>
      <c r="C795" s="30"/>
      <c r="D795" s="104"/>
      <c r="E795" s="104"/>
      <c r="F795" s="30"/>
      <c r="G795" s="30"/>
      <c r="H795" s="5"/>
    </row>
    <row r="796">
      <c r="A796" s="30"/>
      <c r="B796" s="30"/>
      <c r="C796" s="30"/>
      <c r="D796" s="104"/>
      <c r="E796" s="104"/>
      <c r="F796" s="30"/>
      <c r="G796" s="30"/>
      <c r="H796" s="5"/>
    </row>
    <row r="797">
      <c r="A797" s="30"/>
      <c r="B797" s="30"/>
      <c r="C797" s="30"/>
      <c r="D797" s="104"/>
      <c r="E797" s="104"/>
      <c r="F797" s="30"/>
      <c r="G797" s="30"/>
      <c r="H797" s="5"/>
    </row>
    <row r="798">
      <c r="A798" s="30"/>
      <c r="B798" s="30"/>
      <c r="C798" s="30"/>
      <c r="D798" s="104"/>
      <c r="E798" s="104"/>
      <c r="F798" s="30"/>
      <c r="G798" s="30"/>
      <c r="H798" s="5"/>
    </row>
    <row r="799">
      <c r="A799" s="30"/>
      <c r="B799" s="30"/>
      <c r="C799" s="30"/>
      <c r="D799" s="104"/>
      <c r="E799" s="104"/>
      <c r="F799" s="30"/>
      <c r="G799" s="30"/>
      <c r="H799" s="5"/>
    </row>
    <row r="800">
      <c r="A800" s="30"/>
      <c r="B800" s="30"/>
      <c r="C800" s="30"/>
      <c r="D800" s="104"/>
      <c r="E800" s="104"/>
      <c r="F800" s="30"/>
      <c r="G800" s="30"/>
      <c r="H800" s="5"/>
    </row>
    <row r="801">
      <c r="A801" s="30"/>
      <c r="B801" s="30"/>
      <c r="C801" s="30"/>
      <c r="D801" s="104"/>
      <c r="E801" s="104"/>
      <c r="F801" s="30"/>
      <c r="G801" s="30"/>
      <c r="H801" s="5"/>
    </row>
    <row r="802">
      <c r="A802" s="30"/>
      <c r="B802" s="30"/>
      <c r="C802" s="30"/>
      <c r="D802" s="104"/>
      <c r="E802" s="104"/>
      <c r="F802" s="30"/>
      <c r="G802" s="30"/>
      <c r="H802" s="5"/>
    </row>
    <row r="803">
      <c r="A803" s="30"/>
      <c r="B803" s="30"/>
      <c r="C803" s="30"/>
      <c r="D803" s="104"/>
      <c r="E803" s="104"/>
      <c r="F803" s="30"/>
      <c r="G803" s="30"/>
      <c r="H803" s="5"/>
    </row>
    <row r="804">
      <c r="A804" s="30"/>
      <c r="B804" s="30"/>
      <c r="C804" s="30"/>
      <c r="D804" s="104"/>
      <c r="E804" s="104"/>
      <c r="F804" s="30"/>
      <c r="G804" s="30"/>
      <c r="H804" s="5"/>
    </row>
    <row r="805">
      <c r="A805" s="30"/>
      <c r="B805" s="30"/>
      <c r="C805" s="30"/>
      <c r="D805" s="104"/>
      <c r="E805" s="104"/>
      <c r="F805" s="30"/>
      <c r="G805" s="30"/>
      <c r="H805" s="5"/>
    </row>
    <row r="806">
      <c r="A806" s="30"/>
      <c r="B806" s="30"/>
      <c r="C806" s="30"/>
      <c r="D806" s="104"/>
      <c r="E806" s="104"/>
      <c r="F806" s="30"/>
      <c r="G806" s="30"/>
      <c r="H806" s="5"/>
    </row>
    <row r="807">
      <c r="A807" s="30"/>
      <c r="B807" s="30"/>
      <c r="C807" s="30"/>
      <c r="D807" s="104"/>
      <c r="E807" s="104"/>
      <c r="F807" s="30"/>
      <c r="G807" s="30"/>
      <c r="H807" s="5"/>
    </row>
    <row r="808">
      <c r="A808" s="30"/>
      <c r="B808" s="30"/>
      <c r="C808" s="30"/>
      <c r="D808" s="104"/>
      <c r="E808" s="104"/>
      <c r="F808" s="30"/>
      <c r="G808" s="30"/>
      <c r="H808" s="5"/>
    </row>
    <row r="809">
      <c r="A809" s="30"/>
      <c r="B809" s="30"/>
      <c r="C809" s="30"/>
      <c r="D809" s="104"/>
      <c r="E809" s="104"/>
      <c r="F809" s="30"/>
      <c r="G809" s="30"/>
      <c r="H809" s="5"/>
    </row>
    <row r="810">
      <c r="A810" s="30"/>
      <c r="B810" s="30"/>
      <c r="C810" s="30"/>
      <c r="D810" s="104"/>
      <c r="E810" s="104"/>
      <c r="F810" s="30"/>
      <c r="G810" s="30"/>
      <c r="H810" s="5"/>
    </row>
    <row r="811">
      <c r="A811" s="30"/>
      <c r="B811" s="30"/>
      <c r="C811" s="30"/>
      <c r="D811" s="104"/>
      <c r="E811" s="104"/>
      <c r="F811" s="30"/>
      <c r="G811" s="30"/>
      <c r="H811" s="5"/>
    </row>
    <row r="812">
      <c r="A812" s="30"/>
      <c r="B812" s="30"/>
      <c r="C812" s="30"/>
      <c r="D812" s="104"/>
      <c r="E812" s="104"/>
      <c r="F812" s="30"/>
      <c r="G812" s="30"/>
      <c r="H812" s="5"/>
    </row>
    <row r="813">
      <c r="A813" s="30"/>
      <c r="B813" s="30"/>
      <c r="C813" s="30"/>
      <c r="D813" s="104"/>
      <c r="E813" s="104"/>
      <c r="F813" s="30"/>
      <c r="G813" s="30"/>
      <c r="H813" s="5"/>
    </row>
    <row r="814">
      <c r="A814" s="30"/>
      <c r="B814" s="30"/>
      <c r="C814" s="30"/>
      <c r="D814" s="104"/>
      <c r="E814" s="104"/>
      <c r="F814" s="30"/>
      <c r="G814" s="30"/>
      <c r="H814" s="5"/>
    </row>
    <row r="815">
      <c r="A815" s="30"/>
      <c r="B815" s="30"/>
      <c r="C815" s="30"/>
      <c r="D815" s="104"/>
      <c r="E815" s="104"/>
      <c r="F815" s="30"/>
      <c r="G815" s="30"/>
      <c r="H815" s="5"/>
    </row>
    <row r="816">
      <c r="A816" s="30"/>
      <c r="B816" s="30"/>
      <c r="C816" s="30"/>
      <c r="D816" s="104"/>
      <c r="E816" s="104"/>
      <c r="F816" s="30"/>
      <c r="G816" s="30"/>
      <c r="H816" s="5"/>
    </row>
    <row r="817">
      <c r="A817" s="30"/>
      <c r="B817" s="30"/>
      <c r="C817" s="30"/>
      <c r="D817" s="104"/>
      <c r="E817" s="104"/>
      <c r="F817" s="30"/>
      <c r="G817" s="30"/>
      <c r="H817" s="5"/>
    </row>
    <row r="818">
      <c r="A818" s="30"/>
      <c r="B818" s="30"/>
      <c r="C818" s="30"/>
      <c r="D818" s="104"/>
      <c r="E818" s="104"/>
      <c r="F818" s="30"/>
      <c r="G818" s="30"/>
      <c r="H818" s="5"/>
    </row>
    <row r="819">
      <c r="A819" s="30"/>
      <c r="B819" s="30"/>
      <c r="C819" s="30"/>
      <c r="D819" s="104"/>
      <c r="E819" s="104"/>
      <c r="F819" s="30"/>
      <c r="G819" s="30"/>
      <c r="H819" s="5"/>
    </row>
    <row r="820">
      <c r="A820" s="30"/>
      <c r="B820" s="30"/>
      <c r="C820" s="30"/>
      <c r="D820" s="104"/>
      <c r="E820" s="104"/>
      <c r="F820" s="30"/>
      <c r="G820" s="30"/>
      <c r="H820" s="5"/>
    </row>
    <row r="821">
      <c r="A821" s="30"/>
      <c r="B821" s="30"/>
      <c r="C821" s="30"/>
      <c r="D821" s="104"/>
      <c r="E821" s="104"/>
      <c r="F821" s="30"/>
      <c r="G821" s="30"/>
      <c r="H821" s="5"/>
    </row>
    <row r="822">
      <c r="A822" s="30"/>
      <c r="B822" s="30"/>
      <c r="C822" s="30"/>
      <c r="D822" s="104"/>
      <c r="E822" s="104"/>
      <c r="F822" s="30"/>
      <c r="G822" s="30"/>
      <c r="H822" s="5"/>
    </row>
    <row r="823">
      <c r="A823" s="30"/>
      <c r="B823" s="30"/>
      <c r="C823" s="30"/>
      <c r="D823" s="104"/>
      <c r="E823" s="104"/>
      <c r="F823" s="30"/>
      <c r="G823" s="30"/>
      <c r="H823" s="5"/>
    </row>
    <row r="824">
      <c r="A824" s="30"/>
      <c r="B824" s="30"/>
      <c r="C824" s="30"/>
      <c r="D824" s="104"/>
      <c r="E824" s="104"/>
      <c r="F824" s="30"/>
      <c r="G824" s="30"/>
      <c r="H824" s="5"/>
    </row>
    <row r="825">
      <c r="A825" s="30"/>
      <c r="B825" s="30"/>
      <c r="C825" s="30"/>
      <c r="D825" s="104"/>
      <c r="E825" s="104"/>
      <c r="F825" s="30"/>
      <c r="G825" s="30"/>
      <c r="H825" s="5"/>
    </row>
    <row r="826">
      <c r="A826" s="30"/>
      <c r="B826" s="30"/>
      <c r="C826" s="30"/>
      <c r="D826" s="104"/>
      <c r="E826" s="104"/>
      <c r="F826" s="30"/>
      <c r="G826" s="30"/>
      <c r="H826" s="5"/>
    </row>
    <row r="827">
      <c r="A827" s="30"/>
      <c r="B827" s="30"/>
      <c r="C827" s="30"/>
      <c r="D827" s="104"/>
      <c r="E827" s="104"/>
      <c r="F827" s="30"/>
      <c r="G827" s="30"/>
      <c r="H827" s="5"/>
    </row>
    <row r="828">
      <c r="A828" s="30"/>
      <c r="B828" s="30"/>
      <c r="C828" s="30"/>
      <c r="D828" s="104"/>
      <c r="E828" s="104"/>
      <c r="F828" s="30"/>
      <c r="G828" s="30"/>
      <c r="H828" s="5"/>
    </row>
    <row r="829">
      <c r="A829" s="30"/>
      <c r="B829" s="30"/>
      <c r="C829" s="30"/>
      <c r="D829" s="104"/>
      <c r="E829" s="104"/>
      <c r="F829" s="30"/>
      <c r="G829" s="30"/>
      <c r="H829" s="5"/>
    </row>
    <row r="830">
      <c r="A830" s="30"/>
      <c r="B830" s="30"/>
      <c r="C830" s="30"/>
      <c r="D830" s="104"/>
      <c r="E830" s="104"/>
      <c r="F830" s="30"/>
      <c r="G830" s="30"/>
      <c r="H830" s="5"/>
    </row>
    <row r="831">
      <c r="A831" s="30"/>
      <c r="B831" s="30"/>
      <c r="C831" s="30"/>
      <c r="D831" s="104"/>
      <c r="E831" s="104"/>
      <c r="F831" s="30"/>
      <c r="G831" s="30"/>
      <c r="H831" s="5"/>
    </row>
    <row r="832">
      <c r="A832" s="30"/>
      <c r="B832" s="30"/>
      <c r="C832" s="30"/>
      <c r="D832" s="104"/>
      <c r="E832" s="104"/>
      <c r="F832" s="30"/>
      <c r="G832" s="30"/>
      <c r="H832" s="5"/>
    </row>
    <row r="833">
      <c r="A833" s="30"/>
      <c r="B833" s="30"/>
      <c r="C833" s="30"/>
      <c r="D833" s="104"/>
      <c r="E833" s="104"/>
      <c r="F833" s="30"/>
      <c r="G833" s="30"/>
      <c r="H833" s="5"/>
    </row>
    <row r="834">
      <c r="A834" s="30"/>
      <c r="B834" s="30"/>
      <c r="C834" s="30"/>
      <c r="D834" s="104"/>
      <c r="E834" s="104"/>
      <c r="F834" s="30"/>
      <c r="G834" s="30"/>
      <c r="H834" s="5"/>
    </row>
    <row r="835">
      <c r="A835" s="30"/>
      <c r="B835" s="30"/>
      <c r="C835" s="30"/>
      <c r="D835" s="104"/>
      <c r="E835" s="104"/>
      <c r="F835" s="30"/>
      <c r="G835" s="30"/>
      <c r="H835" s="5"/>
    </row>
    <row r="836">
      <c r="A836" s="30"/>
      <c r="B836" s="30"/>
      <c r="C836" s="30"/>
      <c r="D836" s="104"/>
      <c r="E836" s="104"/>
      <c r="F836" s="30"/>
      <c r="G836" s="30"/>
      <c r="H836" s="5"/>
    </row>
    <row r="837">
      <c r="A837" s="30"/>
      <c r="B837" s="30"/>
      <c r="C837" s="30"/>
      <c r="D837" s="104"/>
      <c r="E837" s="104"/>
      <c r="F837" s="30"/>
      <c r="G837" s="30"/>
      <c r="H837" s="5"/>
    </row>
    <row r="838">
      <c r="A838" s="30"/>
      <c r="B838" s="30"/>
      <c r="C838" s="30"/>
      <c r="D838" s="104"/>
      <c r="E838" s="104"/>
      <c r="F838" s="30"/>
      <c r="G838" s="30"/>
      <c r="H838" s="5"/>
    </row>
    <row r="839">
      <c r="A839" s="30"/>
      <c r="B839" s="30"/>
      <c r="C839" s="30"/>
      <c r="D839" s="104"/>
      <c r="E839" s="104"/>
      <c r="F839" s="30"/>
      <c r="G839" s="30"/>
      <c r="H839" s="5"/>
    </row>
    <row r="840">
      <c r="A840" s="30"/>
      <c r="B840" s="30"/>
      <c r="C840" s="30"/>
      <c r="D840" s="104"/>
      <c r="E840" s="104"/>
      <c r="F840" s="30"/>
      <c r="G840" s="30"/>
      <c r="H840" s="5"/>
    </row>
    <row r="841">
      <c r="A841" s="30"/>
      <c r="B841" s="30"/>
      <c r="C841" s="30"/>
      <c r="D841" s="104"/>
      <c r="E841" s="104"/>
      <c r="F841" s="30"/>
      <c r="G841" s="30"/>
      <c r="H841" s="5"/>
    </row>
    <row r="842">
      <c r="A842" s="30"/>
      <c r="B842" s="30"/>
      <c r="C842" s="30"/>
      <c r="D842" s="104"/>
      <c r="E842" s="104"/>
      <c r="F842" s="30"/>
      <c r="G842" s="30"/>
      <c r="H842" s="5"/>
    </row>
    <row r="843">
      <c r="A843" s="30"/>
      <c r="B843" s="30"/>
      <c r="C843" s="30"/>
      <c r="D843" s="104"/>
      <c r="E843" s="104"/>
      <c r="F843" s="30"/>
      <c r="G843" s="30"/>
      <c r="H843" s="5"/>
    </row>
    <row r="844">
      <c r="A844" s="30"/>
      <c r="B844" s="30"/>
      <c r="C844" s="30"/>
      <c r="D844" s="104"/>
      <c r="E844" s="104"/>
      <c r="F844" s="30"/>
      <c r="G844" s="30"/>
      <c r="H844" s="5"/>
    </row>
    <row r="845">
      <c r="A845" s="30"/>
      <c r="B845" s="30"/>
      <c r="C845" s="30"/>
      <c r="D845" s="104"/>
      <c r="E845" s="104"/>
      <c r="F845" s="30"/>
      <c r="G845" s="30"/>
      <c r="H845" s="5"/>
    </row>
    <row r="846">
      <c r="A846" s="30"/>
      <c r="B846" s="30"/>
      <c r="C846" s="30"/>
      <c r="D846" s="104"/>
      <c r="E846" s="104"/>
      <c r="F846" s="30"/>
      <c r="G846" s="30"/>
      <c r="H846" s="5"/>
    </row>
    <row r="847">
      <c r="A847" s="30"/>
      <c r="B847" s="30"/>
      <c r="C847" s="30"/>
      <c r="D847" s="104"/>
      <c r="E847" s="104"/>
      <c r="F847" s="30"/>
      <c r="G847" s="30"/>
      <c r="H847" s="5"/>
    </row>
    <row r="848">
      <c r="A848" s="30"/>
      <c r="B848" s="30"/>
      <c r="C848" s="30"/>
      <c r="D848" s="104"/>
      <c r="E848" s="104"/>
      <c r="F848" s="30"/>
      <c r="G848" s="30"/>
      <c r="H848" s="5"/>
    </row>
    <row r="849">
      <c r="A849" s="30"/>
      <c r="B849" s="30"/>
      <c r="C849" s="30"/>
      <c r="D849" s="104"/>
      <c r="E849" s="104"/>
      <c r="F849" s="30"/>
      <c r="G849" s="30"/>
      <c r="H849" s="5"/>
    </row>
    <row r="850">
      <c r="A850" s="30"/>
      <c r="B850" s="30"/>
      <c r="C850" s="30"/>
      <c r="D850" s="104"/>
      <c r="E850" s="104"/>
      <c r="F850" s="30"/>
      <c r="G850" s="30"/>
      <c r="H850" s="5"/>
    </row>
    <row r="851">
      <c r="A851" s="30"/>
      <c r="B851" s="30"/>
      <c r="C851" s="30"/>
      <c r="D851" s="104"/>
      <c r="E851" s="104"/>
      <c r="F851" s="30"/>
      <c r="G851" s="30"/>
      <c r="H851" s="5"/>
    </row>
    <row r="852">
      <c r="A852" s="30"/>
      <c r="B852" s="30"/>
      <c r="C852" s="30"/>
      <c r="D852" s="104"/>
      <c r="E852" s="104"/>
      <c r="F852" s="30"/>
      <c r="G852" s="30"/>
      <c r="H852" s="5"/>
    </row>
    <row r="853">
      <c r="A853" s="30"/>
      <c r="B853" s="30"/>
      <c r="C853" s="30"/>
      <c r="D853" s="104"/>
      <c r="E853" s="104"/>
      <c r="F853" s="30"/>
      <c r="G853" s="30"/>
      <c r="H853" s="5"/>
    </row>
    <row r="854">
      <c r="A854" s="30"/>
      <c r="B854" s="30"/>
      <c r="C854" s="30"/>
      <c r="D854" s="104"/>
      <c r="E854" s="104"/>
      <c r="F854" s="30"/>
      <c r="G854" s="30"/>
      <c r="H854" s="5"/>
    </row>
    <row r="855">
      <c r="A855" s="30"/>
      <c r="B855" s="30"/>
      <c r="C855" s="30"/>
      <c r="D855" s="104"/>
      <c r="E855" s="104"/>
      <c r="F855" s="30"/>
      <c r="G855" s="30"/>
      <c r="H855" s="5"/>
    </row>
    <row r="856">
      <c r="A856" s="30"/>
      <c r="B856" s="30"/>
      <c r="C856" s="30"/>
      <c r="D856" s="104"/>
      <c r="E856" s="104"/>
      <c r="F856" s="30"/>
      <c r="G856" s="30"/>
      <c r="H856" s="5"/>
    </row>
    <row r="857">
      <c r="A857" s="30"/>
      <c r="B857" s="30"/>
      <c r="C857" s="30"/>
      <c r="D857" s="104"/>
      <c r="E857" s="104"/>
      <c r="F857" s="30"/>
      <c r="G857" s="30"/>
      <c r="H857" s="5"/>
    </row>
    <row r="858">
      <c r="A858" s="30"/>
      <c r="B858" s="30"/>
      <c r="C858" s="30"/>
      <c r="D858" s="104"/>
      <c r="E858" s="104"/>
      <c r="F858" s="30"/>
      <c r="G858" s="30"/>
      <c r="H858" s="5"/>
    </row>
    <row r="859">
      <c r="A859" s="30"/>
      <c r="B859" s="30"/>
      <c r="C859" s="30"/>
      <c r="D859" s="104"/>
      <c r="E859" s="104"/>
      <c r="F859" s="30"/>
      <c r="G859" s="30"/>
      <c r="H859" s="5"/>
    </row>
    <row r="860">
      <c r="A860" s="30"/>
      <c r="B860" s="30"/>
      <c r="C860" s="30"/>
      <c r="D860" s="104"/>
      <c r="E860" s="104"/>
      <c r="F860" s="30"/>
      <c r="G860" s="30"/>
      <c r="H860" s="5"/>
    </row>
    <row r="861">
      <c r="A861" s="30"/>
      <c r="B861" s="30"/>
      <c r="C861" s="30"/>
      <c r="D861" s="104"/>
      <c r="E861" s="104"/>
      <c r="F861" s="30"/>
      <c r="G861" s="30"/>
      <c r="H861" s="5"/>
    </row>
    <row r="862">
      <c r="A862" s="30"/>
      <c r="B862" s="30"/>
      <c r="C862" s="30"/>
      <c r="D862" s="104"/>
      <c r="E862" s="104"/>
      <c r="F862" s="30"/>
      <c r="G862" s="30"/>
      <c r="H862" s="5"/>
    </row>
    <row r="863">
      <c r="A863" s="30"/>
      <c r="B863" s="30"/>
      <c r="C863" s="30"/>
      <c r="D863" s="104"/>
      <c r="E863" s="104"/>
      <c r="F863" s="30"/>
      <c r="G863" s="30"/>
      <c r="H863" s="5"/>
    </row>
    <row r="864">
      <c r="A864" s="30"/>
      <c r="B864" s="30"/>
      <c r="C864" s="30"/>
      <c r="D864" s="104"/>
      <c r="E864" s="104"/>
      <c r="F864" s="30"/>
      <c r="G864" s="30"/>
      <c r="H864" s="5"/>
    </row>
    <row r="865">
      <c r="A865" s="30"/>
      <c r="B865" s="30"/>
      <c r="C865" s="30"/>
      <c r="D865" s="104"/>
      <c r="E865" s="104"/>
      <c r="F865" s="30"/>
      <c r="G865" s="30"/>
      <c r="H865" s="5"/>
    </row>
    <row r="866">
      <c r="A866" s="30"/>
      <c r="B866" s="30"/>
      <c r="C866" s="30"/>
      <c r="D866" s="104"/>
      <c r="E866" s="104"/>
      <c r="F866" s="30"/>
      <c r="G866" s="30"/>
      <c r="H866" s="5"/>
    </row>
    <row r="867">
      <c r="A867" s="30"/>
      <c r="B867" s="30"/>
      <c r="C867" s="30"/>
      <c r="D867" s="104"/>
      <c r="E867" s="104"/>
      <c r="F867" s="30"/>
      <c r="G867" s="30"/>
      <c r="H867" s="5"/>
    </row>
    <row r="868">
      <c r="A868" s="30"/>
      <c r="B868" s="30"/>
      <c r="C868" s="30"/>
      <c r="D868" s="104"/>
      <c r="E868" s="104"/>
      <c r="F868" s="30"/>
      <c r="G868" s="30"/>
      <c r="H868" s="5"/>
    </row>
    <row r="869">
      <c r="A869" s="30"/>
      <c r="B869" s="30"/>
      <c r="C869" s="30"/>
      <c r="D869" s="104"/>
      <c r="E869" s="104"/>
      <c r="F869" s="30"/>
      <c r="G869" s="30"/>
      <c r="H869" s="5"/>
    </row>
    <row r="870">
      <c r="A870" s="30"/>
      <c r="B870" s="30"/>
      <c r="C870" s="30"/>
      <c r="D870" s="104"/>
      <c r="E870" s="104"/>
      <c r="F870" s="30"/>
      <c r="G870" s="30"/>
      <c r="H870" s="5"/>
    </row>
    <row r="871">
      <c r="A871" s="30"/>
      <c r="B871" s="30"/>
      <c r="C871" s="30"/>
      <c r="D871" s="104"/>
      <c r="E871" s="104"/>
      <c r="F871" s="30"/>
      <c r="G871" s="30"/>
      <c r="H871" s="5"/>
    </row>
    <row r="872">
      <c r="A872" s="30"/>
      <c r="B872" s="30"/>
      <c r="C872" s="30"/>
      <c r="D872" s="104"/>
      <c r="E872" s="104"/>
      <c r="F872" s="30"/>
      <c r="G872" s="30"/>
      <c r="H872" s="5"/>
    </row>
    <row r="873">
      <c r="A873" s="30"/>
      <c r="B873" s="30"/>
      <c r="C873" s="30"/>
      <c r="D873" s="104"/>
      <c r="E873" s="104"/>
      <c r="F873" s="30"/>
      <c r="G873" s="30"/>
      <c r="H873" s="5"/>
    </row>
    <row r="874">
      <c r="A874" s="30"/>
      <c r="B874" s="30"/>
      <c r="C874" s="30"/>
      <c r="D874" s="104"/>
      <c r="E874" s="104"/>
      <c r="F874" s="30"/>
      <c r="G874" s="30"/>
      <c r="H874" s="5"/>
    </row>
    <row r="875">
      <c r="A875" s="30"/>
      <c r="B875" s="30"/>
      <c r="C875" s="30"/>
      <c r="D875" s="104"/>
      <c r="E875" s="104"/>
      <c r="F875" s="30"/>
      <c r="G875" s="30"/>
      <c r="H875" s="5"/>
    </row>
    <row r="876">
      <c r="A876" s="30"/>
      <c r="B876" s="30"/>
      <c r="C876" s="30"/>
      <c r="D876" s="104"/>
      <c r="E876" s="104"/>
      <c r="F876" s="30"/>
      <c r="G876" s="30"/>
      <c r="H876" s="5"/>
    </row>
    <row r="877">
      <c r="A877" s="30"/>
      <c r="B877" s="30"/>
      <c r="C877" s="30"/>
      <c r="D877" s="104"/>
      <c r="E877" s="104"/>
      <c r="F877" s="30"/>
      <c r="G877" s="30"/>
      <c r="H877" s="5"/>
    </row>
    <row r="878">
      <c r="A878" s="30"/>
      <c r="B878" s="30"/>
      <c r="C878" s="30"/>
      <c r="D878" s="104"/>
      <c r="E878" s="104"/>
      <c r="F878" s="30"/>
      <c r="G878" s="30"/>
      <c r="H878" s="5"/>
    </row>
    <row r="879">
      <c r="A879" s="30"/>
      <c r="B879" s="30"/>
      <c r="C879" s="30"/>
      <c r="D879" s="104"/>
      <c r="E879" s="104"/>
      <c r="F879" s="30"/>
      <c r="G879" s="30"/>
      <c r="H879" s="5"/>
    </row>
    <row r="880">
      <c r="A880" s="30"/>
      <c r="B880" s="30"/>
      <c r="C880" s="30"/>
      <c r="D880" s="104"/>
      <c r="E880" s="104"/>
      <c r="F880" s="30"/>
      <c r="G880" s="30"/>
      <c r="H880" s="5"/>
    </row>
    <row r="881">
      <c r="A881" s="30"/>
      <c r="B881" s="30"/>
      <c r="C881" s="30"/>
      <c r="D881" s="104"/>
      <c r="E881" s="104"/>
      <c r="F881" s="30"/>
      <c r="G881" s="30"/>
      <c r="H881" s="5"/>
    </row>
    <row r="882">
      <c r="A882" s="30"/>
      <c r="B882" s="30"/>
      <c r="C882" s="30"/>
      <c r="D882" s="104"/>
      <c r="E882" s="104"/>
      <c r="F882" s="30"/>
      <c r="G882" s="30"/>
      <c r="H882" s="5"/>
    </row>
    <row r="883">
      <c r="A883" s="30"/>
      <c r="B883" s="30"/>
      <c r="C883" s="30"/>
      <c r="D883" s="104"/>
      <c r="E883" s="104"/>
      <c r="F883" s="30"/>
      <c r="G883" s="30"/>
      <c r="H883" s="5"/>
    </row>
    <row r="884">
      <c r="A884" s="30"/>
      <c r="B884" s="30"/>
      <c r="C884" s="30"/>
      <c r="D884" s="104"/>
      <c r="E884" s="104"/>
      <c r="F884" s="30"/>
      <c r="G884" s="30"/>
      <c r="H884" s="5"/>
    </row>
    <row r="885">
      <c r="A885" s="30"/>
      <c r="B885" s="30"/>
      <c r="C885" s="30"/>
      <c r="D885" s="104"/>
      <c r="E885" s="104"/>
      <c r="F885" s="30"/>
      <c r="G885" s="30"/>
      <c r="H885" s="5"/>
    </row>
    <row r="886">
      <c r="A886" s="30"/>
      <c r="B886" s="30"/>
      <c r="C886" s="30"/>
      <c r="D886" s="104"/>
      <c r="E886" s="104"/>
      <c r="F886" s="30"/>
      <c r="G886" s="30"/>
      <c r="H886" s="5"/>
    </row>
    <row r="887">
      <c r="A887" s="30"/>
      <c r="B887" s="30"/>
      <c r="C887" s="30"/>
      <c r="D887" s="104"/>
      <c r="E887" s="104"/>
      <c r="F887" s="30"/>
      <c r="G887" s="30"/>
      <c r="H887" s="5"/>
    </row>
    <row r="888">
      <c r="A888" s="30"/>
      <c r="B888" s="30"/>
      <c r="C888" s="30"/>
      <c r="D888" s="104"/>
      <c r="E888" s="104"/>
      <c r="F888" s="30"/>
      <c r="G888" s="30"/>
      <c r="H888" s="5"/>
    </row>
    <row r="889">
      <c r="A889" s="30"/>
      <c r="B889" s="30"/>
      <c r="C889" s="30"/>
      <c r="D889" s="104"/>
      <c r="E889" s="104"/>
      <c r="F889" s="30"/>
      <c r="G889" s="30"/>
      <c r="H889" s="5"/>
    </row>
    <row r="890">
      <c r="A890" s="30"/>
      <c r="B890" s="30"/>
      <c r="C890" s="30"/>
      <c r="D890" s="104"/>
      <c r="E890" s="104"/>
      <c r="F890" s="30"/>
      <c r="G890" s="30"/>
      <c r="H890" s="5"/>
    </row>
    <row r="891">
      <c r="A891" s="30"/>
      <c r="B891" s="30"/>
      <c r="C891" s="30"/>
      <c r="D891" s="104"/>
      <c r="E891" s="104"/>
      <c r="F891" s="30"/>
      <c r="G891" s="30"/>
      <c r="H891" s="5"/>
    </row>
    <row r="892">
      <c r="A892" s="30"/>
      <c r="B892" s="30"/>
      <c r="C892" s="30"/>
      <c r="D892" s="104"/>
      <c r="E892" s="104"/>
      <c r="F892" s="30"/>
      <c r="G892" s="30"/>
      <c r="H892" s="5"/>
    </row>
    <row r="893">
      <c r="A893" s="30"/>
      <c r="B893" s="30"/>
      <c r="C893" s="30"/>
      <c r="D893" s="104"/>
      <c r="E893" s="104"/>
      <c r="F893" s="30"/>
      <c r="G893" s="30"/>
      <c r="H893" s="5"/>
    </row>
    <row r="894">
      <c r="A894" s="30"/>
      <c r="B894" s="30"/>
      <c r="C894" s="30"/>
      <c r="D894" s="104"/>
      <c r="E894" s="104"/>
      <c r="F894" s="30"/>
      <c r="G894" s="30"/>
      <c r="H894" s="5"/>
    </row>
    <row r="895">
      <c r="A895" s="30"/>
      <c r="B895" s="30"/>
      <c r="C895" s="30"/>
      <c r="D895" s="104"/>
      <c r="E895" s="104"/>
      <c r="F895" s="30"/>
      <c r="G895" s="30"/>
      <c r="H895" s="5"/>
    </row>
    <row r="896">
      <c r="A896" s="30"/>
      <c r="B896" s="30"/>
      <c r="C896" s="30"/>
      <c r="D896" s="104"/>
      <c r="E896" s="104"/>
      <c r="F896" s="30"/>
      <c r="G896" s="30"/>
      <c r="H896" s="5"/>
    </row>
    <row r="897">
      <c r="A897" s="30"/>
      <c r="B897" s="30"/>
      <c r="C897" s="30"/>
      <c r="D897" s="104"/>
      <c r="E897" s="104"/>
      <c r="F897" s="30"/>
      <c r="G897" s="30"/>
      <c r="H897" s="5"/>
    </row>
    <row r="898">
      <c r="A898" s="30"/>
      <c r="B898" s="30"/>
      <c r="C898" s="30"/>
      <c r="D898" s="104"/>
      <c r="E898" s="104"/>
      <c r="F898" s="30"/>
      <c r="G898" s="30"/>
      <c r="H898" s="5"/>
    </row>
    <row r="899">
      <c r="A899" s="30"/>
      <c r="B899" s="30"/>
      <c r="C899" s="30"/>
      <c r="D899" s="104"/>
      <c r="E899" s="104"/>
      <c r="F899" s="30"/>
      <c r="G899" s="30"/>
      <c r="H899" s="5"/>
    </row>
    <row r="900">
      <c r="A900" s="30"/>
      <c r="B900" s="30"/>
      <c r="C900" s="30"/>
      <c r="D900" s="104"/>
      <c r="E900" s="104"/>
      <c r="F900" s="30"/>
      <c r="G900" s="30"/>
      <c r="H900" s="5"/>
    </row>
    <row r="901">
      <c r="A901" s="30"/>
      <c r="B901" s="30"/>
      <c r="C901" s="30"/>
      <c r="D901" s="104"/>
      <c r="E901" s="104"/>
      <c r="F901" s="30"/>
      <c r="G901" s="30"/>
      <c r="H901" s="5"/>
    </row>
    <row r="902">
      <c r="A902" s="30"/>
      <c r="B902" s="30"/>
      <c r="C902" s="30"/>
      <c r="D902" s="104"/>
      <c r="E902" s="104"/>
      <c r="F902" s="30"/>
      <c r="G902" s="30"/>
      <c r="H902" s="5"/>
    </row>
    <row r="903">
      <c r="A903" s="30"/>
      <c r="B903" s="30"/>
      <c r="C903" s="30"/>
      <c r="D903" s="104"/>
      <c r="E903" s="104"/>
      <c r="F903" s="30"/>
      <c r="G903" s="30"/>
      <c r="H903" s="5"/>
    </row>
    <row r="904">
      <c r="A904" s="30"/>
      <c r="B904" s="30"/>
      <c r="C904" s="30"/>
      <c r="D904" s="104"/>
      <c r="E904" s="104"/>
      <c r="F904" s="30"/>
      <c r="G904" s="30"/>
      <c r="H904" s="5"/>
    </row>
    <row r="905">
      <c r="A905" s="30"/>
      <c r="B905" s="30"/>
      <c r="C905" s="30"/>
      <c r="D905" s="104"/>
      <c r="E905" s="104"/>
      <c r="F905" s="30"/>
      <c r="G905" s="30"/>
      <c r="H905" s="5"/>
    </row>
    <row r="906">
      <c r="A906" s="30"/>
      <c r="B906" s="30"/>
      <c r="C906" s="30"/>
      <c r="D906" s="104"/>
      <c r="E906" s="104"/>
      <c r="F906" s="30"/>
      <c r="G906" s="30"/>
      <c r="H906" s="5"/>
    </row>
    <row r="907">
      <c r="A907" s="30"/>
      <c r="B907" s="30"/>
      <c r="C907" s="30"/>
      <c r="D907" s="104"/>
      <c r="E907" s="104"/>
      <c r="F907" s="30"/>
      <c r="G907" s="30"/>
      <c r="H907" s="5"/>
    </row>
    <row r="908">
      <c r="A908" s="30"/>
      <c r="B908" s="30"/>
      <c r="C908" s="30"/>
      <c r="D908" s="104"/>
      <c r="E908" s="104"/>
      <c r="F908" s="30"/>
      <c r="G908" s="30"/>
      <c r="H908" s="5"/>
    </row>
    <row r="909">
      <c r="A909" s="30"/>
      <c r="B909" s="30"/>
      <c r="C909" s="30"/>
      <c r="D909" s="104"/>
      <c r="E909" s="104"/>
      <c r="F909" s="30"/>
      <c r="G909" s="30"/>
      <c r="H909" s="5"/>
    </row>
    <row r="910">
      <c r="A910" s="30"/>
      <c r="B910" s="30"/>
      <c r="C910" s="30"/>
      <c r="D910" s="104"/>
      <c r="E910" s="104"/>
      <c r="F910" s="30"/>
      <c r="G910" s="30"/>
      <c r="H910" s="5"/>
    </row>
    <row r="911">
      <c r="A911" s="30"/>
      <c r="B911" s="30"/>
      <c r="C911" s="30"/>
      <c r="D911" s="104"/>
      <c r="E911" s="104"/>
      <c r="F911" s="30"/>
      <c r="G911" s="30"/>
      <c r="H911" s="5"/>
    </row>
    <row r="912">
      <c r="A912" s="30"/>
      <c r="B912" s="30"/>
      <c r="C912" s="30"/>
      <c r="D912" s="104"/>
      <c r="E912" s="104"/>
      <c r="F912" s="30"/>
      <c r="G912" s="30"/>
      <c r="H912" s="5"/>
    </row>
    <row r="913">
      <c r="A913" s="30"/>
      <c r="B913" s="30"/>
      <c r="C913" s="30"/>
      <c r="D913" s="104"/>
      <c r="E913" s="104"/>
      <c r="F913" s="30"/>
      <c r="G913" s="30"/>
      <c r="H913" s="5"/>
    </row>
    <row r="914">
      <c r="A914" s="30"/>
      <c r="B914" s="30"/>
      <c r="C914" s="30"/>
      <c r="D914" s="104"/>
      <c r="E914" s="104"/>
      <c r="F914" s="30"/>
      <c r="G914" s="30"/>
      <c r="H914" s="5"/>
    </row>
    <row r="915">
      <c r="A915" s="30"/>
      <c r="B915" s="30"/>
      <c r="C915" s="30"/>
      <c r="D915" s="104"/>
      <c r="E915" s="104"/>
      <c r="F915" s="30"/>
      <c r="G915" s="30"/>
      <c r="H915" s="5"/>
    </row>
    <row r="916">
      <c r="A916" s="30"/>
      <c r="B916" s="30"/>
      <c r="C916" s="30"/>
      <c r="D916" s="104"/>
      <c r="E916" s="104"/>
      <c r="F916" s="30"/>
      <c r="G916" s="30"/>
      <c r="H916" s="5"/>
    </row>
    <row r="917">
      <c r="A917" s="30"/>
      <c r="B917" s="30"/>
      <c r="C917" s="30"/>
      <c r="D917" s="104"/>
      <c r="E917" s="104"/>
      <c r="F917" s="30"/>
      <c r="G917" s="30"/>
      <c r="H917" s="5"/>
    </row>
    <row r="918">
      <c r="A918" s="30"/>
      <c r="B918" s="30"/>
      <c r="C918" s="30"/>
      <c r="D918" s="104"/>
      <c r="E918" s="104"/>
      <c r="F918" s="30"/>
      <c r="G918" s="30"/>
      <c r="H918" s="5"/>
    </row>
    <row r="919">
      <c r="A919" s="30"/>
      <c r="B919" s="30"/>
      <c r="C919" s="30"/>
      <c r="D919" s="104"/>
      <c r="E919" s="104"/>
      <c r="F919" s="30"/>
      <c r="G919" s="30"/>
      <c r="H919" s="5"/>
    </row>
    <row r="920">
      <c r="A920" s="30"/>
      <c r="B920" s="30"/>
      <c r="C920" s="30"/>
      <c r="D920" s="104"/>
      <c r="E920" s="104"/>
      <c r="F920" s="30"/>
      <c r="G920" s="30"/>
      <c r="H920" s="5"/>
    </row>
    <row r="921">
      <c r="A921" s="30"/>
      <c r="B921" s="30"/>
      <c r="C921" s="30"/>
      <c r="D921" s="104"/>
      <c r="E921" s="104"/>
      <c r="F921" s="30"/>
      <c r="G921" s="30"/>
      <c r="H921" s="5"/>
    </row>
    <row r="922">
      <c r="A922" s="30"/>
      <c r="B922" s="30"/>
      <c r="C922" s="30"/>
      <c r="D922" s="104"/>
      <c r="E922" s="104"/>
      <c r="F922" s="30"/>
      <c r="G922" s="30"/>
      <c r="H922" s="5"/>
    </row>
    <row r="923">
      <c r="A923" s="30"/>
      <c r="B923" s="30"/>
      <c r="C923" s="30"/>
      <c r="D923" s="104"/>
      <c r="E923" s="104"/>
      <c r="F923" s="30"/>
      <c r="G923" s="30"/>
      <c r="H923" s="5"/>
    </row>
    <row r="924">
      <c r="A924" s="30"/>
      <c r="B924" s="30"/>
      <c r="C924" s="30"/>
      <c r="D924" s="104"/>
      <c r="E924" s="104"/>
      <c r="F924" s="30"/>
      <c r="G924" s="30"/>
      <c r="H924" s="5"/>
    </row>
    <row r="925">
      <c r="A925" s="30"/>
      <c r="B925" s="30"/>
      <c r="C925" s="30"/>
      <c r="D925" s="104"/>
      <c r="E925" s="104"/>
      <c r="F925" s="30"/>
      <c r="G925" s="30"/>
      <c r="H925" s="5"/>
    </row>
    <row r="926">
      <c r="A926" s="30"/>
      <c r="B926" s="30"/>
      <c r="C926" s="30"/>
      <c r="D926" s="104"/>
      <c r="E926" s="104"/>
      <c r="F926" s="30"/>
      <c r="G926" s="30"/>
      <c r="H926" s="5"/>
    </row>
    <row r="927">
      <c r="A927" s="30"/>
      <c r="B927" s="30"/>
      <c r="C927" s="30"/>
      <c r="D927" s="104"/>
      <c r="E927" s="104"/>
      <c r="F927" s="30"/>
      <c r="G927" s="30"/>
      <c r="H927" s="5"/>
    </row>
    <row r="928">
      <c r="A928" s="30"/>
      <c r="B928" s="30"/>
      <c r="C928" s="30"/>
      <c r="D928" s="104"/>
      <c r="E928" s="104"/>
      <c r="F928" s="30"/>
      <c r="G928" s="30"/>
      <c r="H928" s="5"/>
    </row>
    <row r="929">
      <c r="A929" s="30"/>
      <c r="B929" s="30"/>
      <c r="C929" s="30"/>
      <c r="D929" s="104"/>
      <c r="E929" s="104"/>
      <c r="F929" s="30"/>
      <c r="G929" s="30"/>
      <c r="H929" s="5"/>
    </row>
    <row r="930">
      <c r="A930" s="30"/>
      <c r="B930" s="30"/>
      <c r="C930" s="30"/>
      <c r="D930" s="104"/>
      <c r="E930" s="104"/>
      <c r="F930" s="30"/>
      <c r="G930" s="30"/>
      <c r="H930" s="5"/>
    </row>
    <row r="931">
      <c r="A931" s="30"/>
      <c r="B931" s="30"/>
      <c r="C931" s="30"/>
      <c r="D931" s="104"/>
      <c r="E931" s="104"/>
      <c r="F931" s="30"/>
      <c r="G931" s="30"/>
      <c r="H931" s="5"/>
    </row>
    <row r="932">
      <c r="A932" s="30"/>
      <c r="B932" s="30"/>
      <c r="C932" s="30"/>
      <c r="D932" s="104"/>
      <c r="E932" s="104"/>
      <c r="F932" s="30"/>
      <c r="G932" s="30"/>
      <c r="H932" s="5"/>
    </row>
    <row r="933">
      <c r="A933" s="30"/>
      <c r="B933" s="30"/>
      <c r="C933" s="30"/>
      <c r="D933" s="104"/>
      <c r="E933" s="104"/>
      <c r="F933" s="30"/>
      <c r="G933" s="30"/>
      <c r="H933" s="5"/>
    </row>
    <row r="934">
      <c r="A934" s="30"/>
      <c r="B934" s="30"/>
      <c r="C934" s="30"/>
      <c r="D934" s="104"/>
      <c r="E934" s="104"/>
      <c r="F934" s="30"/>
      <c r="G934" s="30"/>
      <c r="H934" s="5"/>
    </row>
    <row r="935">
      <c r="A935" s="30"/>
      <c r="B935" s="30"/>
      <c r="C935" s="30"/>
      <c r="D935" s="104"/>
      <c r="E935" s="104"/>
      <c r="F935" s="30"/>
      <c r="G935" s="30"/>
      <c r="H935" s="5"/>
    </row>
    <row r="936">
      <c r="A936" s="30"/>
      <c r="B936" s="30"/>
      <c r="C936" s="30"/>
      <c r="D936" s="104"/>
      <c r="E936" s="104"/>
      <c r="F936" s="30"/>
      <c r="G936" s="30"/>
      <c r="H936" s="5"/>
    </row>
    <row r="937">
      <c r="A937" s="30"/>
      <c r="B937" s="30"/>
      <c r="C937" s="30"/>
      <c r="D937" s="104"/>
      <c r="E937" s="104"/>
      <c r="F937" s="30"/>
      <c r="G937" s="30"/>
      <c r="H937" s="5"/>
    </row>
    <row r="938">
      <c r="A938" s="30"/>
      <c r="B938" s="30"/>
      <c r="C938" s="30"/>
      <c r="D938" s="104"/>
      <c r="E938" s="104"/>
      <c r="F938" s="30"/>
      <c r="G938" s="30"/>
      <c r="H938" s="5"/>
    </row>
    <row r="939">
      <c r="A939" s="30"/>
      <c r="B939" s="30"/>
      <c r="C939" s="30"/>
      <c r="D939" s="104"/>
      <c r="E939" s="104"/>
      <c r="F939" s="30"/>
      <c r="G939" s="30"/>
      <c r="H939" s="5"/>
    </row>
    <row r="940">
      <c r="A940" s="30"/>
      <c r="B940" s="30"/>
      <c r="C940" s="30"/>
      <c r="D940" s="104"/>
      <c r="E940" s="104"/>
      <c r="F940" s="30"/>
      <c r="G940" s="30"/>
      <c r="H940" s="5"/>
    </row>
    <row r="941">
      <c r="A941" s="30"/>
      <c r="B941" s="30"/>
      <c r="C941" s="30"/>
      <c r="D941" s="104"/>
      <c r="E941" s="104"/>
      <c r="F941" s="30"/>
      <c r="G941" s="30"/>
      <c r="H941" s="5"/>
    </row>
    <row r="942">
      <c r="A942" s="30"/>
      <c r="B942" s="30"/>
      <c r="C942" s="30"/>
      <c r="D942" s="104"/>
      <c r="E942" s="104"/>
      <c r="F942" s="30"/>
      <c r="G942" s="30"/>
      <c r="H942" s="5"/>
    </row>
    <row r="943">
      <c r="A943" s="30"/>
      <c r="B943" s="30"/>
      <c r="C943" s="30"/>
      <c r="D943" s="104"/>
      <c r="E943" s="104"/>
      <c r="F943" s="30"/>
      <c r="G943" s="30"/>
      <c r="H943" s="5"/>
    </row>
    <row r="944">
      <c r="A944" s="30"/>
      <c r="B944" s="30"/>
      <c r="C944" s="30"/>
      <c r="D944" s="104"/>
      <c r="E944" s="104"/>
      <c r="F944" s="30"/>
      <c r="G944" s="30"/>
      <c r="H944" s="5"/>
    </row>
    <row r="945">
      <c r="A945" s="30"/>
      <c r="B945" s="30"/>
      <c r="C945" s="30"/>
      <c r="D945" s="104"/>
      <c r="E945" s="104"/>
      <c r="F945" s="30"/>
      <c r="G945" s="30"/>
      <c r="H945" s="5"/>
    </row>
    <row r="946">
      <c r="A946" s="30"/>
      <c r="B946" s="30"/>
      <c r="C946" s="30"/>
      <c r="D946" s="104"/>
      <c r="E946" s="104"/>
      <c r="F946" s="30"/>
      <c r="G946" s="30"/>
      <c r="H946" s="5"/>
    </row>
    <row r="947">
      <c r="A947" s="30"/>
      <c r="B947" s="30"/>
      <c r="C947" s="30"/>
      <c r="D947" s="104"/>
      <c r="E947" s="104"/>
      <c r="F947" s="30"/>
      <c r="G947" s="30"/>
      <c r="H947" s="5"/>
    </row>
    <row r="948">
      <c r="A948" s="30"/>
      <c r="B948" s="30"/>
      <c r="C948" s="30"/>
      <c r="D948" s="104"/>
      <c r="E948" s="104"/>
      <c r="F948" s="30"/>
      <c r="G948" s="30"/>
      <c r="H948" s="5"/>
    </row>
    <row r="949">
      <c r="A949" s="30"/>
      <c r="B949" s="30"/>
      <c r="C949" s="30"/>
      <c r="D949" s="104"/>
      <c r="E949" s="104"/>
      <c r="F949" s="30"/>
      <c r="G949" s="30"/>
      <c r="H949" s="5"/>
    </row>
    <row r="950">
      <c r="A950" s="30"/>
      <c r="B950" s="30"/>
      <c r="C950" s="30"/>
      <c r="D950" s="104"/>
      <c r="E950" s="104"/>
      <c r="F950" s="30"/>
      <c r="G950" s="30"/>
      <c r="H950" s="5"/>
    </row>
    <row r="951">
      <c r="A951" s="30"/>
      <c r="B951" s="30"/>
      <c r="C951" s="30"/>
      <c r="D951" s="104"/>
      <c r="E951" s="104"/>
      <c r="F951" s="30"/>
      <c r="G951" s="30"/>
      <c r="H951" s="5"/>
    </row>
    <row r="952">
      <c r="A952" s="30"/>
      <c r="B952" s="30"/>
      <c r="C952" s="30"/>
      <c r="D952" s="104"/>
      <c r="E952" s="104"/>
      <c r="F952" s="30"/>
      <c r="G952" s="30"/>
      <c r="H952" s="5"/>
    </row>
    <row r="953">
      <c r="A953" s="30"/>
      <c r="B953" s="30"/>
      <c r="C953" s="30"/>
      <c r="D953" s="104"/>
      <c r="E953" s="104"/>
      <c r="F953" s="30"/>
      <c r="G953" s="30"/>
      <c r="H953" s="5"/>
    </row>
    <row r="954">
      <c r="A954" s="30"/>
      <c r="B954" s="30"/>
      <c r="C954" s="30"/>
      <c r="D954" s="104"/>
      <c r="E954" s="104"/>
      <c r="F954" s="30"/>
      <c r="G954" s="30"/>
      <c r="H954" s="5"/>
    </row>
    <row r="955">
      <c r="A955" s="30"/>
      <c r="B955" s="30"/>
      <c r="C955" s="30"/>
      <c r="D955" s="104"/>
      <c r="E955" s="104"/>
      <c r="F955" s="30"/>
      <c r="G955" s="30"/>
      <c r="H955" s="5"/>
    </row>
    <row r="956">
      <c r="A956" s="30"/>
      <c r="B956" s="30"/>
      <c r="C956" s="30"/>
      <c r="D956" s="104"/>
      <c r="E956" s="104"/>
      <c r="F956" s="30"/>
      <c r="G956" s="30"/>
      <c r="H956" s="5"/>
    </row>
    <row r="957">
      <c r="A957" s="30"/>
      <c r="B957" s="30"/>
      <c r="C957" s="30"/>
      <c r="D957" s="104"/>
      <c r="E957" s="104"/>
      <c r="F957" s="30"/>
      <c r="G957" s="30"/>
      <c r="H957" s="5"/>
    </row>
    <row r="958">
      <c r="A958" s="30"/>
      <c r="B958" s="30"/>
      <c r="C958" s="30"/>
      <c r="D958" s="104"/>
      <c r="E958" s="104"/>
      <c r="F958" s="30"/>
      <c r="G958" s="30"/>
      <c r="H958" s="5"/>
    </row>
    <row r="959">
      <c r="A959" s="30"/>
      <c r="B959" s="30"/>
      <c r="C959" s="30"/>
      <c r="D959" s="104"/>
      <c r="E959" s="104"/>
      <c r="F959" s="30"/>
      <c r="G959" s="30"/>
      <c r="H959" s="5"/>
    </row>
    <row r="960">
      <c r="A960" s="30"/>
      <c r="B960" s="30"/>
      <c r="C960" s="30"/>
      <c r="D960" s="104"/>
      <c r="E960" s="104"/>
      <c r="F960" s="30"/>
      <c r="G960" s="30"/>
      <c r="H960" s="5"/>
    </row>
    <row r="961">
      <c r="A961" s="30"/>
      <c r="B961" s="30"/>
      <c r="C961" s="30"/>
      <c r="D961" s="104"/>
      <c r="E961" s="104"/>
      <c r="F961" s="30"/>
      <c r="G961" s="30"/>
      <c r="H961" s="5"/>
    </row>
    <row r="962">
      <c r="A962" s="30"/>
      <c r="B962" s="30"/>
      <c r="C962" s="30"/>
      <c r="D962" s="104"/>
      <c r="E962" s="104"/>
      <c r="F962" s="30"/>
      <c r="G962" s="30"/>
      <c r="H962" s="5"/>
    </row>
    <row r="963">
      <c r="A963" s="30"/>
      <c r="B963" s="30"/>
      <c r="C963" s="30"/>
      <c r="D963" s="104"/>
      <c r="E963" s="104"/>
      <c r="F963" s="30"/>
      <c r="G963" s="30"/>
      <c r="H963" s="5"/>
    </row>
    <row r="964">
      <c r="A964" s="30"/>
      <c r="B964" s="30"/>
      <c r="C964" s="30"/>
      <c r="D964" s="104"/>
      <c r="E964" s="104"/>
      <c r="F964" s="30"/>
      <c r="G964" s="30"/>
      <c r="H964" s="5"/>
    </row>
    <row r="965">
      <c r="A965" s="30"/>
      <c r="B965" s="30"/>
      <c r="C965" s="30"/>
      <c r="D965" s="104"/>
      <c r="E965" s="104"/>
      <c r="F965" s="30"/>
      <c r="G965" s="30"/>
      <c r="H965" s="5"/>
    </row>
    <row r="966">
      <c r="A966" s="30"/>
      <c r="B966" s="30"/>
      <c r="C966" s="30"/>
      <c r="D966" s="104"/>
      <c r="E966" s="104"/>
      <c r="F966" s="30"/>
      <c r="G966" s="30"/>
      <c r="H966" s="5"/>
    </row>
    <row r="967">
      <c r="A967" s="30"/>
      <c r="B967" s="30"/>
      <c r="C967" s="30"/>
      <c r="D967" s="104"/>
      <c r="E967" s="104"/>
      <c r="F967" s="30"/>
      <c r="G967" s="30"/>
      <c r="H967" s="5"/>
    </row>
    <row r="968">
      <c r="A968" s="30"/>
      <c r="B968" s="30"/>
      <c r="C968" s="30"/>
      <c r="D968" s="104"/>
      <c r="E968" s="104"/>
      <c r="F968" s="30"/>
      <c r="G968" s="30"/>
      <c r="H968" s="5"/>
    </row>
    <row r="969">
      <c r="A969" s="30"/>
      <c r="B969" s="30"/>
      <c r="C969" s="30"/>
      <c r="D969" s="104"/>
      <c r="E969" s="104"/>
      <c r="F969" s="30"/>
      <c r="G969" s="30"/>
      <c r="H969" s="5"/>
    </row>
    <row r="970">
      <c r="A970" s="30"/>
      <c r="B970" s="30"/>
      <c r="C970" s="30"/>
      <c r="D970" s="104"/>
      <c r="E970" s="104"/>
      <c r="F970" s="30"/>
      <c r="G970" s="30"/>
      <c r="H970" s="5"/>
    </row>
    <row r="971">
      <c r="A971" s="30"/>
      <c r="B971" s="30"/>
      <c r="C971" s="30"/>
      <c r="D971" s="104"/>
      <c r="E971" s="104"/>
      <c r="F971" s="30"/>
      <c r="G971" s="30"/>
      <c r="H971" s="5"/>
    </row>
    <row r="972">
      <c r="A972" s="30"/>
      <c r="B972" s="30"/>
      <c r="C972" s="30"/>
      <c r="D972" s="104"/>
      <c r="E972" s="104"/>
      <c r="F972" s="30"/>
      <c r="G972" s="30"/>
      <c r="H972" s="5"/>
    </row>
    <row r="973">
      <c r="A973" s="30"/>
      <c r="B973" s="30"/>
      <c r="C973" s="30"/>
      <c r="D973" s="104"/>
      <c r="E973" s="104"/>
      <c r="F973" s="30"/>
      <c r="G973" s="30"/>
      <c r="H973" s="5"/>
    </row>
    <row r="974">
      <c r="A974" s="30"/>
      <c r="B974" s="30"/>
      <c r="C974" s="30"/>
      <c r="D974" s="104"/>
      <c r="E974" s="104"/>
      <c r="F974" s="30"/>
      <c r="G974" s="30"/>
      <c r="H974" s="5"/>
    </row>
    <row r="975">
      <c r="A975" s="30"/>
      <c r="B975" s="30"/>
      <c r="C975" s="30"/>
      <c r="D975" s="104"/>
      <c r="E975" s="104"/>
      <c r="F975" s="30"/>
      <c r="G975" s="30"/>
      <c r="H975" s="5"/>
    </row>
    <row r="976">
      <c r="A976" s="30"/>
      <c r="B976" s="30"/>
      <c r="C976" s="30"/>
      <c r="D976" s="104"/>
      <c r="E976" s="104"/>
      <c r="F976" s="30"/>
      <c r="G976" s="30"/>
      <c r="H976" s="5"/>
    </row>
    <row r="977">
      <c r="A977" s="30"/>
      <c r="B977" s="30"/>
      <c r="C977" s="30"/>
      <c r="D977" s="104"/>
      <c r="E977" s="104"/>
      <c r="F977" s="30"/>
      <c r="G977" s="30"/>
      <c r="H977" s="5"/>
    </row>
    <row r="978">
      <c r="A978" s="30"/>
      <c r="B978" s="30"/>
      <c r="C978" s="30"/>
      <c r="D978" s="104"/>
      <c r="E978" s="104"/>
      <c r="F978" s="30"/>
      <c r="G978" s="30"/>
      <c r="H978" s="5"/>
    </row>
    <row r="979">
      <c r="A979" s="30"/>
      <c r="B979" s="30"/>
      <c r="C979" s="30"/>
      <c r="D979" s="104"/>
      <c r="E979" s="104"/>
      <c r="F979" s="30"/>
      <c r="G979" s="30"/>
      <c r="H979" s="5"/>
    </row>
    <row r="980">
      <c r="A980" s="30"/>
      <c r="B980" s="30"/>
      <c r="C980" s="30"/>
      <c r="D980" s="104"/>
      <c r="E980" s="104"/>
      <c r="F980" s="30"/>
      <c r="G980" s="30"/>
      <c r="H980" s="5"/>
    </row>
    <row r="981">
      <c r="A981" s="30"/>
      <c r="B981" s="30"/>
      <c r="C981" s="30"/>
      <c r="D981" s="104"/>
      <c r="E981" s="104"/>
      <c r="F981" s="30"/>
      <c r="G981" s="30"/>
      <c r="H981" s="5"/>
    </row>
    <row r="982">
      <c r="A982" s="30"/>
      <c r="B982" s="30"/>
      <c r="C982" s="30"/>
      <c r="D982" s="104"/>
      <c r="E982" s="104"/>
      <c r="F982" s="30"/>
      <c r="G982" s="30"/>
      <c r="H982" s="5"/>
    </row>
    <row r="983">
      <c r="A983" s="30"/>
      <c r="B983" s="30"/>
      <c r="C983" s="30"/>
      <c r="D983" s="104"/>
      <c r="E983" s="104"/>
      <c r="F983" s="30"/>
      <c r="G983" s="30"/>
      <c r="H983" s="5"/>
    </row>
    <row r="984">
      <c r="A984" s="30"/>
      <c r="B984" s="30"/>
      <c r="C984" s="30"/>
      <c r="D984" s="104"/>
      <c r="E984" s="104"/>
      <c r="F984" s="30"/>
      <c r="G984" s="30"/>
      <c r="H984" s="5"/>
    </row>
    <row r="985">
      <c r="A985" s="30"/>
      <c r="B985" s="30"/>
      <c r="C985" s="30"/>
      <c r="D985" s="104"/>
      <c r="E985" s="104"/>
      <c r="F985" s="30"/>
      <c r="G985" s="30"/>
      <c r="H985" s="5"/>
    </row>
    <row r="986">
      <c r="A986" s="30"/>
      <c r="B986" s="30"/>
      <c r="C986" s="30"/>
      <c r="D986" s="104"/>
      <c r="E986" s="104"/>
      <c r="F986" s="30"/>
      <c r="G986" s="30"/>
      <c r="H986" s="5"/>
    </row>
    <row r="987">
      <c r="A987" s="30"/>
      <c r="B987" s="30"/>
      <c r="C987" s="30"/>
      <c r="D987" s="104"/>
      <c r="E987" s="104"/>
      <c r="F987" s="30"/>
      <c r="G987" s="30"/>
      <c r="H987" s="5"/>
    </row>
    <row r="988">
      <c r="A988" s="30"/>
      <c r="B988" s="30"/>
      <c r="C988" s="30"/>
      <c r="D988" s="104"/>
      <c r="E988" s="104"/>
      <c r="F988" s="30"/>
      <c r="G988" s="30"/>
      <c r="H988" s="5"/>
    </row>
    <row r="989">
      <c r="A989" s="30"/>
      <c r="B989" s="30"/>
      <c r="C989" s="30"/>
      <c r="D989" s="104"/>
      <c r="E989" s="104"/>
      <c r="F989" s="30"/>
      <c r="G989" s="30"/>
      <c r="H989" s="5"/>
    </row>
    <row r="990">
      <c r="A990" s="30"/>
      <c r="B990" s="30"/>
      <c r="C990" s="30"/>
      <c r="D990" s="104"/>
      <c r="E990" s="104"/>
      <c r="F990" s="30"/>
      <c r="G990" s="30"/>
      <c r="H990" s="5"/>
    </row>
    <row r="991">
      <c r="A991" s="30"/>
      <c r="B991" s="30"/>
      <c r="C991" s="30"/>
      <c r="D991" s="104"/>
      <c r="E991" s="104"/>
      <c r="F991" s="30"/>
      <c r="G991" s="30"/>
      <c r="H991" s="5"/>
    </row>
    <row r="992">
      <c r="A992" s="30"/>
      <c r="B992" s="30"/>
      <c r="C992" s="30"/>
      <c r="D992" s="104"/>
      <c r="E992" s="104"/>
      <c r="F992" s="30"/>
      <c r="G992" s="30"/>
      <c r="H992" s="5"/>
    </row>
    <row r="993">
      <c r="A993" s="30"/>
      <c r="B993" s="30"/>
      <c r="C993" s="30"/>
      <c r="D993" s="104"/>
      <c r="E993" s="104"/>
      <c r="F993" s="30"/>
      <c r="G993" s="30"/>
      <c r="H993" s="5"/>
    </row>
    <row r="994">
      <c r="A994" s="30"/>
      <c r="B994" s="30"/>
      <c r="C994" s="30"/>
      <c r="D994" s="104"/>
      <c r="E994" s="104"/>
      <c r="F994" s="30"/>
      <c r="G994" s="30"/>
      <c r="H994" s="5"/>
    </row>
    <row r="995">
      <c r="A995" s="30"/>
      <c r="B995" s="30"/>
      <c r="C995" s="30"/>
      <c r="D995" s="104"/>
      <c r="E995" s="104"/>
      <c r="F995" s="30"/>
      <c r="G995" s="30"/>
      <c r="H995" s="5"/>
    </row>
    <row r="996">
      <c r="A996" s="30"/>
      <c r="B996" s="30"/>
      <c r="C996" s="30"/>
      <c r="D996" s="104"/>
      <c r="E996" s="104"/>
      <c r="F996" s="30"/>
      <c r="G996" s="30"/>
      <c r="H996" s="5"/>
    </row>
    <row r="997">
      <c r="A997" s="30"/>
      <c r="B997" s="30"/>
      <c r="C997" s="30"/>
      <c r="D997" s="104"/>
      <c r="E997" s="104"/>
      <c r="F997" s="30"/>
      <c r="G997" s="30"/>
      <c r="H997" s="5"/>
    </row>
    <row r="998">
      <c r="A998" s="30"/>
      <c r="B998" s="30"/>
      <c r="C998" s="30"/>
      <c r="D998" s="104"/>
      <c r="E998" s="104"/>
      <c r="F998" s="30"/>
      <c r="G998" s="30"/>
      <c r="H998" s="5"/>
    </row>
    <row r="999">
      <c r="A999" s="30"/>
      <c r="B999" s="30"/>
      <c r="C999" s="30"/>
      <c r="D999" s="104"/>
      <c r="E999" s="104"/>
      <c r="F999" s="30"/>
      <c r="G999" s="30"/>
      <c r="H999" s="5"/>
    </row>
    <row r="1000">
      <c r="A1000" s="30"/>
      <c r="B1000" s="30"/>
      <c r="C1000" s="30"/>
      <c r="D1000" s="104"/>
      <c r="E1000" s="104"/>
      <c r="F1000" s="30"/>
      <c r="G1000" s="30"/>
      <c r="H1000" s="5"/>
    </row>
  </sheetData>
  <dataValidations>
    <dataValidation type="list" allowBlank="1" showErrorMessage="1" sqref="N51:N52">
      <formula1>"KS,alfa/warung,Photocopy,wujud unggal,SPBU"</formula1>
    </dataValidation>
    <dataValidation type="list" allowBlank="1" showErrorMessage="1" sqref="N38:N50 F2:F167">
      <formula1>"KS,alfa/warung,Photocopy,wujud unggal,POM"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3" max="3" width="21.0"/>
  </cols>
  <sheetData>
    <row r="1" ht="28.5" customHeight="1">
      <c r="A1" s="105" t="s">
        <v>1</v>
      </c>
      <c r="B1" s="105" t="s">
        <v>2</v>
      </c>
      <c r="C1" s="105" t="s">
        <v>3</v>
      </c>
      <c r="D1" s="106" t="s">
        <v>4</v>
      </c>
      <c r="E1" s="107" t="s">
        <v>5</v>
      </c>
      <c r="F1" s="108" t="s">
        <v>6</v>
      </c>
      <c r="G1" s="105" t="s">
        <v>84</v>
      </c>
      <c r="I1" s="109"/>
      <c r="J1" s="105" t="s">
        <v>1</v>
      </c>
      <c r="K1" s="105" t="s">
        <v>2</v>
      </c>
      <c r="L1" s="105" t="s">
        <v>3</v>
      </c>
      <c r="M1" s="106" t="s">
        <v>4</v>
      </c>
      <c r="N1" s="107" t="s">
        <v>5</v>
      </c>
      <c r="O1" s="108" t="s">
        <v>6</v>
      </c>
      <c r="P1" s="105" t="s">
        <v>84</v>
      </c>
      <c r="Q1" s="110"/>
    </row>
    <row r="2">
      <c r="A2" s="28">
        <v>46181.0</v>
      </c>
      <c r="B2" s="18" t="s">
        <v>8</v>
      </c>
      <c r="C2" s="111" t="s">
        <v>137</v>
      </c>
      <c r="D2" s="111">
        <v>6.0</v>
      </c>
      <c r="E2" s="20">
        <v>25000.0</v>
      </c>
      <c r="F2" s="20">
        <f t="shared" ref="F2:F18" si="1">D2*E2</f>
        <v>150000</v>
      </c>
      <c r="G2" s="21" t="s">
        <v>10</v>
      </c>
      <c r="I2" s="109"/>
      <c r="J2" s="112">
        <v>46181.0</v>
      </c>
      <c r="K2" s="29" t="s">
        <v>8</v>
      </c>
      <c r="L2" s="73" t="s">
        <v>16</v>
      </c>
      <c r="M2" s="73">
        <v>0.2</v>
      </c>
      <c r="N2" s="32">
        <v>25000.0</v>
      </c>
      <c r="O2" s="32">
        <f t="shared" ref="O2:O5" si="2">M2*N2</f>
        <v>5000</v>
      </c>
      <c r="P2" s="33" t="s">
        <v>10</v>
      </c>
      <c r="Q2" s="110"/>
    </row>
    <row r="3">
      <c r="A3" s="113">
        <v>46181.0</v>
      </c>
      <c r="B3" s="12" t="s">
        <v>8</v>
      </c>
      <c r="C3" s="114" t="s">
        <v>138</v>
      </c>
      <c r="D3" s="114">
        <v>6.0</v>
      </c>
      <c r="E3" s="14">
        <v>25000.0</v>
      </c>
      <c r="F3" s="14">
        <f t="shared" si="1"/>
        <v>150000</v>
      </c>
      <c r="G3" s="15" t="s">
        <v>10</v>
      </c>
      <c r="I3" s="109"/>
      <c r="J3" s="112">
        <v>46182.0</v>
      </c>
      <c r="K3" s="29" t="s">
        <v>8</v>
      </c>
      <c r="L3" s="73" t="s">
        <v>16</v>
      </c>
      <c r="M3" s="73">
        <v>0.1</v>
      </c>
      <c r="N3" s="32">
        <v>25000.0</v>
      </c>
      <c r="O3" s="32">
        <f t="shared" si="2"/>
        <v>2500</v>
      </c>
      <c r="P3" s="33" t="s">
        <v>10</v>
      </c>
      <c r="Q3" s="110"/>
    </row>
    <row r="4">
      <c r="A4" s="28">
        <v>46181.0</v>
      </c>
      <c r="B4" s="18" t="s">
        <v>8</v>
      </c>
      <c r="C4" s="111" t="s">
        <v>139</v>
      </c>
      <c r="D4" s="111">
        <v>2.0</v>
      </c>
      <c r="E4" s="20">
        <v>25000.0</v>
      </c>
      <c r="F4" s="20">
        <f t="shared" si="1"/>
        <v>50000</v>
      </c>
      <c r="G4" s="21" t="s">
        <v>10</v>
      </c>
      <c r="I4" s="109"/>
      <c r="J4" s="112">
        <v>46183.0</v>
      </c>
      <c r="K4" s="29" t="s">
        <v>8</v>
      </c>
      <c r="L4" s="73" t="s">
        <v>16</v>
      </c>
      <c r="M4" s="73">
        <v>0.1</v>
      </c>
      <c r="N4" s="32">
        <v>25000.0</v>
      </c>
      <c r="O4" s="32">
        <f t="shared" si="2"/>
        <v>2500</v>
      </c>
      <c r="P4" s="33" t="s">
        <v>10</v>
      </c>
      <c r="Q4" s="110"/>
    </row>
    <row r="5">
      <c r="A5" s="113">
        <v>46182.0</v>
      </c>
      <c r="B5" s="12" t="s">
        <v>8</v>
      </c>
      <c r="C5" s="114" t="s">
        <v>140</v>
      </c>
      <c r="D5" s="114">
        <v>2.0</v>
      </c>
      <c r="E5" s="14">
        <v>25000.0</v>
      </c>
      <c r="F5" s="14">
        <f t="shared" si="1"/>
        <v>50000</v>
      </c>
      <c r="G5" s="15" t="s">
        <v>10</v>
      </c>
      <c r="I5" s="109"/>
      <c r="J5" s="112">
        <v>46184.0</v>
      </c>
      <c r="K5" s="29" t="s">
        <v>8</v>
      </c>
      <c r="L5" s="73" t="s">
        <v>16</v>
      </c>
      <c r="M5" s="73">
        <v>0.33</v>
      </c>
      <c r="N5" s="32">
        <v>25000.0</v>
      </c>
      <c r="O5" s="32">
        <f t="shared" si="2"/>
        <v>8250</v>
      </c>
      <c r="P5" s="33" t="s">
        <v>10</v>
      </c>
      <c r="Q5" s="110"/>
    </row>
    <row r="6">
      <c r="A6" s="28">
        <v>46182.0</v>
      </c>
      <c r="B6" s="18" t="s">
        <v>8</v>
      </c>
      <c r="C6" s="111" t="s">
        <v>141</v>
      </c>
      <c r="D6" s="111">
        <v>3.0</v>
      </c>
      <c r="E6" s="20">
        <v>25000.0</v>
      </c>
      <c r="F6" s="20">
        <f t="shared" si="1"/>
        <v>75000</v>
      </c>
      <c r="G6" s="21" t="s">
        <v>10</v>
      </c>
      <c r="I6" s="109"/>
      <c r="J6" s="115" t="s">
        <v>142</v>
      </c>
      <c r="L6" s="116"/>
      <c r="M6" s="117">
        <f>SUM(M2:M5)</f>
        <v>0.73</v>
      </c>
      <c r="N6" s="116"/>
      <c r="O6" s="118">
        <f>SUM(O2:O5)</f>
        <v>18250</v>
      </c>
      <c r="P6" s="119"/>
      <c r="Q6" s="110"/>
    </row>
    <row r="7">
      <c r="A7" s="113">
        <v>46182.0</v>
      </c>
      <c r="B7" s="12" t="s">
        <v>8</v>
      </c>
      <c r="C7" s="114" t="s">
        <v>143</v>
      </c>
      <c r="D7" s="114">
        <v>3.0</v>
      </c>
      <c r="E7" s="14">
        <v>25000.0</v>
      </c>
      <c r="F7" s="14">
        <f t="shared" si="1"/>
        <v>75000</v>
      </c>
      <c r="G7" s="15" t="s">
        <v>10</v>
      </c>
      <c r="I7" s="109"/>
      <c r="J7" s="120"/>
      <c r="K7" s="120"/>
      <c r="L7" s="121"/>
      <c r="M7" s="122">
        <f>SUM(D19,M6)</f>
        <v>61.73</v>
      </c>
      <c r="N7" s="121"/>
      <c r="O7" s="123">
        <f>SUM(F19,O6)</f>
        <v>1543250</v>
      </c>
      <c r="P7" s="120"/>
      <c r="Q7" s="110"/>
    </row>
    <row r="8">
      <c r="A8" s="28">
        <v>46182.0</v>
      </c>
      <c r="B8" s="18" t="s">
        <v>8</v>
      </c>
      <c r="C8" s="111" t="s">
        <v>144</v>
      </c>
      <c r="D8" s="111">
        <v>3.0</v>
      </c>
      <c r="E8" s="20">
        <v>25000.0</v>
      </c>
      <c r="F8" s="20">
        <f t="shared" si="1"/>
        <v>75000</v>
      </c>
      <c r="G8" s="21" t="s">
        <v>10</v>
      </c>
      <c r="I8" s="109"/>
      <c r="K8" s="110"/>
      <c r="L8" s="110"/>
      <c r="M8" s="110"/>
      <c r="N8" s="110"/>
      <c r="O8" s="110"/>
      <c r="P8" s="110"/>
      <c r="Q8" s="110"/>
    </row>
    <row r="9">
      <c r="A9" s="113">
        <v>46182.0</v>
      </c>
      <c r="B9" s="12" t="s">
        <v>8</v>
      </c>
      <c r="C9" s="114" t="s">
        <v>137</v>
      </c>
      <c r="D9" s="114">
        <v>3.0</v>
      </c>
      <c r="E9" s="14">
        <v>25000.0</v>
      </c>
      <c r="F9" s="14">
        <f t="shared" si="1"/>
        <v>75000</v>
      </c>
      <c r="G9" s="15" t="s">
        <v>10</v>
      </c>
      <c r="I9" s="109"/>
      <c r="K9" s="110"/>
      <c r="L9" s="110"/>
      <c r="M9" s="110"/>
      <c r="N9" s="110"/>
      <c r="O9" s="110"/>
      <c r="P9" s="110"/>
      <c r="Q9" s="110"/>
    </row>
    <row r="10">
      <c r="A10" s="28">
        <v>46183.0</v>
      </c>
      <c r="B10" s="18" t="s">
        <v>8</v>
      </c>
      <c r="C10" s="111" t="s">
        <v>137</v>
      </c>
      <c r="D10" s="111">
        <v>6.0</v>
      </c>
      <c r="E10" s="20">
        <v>25000.0</v>
      </c>
      <c r="F10" s="20">
        <f t="shared" si="1"/>
        <v>150000</v>
      </c>
      <c r="G10" s="21" t="s">
        <v>10</v>
      </c>
      <c r="I10" s="109"/>
      <c r="K10" s="110"/>
      <c r="L10" s="110"/>
      <c r="N10" s="110"/>
      <c r="O10" s="110"/>
      <c r="P10" s="110"/>
      <c r="Q10" s="110"/>
    </row>
    <row r="11">
      <c r="A11" s="113">
        <v>46183.0</v>
      </c>
      <c r="B11" s="12" t="s">
        <v>8</v>
      </c>
      <c r="C11" s="114" t="s">
        <v>138</v>
      </c>
      <c r="D11" s="114">
        <v>3.0</v>
      </c>
      <c r="E11" s="14">
        <v>25000.0</v>
      </c>
      <c r="F11" s="14">
        <f t="shared" si="1"/>
        <v>75000</v>
      </c>
      <c r="G11" s="15" t="s">
        <v>10</v>
      </c>
      <c r="I11" s="109"/>
      <c r="K11" s="110"/>
      <c r="L11" s="110"/>
      <c r="M11" s="110"/>
      <c r="N11" s="110"/>
      <c r="O11" s="110"/>
      <c r="P11" s="110"/>
      <c r="Q11" s="110"/>
    </row>
    <row r="12">
      <c r="A12" s="28">
        <v>46184.0</v>
      </c>
      <c r="B12" s="18" t="s">
        <v>8</v>
      </c>
      <c r="C12" s="111" t="s">
        <v>137</v>
      </c>
      <c r="D12" s="111">
        <v>6.0</v>
      </c>
      <c r="E12" s="20">
        <v>25000.0</v>
      </c>
      <c r="F12" s="20">
        <f t="shared" si="1"/>
        <v>150000</v>
      </c>
      <c r="G12" s="21" t="s">
        <v>10</v>
      </c>
      <c r="I12" s="109"/>
      <c r="K12" s="110"/>
      <c r="L12" s="110"/>
      <c r="M12" s="110"/>
      <c r="N12" s="110"/>
      <c r="O12" s="110"/>
      <c r="P12" s="110"/>
      <c r="Q12" s="110"/>
    </row>
    <row r="13">
      <c r="A13" s="113">
        <v>46184.0</v>
      </c>
      <c r="B13" s="12" t="s">
        <v>8</v>
      </c>
      <c r="C13" s="114" t="s">
        <v>145</v>
      </c>
      <c r="D13" s="114">
        <v>3.0</v>
      </c>
      <c r="E13" s="14">
        <v>25000.0</v>
      </c>
      <c r="F13" s="14">
        <f t="shared" si="1"/>
        <v>75000</v>
      </c>
      <c r="G13" s="15" t="s">
        <v>10</v>
      </c>
      <c r="I13" s="109"/>
      <c r="K13" s="110"/>
      <c r="L13" s="110"/>
      <c r="M13" s="110"/>
      <c r="N13" s="110"/>
      <c r="O13" s="110"/>
      <c r="P13" s="110"/>
      <c r="Q13" s="110"/>
    </row>
    <row r="14">
      <c r="A14" s="28">
        <v>46184.0</v>
      </c>
      <c r="B14" s="18" t="s">
        <v>8</v>
      </c>
      <c r="C14" s="111" t="s">
        <v>140</v>
      </c>
      <c r="D14" s="111">
        <v>4.0</v>
      </c>
      <c r="E14" s="20">
        <v>25000.0</v>
      </c>
      <c r="F14" s="20">
        <f t="shared" si="1"/>
        <v>100000</v>
      </c>
      <c r="G14" s="21" t="s">
        <v>10</v>
      </c>
      <c r="I14" s="109"/>
      <c r="K14" s="110"/>
      <c r="L14" s="110"/>
      <c r="M14" s="110"/>
      <c r="N14" s="110"/>
      <c r="O14" s="110"/>
      <c r="P14" s="110"/>
      <c r="Q14" s="110"/>
    </row>
    <row r="15">
      <c r="A15" s="113">
        <v>46185.0</v>
      </c>
      <c r="B15" s="12" t="s">
        <v>8</v>
      </c>
      <c r="C15" s="114" t="s">
        <v>146</v>
      </c>
      <c r="D15" s="114">
        <v>3.0</v>
      </c>
      <c r="E15" s="14">
        <v>25000.0</v>
      </c>
      <c r="F15" s="14">
        <f t="shared" si="1"/>
        <v>75000</v>
      </c>
      <c r="G15" s="15" t="s">
        <v>10</v>
      </c>
      <c r="I15" s="109"/>
      <c r="K15" s="110"/>
      <c r="L15" s="110"/>
      <c r="M15" s="110"/>
      <c r="N15" s="110"/>
      <c r="O15" s="110"/>
      <c r="P15" s="110"/>
      <c r="Q15" s="110"/>
    </row>
    <row r="16">
      <c r="A16" s="28">
        <v>46185.0</v>
      </c>
      <c r="B16" s="18" t="s">
        <v>8</v>
      </c>
      <c r="C16" s="111" t="s">
        <v>147</v>
      </c>
      <c r="D16" s="111">
        <v>3.0</v>
      </c>
      <c r="E16" s="20">
        <v>25000.0</v>
      </c>
      <c r="F16" s="20">
        <f t="shared" si="1"/>
        <v>75000</v>
      </c>
      <c r="G16" s="21" t="s">
        <v>10</v>
      </c>
      <c r="I16" s="109"/>
      <c r="K16" s="110"/>
      <c r="L16" s="110"/>
      <c r="M16" s="110"/>
      <c r="N16" s="110"/>
      <c r="O16" s="110"/>
      <c r="P16" s="110"/>
      <c r="Q16" s="110"/>
    </row>
    <row r="17">
      <c r="A17" s="113">
        <v>46185.0</v>
      </c>
      <c r="B17" s="12" t="s">
        <v>8</v>
      </c>
      <c r="C17" s="114" t="s">
        <v>137</v>
      </c>
      <c r="D17" s="114">
        <v>3.0</v>
      </c>
      <c r="E17" s="14">
        <v>25000.0</v>
      </c>
      <c r="F17" s="14">
        <f t="shared" si="1"/>
        <v>75000</v>
      </c>
      <c r="G17" s="15" t="s">
        <v>10</v>
      </c>
      <c r="I17" s="109"/>
      <c r="K17" s="110"/>
      <c r="L17" s="110"/>
      <c r="M17" s="110"/>
      <c r="N17" s="110"/>
      <c r="O17" s="110"/>
      <c r="P17" s="110"/>
      <c r="Q17" s="110"/>
    </row>
    <row r="18">
      <c r="A18" s="28">
        <v>46186.0</v>
      </c>
      <c r="B18" s="18" t="s">
        <v>8</v>
      </c>
      <c r="C18" s="111" t="s">
        <v>148</v>
      </c>
      <c r="D18" s="111">
        <v>2.0</v>
      </c>
      <c r="E18" s="20">
        <v>25000.0</v>
      </c>
      <c r="F18" s="20">
        <f t="shared" si="1"/>
        <v>50000</v>
      </c>
      <c r="G18" s="21" t="s">
        <v>10</v>
      </c>
      <c r="I18" s="109"/>
      <c r="K18" s="110"/>
      <c r="L18" s="110"/>
      <c r="M18" s="110"/>
      <c r="N18" s="110"/>
      <c r="O18" s="110"/>
      <c r="P18" s="110"/>
      <c r="Q18" s="110"/>
    </row>
    <row r="19">
      <c r="A19" s="115" t="s">
        <v>142</v>
      </c>
      <c r="C19" s="116"/>
      <c r="D19" s="117">
        <f>SUM(D2:D18)</f>
        <v>61</v>
      </c>
      <c r="E19" s="116"/>
      <c r="F19" s="118">
        <f>SUM(F2:F18)</f>
        <v>1525000</v>
      </c>
      <c r="G19" s="119"/>
      <c r="I19" s="109"/>
      <c r="K19" s="110"/>
      <c r="L19" s="110"/>
      <c r="M19" s="110"/>
      <c r="N19" s="110"/>
      <c r="O19" s="110"/>
      <c r="P19" s="110"/>
      <c r="Q19" s="110"/>
    </row>
    <row r="20">
      <c r="B20" s="110"/>
      <c r="C20" s="110"/>
      <c r="D20" s="110"/>
      <c r="E20" s="110"/>
      <c r="F20" s="110"/>
      <c r="I20" s="109"/>
      <c r="Q20" s="110"/>
    </row>
    <row r="21">
      <c r="A21" s="110"/>
      <c r="B21" s="110"/>
      <c r="C21" s="110"/>
      <c r="D21" s="110"/>
      <c r="E21" s="110"/>
      <c r="F21" s="110"/>
      <c r="G21" s="110"/>
      <c r="I21" s="109"/>
      <c r="Q21" s="110"/>
    </row>
    <row r="22">
      <c r="B22" s="110"/>
      <c r="C22" s="110"/>
      <c r="D22" s="110"/>
      <c r="E22" s="110"/>
      <c r="F22" s="110"/>
      <c r="I22" s="109"/>
      <c r="Q22" s="110"/>
    </row>
    <row r="23" ht="21.0" customHeight="1">
      <c r="A23" s="105" t="s">
        <v>1</v>
      </c>
      <c r="B23" s="105" t="s">
        <v>2</v>
      </c>
      <c r="C23" s="105" t="s">
        <v>3</v>
      </c>
      <c r="D23" s="106" t="s">
        <v>4</v>
      </c>
      <c r="E23" s="107" t="s">
        <v>5</v>
      </c>
      <c r="F23" s="108" t="s">
        <v>6</v>
      </c>
      <c r="G23" s="105" t="s">
        <v>84</v>
      </c>
      <c r="I23" s="109"/>
      <c r="J23" s="110"/>
      <c r="K23" s="110"/>
      <c r="L23" s="110"/>
      <c r="M23" s="110"/>
      <c r="N23" s="110"/>
      <c r="O23" s="110"/>
      <c r="P23" s="110"/>
      <c r="Q23" s="110"/>
    </row>
    <row r="24">
      <c r="A24" s="28">
        <v>46188.0</v>
      </c>
      <c r="B24" s="18" t="s">
        <v>8</v>
      </c>
      <c r="C24" s="111" t="s">
        <v>137</v>
      </c>
      <c r="D24" s="111">
        <v>5.0</v>
      </c>
      <c r="E24" s="20">
        <v>25000.0</v>
      </c>
      <c r="F24" s="20">
        <f t="shared" ref="F24:F40" si="3">D24*E24</f>
        <v>125000</v>
      </c>
      <c r="G24" s="21" t="s">
        <v>10</v>
      </c>
      <c r="I24" s="109"/>
      <c r="J24" s="28"/>
      <c r="K24" s="18"/>
      <c r="L24" s="111"/>
      <c r="M24" s="111"/>
      <c r="N24" s="20"/>
      <c r="O24" s="20"/>
      <c r="P24" s="21"/>
      <c r="R24" s="109"/>
      <c r="T24" s="110"/>
      <c r="U24" s="110"/>
      <c r="V24" s="110"/>
      <c r="W24" s="110"/>
      <c r="X24" s="110"/>
      <c r="Y24" s="110"/>
      <c r="Z24" s="110"/>
    </row>
    <row r="25">
      <c r="A25" s="113">
        <v>46188.0</v>
      </c>
      <c r="B25" s="12" t="s">
        <v>8</v>
      </c>
      <c r="C25" s="114" t="s">
        <v>145</v>
      </c>
      <c r="D25" s="114">
        <v>3.0</v>
      </c>
      <c r="E25" s="14">
        <v>25000.0</v>
      </c>
      <c r="F25" s="14">
        <f t="shared" si="3"/>
        <v>75000</v>
      </c>
      <c r="G25" s="15" t="s">
        <v>10</v>
      </c>
      <c r="I25" s="109"/>
      <c r="J25" s="28"/>
      <c r="L25" s="111"/>
      <c r="M25" s="111"/>
      <c r="N25" s="20"/>
      <c r="O25" s="20"/>
      <c r="P25" s="21"/>
      <c r="R25" s="109"/>
      <c r="T25" s="110"/>
      <c r="U25" s="110"/>
      <c r="V25" s="110"/>
      <c r="W25" s="110"/>
      <c r="X25" s="110"/>
      <c r="Y25" s="110"/>
      <c r="Z25" s="110"/>
    </row>
    <row r="26">
      <c r="A26" s="28">
        <v>46188.0</v>
      </c>
      <c r="B26" s="18" t="s">
        <v>8</v>
      </c>
      <c r="C26" s="111" t="s">
        <v>29</v>
      </c>
      <c r="D26" s="111">
        <v>1.0</v>
      </c>
      <c r="E26" s="20">
        <v>25000.0</v>
      </c>
      <c r="F26" s="20">
        <f t="shared" si="3"/>
        <v>25000</v>
      </c>
      <c r="G26" s="21" t="s">
        <v>10</v>
      </c>
      <c r="I26" s="109"/>
      <c r="J26" s="28"/>
      <c r="L26" s="111"/>
      <c r="M26" s="111"/>
      <c r="N26" s="20"/>
      <c r="O26" s="20"/>
      <c r="P26" s="21"/>
      <c r="R26" s="109"/>
      <c r="T26" s="110"/>
      <c r="U26" s="110"/>
      <c r="V26" s="110"/>
      <c r="W26" s="110"/>
      <c r="X26" s="110"/>
      <c r="Y26" s="110"/>
      <c r="Z26" s="110"/>
    </row>
    <row r="27">
      <c r="A27" s="113">
        <v>46188.0</v>
      </c>
      <c r="B27" s="12" t="s">
        <v>8</v>
      </c>
      <c r="C27" s="114" t="s">
        <v>55</v>
      </c>
      <c r="D27" s="114">
        <v>1.0</v>
      </c>
      <c r="E27" s="14">
        <v>25000.0</v>
      </c>
      <c r="F27" s="14">
        <f t="shared" si="3"/>
        <v>25000</v>
      </c>
      <c r="G27" s="15" t="s">
        <v>10</v>
      </c>
      <c r="I27" s="109"/>
      <c r="J27" s="124"/>
      <c r="K27" s="124"/>
      <c r="L27" s="125"/>
      <c r="M27" s="126"/>
      <c r="N27" s="125"/>
      <c r="O27" s="126"/>
      <c r="P27" s="127"/>
      <c r="Q27" s="110"/>
    </row>
    <row r="28">
      <c r="A28" s="28">
        <v>46189.0</v>
      </c>
      <c r="B28" s="18" t="s">
        <v>8</v>
      </c>
      <c r="C28" s="111" t="s">
        <v>137</v>
      </c>
      <c r="D28" s="111">
        <v>3.0</v>
      </c>
      <c r="E28" s="20">
        <v>25000.0</v>
      </c>
      <c r="F28" s="20">
        <f t="shared" si="3"/>
        <v>75000</v>
      </c>
      <c r="G28" s="21" t="s">
        <v>10</v>
      </c>
      <c r="I28" s="109"/>
      <c r="K28" s="110"/>
      <c r="L28" s="110"/>
      <c r="M28" s="110"/>
      <c r="N28" s="110"/>
      <c r="O28" s="110"/>
      <c r="P28" s="110"/>
      <c r="Q28" s="110"/>
    </row>
    <row r="29">
      <c r="A29" s="113">
        <v>46189.0</v>
      </c>
      <c r="B29" s="12" t="s">
        <v>8</v>
      </c>
      <c r="C29" s="114" t="s">
        <v>138</v>
      </c>
      <c r="D29" s="114">
        <v>3.0</v>
      </c>
      <c r="E29" s="14">
        <v>25000.0</v>
      </c>
      <c r="F29" s="14">
        <f t="shared" si="3"/>
        <v>75000</v>
      </c>
      <c r="G29" s="15" t="s">
        <v>10</v>
      </c>
      <c r="I29" s="109"/>
      <c r="K29" s="110"/>
      <c r="L29" s="110"/>
      <c r="M29" s="110"/>
      <c r="N29" s="110"/>
      <c r="O29" s="110"/>
      <c r="P29" s="110"/>
      <c r="Q29" s="110"/>
    </row>
    <row r="30">
      <c r="A30" s="28">
        <v>46189.0</v>
      </c>
      <c r="B30" s="18" t="s">
        <v>8</v>
      </c>
      <c r="C30" s="111" t="s">
        <v>140</v>
      </c>
      <c r="D30" s="111">
        <v>2.0</v>
      </c>
      <c r="E30" s="20">
        <v>25000.0</v>
      </c>
      <c r="F30" s="20">
        <f t="shared" si="3"/>
        <v>50000</v>
      </c>
      <c r="G30" s="21" t="s">
        <v>10</v>
      </c>
      <c r="I30" s="109"/>
      <c r="K30" s="110"/>
      <c r="L30" s="110"/>
      <c r="M30" s="110"/>
      <c r="N30" s="110"/>
      <c r="O30" s="110"/>
      <c r="P30" s="110"/>
      <c r="Q30" s="110"/>
    </row>
    <row r="31">
      <c r="A31" s="113">
        <v>46189.0</v>
      </c>
      <c r="B31" s="12" t="s">
        <v>8</v>
      </c>
      <c r="C31" s="114" t="s">
        <v>149</v>
      </c>
      <c r="D31" s="114">
        <v>1.0</v>
      </c>
      <c r="E31" s="14">
        <v>25000.0</v>
      </c>
      <c r="F31" s="14">
        <f t="shared" si="3"/>
        <v>25000</v>
      </c>
      <c r="G31" s="15" t="s">
        <v>10</v>
      </c>
      <c r="I31" s="109"/>
      <c r="Q31" s="110"/>
    </row>
    <row r="32">
      <c r="A32" s="28">
        <v>46190.0</v>
      </c>
      <c r="B32" s="18" t="s">
        <v>8</v>
      </c>
      <c r="C32" s="111" t="s">
        <v>67</v>
      </c>
      <c r="D32" s="111">
        <v>1.0</v>
      </c>
      <c r="E32" s="20">
        <v>25000.0</v>
      </c>
      <c r="F32" s="20">
        <f t="shared" si="3"/>
        <v>25000</v>
      </c>
      <c r="G32" s="21" t="s">
        <v>10</v>
      </c>
      <c r="I32" s="109"/>
      <c r="K32" s="110"/>
      <c r="L32" s="110"/>
      <c r="M32" s="110"/>
      <c r="N32" s="110"/>
      <c r="O32" s="110"/>
      <c r="P32" s="110"/>
      <c r="Q32" s="110"/>
    </row>
    <row r="33">
      <c r="A33" s="113">
        <v>46190.0</v>
      </c>
      <c r="B33" s="12" t="s">
        <v>8</v>
      </c>
      <c r="C33" s="114" t="s">
        <v>145</v>
      </c>
      <c r="D33" s="114">
        <v>3.0</v>
      </c>
      <c r="E33" s="14">
        <v>25000.0</v>
      </c>
      <c r="F33" s="14">
        <f t="shared" si="3"/>
        <v>75000</v>
      </c>
      <c r="G33" s="15" t="s">
        <v>10</v>
      </c>
      <c r="I33" s="109"/>
      <c r="K33" s="110"/>
      <c r="L33" s="110"/>
      <c r="M33" s="110"/>
      <c r="N33" s="110"/>
      <c r="O33" s="110"/>
      <c r="P33" s="110"/>
      <c r="Q33" s="110"/>
    </row>
    <row r="34">
      <c r="A34" s="28">
        <v>46190.0</v>
      </c>
      <c r="B34" s="18" t="s">
        <v>8</v>
      </c>
      <c r="C34" s="111" t="s">
        <v>150</v>
      </c>
      <c r="D34" s="111">
        <v>1.0</v>
      </c>
      <c r="E34" s="20">
        <v>25000.0</v>
      </c>
      <c r="F34" s="20">
        <f t="shared" si="3"/>
        <v>25000</v>
      </c>
      <c r="G34" s="21" t="s">
        <v>10</v>
      </c>
      <c r="I34" s="109"/>
      <c r="J34" s="128"/>
      <c r="K34" s="110"/>
      <c r="L34" s="110"/>
      <c r="M34" s="110"/>
      <c r="N34" s="110"/>
      <c r="O34" s="110"/>
      <c r="P34" s="110"/>
      <c r="Q34" s="110"/>
    </row>
    <row r="35">
      <c r="A35" s="113">
        <v>46191.0</v>
      </c>
      <c r="B35" s="12" t="s">
        <v>8</v>
      </c>
      <c r="C35" s="114" t="s">
        <v>151</v>
      </c>
      <c r="D35" s="114">
        <v>1.0</v>
      </c>
      <c r="E35" s="14">
        <v>25000.0</v>
      </c>
      <c r="F35" s="14">
        <f t="shared" si="3"/>
        <v>25000</v>
      </c>
      <c r="G35" s="15" t="s">
        <v>10</v>
      </c>
      <c r="I35" s="109"/>
      <c r="K35" s="110"/>
      <c r="L35" s="110"/>
      <c r="M35" s="110"/>
      <c r="N35" s="110"/>
      <c r="O35" s="110"/>
      <c r="P35" s="110"/>
      <c r="Q35" s="110"/>
    </row>
    <row r="36">
      <c r="A36" s="28">
        <v>46191.0</v>
      </c>
      <c r="B36" s="18" t="s">
        <v>8</v>
      </c>
      <c r="C36" s="111" t="s">
        <v>137</v>
      </c>
      <c r="D36" s="111">
        <v>3.0</v>
      </c>
      <c r="E36" s="20">
        <v>25000.0</v>
      </c>
      <c r="F36" s="20">
        <f t="shared" si="3"/>
        <v>75000</v>
      </c>
      <c r="G36" s="21" t="s">
        <v>10</v>
      </c>
      <c r="I36" s="109"/>
      <c r="K36" s="110"/>
      <c r="L36" s="110"/>
      <c r="M36" s="110"/>
      <c r="N36" s="110"/>
      <c r="O36" s="110"/>
      <c r="P36" s="110"/>
      <c r="Q36" s="110"/>
    </row>
    <row r="37">
      <c r="A37" s="113">
        <v>46192.0</v>
      </c>
      <c r="B37" s="12" t="s">
        <v>8</v>
      </c>
      <c r="C37" s="114" t="s">
        <v>150</v>
      </c>
      <c r="D37" s="114">
        <v>2.0</v>
      </c>
      <c r="E37" s="14">
        <v>25000.0</v>
      </c>
      <c r="F37" s="14">
        <f t="shared" si="3"/>
        <v>50000</v>
      </c>
      <c r="G37" s="15" t="s">
        <v>10</v>
      </c>
      <c r="I37" s="109"/>
      <c r="K37" s="110"/>
      <c r="L37" s="110"/>
      <c r="M37" s="110"/>
      <c r="N37" s="110"/>
      <c r="O37" s="110"/>
      <c r="P37" s="110"/>
      <c r="Q37" s="110"/>
    </row>
    <row r="38">
      <c r="A38" s="28">
        <v>46192.0</v>
      </c>
      <c r="B38" s="18" t="s">
        <v>8</v>
      </c>
      <c r="C38" s="111" t="s">
        <v>138</v>
      </c>
      <c r="D38" s="111">
        <v>3.0</v>
      </c>
      <c r="E38" s="20">
        <v>25000.0</v>
      </c>
      <c r="F38" s="20">
        <f t="shared" si="3"/>
        <v>75000</v>
      </c>
      <c r="G38" s="21" t="s">
        <v>10</v>
      </c>
      <c r="I38" s="109"/>
      <c r="K38" s="110"/>
      <c r="L38" s="110"/>
      <c r="M38" s="110"/>
      <c r="N38" s="110"/>
      <c r="O38" s="110"/>
      <c r="P38" s="110"/>
      <c r="Q38" s="110"/>
    </row>
    <row r="39">
      <c r="A39" s="113">
        <v>46192.0</v>
      </c>
      <c r="B39" s="12" t="s">
        <v>8</v>
      </c>
      <c r="C39" s="114" t="s">
        <v>143</v>
      </c>
      <c r="D39" s="114">
        <v>2.0</v>
      </c>
      <c r="E39" s="14">
        <v>25000.0</v>
      </c>
      <c r="F39" s="14">
        <f t="shared" si="3"/>
        <v>50000</v>
      </c>
      <c r="G39" s="15" t="s">
        <v>10</v>
      </c>
      <c r="I39" s="109"/>
      <c r="K39" s="110"/>
      <c r="L39" s="110"/>
      <c r="M39" s="110"/>
      <c r="N39" s="110"/>
      <c r="O39" s="110"/>
      <c r="P39" s="110"/>
      <c r="Q39" s="110"/>
    </row>
    <row r="40">
      <c r="A40" s="28">
        <v>46193.0</v>
      </c>
      <c r="B40" s="18" t="s">
        <v>8</v>
      </c>
      <c r="C40" s="111" t="s">
        <v>151</v>
      </c>
      <c r="D40" s="111">
        <v>2.0</v>
      </c>
      <c r="E40" s="20">
        <v>25000.0</v>
      </c>
      <c r="F40" s="20">
        <f t="shared" si="3"/>
        <v>50000</v>
      </c>
      <c r="G40" s="21" t="s">
        <v>10</v>
      </c>
      <c r="I40" s="109"/>
      <c r="K40" s="110"/>
      <c r="L40" s="110"/>
      <c r="M40" s="110"/>
      <c r="N40" s="110"/>
      <c r="O40" s="110"/>
      <c r="P40" s="110"/>
      <c r="Q40" s="110"/>
    </row>
    <row r="41">
      <c r="A41" s="115" t="s">
        <v>142</v>
      </c>
      <c r="C41" s="116"/>
      <c r="D41" s="117">
        <f>SUM(D24:D40)</f>
        <v>37</v>
      </c>
      <c r="E41" s="116"/>
      <c r="F41" s="118">
        <f>SUM(F24:F40)</f>
        <v>925000</v>
      </c>
      <c r="G41" s="119"/>
      <c r="I41" s="109"/>
      <c r="K41" s="110"/>
      <c r="L41" s="110"/>
      <c r="M41" s="110"/>
      <c r="N41" s="110"/>
      <c r="O41" s="110"/>
      <c r="P41" s="110"/>
      <c r="Q41" s="110"/>
    </row>
    <row r="42">
      <c r="A42" s="28"/>
      <c r="C42" s="111"/>
      <c r="D42" s="111"/>
      <c r="E42" s="20"/>
      <c r="F42" s="20"/>
      <c r="G42" s="21"/>
      <c r="I42" s="109"/>
      <c r="K42" s="110"/>
      <c r="L42" s="110"/>
      <c r="M42" s="110"/>
      <c r="N42" s="110"/>
      <c r="O42" s="110"/>
      <c r="P42" s="110"/>
      <c r="Q42" s="110"/>
    </row>
    <row r="43">
      <c r="A43" s="105" t="s">
        <v>1</v>
      </c>
      <c r="B43" s="105" t="s">
        <v>2</v>
      </c>
      <c r="C43" s="105" t="s">
        <v>3</v>
      </c>
      <c r="D43" s="106" t="s">
        <v>4</v>
      </c>
      <c r="E43" s="107" t="s">
        <v>5</v>
      </c>
      <c r="F43" s="108" t="s">
        <v>6</v>
      </c>
      <c r="G43" s="105" t="s">
        <v>84</v>
      </c>
      <c r="I43" s="109"/>
      <c r="K43" s="110"/>
      <c r="L43" s="110"/>
      <c r="M43" s="110"/>
      <c r="N43" s="110"/>
      <c r="O43" s="110"/>
      <c r="P43" s="110"/>
      <c r="Q43" s="110"/>
    </row>
    <row r="44">
      <c r="A44" s="28">
        <v>46188.0</v>
      </c>
      <c r="B44" s="18" t="s">
        <v>8</v>
      </c>
      <c r="C44" s="111" t="s">
        <v>16</v>
      </c>
      <c r="D44" s="111">
        <v>0.18</v>
      </c>
      <c r="E44" s="20">
        <v>25000.0</v>
      </c>
      <c r="F44" s="20">
        <f t="shared" ref="F44:F46" si="4">D44*E44</f>
        <v>4500</v>
      </c>
      <c r="G44" s="21" t="s">
        <v>10</v>
      </c>
      <c r="I44" s="109"/>
      <c r="K44" s="110"/>
      <c r="L44" s="110"/>
      <c r="M44" s="110"/>
      <c r="N44" s="110"/>
      <c r="O44" s="110"/>
      <c r="P44" s="110"/>
      <c r="Q44" s="110"/>
    </row>
    <row r="45">
      <c r="A45" s="113">
        <v>46189.0</v>
      </c>
      <c r="B45" s="12" t="s">
        <v>8</v>
      </c>
      <c r="C45" s="114" t="s">
        <v>16</v>
      </c>
      <c r="D45" s="114">
        <v>0.11</v>
      </c>
      <c r="E45" s="14">
        <v>25000.0</v>
      </c>
      <c r="F45" s="14">
        <f t="shared" si="4"/>
        <v>2750</v>
      </c>
      <c r="G45" s="15" t="s">
        <v>10</v>
      </c>
      <c r="I45" s="109"/>
      <c r="K45" s="110"/>
      <c r="L45" s="110"/>
      <c r="M45" s="110"/>
      <c r="N45" s="110"/>
      <c r="O45" s="110"/>
      <c r="P45" s="110"/>
      <c r="Q45" s="110"/>
    </row>
    <row r="46">
      <c r="A46" s="28">
        <v>46191.0</v>
      </c>
      <c r="B46" s="18" t="s">
        <v>8</v>
      </c>
      <c r="C46" s="111" t="s">
        <v>16</v>
      </c>
      <c r="D46" s="111">
        <v>0.05</v>
      </c>
      <c r="E46" s="20">
        <v>25000.0</v>
      </c>
      <c r="F46" s="20">
        <f t="shared" si="4"/>
        <v>1250</v>
      </c>
      <c r="G46" s="21" t="s">
        <v>10</v>
      </c>
      <c r="I46" s="109"/>
      <c r="K46" s="110"/>
      <c r="L46" s="110"/>
      <c r="M46" s="110"/>
      <c r="N46" s="110"/>
      <c r="O46" s="110"/>
      <c r="P46" s="110"/>
      <c r="Q46" s="110"/>
    </row>
    <row r="47">
      <c r="A47" s="115" t="s">
        <v>142</v>
      </c>
      <c r="C47" s="116"/>
      <c r="D47" s="117">
        <f>SUM(D43:D46)</f>
        <v>0.34</v>
      </c>
      <c r="E47" s="116"/>
      <c r="F47" s="119">
        <f>SUM(F43:F46)</f>
        <v>8500</v>
      </c>
      <c r="G47" s="119"/>
      <c r="I47" s="109"/>
      <c r="K47" s="110"/>
      <c r="L47" s="110"/>
      <c r="M47" s="110"/>
      <c r="N47" s="110"/>
      <c r="O47" s="110"/>
      <c r="P47" s="110"/>
      <c r="Q47" s="110"/>
    </row>
    <row r="48" ht="14.25" customHeight="1">
      <c r="A48" s="129"/>
      <c r="C48" s="130"/>
      <c r="D48" s="131">
        <f>SUM(D41,D47)</f>
        <v>37.34</v>
      </c>
      <c r="E48" s="130"/>
      <c r="F48" s="123">
        <f>SUM(F41,F47)</f>
        <v>933500</v>
      </c>
      <c r="G48" s="132"/>
      <c r="H48" s="133"/>
      <c r="I48" s="126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28"/>
      <c r="B49" s="18"/>
      <c r="C49" s="111"/>
      <c r="D49" s="111"/>
      <c r="E49" s="20"/>
      <c r="F49" s="20"/>
      <c r="G49" s="21"/>
      <c r="H49" s="16"/>
      <c r="I49" s="18"/>
      <c r="J49" s="111"/>
      <c r="K49" s="111"/>
      <c r="L49" s="111"/>
      <c r="M49" s="20"/>
      <c r="N49" s="20"/>
      <c r="O49" s="21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</row>
    <row r="50">
      <c r="A50" s="113"/>
      <c r="B50" s="12"/>
      <c r="C50" s="114"/>
      <c r="D50" s="114"/>
      <c r="E50" s="14"/>
      <c r="F50" s="14"/>
      <c r="G50" s="15"/>
      <c r="H50" s="16"/>
      <c r="I50" s="18"/>
      <c r="J50" s="111"/>
      <c r="K50" s="111"/>
      <c r="L50" s="111"/>
      <c r="M50" s="20"/>
      <c r="N50" s="20"/>
      <c r="O50" s="21"/>
      <c r="P50" s="16"/>
      <c r="Q50" s="16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34"/>
      <c r="DZ50" s="134"/>
      <c r="EA50" s="134"/>
      <c r="EB50" s="134"/>
      <c r="EC50" s="134"/>
      <c r="ED50" s="134"/>
      <c r="EE50" s="134"/>
      <c r="EF50" s="134"/>
      <c r="EG50" s="134"/>
      <c r="EH50" s="134"/>
      <c r="EI50" s="134"/>
      <c r="EJ50" s="134"/>
      <c r="EK50" s="134"/>
      <c r="EL50" s="134"/>
      <c r="EM50" s="134"/>
      <c r="EN50" s="134"/>
      <c r="EO50" s="134"/>
      <c r="EP50" s="134"/>
      <c r="EQ50" s="134"/>
      <c r="ER50" s="134"/>
      <c r="ES50" s="134"/>
      <c r="ET50" s="134"/>
      <c r="EU50" s="134"/>
      <c r="EV50" s="134"/>
      <c r="EW50" s="134"/>
    </row>
    <row r="51">
      <c r="A51" s="28"/>
      <c r="B51" s="18"/>
      <c r="C51" s="111"/>
      <c r="D51" s="111"/>
      <c r="E51" s="20"/>
      <c r="F51" s="20"/>
      <c r="G51" s="21"/>
      <c r="H51" s="16"/>
      <c r="I51" s="18"/>
      <c r="J51" s="111"/>
      <c r="K51" s="111"/>
      <c r="L51" s="111"/>
      <c r="M51" s="20"/>
      <c r="N51" s="20"/>
      <c r="O51" s="21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</row>
    <row r="52">
      <c r="A52" s="113"/>
      <c r="B52" s="12"/>
      <c r="C52" s="114"/>
      <c r="D52" s="114"/>
      <c r="E52" s="14"/>
      <c r="F52" s="14"/>
      <c r="G52" s="15"/>
      <c r="H52" s="16"/>
      <c r="I52" s="18"/>
      <c r="J52" s="111"/>
      <c r="K52" s="111"/>
      <c r="L52" s="111"/>
      <c r="M52" s="20"/>
      <c r="N52" s="20"/>
      <c r="O52" s="21"/>
      <c r="P52" s="16"/>
      <c r="Q52" s="16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34"/>
      <c r="DZ52" s="134"/>
      <c r="EA52" s="134"/>
      <c r="EB52" s="134"/>
      <c r="EC52" s="134"/>
      <c r="ED52" s="134"/>
      <c r="EE52" s="134"/>
      <c r="EF52" s="134"/>
      <c r="EG52" s="134"/>
      <c r="EH52" s="134"/>
      <c r="EI52" s="134"/>
      <c r="EJ52" s="134"/>
      <c r="EK52" s="134"/>
      <c r="EL52" s="134"/>
      <c r="EM52" s="134"/>
      <c r="EN52" s="134"/>
      <c r="EO52" s="134"/>
      <c r="EP52" s="134"/>
      <c r="EQ52" s="134"/>
      <c r="ER52" s="134"/>
      <c r="ES52" s="134"/>
      <c r="ET52" s="134"/>
      <c r="EU52" s="134"/>
      <c r="EV52" s="134"/>
      <c r="EW52" s="134"/>
    </row>
    <row r="53" ht="22.5" customHeight="1">
      <c r="A53" s="105" t="s">
        <v>1</v>
      </c>
      <c r="B53" s="105" t="s">
        <v>2</v>
      </c>
      <c r="C53" s="105" t="s">
        <v>3</v>
      </c>
      <c r="D53" s="106" t="s">
        <v>4</v>
      </c>
      <c r="E53" s="107" t="s">
        <v>5</v>
      </c>
      <c r="F53" s="108" t="s">
        <v>6</v>
      </c>
      <c r="G53" s="105" t="s">
        <v>84</v>
      </c>
      <c r="H53" s="16"/>
      <c r="I53" s="18"/>
      <c r="J53" s="111"/>
      <c r="K53" s="111"/>
      <c r="L53" s="111"/>
      <c r="M53" s="20"/>
      <c r="N53" s="20"/>
      <c r="O53" s="21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</row>
    <row r="54">
      <c r="A54" s="135">
        <v>46195.0</v>
      </c>
      <c r="B54" s="12" t="s">
        <v>8</v>
      </c>
      <c r="C54" s="114" t="s">
        <v>152</v>
      </c>
      <c r="D54" s="114">
        <v>5.0</v>
      </c>
      <c r="E54" s="14">
        <v>25000.0</v>
      </c>
      <c r="F54" s="14">
        <f t="shared" ref="F54:F76" si="5">D54*E54</f>
        <v>125000</v>
      </c>
      <c r="G54" s="15" t="s">
        <v>10</v>
      </c>
      <c r="H54" s="16"/>
      <c r="I54" s="135">
        <v>46195.0</v>
      </c>
      <c r="J54" s="12" t="s">
        <v>8</v>
      </c>
      <c r="K54" s="114" t="s">
        <v>16</v>
      </c>
      <c r="L54" s="114">
        <v>0.11</v>
      </c>
      <c r="M54" s="14">
        <v>25000.0</v>
      </c>
      <c r="N54" s="14">
        <f t="shared" ref="N54:N59" si="6">L54*M54</f>
        <v>2750</v>
      </c>
      <c r="O54" s="15" t="s">
        <v>10</v>
      </c>
      <c r="P54" s="16"/>
      <c r="Q54" s="18"/>
      <c r="R54" s="111"/>
      <c r="S54" s="111"/>
      <c r="T54" s="111"/>
      <c r="U54" s="20"/>
      <c r="V54" s="20"/>
      <c r="W54" s="21"/>
      <c r="X54" s="16"/>
      <c r="Y54" s="16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34"/>
      <c r="EC54" s="134"/>
      <c r="ED54" s="134"/>
      <c r="EE54" s="134"/>
      <c r="EF54" s="134"/>
      <c r="EG54" s="134"/>
      <c r="EH54" s="134"/>
      <c r="EI54" s="134"/>
      <c r="EJ54" s="134"/>
      <c r="EK54" s="134"/>
      <c r="EL54" s="134"/>
      <c r="EM54" s="134"/>
      <c r="EN54" s="134"/>
      <c r="EO54" s="134"/>
      <c r="EP54" s="134"/>
      <c r="EQ54" s="134"/>
      <c r="ER54" s="134"/>
      <c r="ES54" s="134"/>
      <c r="ET54" s="134"/>
      <c r="EU54" s="134"/>
      <c r="EV54" s="134"/>
      <c r="EW54" s="134"/>
    </row>
    <row r="55">
      <c r="A55" s="136">
        <v>46195.0</v>
      </c>
      <c r="B55" s="18" t="s">
        <v>8</v>
      </c>
      <c r="C55" s="111" t="s">
        <v>138</v>
      </c>
      <c r="D55" s="111">
        <v>2.0</v>
      </c>
      <c r="E55" s="20">
        <v>25000.0</v>
      </c>
      <c r="F55" s="20">
        <f t="shared" si="5"/>
        <v>50000</v>
      </c>
      <c r="G55" s="21" t="s">
        <v>10</v>
      </c>
      <c r="H55" s="16"/>
      <c r="I55" s="136">
        <v>46196.0</v>
      </c>
      <c r="J55" s="18" t="s">
        <v>8</v>
      </c>
      <c r="K55" s="111" t="s">
        <v>16</v>
      </c>
      <c r="L55" s="111">
        <v>0.19</v>
      </c>
      <c r="M55" s="20">
        <v>25000.0</v>
      </c>
      <c r="N55" s="20">
        <f t="shared" si="6"/>
        <v>4750</v>
      </c>
      <c r="O55" s="21" t="s">
        <v>10</v>
      </c>
      <c r="P55" s="16"/>
      <c r="Q55" s="18"/>
      <c r="R55" s="111"/>
      <c r="S55" s="111"/>
      <c r="T55" s="111"/>
      <c r="U55" s="20"/>
      <c r="V55" s="20"/>
      <c r="W55" s="21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</row>
    <row r="56">
      <c r="A56" s="135">
        <v>46195.0</v>
      </c>
      <c r="B56" s="12" t="s">
        <v>8</v>
      </c>
      <c r="C56" s="114" t="s">
        <v>9</v>
      </c>
      <c r="D56" s="114">
        <v>2.0</v>
      </c>
      <c r="E56" s="14">
        <v>25000.0</v>
      </c>
      <c r="F56" s="14">
        <f t="shared" si="5"/>
        <v>50000</v>
      </c>
      <c r="G56" s="15" t="s">
        <v>10</v>
      </c>
      <c r="H56" s="16"/>
      <c r="I56" s="135">
        <v>46197.0</v>
      </c>
      <c r="J56" s="12" t="s">
        <v>8</v>
      </c>
      <c r="K56" s="114" t="s">
        <v>16</v>
      </c>
      <c r="L56" s="114">
        <v>0.34</v>
      </c>
      <c r="M56" s="14">
        <v>25000.0</v>
      </c>
      <c r="N56" s="14">
        <f t="shared" si="6"/>
        <v>8500</v>
      </c>
      <c r="O56" s="15" t="s">
        <v>10</v>
      </c>
      <c r="P56" s="16"/>
      <c r="Q56" s="18"/>
      <c r="R56" s="111"/>
      <c r="S56" s="111"/>
      <c r="T56" s="111"/>
      <c r="U56" s="20"/>
      <c r="V56" s="20"/>
      <c r="W56" s="21"/>
      <c r="X56" s="16"/>
      <c r="Y56" s="16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34"/>
      <c r="DZ56" s="134"/>
      <c r="EA56" s="134"/>
      <c r="EB56" s="134"/>
      <c r="EC56" s="134"/>
      <c r="ED56" s="134"/>
      <c r="EE56" s="134"/>
      <c r="EF56" s="134"/>
      <c r="EG56" s="134"/>
      <c r="EH56" s="134"/>
      <c r="EI56" s="134"/>
      <c r="EJ56" s="134"/>
      <c r="EK56" s="134"/>
      <c r="EL56" s="134"/>
      <c r="EM56" s="134"/>
      <c r="EN56" s="134"/>
      <c r="EO56" s="134"/>
      <c r="EP56" s="134"/>
      <c r="EQ56" s="134"/>
      <c r="ER56" s="134"/>
      <c r="ES56" s="134"/>
      <c r="ET56" s="134"/>
      <c r="EU56" s="134"/>
      <c r="EV56" s="134"/>
      <c r="EW56" s="134"/>
    </row>
    <row r="57">
      <c r="A57" s="136">
        <v>46195.0</v>
      </c>
      <c r="B57" s="18" t="s">
        <v>8</v>
      </c>
      <c r="C57" s="111" t="s">
        <v>153</v>
      </c>
      <c r="D57" s="111">
        <v>1.0</v>
      </c>
      <c r="E57" s="20">
        <v>25000.0</v>
      </c>
      <c r="F57" s="20">
        <f t="shared" si="5"/>
        <v>25000</v>
      </c>
      <c r="G57" s="21" t="s">
        <v>10</v>
      </c>
      <c r="H57" s="16"/>
      <c r="I57" s="136">
        <v>46198.0</v>
      </c>
      <c r="J57" s="18" t="s">
        <v>8</v>
      </c>
      <c r="K57" s="111" t="s">
        <v>16</v>
      </c>
      <c r="L57" s="111">
        <v>0.23</v>
      </c>
      <c r="M57" s="20">
        <v>25000.0</v>
      </c>
      <c r="N57" s="20">
        <f t="shared" si="6"/>
        <v>5750</v>
      </c>
      <c r="O57" s="21" t="s">
        <v>10</v>
      </c>
      <c r="P57" s="16"/>
      <c r="Q57" s="18"/>
      <c r="R57" s="111"/>
      <c r="S57" s="111"/>
      <c r="T57" s="111"/>
      <c r="U57" s="20"/>
      <c r="V57" s="20"/>
      <c r="W57" s="21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</row>
    <row r="58" ht="15.75" customHeight="1">
      <c r="A58" s="135">
        <v>46195.0</v>
      </c>
      <c r="B58" s="12" t="s">
        <v>8</v>
      </c>
      <c r="C58" s="114" t="s">
        <v>11</v>
      </c>
      <c r="D58" s="114">
        <v>1.0</v>
      </c>
      <c r="E58" s="14">
        <v>25000.0</v>
      </c>
      <c r="F58" s="14">
        <f t="shared" si="5"/>
        <v>25000</v>
      </c>
      <c r="G58" s="15" t="s">
        <v>10</v>
      </c>
      <c r="H58" s="16"/>
      <c r="I58" s="135">
        <v>46199.0</v>
      </c>
      <c r="J58" s="12" t="s">
        <v>8</v>
      </c>
      <c r="K58" s="114" t="s">
        <v>16</v>
      </c>
      <c r="L58" s="114">
        <v>0.19</v>
      </c>
      <c r="M58" s="14">
        <v>25000.0</v>
      </c>
      <c r="N58" s="14">
        <f t="shared" si="6"/>
        <v>4750</v>
      </c>
      <c r="O58" s="15" t="s">
        <v>10</v>
      </c>
      <c r="P58" s="110"/>
      <c r="Q58" s="18"/>
      <c r="R58" s="111"/>
      <c r="S58" s="111"/>
      <c r="T58" s="111"/>
      <c r="U58" s="20"/>
      <c r="V58" s="20"/>
      <c r="W58" s="21"/>
      <c r="X58" s="110"/>
      <c r="Y58" s="110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7"/>
      <c r="CG58" s="137"/>
      <c r="CH58" s="137"/>
      <c r="CI58" s="137"/>
      <c r="CJ58" s="137"/>
      <c r="CK58" s="137"/>
      <c r="CL58" s="137"/>
      <c r="CM58" s="137"/>
      <c r="CN58" s="137"/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7"/>
      <c r="DB58" s="137"/>
      <c r="DC58" s="137"/>
      <c r="DD58" s="137"/>
      <c r="DE58" s="137"/>
      <c r="DF58" s="137"/>
      <c r="DG58" s="137"/>
      <c r="DH58" s="137"/>
      <c r="DI58" s="137"/>
      <c r="DJ58" s="137"/>
      <c r="DK58" s="137"/>
      <c r="DL58" s="137"/>
      <c r="DM58" s="137"/>
      <c r="DN58" s="137"/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7"/>
      <c r="EB58" s="137"/>
      <c r="EC58" s="137"/>
      <c r="ED58" s="137"/>
      <c r="EE58" s="137"/>
      <c r="EF58" s="137"/>
      <c r="EG58" s="137"/>
      <c r="EH58" s="137"/>
      <c r="EI58" s="137"/>
      <c r="EJ58" s="137"/>
      <c r="EK58" s="137"/>
      <c r="EL58" s="137"/>
      <c r="EM58" s="137"/>
      <c r="EN58" s="137"/>
      <c r="EO58" s="137"/>
      <c r="EP58" s="137"/>
      <c r="EQ58" s="137"/>
      <c r="ER58" s="137"/>
      <c r="ES58" s="137"/>
      <c r="ET58" s="137"/>
      <c r="EU58" s="137"/>
      <c r="EV58" s="137"/>
      <c r="EW58" s="137"/>
    </row>
    <row r="59">
      <c r="A59" s="136">
        <v>46196.0</v>
      </c>
      <c r="B59" s="18" t="s">
        <v>8</v>
      </c>
      <c r="C59" s="111" t="s">
        <v>150</v>
      </c>
      <c r="D59" s="111">
        <v>2.0</v>
      </c>
      <c r="E59" s="20">
        <v>25000.0</v>
      </c>
      <c r="F59" s="20">
        <f t="shared" si="5"/>
        <v>50000</v>
      </c>
      <c r="G59" s="21" t="s">
        <v>10</v>
      </c>
      <c r="H59" s="16"/>
      <c r="I59" s="136">
        <v>46200.0</v>
      </c>
      <c r="J59" s="18" t="s">
        <v>8</v>
      </c>
      <c r="K59" s="111" t="s">
        <v>16</v>
      </c>
      <c r="L59" s="111">
        <v>0.12</v>
      </c>
      <c r="M59" s="20">
        <v>25000.0</v>
      </c>
      <c r="N59" s="20">
        <f t="shared" si="6"/>
        <v>3000</v>
      </c>
      <c r="O59" s="21" t="s">
        <v>10</v>
      </c>
      <c r="P59" s="16"/>
      <c r="Q59" s="18"/>
      <c r="R59" s="111"/>
      <c r="S59" s="111"/>
      <c r="T59" s="111"/>
      <c r="U59" s="20"/>
      <c r="V59" s="20"/>
      <c r="W59" s="21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</row>
    <row r="60">
      <c r="A60" s="135">
        <v>46196.0</v>
      </c>
      <c r="B60" s="12" t="s">
        <v>8</v>
      </c>
      <c r="C60" s="114" t="s">
        <v>67</v>
      </c>
      <c r="D60" s="114">
        <v>1.0</v>
      </c>
      <c r="E60" s="14">
        <v>25000.0</v>
      </c>
      <c r="F60" s="14">
        <f t="shared" si="5"/>
        <v>25000</v>
      </c>
      <c r="G60" s="15" t="s">
        <v>10</v>
      </c>
      <c r="H60" s="16"/>
      <c r="I60" s="115" t="s">
        <v>142</v>
      </c>
      <c r="K60" s="116"/>
      <c r="L60" s="117">
        <f>SUM(L54:L59)</f>
        <v>1.18</v>
      </c>
      <c r="M60" s="116"/>
      <c r="N60" s="118">
        <f>SUM(N54:N59)</f>
        <v>29500</v>
      </c>
      <c r="O60" s="119"/>
      <c r="P60" s="16"/>
      <c r="Q60" s="16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  <c r="CY60" s="134"/>
      <c r="CZ60" s="134"/>
      <c r="DA60" s="134"/>
      <c r="DB60" s="134"/>
      <c r="DC60" s="134"/>
      <c r="DD60" s="134"/>
      <c r="DE60" s="134"/>
      <c r="DF60" s="134"/>
      <c r="DG60" s="134"/>
      <c r="DH60" s="134"/>
      <c r="DI60" s="134"/>
      <c r="DJ60" s="134"/>
      <c r="DK60" s="134"/>
      <c r="DL60" s="134"/>
      <c r="DM60" s="134"/>
      <c r="DN60" s="134"/>
      <c r="DO60" s="134"/>
      <c r="DP60" s="134"/>
      <c r="DQ60" s="134"/>
      <c r="DR60" s="134"/>
      <c r="DS60" s="134"/>
      <c r="DT60" s="134"/>
      <c r="DU60" s="134"/>
      <c r="DV60" s="134"/>
      <c r="DW60" s="134"/>
      <c r="DX60" s="134"/>
      <c r="DY60" s="134"/>
      <c r="DZ60" s="134"/>
      <c r="EA60" s="134"/>
      <c r="EB60" s="134"/>
      <c r="EC60" s="134"/>
      <c r="ED60" s="134"/>
      <c r="EE60" s="134"/>
      <c r="EF60" s="134"/>
      <c r="EG60" s="134"/>
      <c r="EH60" s="134"/>
      <c r="EI60" s="134"/>
      <c r="EJ60" s="134"/>
      <c r="EK60" s="134"/>
      <c r="EL60" s="134"/>
      <c r="EM60" s="134"/>
      <c r="EN60" s="134"/>
      <c r="EO60" s="134"/>
      <c r="EP60" s="134"/>
      <c r="EQ60" s="134"/>
      <c r="ER60" s="134"/>
      <c r="ES60" s="134"/>
      <c r="ET60" s="134"/>
      <c r="EU60" s="134"/>
      <c r="EV60" s="134"/>
      <c r="EW60" s="134"/>
    </row>
    <row r="61">
      <c r="A61" s="136">
        <v>46196.0</v>
      </c>
      <c r="B61" s="18" t="s">
        <v>8</v>
      </c>
      <c r="C61" s="111" t="s">
        <v>154</v>
      </c>
      <c r="D61" s="111">
        <v>1.0</v>
      </c>
      <c r="E61" s="20">
        <v>25000.0</v>
      </c>
      <c r="F61" s="20">
        <f t="shared" si="5"/>
        <v>25000</v>
      </c>
      <c r="G61" s="21" t="s">
        <v>10</v>
      </c>
      <c r="H61" s="16"/>
      <c r="I61" s="115" t="s">
        <v>142</v>
      </c>
      <c r="K61" s="116"/>
      <c r="L61" s="117">
        <f>SUM(D77,L60)</f>
        <v>40.18</v>
      </c>
      <c r="M61" s="116"/>
      <c r="N61" s="123">
        <f>SUM(F77,N60)</f>
        <v>1004500</v>
      </c>
      <c r="O61" s="119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</row>
    <row r="62">
      <c r="A62" s="135">
        <v>46196.0</v>
      </c>
      <c r="B62" s="12" t="s">
        <v>8</v>
      </c>
      <c r="C62" s="114" t="s">
        <v>139</v>
      </c>
      <c r="D62" s="114">
        <v>2.0</v>
      </c>
      <c r="E62" s="14">
        <v>25000.0</v>
      </c>
      <c r="F62" s="14">
        <f t="shared" si="5"/>
        <v>50000</v>
      </c>
      <c r="G62" s="15" t="s">
        <v>10</v>
      </c>
      <c r="H62" s="16"/>
      <c r="I62" s="18"/>
      <c r="J62" s="111"/>
      <c r="K62" s="111"/>
      <c r="L62" s="111"/>
      <c r="M62" s="20"/>
      <c r="N62" s="20"/>
      <c r="O62" s="21"/>
      <c r="P62" s="16"/>
      <c r="Q62" s="16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  <c r="CY62" s="134"/>
      <c r="CZ62" s="134"/>
      <c r="DA62" s="134"/>
      <c r="DB62" s="134"/>
      <c r="DC62" s="134"/>
      <c r="DD62" s="134"/>
      <c r="DE62" s="134"/>
      <c r="DF62" s="134"/>
      <c r="DG62" s="134"/>
      <c r="DH62" s="134"/>
      <c r="DI62" s="134"/>
      <c r="DJ62" s="134"/>
      <c r="DK62" s="134"/>
      <c r="DL62" s="134"/>
      <c r="DM62" s="134"/>
      <c r="DN62" s="134"/>
      <c r="DO62" s="134"/>
      <c r="DP62" s="134"/>
      <c r="DQ62" s="134"/>
      <c r="DR62" s="134"/>
      <c r="DS62" s="134"/>
      <c r="DT62" s="134"/>
      <c r="DU62" s="134"/>
      <c r="DV62" s="134"/>
      <c r="DW62" s="134"/>
      <c r="DX62" s="134"/>
      <c r="DY62" s="134"/>
      <c r="DZ62" s="134"/>
      <c r="EA62" s="134"/>
      <c r="EB62" s="134"/>
      <c r="EC62" s="134"/>
      <c r="ED62" s="134"/>
      <c r="EE62" s="134"/>
      <c r="EF62" s="134"/>
      <c r="EG62" s="134"/>
      <c r="EH62" s="134"/>
      <c r="EI62" s="134"/>
      <c r="EJ62" s="134"/>
      <c r="EK62" s="134"/>
      <c r="EL62" s="134"/>
      <c r="EM62" s="134"/>
      <c r="EN62" s="134"/>
      <c r="EO62" s="134"/>
      <c r="EP62" s="134"/>
      <c r="EQ62" s="134"/>
      <c r="ER62" s="134"/>
      <c r="ES62" s="134"/>
      <c r="ET62" s="134"/>
      <c r="EU62" s="134"/>
      <c r="EV62" s="134"/>
      <c r="EW62" s="134"/>
    </row>
    <row r="63">
      <c r="A63" s="136">
        <v>46197.0</v>
      </c>
      <c r="B63" s="18" t="s">
        <v>8</v>
      </c>
      <c r="C63" s="111" t="s">
        <v>9</v>
      </c>
      <c r="D63" s="111">
        <v>2.0</v>
      </c>
      <c r="E63" s="20">
        <v>25000.0</v>
      </c>
      <c r="F63" s="20">
        <f t="shared" si="5"/>
        <v>50000</v>
      </c>
      <c r="G63" s="21" t="s">
        <v>10</v>
      </c>
      <c r="H63" s="16"/>
      <c r="I63" s="18"/>
      <c r="J63" s="111"/>
      <c r="K63" s="111"/>
      <c r="L63" s="111"/>
      <c r="M63" s="20"/>
      <c r="N63" s="20"/>
      <c r="O63" s="21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</row>
    <row r="64">
      <c r="A64" s="135">
        <v>46197.0</v>
      </c>
      <c r="B64" s="12" t="s">
        <v>8</v>
      </c>
      <c r="C64" s="114" t="s">
        <v>11</v>
      </c>
      <c r="D64" s="114">
        <v>2.0</v>
      </c>
      <c r="E64" s="14">
        <v>25000.0</v>
      </c>
      <c r="F64" s="14">
        <f t="shared" si="5"/>
        <v>50000</v>
      </c>
      <c r="G64" s="15" t="s">
        <v>10</v>
      </c>
      <c r="H64" s="16"/>
      <c r="I64" s="18"/>
      <c r="J64" s="111"/>
      <c r="K64" s="111"/>
      <c r="L64" s="111"/>
      <c r="M64" s="20"/>
      <c r="N64" s="20"/>
      <c r="O64" s="21"/>
      <c r="P64" s="16"/>
      <c r="Q64" s="16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  <c r="CY64" s="134"/>
      <c r="CZ64" s="134"/>
      <c r="DA64" s="134"/>
      <c r="DB64" s="134"/>
      <c r="DC64" s="134"/>
      <c r="DD64" s="134"/>
      <c r="DE64" s="134"/>
      <c r="DF64" s="134"/>
      <c r="DG64" s="134"/>
      <c r="DH64" s="134"/>
      <c r="DI64" s="134"/>
      <c r="DJ64" s="134"/>
      <c r="DK64" s="134"/>
      <c r="DL64" s="134"/>
      <c r="DM64" s="134"/>
      <c r="DN64" s="134"/>
      <c r="DO64" s="134"/>
      <c r="DP64" s="134"/>
      <c r="DQ64" s="134"/>
      <c r="DR64" s="134"/>
      <c r="DS64" s="134"/>
      <c r="DT64" s="134"/>
      <c r="DU64" s="134"/>
      <c r="DV64" s="134"/>
      <c r="DW64" s="134"/>
      <c r="DX64" s="134"/>
      <c r="DY64" s="134"/>
      <c r="DZ64" s="134"/>
      <c r="EA64" s="134"/>
      <c r="EB64" s="134"/>
      <c r="EC64" s="134"/>
      <c r="ED64" s="134"/>
      <c r="EE64" s="134"/>
      <c r="EF64" s="134"/>
      <c r="EG64" s="134"/>
      <c r="EH64" s="134"/>
      <c r="EI64" s="134"/>
      <c r="EJ64" s="134"/>
      <c r="EK64" s="134"/>
      <c r="EL64" s="134"/>
      <c r="EM64" s="134"/>
      <c r="EN64" s="134"/>
      <c r="EO64" s="134"/>
      <c r="EP64" s="134"/>
      <c r="EQ64" s="134"/>
      <c r="ER64" s="134"/>
      <c r="ES64" s="134"/>
      <c r="ET64" s="134"/>
      <c r="EU64" s="134"/>
      <c r="EV64" s="134"/>
      <c r="EW64" s="134"/>
    </row>
    <row r="65">
      <c r="A65" s="136">
        <v>46197.0</v>
      </c>
      <c r="B65" s="18" t="s">
        <v>8</v>
      </c>
      <c r="C65" s="111" t="s">
        <v>152</v>
      </c>
      <c r="D65" s="111">
        <v>2.0</v>
      </c>
      <c r="E65" s="20">
        <v>25000.0</v>
      </c>
      <c r="F65" s="20">
        <f t="shared" si="5"/>
        <v>50000</v>
      </c>
      <c r="G65" s="21" t="s">
        <v>10</v>
      </c>
      <c r="H65" s="16"/>
      <c r="I65" s="18"/>
      <c r="J65" s="111"/>
      <c r="K65" s="111"/>
      <c r="L65" s="111"/>
      <c r="M65" s="20"/>
      <c r="N65" s="20"/>
      <c r="O65" s="21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</row>
    <row r="66">
      <c r="A66" s="135">
        <v>46197.0</v>
      </c>
      <c r="B66" s="12" t="s">
        <v>8</v>
      </c>
      <c r="C66" s="114" t="s">
        <v>67</v>
      </c>
      <c r="D66" s="114">
        <v>1.0</v>
      </c>
      <c r="E66" s="14">
        <v>25000.0</v>
      </c>
      <c r="F66" s="14">
        <f t="shared" si="5"/>
        <v>25000</v>
      </c>
      <c r="G66" s="15" t="s">
        <v>10</v>
      </c>
      <c r="H66" s="16"/>
      <c r="I66" s="18"/>
      <c r="J66" s="111"/>
      <c r="K66" s="111"/>
      <c r="L66" s="111"/>
      <c r="M66" s="20"/>
      <c r="N66" s="20"/>
      <c r="O66" s="21"/>
      <c r="P66" s="16"/>
      <c r="Q66" s="16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134"/>
      <c r="DS66" s="134"/>
      <c r="DT66" s="134"/>
      <c r="DU66" s="134"/>
      <c r="DV66" s="134"/>
      <c r="DW66" s="134"/>
      <c r="DX66" s="134"/>
      <c r="DY66" s="134"/>
      <c r="DZ66" s="134"/>
      <c r="EA66" s="134"/>
      <c r="EB66" s="134"/>
      <c r="EC66" s="134"/>
      <c r="ED66" s="134"/>
      <c r="EE66" s="134"/>
      <c r="EF66" s="134"/>
      <c r="EG66" s="134"/>
      <c r="EH66" s="134"/>
      <c r="EI66" s="134"/>
      <c r="EJ66" s="134"/>
      <c r="EK66" s="134"/>
      <c r="EL66" s="134"/>
      <c r="EM66" s="134"/>
      <c r="EN66" s="134"/>
      <c r="EO66" s="134"/>
      <c r="EP66" s="134"/>
      <c r="EQ66" s="134"/>
      <c r="ER66" s="134"/>
      <c r="ES66" s="134"/>
      <c r="ET66" s="134"/>
      <c r="EU66" s="134"/>
      <c r="EV66" s="134"/>
      <c r="EW66" s="134"/>
    </row>
    <row r="67">
      <c r="A67" s="136">
        <v>46198.0</v>
      </c>
      <c r="B67" s="18" t="s">
        <v>8</v>
      </c>
      <c r="C67" s="111" t="s">
        <v>67</v>
      </c>
      <c r="D67" s="111">
        <v>1.0</v>
      </c>
      <c r="E67" s="20">
        <v>25000.0</v>
      </c>
      <c r="F67" s="20">
        <f t="shared" si="5"/>
        <v>25000</v>
      </c>
      <c r="G67" s="21" t="s">
        <v>10</v>
      </c>
      <c r="H67" s="16"/>
      <c r="I67" s="18"/>
      <c r="J67" s="111"/>
      <c r="K67" s="111"/>
      <c r="L67" s="111"/>
      <c r="M67" s="20"/>
      <c r="N67" s="20"/>
      <c r="O67" s="21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</row>
    <row r="68">
      <c r="A68" s="135">
        <v>46198.0</v>
      </c>
      <c r="B68" s="12" t="s">
        <v>8</v>
      </c>
      <c r="C68" s="114" t="s">
        <v>9</v>
      </c>
      <c r="D68" s="114">
        <v>2.0</v>
      </c>
      <c r="E68" s="14">
        <v>25000.0</v>
      </c>
      <c r="F68" s="14">
        <f t="shared" si="5"/>
        <v>50000</v>
      </c>
      <c r="G68" s="15" t="s">
        <v>10</v>
      </c>
      <c r="H68" s="16"/>
      <c r="I68" s="18"/>
      <c r="J68" s="111"/>
      <c r="K68" s="111"/>
      <c r="L68" s="111"/>
      <c r="M68" s="20"/>
      <c r="N68" s="20"/>
      <c r="O68" s="21"/>
      <c r="P68" s="16"/>
      <c r="Q68" s="16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134"/>
      <c r="DV68" s="134"/>
      <c r="DW68" s="134"/>
      <c r="DX68" s="134"/>
      <c r="DY68" s="134"/>
      <c r="DZ68" s="134"/>
      <c r="EA68" s="134"/>
      <c r="EB68" s="134"/>
      <c r="EC68" s="134"/>
      <c r="ED68" s="134"/>
      <c r="EE68" s="134"/>
      <c r="EF68" s="134"/>
      <c r="EG68" s="134"/>
      <c r="EH68" s="134"/>
      <c r="EI68" s="134"/>
      <c r="EJ68" s="134"/>
      <c r="EK68" s="134"/>
      <c r="EL68" s="134"/>
      <c r="EM68" s="134"/>
      <c r="EN68" s="134"/>
      <c r="EO68" s="134"/>
      <c r="EP68" s="134"/>
      <c r="EQ68" s="134"/>
      <c r="ER68" s="134"/>
      <c r="ES68" s="134"/>
      <c r="ET68" s="134"/>
      <c r="EU68" s="134"/>
      <c r="EV68" s="134"/>
      <c r="EW68" s="134"/>
    </row>
    <row r="69">
      <c r="A69" s="136">
        <v>46198.0</v>
      </c>
      <c r="B69" s="18" t="s">
        <v>8</v>
      </c>
      <c r="C69" s="111" t="s">
        <v>37</v>
      </c>
      <c r="D69" s="111">
        <v>1.0</v>
      </c>
      <c r="E69" s="20">
        <v>25000.0</v>
      </c>
      <c r="F69" s="20">
        <f t="shared" si="5"/>
        <v>25000</v>
      </c>
      <c r="G69" s="21" t="s">
        <v>10</v>
      </c>
      <c r="H69" s="16"/>
      <c r="I69" s="18"/>
      <c r="J69" s="111"/>
      <c r="K69" s="111"/>
      <c r="L69" s="111"/>
      <c r="M69" s="20"/>
      <c r="N69" s="20"/>
      <c r="O69" s="21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</row>
    <row r="70">
      <c r="A70" s="135">
        <v>46199.0</v>
      </c>
      <c r="B70" s="12" t="s">
        <v>8</v>
      </c>
      <c r="C70" s="114" t="s">
        <v>39</v>
      </c>
      <c r="D70" s="114">
        <v>3.0</v>
      </c>
      <c r="E70" s="14">
        <v>25000.0</v>
      </c>
      <c r="F70" s="14">
        <f t="shared" si="5"/>
        <v>75000</v>
      </c>
      <c r="G70" s="15" t="s">
        <v>10</v>
      </c>
      <c r="H70" s="16"/>
      <c r="I70" s="18"/>
      <c r="J70" s="111"/>
      <c r="K70" s="111"/>
      <c r="L70" s="111"/>
      <c r="M70" s="20"/>
      <c r="N70" s="20"/>
      <c r="O70" s="21"/>
      <c r="P70" s="16"/>
      <c r="Q70" s="16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</row>
    <row r="71">
      <c r="A71" s="136">
        <v>46199.0</v>
      </c>
      <c r="B71" s="18" t="s">
        <v>8</v>
      </c>
      <c r="C71" s="111" t="s">
        <v>9</v>
      </c>
      <c r="D71" s="111">
        <v>3.0</v>
      </c>
      <c r="E71" s="20">
        <v>25000.0</v>
      </c>
      <c r="F71" s="20">
        <f t="shared" si="5"/>
        <v>75000</v>
      </c>
      <c r="G71" s="21" t="s">
        <v>10</v>
      </c>
      <c r="H71" s="16"/>
      <c r="I71" s="18"/>
      <c r="J71" s="111"/>
      <c r="K71" s="111"/>
      <c r="L71" s="111"/>
      <c r="M71" s="20"/>
      <c r="N71" s="20"/>
      <c r="O71" s="21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</row>
    <row r="72">
      <c r="A72" s="135">
        <v>46199.0</v>
      </c>
      <c r="B72" s="12" t="s">
        <v>8</v>
      </c>
      <c r="C72" s="114" t="s">
        <v>155</v>
      </c>
      <c r="D72" s="114">
        <v>1.0</v>
      </c>
      <c r="E72" s="14">
        <v>25000.0</v>
      </c>
      <c r="F72" s="14">
        <f t="shared" si="5"/>
        <v>25000</v>
      </c>
      <c r="G72" s="15" t="s">
        <v>10</v>
      </c>
      <c r="H72" s="16"/>
      <c r="I72" s="18"/>
      <c r="J72" s="111"/>
      <c r="K72" s="111"/>
      <c r="L72" s="111"/>
      <c r="M72" s="20"/>
      <c r="N72" s="20"/>
      <c r="O72" s="21"/>
      <c r="P72" s="16"/>
      <c r="Q72" s="16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134"/>
      <c r="DS72" s="134"/>
      <c r="DT72" s="134"/>
      <c r="DU72" s="134"/>
      <c r="DV72" s="134"/>
      <c r="DW72" s="134"/>
      <c r="DX72" s="134"/>
      <c r="DY72" s="134"/>
      <c r="DZ72" s="134"/>
      <c r="EA72" s="134"/>
      <c r="EB72" s="134"/>
      <c r="EC72" s="134"/>
      <c r="ED72" s="134"/>
      <c r="EE72" s="134"/>
      <c r="EF72" s="134"/>
      <c r="EG72" s="134"/>
      <c r="EH72" s="134"/>
      <c r="EI72" s="134"/>
      <c r="EJ72" s="134"/>
      <c r="EK72" s="134"/>
      <c r="EL72" s="134"/>
      <c r="EM72" s="134"/>
      <c r="EN72" s="134"/>
      <c r="EO72" s="134"/>
      <c r="EP72" s="134"/>
      <c r="EQ72" s="134"/>
      <c r="ER72" s="134"/>
      <c r="ES72" s="134"/>
      <c r="ET72" s="134"/>
      <c r="EU72" s="134"/>
      <c r="EV72" s="134"/>
      <c r="EW72" s="134"/>
    </row>
    <row r="73">
      <c r="A73" s="136">
        <v>46199.0</v>
      </c>
      <c r="B73" s="18" t="s">
        <v>8</v>
      </c>
      <c r="C73" s="111" t="s">
        <v>34</v>
      </c>
      <c r="D73" s="111">
        <v>1.0</v>
      </c>
      <c r="E73" s="20">
        <v>25000.0</v>
      </c>
      <c r="F73" s="20">
        <f t="shared" si="5"/>
        <v>25000</v>
      </c>
      <c r="G73" s="21" t="s">
        <v>10</v>
      </c>
      <c r="H73" s="16"/>
      <c r="I73" s="18"/>
      <c r="J73" s="111"/>
      <c r="K73" s="111"/>
      <c r="L73" s="111"/>
      <c r="M73" s="20"/>
      <c r="N73" s="20"/>
      <c r="O73" s="21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</row>
    <row r="74">
      <c r="A74" s="135">
        <v>46200.0</v>
      </c>
      <c r="B74" s="12" t="s">
        <v>8</v>
      </c>
      <c r="C74" s="114" t="s">
        <v>152</v>
      </c>
      <c r="D74" s="114">
        <v>1.0</v>
      </c>
      <c r="E74" s="14">
        <v>25000.0</v>
      </c>
      <c r="F74" s="14">
        <f t="shared" si="5"/>
        <v>25000</v>
      </c>
      <c r="G74" s="15" t="s">
        <v>10</v>
      </c>
      <c r="H74" s="16"/>
      <c r="I74" s="18"/>
      <c r="J74" s="111"/>
      <c r="K74" s="111"/>
      <c r="L74" s="111"/>
      <c r="M74" s="20"/>
      <c r="N74" s="20"/>
      <c r="O74" s="21"/>
      <c r="P74" s="16"/>
      <c r="Q74" s="16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134"/>
      <c r="DS74" s="134"/>
      <c r="DT74" s="134"/>
      <c r="DU74" s="134"/>
      <c r="DV74" s="134"/>
      <c r="DW74" s="134"/>
      <c r="DX74" s="134"/>
      <c r="DY74" s="134"/>
      <c r="DZ74" s="134"/>
      <c r="EA74" s="134"/>
      <c r="EB74" s="134"/>
      <c r="EC74" s="134"/>
      <c r="ED74" s="134"/>
      <c r="EE74" s="134"/>
      <c r="EF74" s="134"/>
      <c r="EG74" s="134"/>
      <c r="EH74" s="134"/>
      <c r="EI74" s="134"/>
      <c r="EJ74" s="134"/>
      <c r="EK74" s="134"/>
      <c r="EL74" s="134"/>
      <c r="EM74" s="134"/>
      <c r="EN74" s="134"/>
      <c r="EO74" s="134"/>
      <c r="EP74" s="134"/>
      <c r="EQ74" s="134"/>
      <c r="ER74" s="134"/>
      <c r="ES74" s="134"/>
      <c r="ET74" s="134"/>
      <c r="EU74" s="134"/>
      <c r="EV74" s="134"/>
      <c r="EW74" s="134"/>
    </row>
    <row r="75">
      <c r="A75" s="136">
        <v>46200.0</v>
      </c>
      <c r="B75" s="18" t="s">
        <v>8</v>
      </c>
      <c r="C75" s="111" t="s">
        <v>156</v>
      </c>
      <c r="D75" s="111">
        <v>1.0</v>
      </c>
      <c r="E75" s="20">
        <v>25000.0</v>
      </c>
      <c r="F75" s="20">
        <f t="shared" si="5"/>
        <v>25000</v>
      </c>
      <c r="G75" s="21" t="s">
        <v>10</v>
      </c>
      <c r="H75" s="16"/>
      <c r="I75" s="18"/>
      <c r="J75" s="111"/>
      <c r="K75" s="111"/>
      <c r="L75" s="111"/>
      <c r="M75" s="20"/>
      <c r="N75" s="20"/>
      <c r="O75" s="21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</row>
    <row r="76">
      <c r="A76" s="135">
        <v>46200.0</v>
      </c>
      <c r="B76" s="12" t="s">
        <v>8</v>
      </c>
      <c r="C76" s="114" t="s">
        <v>12</v>
      </c>
      <c r="D76" s="114">
        <v>1.0</v>
      </c>
      <c r="E76" s="14">
        <v>25000.0</v>
      </c>
      <c r="F76" s="14">
        <f t="shared" si="5"/>
        <v>25000</v>
      </c>
      <c r="G76" s="15" t="s">
        <v>10</v>
      </c>
      <c r="H76" s="16"/>
      <c r="I76" s="18"/>
      <c r="J76" s="111"/>
      <c r="K76" s="111"/>
      <c r="L76" s="111"/>
      <c r="M76" s="20"/>
      <c r="N76" s="20"/>
      <c r="O76" s="21"/>
      <c r="P76" s="16"/>
      <c r="Q76" s="16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134"/>
      <c r="DS76" s="134"/>
      <c r="DT76" s="134"/>
      <c r="DU76" s="134"/>
      <c r="DV76" s="134"/>
      <c r="DW76" s="134"/>
      <c r="DX76" s="134"/>
      <c r="DY76" s="134"/>
      <c r="DZ76" s="134"/>
      <c r="EA76" s="134"/>
      <c r="EB76" s="134"/>
      <c r="EC76" s="134"/>
      <c r="ED76" s="134"/>
      <c r="EE76" s="134"/>
      <c r="EF76" s="134"/>
      <c r="EG76" s="134"/>
      <c r="EH76" s="134"/>
      <c r="EI76" s="134"/>
      <c r="EJ76" s="134"/>
      <c r="EK76" s="134"/>
      <c r="EL76" s="134"/>
      <c r="EM76" s="134"/>
      <c r="EN76" s="134"/>
      <c r="EO76" s="134"/>
      <c r="EP76" s="134"/>
      <c r="EQ76" s="134"/>
      <c r="ER76" s="134"/>
      <c r="ES76" s="134"/>
      <c r="ET76" s="134"/>
      <c r="EU76" s="134"/>
      <c r="EV76" s="134"/>
      <c r="EW76" s="134"/>
    </row>
    <row r="77">
      <c r="A77" s="115" t="s">
        <v>142</v>
      </c>
      <c r="C77" s="116"/>
      <c r="D77" s="117">
        <f>SUM(D54:D76)</f>
        <v>39</v>
      </c>
      <c r="E77" s="116"/>
      <c r="F77" s="118">
        <f>SUM(F54:F76)</f>
        <v>975000</v>
      </c>
      <c r="G77" s="119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</row>
    <row r="78">
      <c r="A78" s="113"/>
      <c r="B78" s="12"/>
      <c r="C78" s="114"/>
      <c r="D78" s="114"/>
      <c r="E78" s="14"/>
      <c r="F78" s="14"/>
      <c r="G78" s="15"/>
      <c r="H78" s="16"/>
      <c r="I78" s="18"/>
      <c r="J78" s="111"/>
      <c r="K78" s="111"/>
      <c r="L78" s="111"/>
      <c r="M78" s="20"/>
      <c r="N78" s="20"/>
      <c r="O78" s="21"/>
      <c r="P78" s="110"/>
      <c r="Q78" s="16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34"/>
      <c r="DZ78" s="134"/>
      <c r="EA78" s="134"/>
      <c r="EB78" s="134"/>
      <c r="EC78" s="134"/>
      <c r="ED78" s="134"/>
      <c r="EE78" s="134"/>
      <c r="EF78" s="134"/>
      <c r="EG78" s="134"/>
      <c r="EH78" s="134"/>
      <c r="EI78" s="134"/>
      <c r="EJ78" s="134"/>
      <c r="EK78" s="134"/>
      <c r="EL78" s="134"/>
      <c r="EM78" s="134"/>
      <c r="EN78" s="134"/>
      <c r="EO78" s="134"/>
      <c r="EP78" s="134"/>
      <c r="EQ78" s="134"/>
      <c r="ER78" s="134"/>
      <c r="ES78" s="134"/>
      <c r="ET78" s="134"/>
      <c r="EU78" s="134"/>
      <c r="EV78" s="134"/>
      <c r="EW78" s="134"/>
    </row>
    <row r="79">
      <c r="A79" s="28"/>
      <c r="B79" s="18"/>
      <c r="C79" s="111"/>
      <c r="D79" s="111"/>
      <c r="E79" s="20"/>
      <c r="F79" s="20"/>
      <c r="G79" s="21"/>
      <c r="H79" s="16"/>
      <c r="I79" s="18"/>
      <c r="J79" s="111"/>
      <c r="K79" s="111"/>
      <c r="L79" s="111"/>
      <c r="M79" s="20"/>
      <c r="N79" s="20"/>
      <c r="O79" s="21"/>
      <c r="P79" s="110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</row>
    <row r="80">
      <c r="A80" s="113"/>
      <c r="B80" s="12"/>
      <c r="C80" s="114"/>
      <c r="D80" s="114"/>
      <c r="E80" s="14"/>
      <c r="F80" s="14"/>
      <c r="G80" s="15"/>
      <c r="H80" s="16"/>
      <c r="I80" s="18"/>
      <c r="J80" s="111"/>
      <c r="K80" s="111"/>
      <c r="L80" s="111"/>
      <c r="M80" s="20"/>
      <c r="N80" s="20"/>
      <c r="O80" s="21"/>
      <c r="P80" s="110"/>
      <c r="Q80" s="16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34"/>
      <c r="DJ80" s="134"/>
      <c r="DK80" s="134"/>
      <c r="DL80" s="134"/>
      <c r="DM80" s="134"/>
      <c r="DN80" s="134"/>
      <c r="DO80" s="134"/>
      <c r="DP80" s="134"/>
      <c r="DQ80" s="134"/>
      <c r="DR80" s="134"/>
      <c r="DS80" s="134"/>
      <c r="DT80" s="134"/>
      <c r="DU80" s="134"/>
      <c r="DV80" s="134"/>
      <c r="DW80" s="134"/>
      <c r="DX80" s="134"/>
      <c r="DY80" s="134"/>
      <c r="DZ80" s="134"/>
      <c r="EA80" s="134"/>
      <c r="EB80" s="134"/>
      <c r="EC80" s="134"/>
      <c r="ED80" s="134"/>
      <c r="EE80" s="134"/>
      <c r="EF80" s="134"/>
      <c r="EG80" s="134"/>
      <c r="EH80" s="134"/>
      <c r="EI80" s="134"/>
      <c r="EJ80" s="134"/>
      <c r="EK80" s="134"/>
      <c r="EL80" s="134"/>
      <c r="EM80" s="134"/>
      <c r="EN80" s="134"/>
      <c r="EO80" s="134"/>
      <c r="EP80" s="134"/>
      <c r="EQ80" s="134"/>
      <c r="ER80" s="134"/>
      <c r="ES80" s="134"/>
      <c r="ET80" s="134"/>
      <c r="EU80" s="134"/>
      <c r="EV80" s="134"/>
      <c r="EW80" s="134"/>
    </row>
    <row r="81">
      <c r="A81" s="28"/>
      <c r="B81" s="18"/>
      <c r="C81" s="111"/>
      <c r="D81" s="111"/>
      <c r="E81" s="20"/>
      <c r="F81" s="20"/>
      <c r="G81" s="21"/>
      <c r="H81" s="16"/>
      <c r="I81" s="18"/>
      <c r="J81" s="111"/>
      <c r="K81" s="111"/>
      <c r="L81" s="111"/>
      <c r="M81" s="20"/>
      <c r="N81" s="20"/>
      <c r="O81" s="21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</row>
    <row r="82">
      <c r="A82" s="113"/>
      <c r="B82" s="12"/>
      <c r="C82" s="114"/>
      <c r="D82" s="114"/>
      <c r="E82" s="14"/>
      <c r="F82" s="14"/>
      <c r="G82" s="15"/>
      <c r="H82" s="16"/>
      <c r="I82" s="18"/>
      <c r="J82" s="111"/>
      <c r="K82" s="111"/>
      <c r="L82" s="111"/>
      <c r="M82" s="20"/>
      <c r="N82" s="20"/>
      <c r="O82" s="21"/>
      <c r="P82" s="16"/>
      <c r="Q82" s="16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34"/>
      <c r="DJ82" s="134"/>
      <c r="DK82" s="134"/>
      <c r="DL82" s="134"/>
      <c r="DM82" s="134"/>
      <c r="DN82" s="134"/>
      <c r="DO82" s="134"/>
      <c r="DP82" s="134"/>
      <c r="DQ82" s="134"/>
      <c r="DR82" s="134"/>
      <c r="DS82" s="134"/>
      <c r="DT82" s="134"/>
      <c r="DU82" s="134"/>
      <c r="DV82" s="134"/>
      <c r="DW82" s="134"/>
      <c r="DX82" s="134"/>
      <c r="DY82" s="134"/>
      <c r="DZ82" s="134"/>
      <c r="EA82" s="134"/>
      <c r="EB82" s="134"/>
      <c r="EC82" s="134"/>
      <c r="ED82" s="134"/>
      <c r="EE82" s="134"/>
      <c r="EF82" s="134"/>
      <c r="EG82" s="134"/>
      <c r="EH82" s="134"/>
      <c r="EI82" s="134"/>
      <c r="EJ82" s="134"/>
      <c r="EK82" s="134"/>
      <c r="EL82" s="134"/>
      <c r="EM82" s="134"/>
      <c r="EN82" s="134"/>
      <c r="EO82" s="134"/>
      <c r="EP82" s="134"/>
      <c r="EQ82" s="134"/>
      <c r="ER82" s="134"/>
      <c r="ES82" s="134"/>
      <c r="ET82" s="134"/>
      <c r="EU82" s="134"/>
      <c r="EV82" s="134"/>
      <c r="EW82" s="134"/>
    </row>
    <row r="83">
      <c r="A83" s="28"/>
      <c r="B83" s="18"/>
      <c r="C83" s="111"/>
      <c r="D83" s="111"/>
      <c r="E83" s="20"/>
      <c r="F83" s="20"/>
      <c r="G83" s="21"/>
      <c r="H83" s="16"/>
      <c r="I83" s="18"/>
      <c r="J83" s="111"/>
      <c r="K83" s="111"/>
      <c r="L83" s="111"/>
      <c r="M83" s="20"/>
      <c r="N83" s="20"/>
      <c r="O83" s="21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</row>
    <row r="84">
      <c r="A84" s="113"/>
      <c r="B84" s="12"/>
      <c r="C84" s="114"/>
      <c r="D84" s="114"/>
      <c r="E84" s="14"/>
      <c r="F84" s="14"/>
      <c r="G84" s="15"/>
      <c r="H84" s="16"/>
      <c r="I84" s="18"/>
      <c r="J84" s="111"/>
      <c r="K84" s="111"/>
      <c r="L84" s="111"/>
      <c r="M84" s="20"/>
      <c r="N84" s="20"/>
      <c r="O84" s="21"/>
      <c r="P84" s="16"/>
      <c r="Q84" s="16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34"/>
      <c r="DJ84" s="134"/>
      <c r="DK84" s="134"/>
      <c r="DL84" s="134"/>
      <c r="DM84" s="134"/>
      <c r="DN84" s="134"/>
      <c r="DO84" s="134"/>
      <c r="DP84" s="134"/>
      <c r="DQ84" s="134"/>
      <c r="DR84" s="134"/>
      <c r="DS84" s="134"/>
      <c r="DT84" s="134"/>
      <c r="DU84" s="134"/>
      <c r="DV84" s="134"/>
      <c r="DW84" s="134"/>
      <c r="DX84" s="134"/>
      <c r="DY84" s="134"/>
      <c r="DZ84" s="134"/>
      <c r="EA84" s="134"/>
      <c r="EB84" s="134"/>
      <c r="EC84" s="134"/>
      <c r="ED84" s="134"/>
      <c r="EE84" s="134"/>
      <c r="EF84" s="134"/>
      <c r="EG84" s="134"/>
      <c r="EH84" s="134"/>
      <c r="EI84" s="134"/>
      <c r="EJ84" s="134"/>
      <c r="EK84" s="134"/>
      <c r="EL84" s="134"/>
      <c r="EM84" s="134"/>
      <c r="EN84" s="134"/>
      <c r="EO84" s="134"/>
      <c r="EP84" s="134"/>
      <c r="EQ84" s="134"/>
      <c r="ER84" s="134"/>
      <c r="ES84" s="134"/>
      <c r="ET84" s="134"/>
      <c r="EU84" s="134"/>
      <c r="EV84" s="134"/>
      <c r="EW84" s="134"/>
    </row>
    <row r="85">
      <c r="A85" s="28"/>
      <c r="B85" s="18"/>
      <c r="C85" s="111"/>
      <c r="D85" s="111"/>
      <c r="E85" s="20"/>
      <c r="F85" s="20"/>
      <c r="G85" s="21"/>
      <c r="H85" s="16"/>
      <c r="I85" s="18"/>
      <c r="J85" s="111"/>
      <c r="K85" s="111"/>
      <c r="L85" s="111"/>
      <c r="M85" s="20"/>
      <c r="N85" s="20"/>
      <c r="O85" s="21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</row>
    <row r="86">
      <c r="A86" s="113"/>
      <c r="B86" s="12"/>
      <c r="C86" s="114"/>
      <c r="D86" s="114"/>
      <c r="E86" s="14"/>
      <c r="F86" s="14"/>
      <c r="G86" s="15"/>
      <c r="H86" s="133"/>
      <c r="I86" s="18"/>
      <c r="J86" s="111"/>
      <c r="K86" s="111"/>
      <c r="L86" s="111"/>
      <c r="M86" s="20"/>
      <c r="N86" s="20"/>
      <c r="O86" s="21"/>
      <c r="P86" s="133"/>
      <c r="Q86" s="133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0"/>
      <c r="CR86" s="120"/>
      <c r="CS86" s="120"/>
      <c r="CT86" s="120"/>
      <c r="CU86" s="120"/>
      <c r="CV86" s="120"/>
      <c r="CW86" s="120"/>
      <c r="CX86" s="120"/>
      <c r="CY86" s="120"/>
      <c r="CZ86" s="120"/>
      <c r="DA86" s="120"/>
      <c r="DB86" s="120"/>
      <c r="DC86" s="120"/>
      <c r="DD86" s="120"/>
      <c r="DE86" s="120"/>
      <c r="DF86" s="120"/>
      <c r="DG86" s="120"/>
      <c r="DH86" s="120"/>
      <c r="DI86" s="120"/>
      <c r="DJ86" s="120"/>
      <c r="DK86" s="120"/>
      <c r="DL86" s="120"/>
      <c r="DM86" s="120"/>
      <c r="DN86" s="120"/>
      <c r="DO86" s="120"/>
      <c r="DP86" s="120"/>
      <c r="DQ86" s="120"/>
      <c r="DR86" s="120"/>
      <c r="DS86" s="120"/>
      <c r="DT86" s="120"/>
      <c r="DU86" s="120"/>
      <c r="DV86" s="120"/>
      <c r="DW86" s="120"/>
      <c r="DX86" s="120"/>
      <c r="DY86" s="120"/>
      <c r="DZ86" s="120"/>
      <c r="EA86" s="120"/>
      <c r="EB86" s="120"/>
      <c r="EC86" s="120"/>
      <c r="ED86" s="120"/>
      <c r="EE86" s="120"/>
      <c r="EF86" s="120"/>
      <c r="EG86" s="120"/>
      <c r="EH86" s="120"/>
      <c r="EI86" s="120"/>
      <c r="EJ86" s="120"/>
      <c r="EK86" s="120"/>
      <c r="EL86" s="120"/>
      <c r="EM86" s="120"/>
      <c r="EN86" s="120"/>
      <c r="EO86" s="120"/>
      <c r="EP86" s="120"/>
      <c r="EQ86" s="120"/>
      <c r="ER86" s="120"/>
      <c r="ES86" s="120"/>
      <c r="ET86" s="120"/>
      <c r="EU86" s="120"/>
      <c r="EV86" s="120"/>
      <c r="EW86" s="120"/>
    </row>
    <row r="87">
      <c r="A87" s="28"/>
      <c r="B87" s="18"/>
      <c r="C87" s="111"/>
      <c r="D87" s="111"/>
      <c r="E87" s="20"/>
      <c r="F87" s="20"/>
      <c r="G87" s="21"/>
      <c r="H87" s="133"/>
      <c r="I87" s="18"/>
      <c r="J87" s="111"/>
      <c r="K87" s="111"/>
      <c r="L87" s="111"/>
      <c r="M87" s="20"/>
      <c r="N87" s="20"/>
      <c r="O87" s="21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3"/>
      <c r="BY87" s="133"/>
      <c r="BZ87" s="133"/>
      <c r="CA87" s="133"/>
      <c r="CB87" s="133"/>
      <c r="CC87" s="133"/>
      <c r="CD87" s="133"/>
      <c r="CE87" s="133"/>
      <c r="CF87" s="133"/>
      <c r="CG87" s="133"/>
      <c r="CH87" s="133"/>
      <c r="CI87" s="133"/>
      <c r="CJ87" s="133"/>
      <c r="CK87" s="133"/>
      <c r="CL87" s="133"/>
      <c r="CM87" s="133"/>
      <c r="CN87" s="133"/>
      <c r="CO87" s="133"/>
      <c r="CP87" s="133"/>
      <c r="CQ87" s="133"/>
      <c r="CR87" s="133"/>
      <c r="CS87" s="133"/>
      <c r="CT87" s="133"/>
      <c r="CU87" s="133"/>
      <c r="CV87" s="133"/>
      <c r="CW87" s="133"/>
      <c r="CX87" s="133"/>
      <c r="CY87" s="133"/>
      <c r="CZ87" s="133"/>
      <c r="DA87" s="133"/>
      <c r="DB87" s="133"/>
      <c r="DC87" s="133"/>
      <c r="DD87" s="133"/>
      <c r="DE87" s="133"/>
      <c r="DF87" s="133"/>
      <c r="DG87" s="133"/>
      <c r="DH87" s="133"/>
      <c r="DI87" s="133"/>
      <c r="DJ87" s="133"/>
      <c r="DK87" s="133"/>
      <c r="DL87" s="133"/>
      <c r="DM87" s="133"/>
      <c r="DN87" s="133"/>
      <c r="DO87" s="133"/>
      <c r="DP87" s="133"/>
      <c r="DQ87" s="133"/>
      <c r="DR87" s="133"/>
      <c r="DS87" s="133"/>
      <c r="DT87" s="133"/>
      <c r="DU87" s="133"/>
      <c r="DV87" s="133"/>
      <c r="DW87" s="133"/>
      <c r="DX87" s="133"/>
      <c r="DY87" s="133"/>
      <c r="DZ87" s="133"/>
      <c r="EA87" s="133"/>
      <c r="EB87" s="133"/>
      <c r="EC87" s="133"/>
      <c r="ED87" s="133"/>
      <c r="EE87" s="133"/>
      <c r="EF87" s="133"/>
      <c r="EG87" s="133"/>
      <c r="EH87" s="133"/>
      <c r="EI87" s="133"/>
      <c r="EJ87" s="133"/>
      <c r="EK87" s="133"/>
      <c r="EL87" s="133"/>
      <c r="EM87" s="133"/>
      <c r="EN87" s="133"/>
      <c r="EO87" s="133"/>
      <c r="EP87" s="133"/>
      <c r="EQ87" s="133"/>
      <c r="ER87" s="133"/>
      <c r="ES87" s="133"/>
      <c r="ET87" s="133"/>
      <c r="EU87" s="133"/>
      <c r="EV87" s="133"/>
      <c r="EW87" s="133"/>
    </row>
    <row r="88">
      <c r="A88" s="113"/>
      <c r="B88" s="12"/>
      <c r="C88" s="114"/>
      <c r="D88" s="114"/>
      <c r="E88" s="14"/>
      <c r="F88" s="14"/>
      <c r="G88" s="15"/>
      <c r="H88" s="133"/>
      <c r="I88" s="126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0"/>
      <c r="CR88" s="120"/>
      <c r="CS88" s="120"/>
      <c r="CT88" s="120"/>
      <c r="CU88" s="120"/>
      <c r="CV88" s="120"/>
      <c r="CW88" s="120"/>
      <c r="CX88" s="120"/>
      <c r="CY88" s="120"/>
      <c r="CZ88" s="120"/>
      <c r="DA88" s="120"/>
      <c r="DB88" s="120"/>
      <c r="DC88" s="120"/>
      <c r="DD88" s="120"/>
      <c r="DE88" s="120"/>
      <c r="DF88" s="120"/>
      <c r="DG88" s="120"/>
      <c r="DH88" s="120"/>
      <c r="DI88" s="120"/>
      <c r="DJ88" s="120"/>
      <c r="DK88" s="120"/>
      <c r="DL88" s="120"/>
      <c r="DM88" s="120"/>
      <c r="DN88" s="120"/>
      <c r="DO88" s="120"/>
      <c r="DP88" s="120"/>
      <c r="DQ88" s="120"/>
      <c r="DR88" s="120"/>
      <c r="DS88" s="120"/>
      <c r="DT88" s="120"/>
      <c r="DU88" s="120"/>
      <c r="DV88" s="120"/>
      <c r="DW88" s="120"/>
      <c r="DX88" s="120"/>
      <c r="DY88" s="120"/>
      <c r="DZ88" s="120"/>
      <c r="EA88" s="120"/>
      <c r="EB88" s="120"/>
      <c r="EC88" s="120"/>
      <c r="ED88" s="120"/>
      <c r="EE88" s="120"/>
      <c r="EF88" s="120"/>
      <c r="EG88" s="120"/>
      <c r="EH88" s="120"/>
      <c r="EI88" s="120"/>
      <c r="EJ88" s="120"/>
      <c r="EK88" s="120"/>
      <c r="EL88" s="120"/>
      <c r="EM88" s="120"/>
      <c r="EN88" s="120"/>
      <c r="EO88" s="120"/>
      <c r="EP88" s="120"/>
      <c r="EQ88" s="120"/>
      <c r="ER88" s="120"/>
      <c r="ES88" s="120"/>
      <c r="ET88" s="120"/>
      <c r="EU88" s="120"/>
      <c r="EV88" s="120"/>
      <c r="EW88" s="120"/>
    </row>
    <row r="89" ht="22.5" customHeight="1">
      <c r="A89" s="105" t="s">
        <v>1</v>
      </c>
      <c r="B89" s="105" t="s">
        <v>2</v>
      </c>
      <c r="C89" s="105" t="s">
        <v>3</v>
      </c>
      <c r="D89" s="106" t="s">
        <v>4</v>
      </c>
      <c r="E89" s="107" t="s">
        <v>5</v>
      </c>
      <c r="F89" s="108" t="s">
        <v>6</v>
      </c>
      <c r="G89" s="105" t="s">
        <v>84</v>
      </c>
      <c r="H89" s="133"/>
      <c r="I89" s="126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  <c r="BX89" s="133"/>
      <c r="BY89" s="133"/>
      <c r="BZ89" s="133"/>
      <c r="CA89" s="133"/>
      <c r="CB89" s="133"/>
      <c r="CC89" s="133"/>
      <c r="CD89" s="133"/>
      <c r="CE89" s="133"/>
      <c r="CF89" s="133"/>
      <c r="CG89" s="133"/>
      <c r="CH89" s="133"/>
      <c r="CI89" s="133"/>
      <c r="CJ89" s="133"/>
      <c r="CK89" s="133"/>
      <c r="CL89" s="133"/>
      <c r="CM89" s="133"/>
      <c r="CN89" s="133"/>
      <c r="CO89" s="133"/>
      <c r="CP89" s="133"/>
      <c r="CQ89" s="133"/>
      <c r="CR89" s="133"/>
      <c r="CS89" s="133"/>
      <c r="CT89" s="133"/>
      <c r="CU89" s="133"/>
      <c r="CV89" s="133"/>
      <c r="CW89" s="133"/>
      <c r="CX89" s="133"/>
      <c r="CY89" s="133"/>
      <c r="CZ89" s="133"/>
      <c r="DA89" s="133"/>
      <c r="DB89" s="133"/>
      <c r="DC89" s="133"/>
      <c r="DD89" s="133"/>
      <c r="DE89" s="133"/>
      <c r="DF89" s="133"/>
      <c r="DG89" s="133"/>
      <c r="DH89" s="133"/>
      <c r="DI89" s="133"/>
      <c r="DJ89" s="133"/>
      <c r="DK89" s="133"/>
      <c r="DL89" s="133"/>
      <c r="DM89" s="133"/>
      <c r="DN89" s="133"/>
      <c r="DO89" s="133"/>
      <c r="DP89" s="133"/>
      <c r="DQ89" s="133"/>
      <c r="DR89" s="133"/>
      <c r="DS89" s="133"/>
      <c r="DT89" s="133"/>
      <c r="DU89" s="133"/>
      <c r="DV89" s="133"/>
      <c r="DW89" s="133"/>
      <c r="DX89" s="133"/>
      <c r="DY89" s="133"/>
      <c r="DZ89" s="133"/>
      <c r="EA89" s="133"/>
      <c r="EB89" s="133"/>
      <c r="EC89" s="133"/>
      <c r="ED89" s="133"/>
      <c r="EE89" s="133"/>
      <c r="EF89" s="133"/>
      <c r="EG89" s="133"/>
      <c r="EH89" s="133"/>
      <c r="EI89" s="133"/>
      <c r="EJ89" s="133"/>
      <c r="EK89" s="133"/>
      <c r="EL89" s="133"/>
      <c r="EM89" s="133"/>
      <c r="EN89" s="133"/>
      <c r="EO89" s="133"/>
      <c r="EP89" s="133"/>
      <c r="EQ89" s="133"/>
      <c r="ER89" s="133"/>
      <c r="ES89" s="133"/>
      <c r="ET89" s="133"/>
      <c r="EU89" s="133"/>
      <c r="EV89" s="133"/>
      <c r="EW89" s="133"/>
    </row>
    <row r="90">
      <c r="A90" s="136">
        <v>46202.0</v>
      </c>
      <c r="B90" s="18" t="s">
        <v>8</v>
      </c>
      <c r="C90" s="19" t="s">
        <v>157</v>
      </c>
      <c r="D90" s="19">
        <v>10.0</v>
      </c>
      <c r="E90" s="20">
        <v>25000.0</v>
      </c>
      <c r="F90" s="20">
        <f t="shared" ref="F90:F120" si="7">D90*E90</f>
        <v>250000</v>
      </c>
      <c r="G90" s="21" t="s">
        <v>10</v>
      </c>
      <c r="I90" s="138">
        <v>46202.0</v>
      </c>
      <c r="J90" s="29" t="s">
        <v>8</v>
      </c>
      <c r="K90" s="98" t="s">
        <v>16</v>
      </c>
      <c r="L90" s="98">
        <v>0.48</v>
      </c>
      <c r="M90" s="32">
        <v>25000.0</v>
      </c>
      <c r="N90" s="32">
        <f t="shared" ref="N90:N95" si="8">L90*M90</f>
        <v>12000</v>
      </c>
      <c r="O90" s="33" t="s">
        <v>10</v>
      </c>
      <c r="Q90" s="109"/>
      <c r="S90" s="28"/>
      <c r="T90" s="28"/>
      <c r="U90" s="111"/>
      <c r="V90" s="111"/>
      <c r="W90" s="20"/>
      <c r="X90" s="20"/>
      <c r="Y90" s="21"/>
    </row>
    <row r="91">
      <c r="A91" s="135">
        <v>46202.0</v>
      </c>
      <c r="B91" s="12" t="s">
        <v>8</v>
      </c>
      <c r="C91" s="13" t="s">
        <v>158</v>
      </c>
      <c r="D91" s="13">
        <v>5.0</v>
      </c>
      <c r="E91" s="14">
        <v>25000.0</v>
      </c>
      <c r="F91" s="14">
        <f t="shared" si="7"/>
        <v>125000</v>
      </c>
      <c r="G91" s="15" t="s">
        <v>10</v>
      </c>
      <c r="I91" s="97">
        <v>46203.0</v>
      </c>
      <c r="J91" s="29" t="s">
        <v>8</v>
      </c>
      <c r="K91" s="98" t="s">
        <v>16</v>
      </c>
      <c r="L91" s="98">
        <v>0.19</v>
      </c>
      <c r="M91" s="32">
        <v>25000.0</v>
      </c>
      <c r="N91" s="32">
        <f t="shared" si="8"/>
        <v>4750</v>
      </c>
      <c r="O91" s="33" t="s">
        <v>10</v>
      </c>
      <c r="Q91" s="109"/>
      <c r="S91" s="28"/>
      <c r="T91" s="28"/>
      <c r="U91" s="111"/>
      <c r="V91" s="111"/>
      <c r="W91" s="20"/>
      <c r="X91" s="20"/>
      <c r="Y91" s="21"/>
    </row>
    <row r="92">
      <c r="A92" s="136">
        <v>46202.0</v>
      </c>
      <c r="B92" s="18" t="s">
        <v>8</v>
      </c>
      <c r="C92" s="19" t="s">
        <v>67</v>
      </c>
      <c r="D92" s="19">
        <v>2.0</v>
      </c>
      <c r="E92" s="20">
        <v>25000.0</v>
      </c>
      <c r="F92" s="20">
        <f t="shared" si="7"/>
        <v>50000</v>
      </c>
      <c r="G92" s="21" t="s">
        <v>10</v>
      </c>
      <c r="I92" s="97">
        <v>46204.0</v>
      </c>
      <c r="J92" s="29" t="s">
        <v>8</v>
      </c>
      <c r="K92" s="98" t="s">
        <v>16</v>
      </c>
      <c r="L92" s="98">
        <v>0.27</v>
      </c>
      <c r="M92" s="32">
        <v>25000.0</v>
      </c>
      <c r="N92" s="32">
        <f t="shared" si="8"/>
        <v>6750</v>
      </c>
      <c r="O92" s="33" t="s">
        <v>10</v>
      </c>
      <c r="Q92" s="109"/>
      <c r="S92" s="28"/>
      <c r="T92" s="28"/>
      <c r="U92" s="111"/>
      <c r="V92" s="111"/>
      <c r="W92" s="20"/>
      <c r="X92" s="20"/>
      <c r="Y92" s="21"/>
    </row>
    <row r="93">
      <c r="A93" s="135">
        <v>46202.0</v>
      </c>
      <c r="B93" s="12" t="s">
        <v>8</v>
      </c>
      <c r="C93" s="13" t="s">
        <v>159</v>
      </c>
      <c r="D93" s="13">
        <v>3.0</v>
      </c>
      <c r="E93" s="14">
        <v>25000.0</v>
      </c>
      <c r="F93" s="14">
        <f t="shared" si="7"/>
        <v>75000</v>
      </c>
      <c r="G93" s="15" t="s">
        <v>10</v>
      </c>
      <c r="I93" s="97">
        <v>46205.0</v>
      </c>
      <c r="J93" s="29" t="s">
        <v>8</v>
      </c>
      <c r="K93" s="98" t="s">
        <v>16</v>
      </c>
      <c r="L93" s="98">
        <v>0.42</v>
      </c>
      <c r="M93" s="32">
        <v>25000.0</v>
      </c>
      <c r="N93" s="32">
        <f t="shared" si="8"/>
        <v>10500</v>
      </c>
      <c r="O93" s="33" t="s">
        <v>10</v>
      </c>
      <c r="Q93" s="109"/>
      <c r="S93" s="28"/>
      <c r="T93" s="28"/>
      <c r="U93" s="111"/>
      <c r="V93" s="111"/>
      <c r="W93" s="20"/>
      <c r="X93" s="20"/>
      <c r="Y93" s="21"/>
    </row>
    <row r="94">
      <c r="A94" s="136">
        <v>46202.0</v>
      </c>
      <c r="B94" s="18" t="s">
        <v>8</v>
      </c>
      <c r="C94" s="19" t="s">
        <v>14</v>
      </c>
      <c r="D94" s="19">
        <v>1.0</v>
      </c>
      <c r="E94" s="20">
        <v>25000.0</v>
      </c>
      <c r="F94" s="20">
        <f t="shared" si="7"/>
        <v>25000</v>
      </c>
      <c r="G94" s="21" t="s">
        <v>10</v>
      </c>
      <c r="I94" s="97">
        <v>46206.0</v>
      </c>
      <c r="J94" s="29" t="s">
        <v>8</v>
      </c>
      <c r="K94" s="98" t="s">
        <v>16</v>
      </c>
      <c r="L94" s="98">
        <v>0.46</v>
      </c>
      <c r="M94" s="32">
        <v>25000.0</v>
      </c>
      <c r="N94" s="32">
        <f t="shared" si="8"/>
        <v>11500</v>
      </c>
      <c r="O94" s="33" t="s">
        <v>10</v>
      </c>
      <c r="Q94" s="109"/>
      <c r="S94" s="28"/>
      <c r="T94" s="28"/>
      <c r="U94" s="111"/>
      <c r="V94" s="111"/>
      <c r="W94" s="20"/>
      <c r="X94" s="20"/>
      <c r="Y94" s="21"/>
    </row>
    <row r="95">
      <c r="A95" s="135">
        <v>46202.0</v>
      </c>
      <c r="B95" s="12" t="s">
        <v>8</v>
      </c>
      <c r="C95" s="13" t="s">
        <v>62</v>
      </c>
      <c r="D95" s="13">
        <v>1.0</v>
      </c>
      <c r="E95" s="14">
        <v>25000.0</v>
      </c>
      <c r="F95" s="14">
        <f t="shared" si="7"/>
        <v>25000</v>
      </c>
      <c r="G95" s="15" t="s">
        <v>10</v>
      </c>
      <c r="I95" s="97">
        <v>46207.0</v>
      </c>
      <c r="J95" s="29" t="s">
        <v>8</v>
      </c>
      <c r="K95" s="98" t="s">
        <v>16</v>
      </c>
      <c r="L95" s="98">
        <v>1.5</v>
      </c>
      <c r="M95" s="32">
        <v>25000.0</v>
      </c>
      <c r="N95" s="32">
        <f t="shared" si="8"/>
        <v>37500</v>
      </c>
      <c r="O95" s="33" t="s">
        <v>10</v>
      </c>
      <c r="Q95" s="109"/>
      <c r="S95" s="28"/>
      <c r="T95" s="28"/>
      <c r="U95" s="111"/>
      <c r="V95" s="111"/>
      <c r="W95" s="20"/>
      <c r="X95" s="20"/>
      <c r="Y95" s="21"/>
    </row>
    <row r="96">
      <c r="A96" s="136">
        <v>46202.0</v>
      </c>
      <c r="B96" s="18" t="s">
        <v>8</v>
      </c>
      <c r="C96" s="19" t="s">
        <v>160</v>
      </c>
      <c r="D96" s="19">
        <v>1.0</v>
      </c>
      <c r="E96" s="20">
        <v>25000.0</v>
      </c>
      <c r="F96" s="20">
        <f t="shared" si="7"/>
        <v>25000</v>
      </c>
      <c r="G96" s="21" t="s">
        <v>10</v>
      </c>
      <c r="I96" s="115" t="s">
        <v>142</v>
      </c>
      <c r="K96" s="116"/>
      <c r="L96" s="117">
        <f>SUM(L90:L95)</f>
        <v>3.32</v>
      </c>
      <c r="M96" s="116"/>
      <c r="N96" s="118">
        <f>SUM(N90:N95)</f>
        <v>83000</v>
      </c>
      <c r="O96" s="119"/>
      <c r="P96" s="20"/>
      <c r="Q96" s="21"/>
    </row>
    <row r="97">
      <c r="A97" s="11">
        <v>46203.0</v>
      </c>
      <c r="B97" s="12" t="s">
        <v>8</v>
      </c>
      <c r="C97" s="13" t="s">
        <v>137</v>
      </c>
      <c r="D97" s="13">
        <v>1.0</v>
      </c>
      <c r="E97" s="14">
        <v>25000.0</v>
      </c>
      <c r="F97" s="14">
        <f t="shared" si="7"/>
        <v>25000</v>
      </c>
      <c r="G97" s="15" t="s">
        <v>10</v>
      </c>
      <c r="I97" s="115" t="s">
        <v>142</v>
      </c>
      <c r="K97" s="116"/>
      <c r="L97" s="117">
        <f>SUM(D121,L96)</f>
        <v>84.32</v>
      </c>
      <c r="M97" s="116"/>
      <c r="N97" s="123">
        <f>SUM(F121,N96)</f>
        <v>2108000</v>
      </c>
      <c r="O97" s="119"/>
      <c r="P97" s="20"/>
      <c r="Q97" s="21"/>
    </row>
    <row r="98">
      <c r="A98" s="17">
        <v>46203.0</v>
      </c>
      <c r="B98" s="18" t="s">
        <v>8</v>
      </c>
      <c r="C98" s="19" t="s">
        <v>156</v>
      </c>
      <c r="D98" s="19">
        <v>1.0</v>
      </c>
      <c r="E98" s="20">
        <v>25000.0</v>
      </c>
      <c r="F98" s="20">
        <f t="shared" si="7"/>
        <v>25000</v>
      </c>
      <c r="G98" s="21" t="s">
        <v>10</v>
      </c>
      <c r="I98" s="109"/>
      <c r="K98" s="28"/>
      <c r="L98" s="28"/>
      <c r="M98" s="111"/>
      <c r="N98" s="111"/>
      <c r="O98" s="20"/>
      <c r="P98" s="20"/>
      <c r="Q98" s="21"/>
    </row>
    <row r="99">
      <c r="A99" s="11">
        <v>46204.0</v>
      </c>
      <c r="B99" s="12" t="s">
        <v>8</v>
      </c>
      <c r="C99" s="13" t="s">
        <v>9</v>
      </c>
      <c r="D99" s="13">
        <v>3.0</v>
      </c>
      <c r="E99" s="14">
        <v>25000.0</v>
      </c>
      <c r="F99" s="14">
        <f t="shared" si="7"/>
        <v>75000</v>
      </c>
      <c r="G99" s="15" t="s">
        <v>10</v>
      </c>
      <c r="I99" s="109"/>
      <c r="K99" s="28"/>
      <c r="L99" s="28"/>
      <c r="M99" s="111"/>
      <c r="N99" s="111"/>
      <c r="O99" s="20"/>
      <c r="P99" s="20"/>
      <c r="Q99" s="21"/>
    </row>
    <row r="100">
      <c r="A100" s="17">
        <v>46204.0</v>
      </c>
      <c r="B100" s="18" t="s">
        <v>8</v>
      </c>
      <c r="C100" s="19" t="s">
        <v>39</v>
      </c>
      <c r="D100" s="19">
        <v>2.0</v>
      </c>
      <c r="E100" s="20">
        <v>25000.0</v>
      </c>
      <c r="F100" s="20">
        <f t="shared" si="7"/>
        <v>50000</v>
      </c>
      <c r="G100" s="21" t="s">
        <v>10</v>
      </c>
      <c r="I100" s="109"/>
      <c r="K100" s="28"/>
      <c r="L100" s="28"/>
      <c r="M100" s="111"/>
      <c r="N100" s="111"/>
      <c r="O100" s="20"/>
      <c r="P100" s="20"/>
      <c r="Q100" s="21"/>
    </row>
    <row r="101">
      <c r="A101" s="11">
        <v>46204.0</v>
      </c>
      <c r="B101" s="12" t="s">
        <v>8</v>
      </c>
      <c r="C101" s="13" t="s">
        <v>161</v>
      </c>
      <c r="D101" s="13">
        <v>1.0</v>
      </c>
      <c r="E101" s="14">
        <v>25000.0</v>
      </c>
      <c r="F101" s="14">
        <f t="shared" si="7"/>
        <v>25000</v>
      </c>
      <c r="G101" s="15" t="s">
        <v>10</v>
      </c>
      <c r="I101" s="109"/>
      <c r="K101" s="28"/>
      <c r="L101" s="28"/>
      <c r="M101" s="111"/>
      <c r="N101" s="111"/>
      <c r="O101" s="20"/>
      <c r="P101" s="20"/>
      <c r="Q101" s="21"/>
    </row>
    <row r="102">
      <c r="A102" s="17">
        <v>46205.0</v>
      </c>
      <c r="B102" s="18" t="s">
        <v>8</v>
      </c>
      <c r="C102" s="19" t="s">
        <v>151</v>
      </c>
      <c r="D102" s="19">
        <v>3.0</v>
      </c>
      <c r="E102" s="20">
        <v>25000.0</v>
      </c>
      <c r="F102" s="20">
        <f t="shared" si="7"/>
        <v>75000</v>
      </c>
      <c r="G102" s="21" t="s">
        <v>10</v>
      </c>
      <c r="I102" s="109"/>
      <c r="K102" s="28"/>
      <c r="L102" s="28"/>
      <c r="M102" s="111"/>
      <c r="N102" s="111"/>
      <c r="O102" s="20"/>
      <c r="P102" s="20"/>
      <c r="Q102" s="21"/>
    </row>
    <row r="103">
      <c r="A103" s="11">
        <v>46205.0</v>
      </c>
      <c r="B103" s="12" t="s">
        <v>8</v>
      </c>
      <c r="C103" s="13" t="s">
        <v>150</v>
      </c>
      <c r="D103" s="13">
        <v>2.0</v>
      </c>
      <c r="E103" s="14">
        <v>25000.0</v>
      </c>
      <c r="F103" s="14">
        <f t="shared" si="7"/>
        <v>50000</v>
      </c>
      <c r="G103" s="15" t="s">
        <v>10</v>
      </c>
      <c r="I103" s="109"/>
      <c r="K103" s="28"/>
      <c r="L103" s="28"/>
      <c r="M103" s="111"/>
      <c r="N103" s="111"/>
      <c r="O103" s="20"/>
      <c r="P103" s="20"/>
      <c r="Q103" s="21"/>
    </row>
    <row r="104">
      <c r="A104" s="17">
        <v>46205.0</v>
      </c>
      <c r="B104" s="18" t="s">
        <v>8</v>
      </c>
      <c r="C104" s="19" t="s">
        <v>29</v>
      </c>
      <c r="D104" s="19">
        <v>1.0</v>
      </c>
      <c r="E104" s="20">
        <v>25000.0</v>
      </c>
      <c r="F104" s="20">
        <f t="shared" si="7"/>
        <v>25000</v>
      </c>
      <c r="G104" s="21" t="s">
        <v>10</v>
      </c>
      <c r="I104" s="109"/>
      <c r="K104" s="28"/>
      <c r="L104" s="28"/>
      <c r="M104" s="111"/>
      <c r="N104" s="111"/>
      <c r="O104" s="20"/>
      <c r="P104" s="20"/>
      <c r="Q104" s="21"/>
    </row>
    <row r="105">
      <c r="A105" s="11">
        <v>46205.0</v>
      </c>
      <c r="B105" s="12" t="s">
        <v>8</v>
      </c>
      <c r="C105" s="13" t="s">
        <v>162</v>
      </c>
      <c r="D105" s="13">
        <v>1.0</v>
      </c>
      <c r="E105" s="14">
        <v>25000.0</v>
      </c>
      <c r="F105" s="14">
        <f t="shared" si="7"/>
        <v>25000</v>
      </c>
      <c r="G105" s="15" t="s">
        <v>10</v>
      </c>
      <c r="I105" s="109"/>
      <c r="K105" s="28"/>
      <c r="L105" s="28"/>
      <c r="M105" s="111"/>
      <c r="N105" s="111"/>
      <c r="O105" s="20"/>
      <c r="P105" s="20"/>
      <c r="Q105" s="21"/>
    </row>
    <row r="106">
      <c r="A106" s="17">
        <v>46205.0</v>
      </c>
      <c r="B106" s="18" t="s">
        <v>8</v>
      </c>
      <c r="C106" s="19" t="s">
        <v>163</v>
      </c>
      <c r="D106" s="19">
        <v>1.0</v>
      </c>
      <c r="E106" s="20">
        <v>25000.0</v>
      </c>
      <c r="F106" s="20">
        <f t="shared" si="7"/>
        <v>25000</v>
      </c>
      <c r="G106" s="21" t="s">
        <v>10</v>
      </c>
      <c r="I106" s="109"/>
      <c r="K106" s="28"/>
      <c r="L106" s="28"/>
      <c r="M106" s="111"/>
      <c r="N106" s="111"/>
      <c r="O106" s="20"/>
      <c r="P106" s="20"/>
      <c r="Q106" s="21"/>
    </row>
    <row r="107">
      <c r="A107" s="11">
        <v>46205.0</v>
      </c>
      <c r="B107" s="12" t="s">
        <v>8</v>
      </c>
      <c r="C107" s="13" t="s">
        <v>137</v>
      </c>
      <c r="D107" s="13">
        <v>1.0</v>
      </c>
      <c r="E107" s="14">
        <v>25000.0</v>
      </c>
      <c r="F107" s="14">
        <f t="shared" si="7"/>
        <v>25000</v>
      </c>
      <c r="G107" s="15" t="s">
        <v>10</v>
      </c>
      <c r="I107" s="109"/>
      <c r="K107" s="28"/>
      <c r="L107" s="28"/>
      <c r="M107" s="111"/>
      <c r="N107" s="111"/>
      <c r="O107" s="20"/>
      <c r="P107" s="20"/>
      <c r="Q107" s="21"/>
    </row>
    <row r="108">
      <c r="A108" s="17">
        <v>46205.0</v>
      </c>
      <c r="B108" s="18" t="s">
        <v>8</v>
      </c>
      <c r="C108" s="19" t="s">
        <v>164</v>
      </c>
      <c r="D108" s="19">
        <v>2.0</v>
      </c>
      <c r="E108" s="20">
        <v>25000.0</v>
      </c>
      <c r="F108" s="20">
        <f t="shared" si="7"/>
        <v>50000</v>
      </c>
      <c r="G108" s="21" t="s">
        <v>10</v>
      </c>
      <c r="I108" s="109"/>
      <c r="K108" s="28"/>
      <c r="L108" s="28"/>
      <c r="M108" s="111"/>
      <c r="N108" s="111"/>
      <c r="O108" s="20"/>
      <c r="P108" s="20"/>
      <c r="Q108" s="21"/>
    </row>
    <row r="109">
      <c r="A109" s="11">
        <v>46206.0</v>
      </c>
      <c r="B109" s="12" t="s">
        <v>8</v>
      </c>
      <c r="C109" s="13" t="s">
        <v>9</v>
      </c>
      <c r="D109" s="13">
        <v>6.0</v>
      </c>
      <c r="E109" s="14">
        <v>25000.0</v>
      </c>
      <c r="F109" s="14">
        <f t="shared" si="7"/>
        <v>150000</v>
      </c>
      <c r="G109" s="15" t="s">
        <v>10</v>
      </c>
      <c r="I109" s="109"/>
      <c r="K109" s="28"/>
      <c r="L109" s="28"/>
      <c r="M109" s="111"/>
      <c r="N109" s="111"/>
      <c r="O109" s="20"/>
      <c r="P109" s="20"/>
      <c r="Q109" s="21"/>
    </row>
    <row r="110">
      <c r="A110" s="17">
        <v>46206.0</v>
      </c>
      <c r="B110" s="18" t="s">
        <v>8</v>
      </c>
      <c r="C110" s="19" t="s">
        <v>165</v>
      </c>
      <c r="D110" s="19">
        <v>1.0</v>
      </c>
      <c r="E110" s="20">
        <v>25000.0</v>
      </c>
      <c r="F110" s="20">
        <f t="shared" si="7"/>
        <v>25000</v>
      </c>
      <c r="G110" s="21" t="s">
        <v>10</v>
      </c>
      <c r="I110" s="109"/>
      <c r="K110" s="28"/>
      <c r="L110" s="28"/>
      <c r="M110" s="111"/>
      <c r="N110" s="111"/>
      <c r="O110" s="20"/>
      <c r="P110" s="20"/>
      <c r="Q110" s="21"/>
    </row>
    <row r="111">
      <c r="A111" s="11">
        <v>46206.0</v>
      </c>
      <c r="B111" s="12" t="s">
        <v>8</v>
      </c>
      <c r="C111" s="13" t="s">
        <v>162</v>
      </c>
      <c r="D111" s="13">
        <v>1.0</v>
      </c>
      <c r="E111" s="14">
        <v>25000.0</v>
      </c>
      <c r="F111" s="14">
        <f t="shared" si="7"/>
        <v>25000</v>
      </c>
      <c r="G111" s="15" t="s">
        <v>10</v>
      </c>
      <c r="I111" s="109"/>
      <c r="K111" s="28"/>
      <c r="L111" s="28"/>
      <c r="M111" s="111"/>
      <c r="N111" s="111"/>
      <c r="O111" s="20"/>
      <c r="P111" s="20"/>
      <c r="Q111" s="21"/>
    </row>
    <row r="112">
      <c r="A112" s="17">
        <v>46206.0</v>
      </c>
      <c r="B112" s="18" t="s">
        <v>8</v>
      </c>
      <c r="C112" s="19" t="s">
        <v>12</v>
      </c>
      <c r="D112" s="19">
        <v>2.0</v>
      </c>
      <c r="E112" s="20">
        <v>25000.0</v>
      </c>
      <c r="F112" s="20">
        <f t="shared" si="7"/>
        <v>50000</v>
      </c>
      <c r="G112" s="21" t="s">
        <v>10</v>
      </c>
      <c r="I112" s="109"/>
      <c r="K112" s="28"/>
      <c r="L112" s="28"/>
      <c r="M112" s="111"/>
      <c r="N112" s="111"/>
      <c r="O112" s="20"/>
      <c r="P112" s="20"/>
      <c r="Q112" s="21"/>
    </row>
    <row r="113">
      <c r="A113" s="11">
        <v>46206.0</v>
      </c>
      <c r="B113" s="12" t="s">
        <v>8</v>
      </c>
      <c r="C113" s="13" t="s">
        <v>34</v>
      </c>
      <c r="D113" s="13">
        <v>1.0</v>
      </c>
      <c r="E113" s="14">
        <v>25000.0</v>
      </c>
      <c r="F113" s="14">
        <f t="shared" si="7"/>
        <v>25000</v>
      </c>
      <c r="G113" s="15" t="s">
        <v>10</v>
      </c>
      <c r="I113" s="109"/>
      <c r="K113" s="28"/>
      <c r="L113" s="28"/>
      <c r="M113" s="111"/>
      <c r="N113" s="111"/>
      <c r="O113" s="20"/>
      <c r="P113" s="20"/>
      <c r="Q113" s="21"/>
    </row>
    <row r="114">
      <c r="A114" s="17">
        <v>46206.0</v>
      </c>
      <c r="B114" s="18" t="s">
        <v>8</v>
      </c>
      <c r="C114" s="19" t="s">
        <v>11</v>
      </c>
      <c r="D114" s="19">
        <v>2.0</v>
      </c>
      <c r="E114" s="20">
        <v>25000.0</v>
      </c>
      <c r="F114" s="20">
        <f t="shared" si="7"/>
        <v>50000</v>
      </c>
      <c r="G114" s="21" t="s">
        <v>10</v>
      </c>
      <c r="I114" s="109"/>
      <c r="K114" s="28"/>
      <c r="L114" s="28"/>
      <c r="M114" s="111"/>
      <c r="N114" s="111"/>
      <c r="O114" s="20"/>
      <c r="P114" s="20"/>
      <c r="Q114" s="21"/>
    </row>
    <row r="115">
      <c r="A115" s="11">
        <v>46207.0</v>
      </c>
      <c r="B115" s="12" t="s">
        <v>8</v>
      </c>
      <c r="C115" s="13" t="s">
        <v>166</v>
      </c>
      <c r="D115" s="13">
        <v>10.0</v>
      </c>
      <c r="E115" s="14">
        <v>25000.0</v>
      </c>
      <c r="F115" s="14">
        <f t="shared" si="7"/>
        <v>250000</v>
      </c>
      <c r="G115" s="15" t="s">
        <v>10</v>
      </c>
      <c r="I115" s="109"/>
      <c r="K115" s="28"/>
      <c r="L115" s="28"/>
      <c r="M115" s="111"/>
      <c r="N115" s="111"/>
      <c r="O115" s="20"/>
      <c r="P115" s="20"/>
      <c r="Q115" s="21"/>
    </row>
    <row r="116">
      <c r="A116" s="17">
        <v>46207.0</v>
      </c>
      <c r="B116" s="18" t="s">
        <v>8</v>
      </c>
      <c r="C116" s="19" t="s">
        <v>39</v>
      </c>
      <c r="D116" s="19">
        <v>8.0</v>
      </c>
      <c r="E116" s="20">
        <v>25000.0</v>
      </c>
      <c r="F116" s="20">
        <f t="shared" si="7"/>
        <v>200000</v>
      </c>
      <c r="G116" s="21" t="s">
        <v>10</v>
      </c>
      <c r="I116" s="109"/>
      <c r="K116" s="28"/>
      <c r="L116" s="28"/>
      <c r="M116" s="111"/>
      <c r="N116" s="111"/>
      <c r="O116" s="20"/>
      <c r="P116" s="20"/>
      <c r="Q116" s="21"/>
    </row>
    <row r="117">
      <c r="A117" s="11">
        <v>46207.0</v>
      </c>
      <c r="B117" s="12" t="s">
        <v>8</v>
      </c>
      <c r="C117" s="13" t="s">
        <v>167</v>
      </c>
      <c r="D117" s="13">
        <v>3.0</v>
      </c>
      <c r="E117" s="14">
        <v>25000.0</v>
      </c>
      <c r="F117" s="14">
        <f t="shared" si="7"/>
        <v>75000</v>
      </c>
      <c r="G117" s="15" t="s">
        <v>10</v>
      </c>
      <c r="I117" s="109"/>
      <c r="K117" s="28"/>
      <c r="L117" s="28"/>
      <c r="M117" s="111"/>
      <c r="N117" s="111"/>
      <c r="O117" s="20"/>
      <c r="P117" s="20"/>
      <c r="Q117" s="21"/>
    </row>
    <row r="118">
      <c r="A118" s="17">
        <v>46207.0</v>
      </c>
      <c r="B118" s="18" t="s">
        <v>8</v>
      </c>
      <c r="C118" s="19" t="s">
        <v>155</v>
      </c>
      <c r="D118" s="19">
        <v>1.0</v>
      </c>
      <c r="E118" s="20">
        <v>25000.0</v>
      </c>
      <c r="F118" s="20">
        <f t="shared" si="7"/>
        <v>25000</v>
      </c>
      <c r="G118" s="21" t="s">
        <v>10</v>
      </c>
      <c r="I118" s="109"/>
      <c r="K118" s="28"/>
      <c r="L118" s="28"/>
      <c r="M118" s="111"/>
      <c r="N118" s="111"/>
      <c r="O118" s="20"/>
      <c r="P118" s="20"/>
      <c r="Q118" s="21"/>
    </row>
    <row r="119">
      <c r="A119" s="11">
        <v>46207.0</v>
      </c>
      <c r="B119" s="12" t="s">
        <v>8</v>
      </c>
      <c r="C119" s="13" t="s">
        <v>168</v>
      </c>
      <c r="D119" s="13">
        <v>1.0</v>
      </c>
      <c r="E119" s="14">
        <v>25000.0</v>
      </c>
      <c r="F119" s="14">
        <f t="shared" si="7"/>
        <v>25000</v>
      </c>
      <c r="G119" s="15" t="s">
        <v>10</v>
      </c>
      <c r="I119" s="109"/>
      <c r="K119" s="28"/>
      <c r="L119" s="28"/>
      <c r="M119" s="111"/>
      <c r="N119" s="111"/>
      <c r="O119" s="20"/>
      <c r="P119" s="20"/>
      <c r="Q119" s="21"/>
    </row>
    <row r="120">
      <c r="A120" s="17">
        <v>46207.0</v>
      </c>
      <c r="B120" s="18" t="s">
        <v>8</v>
      </c>
      <c r="C120" s="19" t="s">
        <v>12</v>
      </c>
      <c r="D120" s="19">
        <v>3.0</v>
      </c>
      <c r="E120" s="20">
        <v>25000.0</v>
      </c>
      <c r="F120" s="20">
        <f t="shared" si="7"/>
        <v>75000</v>
      </c>
      <c r="G120" s="21" t="s">
        <v>10</v>
      </c>
      <c r="I120" s="109"/>
      <c r="K120" s="28"/>
      <c r="L120" s="28"/>
      <c r="M120" s="111"/>
      <c r="N120" s="111"/>
      <c r="O120" s="20"/>
      <c r="P120" s="20"/>
      <c r="Q120" s="21"/>
    </row>
    <row r="121">
      <c r="A121" s="115" t="s">
        <v>142</v>
      </c>
      <c r="C121" s="116"/>
      <c r="D121" s="117">
        <f>SUM(D90:D120)</f>
        <v>81</v>
      </c>
      <c r="E121" s="116"/>
      <c r="F121" s="118">
        <f>SUM(F90:F120)</f>
        <v>2025000</v>
      </c>
      <c r="G121" s="119"/>
      <c r="I121" s="109"/>
      <c r="K121" s="28"/>
      <c r="L121" s="28"/>
      <c r="M121" s="111"/>
      <c r="N121" s="111"/>
      <c r="O121" s="20"/>
      <c r="P121" s="20"/>
      <c r="Q121" s="21"/>
    </row>
    <row r="122">
      <c r="A122" s="28"/>
      <c r="B122" s="18"/>
      <c r="C122" s="111"/>
      <c r="D122" s="111"/>
      <c r="E122" s="20"/>
      <c r="F122" s="20"/>
      <c r="G122" s="21"/>
      <c r="I122" s="109"/>
      <c r="K122" s="28"/>
      <c r="L122" s="28"/>
      <c r="M122" s="111"/>
      <c r="N122" s="111"/>
      <c r="O122" s="20"/>
      <c r="P122" s="20"/>
      <c r="Q122" s="21"/>
    </row>
    <row r="123">
      <c r="A123" s="113"/>
      <c r="B123" s="12"/>
      <c r="C123" s="114"/>
      <c r="D123" s="114"/>
      <c r="E123" s="14"/>
      <c r="F123" s="14"/>
      <c r="G123" s="15"/>
      <c r="I123" s="109"/>
      <c r="K123" s="28"/>
      <c r="L123" s="28"/>
      <c r="M123" s="111"/>
      <c r="N123" s="111"/>
      <c r="O123" s="20"/>
      <c r="P123" s="20"/>
      <c r="Q123" s="21"/>
    </row>
    <row r="124">
      <c r="A124" s="28"/>
      <c r="B124" s="18"/>
      <c r="C124" s="111"/>
      <c r="D124" s="111"/>
      <c r="E124" s="20"/>
      <c r="F124" s="20"/>
      <c r="G124" s="21"/>
      <c r="I124" s="109"/>
      <c r="K124" s="28"/>
      <c r="L124" s="28"/>
      <c r="M124" s="111"/>
      <c r="N124" s="111"/>
      <c r="O124" s="20"/>
      <c r="P124" s="20"/>
      <c r="Q124" s="21"/>
    </row>
    <row r="125">
      <c r="A125" s="113"/>
      <c r="B125" s="12"/>
      <c r="C125" s="114"/>
      <c r="D125" s="114"/>
      <c r="E125" s="14"/>
      <c r="F125" s="14"/>
      <c r="G125" s="15"/>
      <c r="I125" s="109"/>
      <c r="K125" s="28"/>
      <c r="L125" s="28"/>
      <c r="M125" s="111"/>
      <c r="N125" s="111"/>
      <c r="O125" s="20"/>
      <c r="P125" s="20"/>
      <c r="Q125" s="21"/>
    </row>
    <row r="126">
      <c r="A126" s="28"/>
      <c r="B126" s="18"/>
      <c r="C126" s="111"/>
      <c r="D126" s="111"/>
      <c r="E126" s="20"/>
      <c r="F126" s="20"/>
      <c r="G126" s="21"/>
      <c r="I126" s="109"/>
      <c r="K126" s="28"/>
      <c r="L126" s="28"/>
      <c r="M126" s="111"/>
      <c r="N126" s="111"/>
      <c r="O126" s="20"/>
      <c r="P126" s="20"/>
      <c r="Q126" s="21"/>
    </row>
    <row r="127">
      <c r="A127" s="113"/>
      <c r="B127" s="12"/>
      <c r="C127" s="114"/>
      <c r="D127" s="114"/>
      <c r="E127" s="14"/>
      <c r="F127" s="14"/>
      <c r="G127" s="15"/>
      <c r="I127" s="109"/>
      <c r="K127" s="28"/>
      <c r="L127" s="28"/>
      <c r="M127" s="111"/>
      <c r="N127" s="111"/>
      <c r="O127" s="20"/>
      <c r="P127" s="20"/>
      <c r="Q127" s="21"/>
    </row>
    <row r="128">
      <c r="A128" s="28"/>
      <c r="B128" s="18"/>
      <c r="C128" s="111"/>
      <c r="D128" s="111"/>
      <c r="E128" s="20"/>
      <c r="F128" s="20"/>
      <c r="G128" s="21"/>
      <c r="I128" s="109"/>
      <c r="K128" s="28"/>
      <c r="L128" s="28"/>
      <c r="M128" s="111"/>
      <c r="N128" s="111"/>
      <c r="O128" s="20"/>
      <c r="P128" s="20"/>
      <c r="Q128" s="21"/>
    </row>
    <row r="129">
      <c r="A129" s="113"/>
      <c r="B129" s="12"/>
      <c r="C129" s="114"/>
      <c r="D129" s="114"/>
      <c r="E129" s="14"/>
      <c r="F129" s="14"/>
      <c r="G129" s="15"/>
      <c r="I129" s="109"/>
      <c r="K129" s="28"/>
      <c r="L129" s="28"/>
      <c r="M129" s="111"/>
      <c r="N129" s="111"/>
      <c r="O129" s="20"/>
      <c r="P129" s="20"/>
      <c r="Q129" s="21"/>
    </row>
    <row r="130">
      <c r="A130" s="28"/>
      <c r="B130" s="18"/>
      <c r="C130" s="111"/>
      <c r="D130" s="111"/>
      <c r="E130" s="20"/>
      <c r="F130" s="20"/>
      <c r="G130" s="21"/>
      <c r="I130" s="109"/>
      <c r="K130" s="28"/>
      <c r="L130" s="28"/>
      <c r="M130" s="111"/>
      <c r="N130" s="111"/>
      <c r="O130" s="20"/>
      <c r="P130" s="20"/>
      <c r="Q130" s="21"/>
    </row>
    <row r="131">
      <c r="A131" s="113"/>
      <c r="B131" s="12"/>
      <c r="C131" s="114"/>
      <c r="D131" s="114"/>
      <c r="E131" s="14"/>
      <c r="F131" s="14"/>
      <c r="G131" s="15"/>
      <c r="I131" s="109"/>
      <c r="K131" s="28"/>
      <c r="L131" s="28"/>
      <c r="M131" s="111"/>
      <c r="N131" s="111"/>
      <c r="O131" s="20"/>
      <c r="P131" s="20"/>
      <c r="Q131" s="21"/>
    </row>
    <row r="132">
      <c r="A132" s="28"/>
      <c r="B132" s="18"/>
      <c r="C132" s="111"/>
      <c r="D132" s="111"/>
      <c r="E132" s="20"/>
      <c r="F132" s="20"/>
      <c r="G132" s="21"/>
      <c r="I132" s="109"/>
      <c r="K132" s="28"/>
      <c r="L132" s="28"/>
      <c r="M132" s="111"/>
      <c r="N132" s="111"/>
      <c r="O132" s="20"/>
      <c r="P132" s="20"/>
      <c r="Q132" s="21"/>
    </row>
    <row r="133">
      <c r="A133" s="113"/>
      <c r="B133" s="12"/>
      <c r="C133" s="114"/>
      <c r="D133" s="114"/>
      <c r="E133" s="14"/>
      <c r="F133" s="14"/>
      <c r="G133" s="15"/>
      <c r="I133" s="109"/>
      <c r="K133" s="28"/>
      <c r="L133" s="28"/>
      <c r="M133" s="111"/>
      <c r="N133" s="111"/>
      <c r="O133" s="20"/>
      <c r="P133" s="20"/>
      <c r="Q133" s="21"/>
    </row>
    <row r="134">
      <c r="A134" s="28"/>
      <c r="B134" s="18"/>
      <c r="C134" s="111"/>
      <c r="D134" s="111"/>
      <c r="E134" s="20"/>
      <c r="F134" s="20"/>
      <c r="G134" s="21"/>
      <c r="I134" s="109"/>
      <c r="K134" s="28"/>
      <c r="L134" s="28"/>
      <c r="M134" s="111"/>
      <c r="N134" s="111"/>
      <c r="O134" s="20"/>
      <c r="P134" s="20"/>
      <c r="Q134" s="21"/>
    </row>
    <row r="135">
      <c r="A135" s="115"/>
      <c r="C135" s="116"/>
      <c r="D135" s="115"/>
      <c r="E135" s="116"/>
      <c r="F135" s="115"/>
      <c r="G135" s="115"/>
      <c r="H135" s="133"/>
      <c r="I135" s="126"/>
      <c r="J135" s="133"/>
      <c r="K135" s="28"/>
      <c r="L135" s="28"/>
      <c r="M135" s="111"/>
      <c r="N135" s="111"/>
      <c r="O135" s="20"/>
      <c r="P135" s="20"/>
      <c r="Q135" s="21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I136" s="126"/>
      <c r="J136" s="110"/>
      <c r="K136" s="28"/>
      <c r="L136" s="28"/>
      <c r="M136" s="111"/>
      <c r="N136" s="111"/>
      <c r="O136" s="20"/>
      <c r="P136" s="20"/>
      <c r="Q136" s="21"/>
    </row>
    <row r="137">
      <c r="I137" s="139"/>
      <c r="J137" s="110"/>
      <c r="K137" s="28"/>
      <c r="L137" s="28"/>
      <c r="M137" s="111"/>
      <c r="N137" s="111"/>
      <c r="O137" s="20"/>
      <c r="P137" s="20"/>
      <c r="Q137" s="21"/>
    </row>
    <row r="138" ht="28.5" customHeight="1">
      <c r="A138" s="105"/>
      <c r="B138" s="105"/>
      <c r="C138" s="105"/>
      <c r="D138" s="105"/>
      <c r="E138" s="107"/>
      <c r="F138" s="107"/>
      <c r="G138" s="105"/>
      <c r="I138" s="139"/>
      <c r="J138" s="110"/>
      <c r="K138" s="110"/>
      <c r="L138" s="110"/>
      <c r="M138" s="110"/>
      <c r="N138" s="110"/>
      <c r="O138" s="110"/>
      <c r="P138" s="110"/>
      <c r="Q138" s="110"/>
    </row>
    <row r="139">
      <c r="A139" s="113"/>
      <c r="B139" s="12"/>
      <c r="C139" s="114"/>
      <c r="D139" s="114"/>
      <c r="E139" s="14"/>
      <c r="F139" s="14"/>
      <c r="G139" s="15"/>
      <c r="I139" s="18"/>
      <c r="J139" s="18"/>
      <c r="K139" s="111"/>
      <c r="L139" s="111"/>
      <c r="M139" s="20"/>
      <c r="N139" s="20"/>
      <c r="O139" s="21"/>
      <c r="P139" s="20"/>
      <c r="Q139" s="21"/>
    </row>
    <row r="140">
      <c r="A140" s="28"/>
      <c r="B140" s="18"/>
      <c r="C140" s="111"/>
      <c r="D140" s="111"/>
      <c r="E140" s="20"/>
      <c r="F140" s="20"/>
      <c r="G140" s="21"/>
      <c r="I140" s="18"/>
      <c r="J140" s="18"/>
      <c r="K140" s="111"/>
      <c r="L140" s="111"/>
      <c r="M140" s="20"/>
      <c r="N140" s="20"/>
      <c r="O140" s="21"/>
      <c r="P140" s="20"/>
      <c r="Q140" s="21"/>
    </row>
    <row r="141">
      <c r="A141" s="113"/>
      <c r="B141" s="12"/>
      <c r="C141" s="114"/>
      <c r="D141" s="114"/>
      <c r="E141" s="14"/>
      <c r="F141" s="14"/>
      <c r="G141" s="15"/>
      <c r="I141" s="18"/>
      <c r="J141" s="18"/>
      <c r="K141" s="111"/>
      <c r="L141" s="111"/>
      <c r="M141" s="20"/>
      <c r="N141" s="20"/>
      <c r="O141" s="21"/>
      <c r="P141" s="20"/>
      <c r="Q141" s="21"/>
    </row>
    <row r="142">
      <c r="A142" s="28"/>
      <c r="B142" s="18"/>
      <c r="C142" s="111"/>
      <c r="D142" s="111"/>
      <c r="E142" s="20"/>
      <c r="F142" s="20"/>
      <c r="G142" s="21"/>
      <c r="I142" s="18"/>
      <c r="J142" s="18"/>
      <c r="K142" s="111"/>
      <c r="L142" s="111"/>
      <c r="M142" s="20"/>
      <c r="N142" s="20"/>
      <c r="O142" s="21"/>
      <c r="P142" s="20"/>
      <c r="Q142" s="21"/>
    </row>
    <row r="143">
      <c r="A143" s="113"/>
      <c r="B143" s="12"/>
      <c r="C143" s="114"/>
      <c r="D143" s="114"/>
      <c r="E143" s="14"/>
      <c r="F143" s="14"/>
      <c r="G143" s="15"/>
      <c r="I143" s="18"/>
      <c r="J143" s="18"/>
      <c r="K143" s="111"/>
      <c r="L143" s="111"/>
      <c r="M143" s="20"/>
      <c r="N143" s="20"/>
      <c r="O143" s="21"/>
      <c r="P143" s="20"/>
      <c r="Q143" s="21"/>
    </row>
    <row r="144">
      <c r="A144" s="28"/>
      <c r="B144" s="18"/>
      <c r="C144" s="111"/>
      <c r="D144" s="111"/>
      <c r="E144" s="20"/>
      <c r="F144" s="20"/>
      <c r="G144" s="21"/>
      <c r="I144" s="18"/>
      <c r="J144" s="18"/>
      <c r="K144" s="111"/>
      <c r="L144" s="111"/>
      <c r="M144" s="20"/>
      <c r="N144" s="20"/>
      <c r="O144" s="21"/>
      <c r="P144" s="20"/>
      <c r="Q144" s="21"/>
    </row>
    <row r="145">
      <c r="A145" s="113"/>
      <c r="B145" s="12"/>
      <c r="C145" s="114"/>
      <c r="D145" s="114"/>
      <c r="E145" s="14"/>
      <c r="F145" s="14"/>
      <c r="G145" s="15"/>
      <c r="I145" s="18"/>
      <c r="J145" s="18"/>
      <c r="K145" s="111"/>
      <c r="L145" s="111"/>
      <c r="M145" s="20"/>
      <c r="N145" s="20"/>
      <c r="O145" s="21"/>
      <c r="P145" s="20"/>
      <c r="Q145" s="21"/>
    </row>
    <row r="146">
      <c r="A146" s="28"/>
      <c r="B146" s="18"/>
      <c r="C146" s="111"/>
      <c r="D146" s="111"/>
      <c r="E146" s="20"/>
      <c r="F146" s="20"/>
      <c r="G146" s="21"/>
      <c r="I146" s="18"/>
      <c r="J146" s="18"/>
      <c r="K146" s="111"/>
      <c r="L146" s="111"/>
      <c r="M146" s="20"/>
      <c r="N146" s="20"/>
      <c r="O146" s="21"/>
      <c r="P146" s="20"/>
      <c r="Q146" s="21"/>
    </row>
    <row r="147">
      <c r="A147" s="113"/>
      <c r="B147" s="12"/>
      <c r="C147" s="114"/>
      <c r="D147" s="114"/>
      <c r="E147" s="14"/>
      <c r="F147" s="14"/>
      <c r="G147" s="15"/>
      <c r="I147" s="18"/>
      <c r="J147" s="18"/>
      <c r="K147" s="111"/>
      <c r="L147" s="111"/>
      <c r="M147" s="20"/>
      <c r="N147" s="20"/>
      <c r="O147" s="21"/>
      <c r="P147" s="20"/>
      <c r="Q147" s="21"/>
    </row>
    <row r="148">
      <c r="A148" s="28"/>
      <c r="B148" s="18"/>
      <c r="C148" s="111"/>
      <c r="D148" s="111"/>
      <c r="E148" s="20"/>
      <c r="F148" s="20"/>
      <c r="G148" s="21"/>
      <c r="I148" s="18"/>
      <c r="J148" s="18"/>
      <c r="K148" s="111"/>
      <c r="L148" s="111"/>
      <c r="M148" s="20"/>
      <c r="N148" s="20"/>
      <c r="O148" s="21"/>
      <c r="P148" s="20"/>
      <c r="Q148" s="21"/>
    </row>
    <row r="149">
      <c r="A149" s="113"/>
      <c r="B149" s="12"/>
      <c r="C149" s="114"/>
      <c r="D149" s="114"/>
      <c r="E149" s="14"/>
      <c r="F149" s="14"/>
      <c r="G149" s="15"/>
      <c r="I149" s="18"/>
      <c r="J149" s="18"/>
      <c r="K149" s="111"/>
      <c r="L149" s="111"/>
      <c r="M149" s="20"/>
      <c r="N149" s="20"/>
      <c r="O149" s="21"/>
      <c r="P149" s="20"/>
      <c r="Q149" s="21"/>
    </row>
    <row r="150">
      <c r="A150" s="28"/>
      <c r="B150" s="18"/>
      <c r="C150" s="111"/>
      <c r="D150" s="111"/>
      <c r="E150" s="20"/>
      <c r="F150" s="20"/>
      <c r="G150" s="21"/>
      <c r="I150" s="18"/>
      <c r="J150" s="18"/>
      <c r="K150" s="111"/>
      <c r="L150" s="111"/>
      <c r="M150" s="20"/>
      <c r="N150" s="20"/>
      <c r="O150" s="21"/>
      <c r="P150" s="20"/>
      <c r="Q150" s="21"/>
    </row>
    <row r="151">
      <c r="A151" s="113"/>
      <c r="B151" s="12"/>
      <c r="C151" s="114"/>
      <c r="D151" s="114"/>
      <c r="E151" s="14"/>
      <c r="F151" s="14"/>
      <c r="G151" s="15"/>
      <c r="I151" s="18"/>
      <c r="J151" s="18"/>
      <c r="K151" s="111"/>
      <c r="L151" s="111"/>
      <c r="M151" s="20"/>
      <c r="N151" s="20"/>
      <c r="O151" s="21"/>
      <c r="P151" s="20"/>
      <c r="Q151" s="21"/>
    </row>
    <row r="152">
      <c r="A152" s="28"/>
      <c r="B152" s="18"/>
      <c r="C152" s="111"/>
      <c r="D152" s="111"/>
      <c r="E152" s="20"/>
      <c r="F152" s="20"/>
      <c r="G152" s="21"/>
      <c r="I152" s="18"/>
      <c r="J152" s="18"/>
      <c r="K152" s="111"/>
      <c r="L152" s="111"/>
      <c r="M152" s="20"/>
      <c r="N152" s="20"/>
      <c r="O152" s="21"/>
      <c r="P152" s="20"/>
      <c r="Q152" s="21"/>
    </row>
    <row r="153">
      <c r="A153" s="113"/>
      <c r="B153" s="12"/>
      <c r="C153" s="114"/>
      <c r="D153" s="114"/>
      <c r="E153" s="14"/>
      <c r="F153" s="14"/>
      <c r="G153" s="15"/>
      <c r="I153" s="18"/>
      <c r="J153" s="18"/>
      <c r="K153" s="111"/>
      <c r="L153" s="111"/>
      <c r="M153" s="20"/>
      <c r="N153" s="20"/>
      <c r="O153" s="21"/>
      <c r="P153" s="20"/>
      <c r="Q153" s="21"/>
    </row>
    <row r="154">
      <c r="A154" s="28"/>
      <c r="B154" s="18"/>
      <c r="C154" s="111"/>
      <c r="D154" s="111"/>
      <c r="E154" s="20"/>
      <c r="F154" s="20"/>
      <c r="G154" s="21"/>
      <c r="I154" s="18"/>
      <c r="J154" s="18"/>
      <c r="K154" s="111"/>
      <c r="L154" s="111"/>
      <c r="M154" s="20"/>
      <c r="N154" s="20"/>
      <c r="O154" s="21"/>
      <c r="P154" s="20"/>
      <c r="Q154" s="21"/>
    </row>
    <row r="155">
      <c r="A155" s="113"/>
      <c r="B155" s="12"/>
      <c r="C155" s="114"/>
      <c r="D155" s="114"/>
      <c r="E155" s="14"/>
      <c r="F155" s="14"/>
      <c r="G155" s="15"/>
      <c r="I155" s="18"/>
      <c r="J155" s="18"/>
      <c r="K155" s="111"/>
      <c r="L155" s="111"/>
      <c r="M155" s="20"/>
      <c r="N155" s="20"/>
      <c r="O155" s="21"/>
      <c r="P155" s="20"/>
      <c r="Q155" s="21"/>
    </row>
    <row r="156">
      <c r="A156" s="28"/>
      <c r="B156" s="18"/>
      <c r="C156" s="111"/>
      <c r="D156" s="111"/>
      <c r="E156" s="20"/>
      <c r="F156" s="20"/>
      <c r="G156" s="21"/>
      <c r="I156" s="18"/>
      <c r="J156" s="18"/>
      <c r="K156" s="111"/>
      <c r="L156" s="111"/>
      <c r="M156" s="20"/>
      <c r="N156" s="20"/>
      <c r="O156" s="21"/>
      <c r="P156" s="20"/>
      <c r="Q156" s="21"/>
    </row>
    <row r="157">
      <c r="A157" s="113"/>
      <c r="B157" s="12"/>
      <c r="C157" s="114"/>
      <c r="D157" s="114"/>
      <c r="E157" s="14"/>
      <c r="F157" s="14"/>
      <c r="G157" s="15"/>
      <c r="I157" s="18"/>
      <c r="J157" s="18"/>
      <c r="K157" s="111"/>
      <c r="L157" s="111"/>
      <c r="M157" s="20"/>
      <c r="N157" s="20"/>
      <c r="O157" s="21"/>
      <c r="P157" s="20"/>
      <c r="Q157" s="21"/>
    </row>
    <row r="158">
      <c r="A158" s="28"/>
      <c r="B158" s="18"/>
      <c r="C158" s="111"/>
      <c r="D158" s="111"/>
      <c r="E158" s="20"/>
      <c r="F158" s="20"/>
      <c r="G158" s="21"/>
      <c r="I158" s="18"/>
      <c r="J158" s="18"/>
      <c r="K158" s="111"/>
      <c r="L158" s="111"/>
      <c r="M158" s="20"/>
      <c r="N158" s="20"/>
      <c r="O158" s="21"/>
      <c r="P158" s="20"/>
      <c r="Q158" s="21"/>
    </row>
    <row r="159">
      <c r="A159" s="113"/>
      <c r="B159" s="12"/>
      <c r="C159" s="114"/>
      <c r="D159" s="114"/>
      <c r="E159" s="14"/>
      <c r="F159" s="14"/>
      <c r="G159" s="15"/>
      <c r="I159" s="18"/>
      <c r="J159" s="18"/>
      <c r="K159" s="111"/>
      <c r="L159" s="111"/>
      <c r="M159" s="20"/>
      <c r="N159" s="20"/>
      <c r="O159" s="21"/>
      <c r="P159" s="20"/>
      <c r="Q159" s="21"/>
    </row>
    <row r="160">
      <c r="A160" s="28"/>
      <c r="B160" s="18"/>
      <c r="C160" s="111"/>
      <c r="D160" s="111"/>
      <c r="E160" s="20"/>
      <c r="F160" s="20"/>
      <c r="G160" s="21"/>
      <c r="I160" s="18"/>
      <c r="J160" s="18"/>
      <c r="K160" s="111"/>
      <c r="L160" s="111"/>
      <c r="M160" s="20"/>
      <c r="N160" s="20"/>
      <c r="O160" s="21"/>
      <c r="P160" s="20"/>
      <c r="Q160" s="21"/>
    </row>
    <row r="161">
      <c r="A161" s="113"/>
      <c r="B161" s="12"/>
      <c r="C161" s="114"/>
      <c r="D161" s="114"/>
      <c r="E161" s="14"/>
      <c r="F161" s="14"/>
      <c r="G161" s="15"/>
      <c r="I161" s="18"/>
      <c r="J161" s="18"/>
      <c r="K161" s="111"/>
      <c r="L161" s="111"/>
      <c r="M161" s="20"/>
      <c r="N161" s="20"/>
      <c r="O161" s="21"/>
      <c r="P161" s="20"/>
      <c r="Q161" s="21"/>
    </row>
    <row r="162">
      <c r="A162" s="28"/>
      <c r="B162" s="18"/>
      <c r="C162" s="111"/>
      <c r="D162" s="111"/>
      <c r="E162" s="20"/>
      <c r="F162" s="20"/>
      <c r="G162" s="21"/>
      <c r="I162" s="18"/>
      <c r="J162" s="18"/>
      <c r="K162" s="111"/>
      <c r="L162" s="111"/>
      <c r="M162" s="20"/>
      <c r="N162" s="20"/>
      <c r="O162" s="21"/>
      <c r="P162" s="20"/>
      <c r="Q162" s="21"/>
    </row>
    <row r="163">
      <c r="A163" s="113"/>
      <c r="B163" s="12"/>
      <c r="C163" s="114"/>
      <c r="D163" s="114"/>
      <c r="E163" s="14"/>
      <c r="F163" s="14"/>
      <c r="G163" s="15"/>
      <c r="I163" s="18"/>
      <c r="J163" s="18"/>
      <c r="K163" s="111"/>
      <c r="L163" s="111"/>
      <c r="M163" s="20"/>
      <c r="N163" s="20"/>
      <c r="O163" s="21"/>
      <c r="P163" s="20"/>
      <c r="Q163" s="21"/>
    </row>
    <row r="164">
      <c r="A164" s="28"/>
      <c r="B164" s="18"/>
      <c r="C164" s="111"/>
      <c r="D164" s="111"/>
      <c r="E164" s="20"/>
      <c r="F164" s="20"/>
      <c r="G164" s="21"/>
      <c r="I164" s="18"/>
      <c r="J164" s="18"/>
      <c r="K164" s="111"/>
      <c r="L164" s="111"/>
      <c r="M164" s="20"/>
      <c r="N164" s="20"/>
      <c r="O164" s="21"/>
      <c r="P164" s="20"/>
      <c r="Q164" s="21"/>
    </row>
    <row r="165">
      <c r="A165" s="113"/>
      <c r="B165" s="12"/>
      <c r="C165" s="114"/>
      <c r="D165" s="114"/>
      <c r="E165" s="14"/>
      <c r="F165" s="14"/>
      <c r="G165" s="15"/>
      <c r="I165" s="18"/>
      <c r="J165" s="18"/>
      <c r="K165" s="111"/>
      <c r="L165" s="111"/>
      <c r="M165" s="20"/>
      <c r="N165" s="20"/>
      <c r="O165" s="21"/>
      <c r="P165" s="20"/>
      <c r="Q165" s="21"/>
    </row>
    <row r="166">
      <c r="A166" s="28"/>
      <c r="B166" s="18"/>
      <c r="C166" s="111"/>
      <c r="D166" s="111"/>
      <c r="E166" s="20"/>
      <c r="F166" s="20"/>
      <c r="G166" s="21"/>
      <c r="I166" s="18"/>
      <c r="J166" s="18"/>
      <c r="K166" s="111"/>
      <c r="L166" s="111"/>
      <c r="M166" s="20"/>
      <c r="N166" s="20"/>
      <c r="O166" s="21"/>
      <c r="P166" s="20"/>
      <c r="Q166" s="21"/>
    </row>
    <row r="167">
      <c r="A167" s="113"/>
      <c r="B167" s="12"/>
      <c r="C167" s="114"/>
      <c r="D167" s="114"/>
      <c r="E167" s="14"/>
      <c r="F167" s="14"/>
      <c r="G167" s="15"/>
      <c r="I167" s="18"/>
      <c r="J167" s="18"/>
      <c r="K167" s="111"/>
      <c r="L167" s="111"/>
      <c r="M167" s="20"/>
      <c r="N167" s="20"/>
      <c r="O167" s="21"/>
      <c r="P167" s="20"/>
      <c r="Q167" s="21"/>
    </row>
    <row r="168">
      <c r="A168" s="28"/>
      <c r="B168" s="18"/>
      <c r="C168" s="111"/>
      <c r="D168" s="111"/>
      <c r="E168" s="20"/>
      <c r="F168" s="20"/>
      <c r="G168" s="21"/>
      <c r="I168" s="18"/>
      <c r="J168" s="18"/>
      <c r="K168" s="111"/>
      <c r="L168" s="111"/>
      <c r="M168" s="20"/>
      <c r="N168" s="20"/>
      <c r="O168" s="21"/>
      <c r="P168" s="20"/>
      <c r="Q168" s="21"/>
    </row>
    <row r="169">
      <c r="A169" s="113"/>
      <c r="B169" s="12"/>
      <c r="C169" s="114"/>
      <c r="D169" s="114"/>
      <c r="E169" s="14"/>
      <c r="F169" s="14"/>
      <c r="G169" s="15"/>
      <c r="I169" s="18"/>
      <c r="J169" s="18"/>
      <c r="K169" s="111"/>
      <c r="L169" s="111"/>
      <c r="M169" s="20"/>
      <c r="N169" s="20"/>
      <c r="O169" s="21"/>
      <c r="P169" s="20"/>
      <c r="Q169" s="21"/>
    </row>
    <row r="170">
      <c r="A170" s="28"/>
      <c r="B170" s="18"/>
      <c r="C170" s="111"/>
      <c r="D170" s="111"/>
      <c r="E170" s="20"/>
      <c r="F170" s="20"/>
      <c r="G170" s="21"/>
      <c r="I170" s="18"/>
      <c r="J170" s="18"/>
      <c r="K170" s="111"/>
      <c r="L170" s="111"/>
      <c r="M170" s="20"/>
      <c r="N170" s="20"/>
      <c r="O170" s="21"/>
      <c r="P170" s="20"/>
      <c r="Q170" s="21"/>
    </row>
    <row r="171">
      <c r="A171" s="113"/>
      <c r="B171" s="12"/>
      <c r="C171" s="114"/>
      <c r="D171" s="114"/>
      <c r="E171" s="14"/>
      <c r="F171" s="14"/>
      <c r="G171" s="15"/>
      <c r="I171" s="18"/>
      <c r="J171" s="18"/>
      <c r="K171" s="111"/>
      <c r="L171" s="111"/>
      <c r="M171" s="20"/>
      <c r="N171" s="20"/>
      <c r="O171" s="21"/>
      <c r="P171" s="20"/>
      <c r="Q171" s="21"/>
    </row>
    <row r="172">
      <c r="A172" s="28"/>
      <c r="B172" s="18"/>
      <c r="C172" s="111"/>
      <c r="D172" s="111"/>
      <c r="E172" s="20"/>
      <c r="F172" s="20"/>
      <c r="G172" s="21"/>
      <c r="I172" s="18"/>
      <c r="J172" s="18"/>
      <c r="K172" s="111"/>
      <c r="L172" s="111"/>
      <c r="M172" s="20"/>
      <c r="N172" s="20"/>
      <c r="O172" s="21"/>
      <c r="P172" s="20"/>
      <c r="Q172" s="21"/>
    </row>
    <row r="173">
      <c r="A173" s="113"/>
      <c r="B173" s="12"/>
      <c r="C173" s="114"/>
      <c r="D173" s="114"/>
      <c r="E173" s="14"/>
      <c r="F173" s="14"/>
      <c r="G173" s="15"/>
      <c r="I173" s="18"/>
      <c r="J173" s="18"/>
      <c r="K173" s="111"/>
      <c r="L173" s="111"/>
      <c r="M173" s="20"/>
      <c r="N173" s="20"/>
      <c r="O173" s="21"/>
      <c r="P173" s="20"/>
      <c r="Q173" s="21"/>
    </row>
    <row r="174">
      <c r="A174" s="28"/>
      <c r="B174" s="18"/>
      <c r="C174" s="111"/>
      <c r="D174" s="111"/>
      <c r="E174" s="20"/>
      <c r="F174" s="20"/>
      <c r="G174" s="21"/>
      <c r="I174" s="18"/>
      <c r="J174" s="18"/>
      <c r="K174" s="111"/>
      <c r="L174" s="111"/>
      <c r="M174" s="20"/>
      <c r="N174" s="20"/>
      <c r="O174" s="21"/>
      <c r="P174" s="20"/>
      <c r="Q174" s="21"/>
    </row>
    <row r="175">
      <c r="A175" s="113"/>
      <c r="B175" s="12"/>
      <c r="C175" s="114"/>
      <c r="D175" s="114"/>
      <c r="E175" s="14"/>
      <c r="F175" s="14"/>
      <c r="G175" s="15"/>
      <c r="I175" s="18"/>
      <c r="J175" s="18"/>
      <c r="K175" s="111"/>
      <c r="L175" s="111"/>
      <c r="M175" s="20"/>
      <c r="N175" s="20"/>
      <c r="O175" s="21"/>
      <c r="P175" s="20"/>
      <c r="Q175" s="21"/>
    </row>
    <row r="176">
      <c r="A176" s="28"/>
      <c r="B176" s="18"/>
      <c r="C176" s="111"/>
      <c r="D176" s="111"/>
      <c r="E176" s="20"/>
      <c r="F176" s="20"/>
      <c r="G176" s="21"/>
      <c r="I176" s="18"/>
      <c r="J176" s="18"/>
      <c r="K176" s="111"/>
      <c r="L176" s="111"/>
      <c r="M176" s="20"/>
      <c r="N176" s="20"/>
      <c r="O176" s="21"/>
      <c r="P176" s="20"/>
      <c r="Q176" s="21"/>
    </row>
    <row r="177">
      <c r="A177" s="113"/>
      <c r="B177" s="12"/>
      <c r="C177" s="114"/>
      <c r="D177" s="114"/>
      <c r="E177" s="14"/>
      <c r="F177" s="14"/>
      <c r="G177" s="15"/>
      <c r="I177" s="18"/>
      <c r="J177" s="18"/>
      <c r="K177" s="111"/>
      <c r="L177" s="111"/>
      <c r="M177" s="20"/>
      <c r="N177" s="20"/>
      <c r="O177" s="21"/>
      <c r="P177" s="20"/>
      <c r="Q177" s="21"/>
    </row>
    <row r="178">
      <c r="A178" s="140"/>
      <c r="B178" s="141"/>
      <c r="C178" s="18"/>
      <c r="D178" s="18"/>
      <c r="E178" s="20"/>
      <c r="F178" s="20"/>
      <c r="G178" s="24"/>
      <c r="I178" s="18"/>
      <c r="J178" s="18"/>
      <c r="K178" s="111"/>
      <c r="L178" s="111"/>
      <c r="M178" s="20"/>
      <c r="N178" s="20"/>
      <c r="O178" s="21"/>
      <c r="P178" s="20"/>
      <c r="Q178" s="21"/>
    </row>
    <row r="179">
      <c r="A179" s="142"/>
      <c r="B179" s="143"/>
      <c r="C179" s="12"/>
      <c r="D179" s="12"/>
      <c r="E179" s="14"/>
      <c r="F179" s="14"/>
      <c r="G179" s="144"/>
      <c r="I179" s="141"/>
      <c r="J179" s="141"/>
      <c r="K179" s="18"/>
      <c r="L179" s="18"/>
      <c r="M179" s="20"/>
      <c r="N179" s="20"/>
      <c r="O179" s="24"/>
      <c r="P179" s="20"/>
      <c r="Q179" s="21"/>
    </row>
    <row r="180">
      <c r="A180" s="28"/>
      <c r="B180" s="18"/>
      <c r="C180" s="111"/>
      <c r="D180" s="111"/>
      <c r="E180" s="20"/>
      <c r="F180" s="20"/>
      <c r="G180" s="21"/>
      <c r="I180" s="141"/>
      <c r="J180" s="141"/>
      <c r="K180" s="18"/>
      <c r="L180" s="18"/>
      <c r="M180" s="20"/>
      <c r="N180" s="20"/>
      <c r="O180" s="24"/>
      <c r="P180" s="20"/>
      <c r="Q180" s="21"/>
    </row>
    <row r="181">
      <c r="A181" s="113"/>
      <c r="B181" s="12"/>
      <c r="C181" s="114"/>
      <c r="D181" s="114"/>
      <c r="E181" s="14"/>
      <c r="F181" s="14"/>
      <c r="G181" s="15"/>
      <c r="I181" s="18"/>
      <c r="J181" s="18"/>
      <c r="K181" s="111"/>
      <c r="L181" s="111"/>
      <c r="M181" s="20"/>
      <c r="N181" s="20"/>
      <c r="O181" s="21"/>
      <c r="P181" s="20"/>
      <c r="Q181" s="21"/>
    </row>
    <row r="182">
      <c r="A182" s="28"/>
      <c r="B182" s="18"/>
      <c r="C182" s="111"/>
      <c r="D182" s="111"/>
      <c r="E182" s="20"/>
      <c r="F182" s="20"/>
      <c r="G182" s="21"/>
      <c r="I182" s="18"/>
      <c r="J182" s="18"/>
      <c r="K182" s="111"/>
      <c r="L182" s="111"/>
      <c r="M182" s="20"/>
      <c r="N182" s="20"/>
      <c r="O182" s="21"/>
      <c r="P182" s="20"/>
      <c r="Q182" s="21"/>
    </row>
    <row r="183">
      <c r="A183" s="113"/>
      <c r="B183" s="12"/>
      <c r="C183" s="114"/>
      <c r="D183" s="114"/>
      <c r="E183" s="14"/>
      <c r="F183" s="14"/>
      <c r="G183" s="15"/>
      <c r="I183" s="18"/>
      <c r="J183" s="18"/>
      <c r="K183" s="111"/>
      <c r="L183" s="111"/>
      <c r="M183" s="20"/>
      <c r="N183" s="20"/>
      <c r="O183" s="21"/>
      <c r="P183" s="20"/>
      <c r="Q183" s="21"/>
    </row>
    <row r="184">
      <c r="A184" s="28"/>
      <c r="B184" s="18"/>
      <c r="C184" s="111"/>
      <c r="D184" s="111"/>
      <c r="E184" s="20"/>
      <c r="F184" s="20"/>
      <c r="G184" s="21"/>
      <c r="I184" s="18"/>
      <c r="J184" s="18"/>
      <c r="K184" s="111"/>
      <c r="L184" s="111"/>
      <c r="M184" s="20"/>
      <c r="N184" s="20"/>
      <c r="O184" s="21"/>
      <c r="P184" s="20"/>
      <c r="Q184" s="21"/>
    </row>
    <row r="185">
      <c r="A185" s="113"/>
      <c r="B185" s="12"/>
      <c r="C185" s="114"/>
      <c r="D185" s="114"/>
      <c r="E185" s="14"/>
      <c r="F185" s="14"/>
      <c r="G185" s="15"/>
      <c r="I185" s="18"/>
      <c r="J185" s="18"/>
      <c r="K185" s="111"/>
      <c r="L185" s="111"/>
      <c r="M185" s="20"/>
      <c r="N185" s="20"/>
      <c r="O185" s="21"/>
      <c r="P185" s="20"/>
      <c r="Q185" s="21"/>
    </row>
    <row r="186">
      <c r="A186" s="28"/>
      <c r="B186" s="18"/>
      <c r="C186" s="111"/>
      <c r="D186" s="111"/>
      <c r="E186" s="20"/>
      <c r="F186" s="20"/>
      <c r="G186" s="21"/>
      <c r="I186" s="18"/>
      <c r="J186" s="18"/>
      <c r="K186" s="111"/>
      <c r="L186" s="111"/>
      <c r="M186" s="20"/>
      <c r="N186" s="20"/>
      <c r="O186" s="21"/>
      <c r="P186" s="20"/>
      <c r="Q186" s="21"/>
    </row>
    <row r="187">
      <c r="A187" s="113"/>
      <c r="B187" s="12"/>
      <c r="C187" s="114"/>
      <c r="D187" s="114"/>
      <c r="E187" s="14"/>
      <c r="F187" s="14"/>
      <c r="G187" s="15"/>
      <c r="I187" s="18"/>
      <c r="J187" s="18"/>
      <c r="K187" s="111"/>
      <c r="L187" s="111"/>
      <c r="M187" s="20"/>
      <c r="N187" s="20"/>
      <c r="O187" s="21"/>
      <c r="P187" s="20"/>
      <c r="Q187" s="21"/>
    </row>
    <row r="188">
      <c r="A188" s="28"/>
      <c r="B188" s="18"/>
      <c r="C188" s="111"/>
      <c r="D188" s="111"/>
      <c r="E188" s="20"/>
      <c r="F188" s="20"/>
      <c r="G188" s="21"/>
      <c r="I188" s="18"/>
      <c r="J188" s="18"/>
      <c r="K188" s="111"/>
      <c r="L188" s="111"/>
      <c r="M188" s="20"/>
      <c r="N188" s="20"/>
      <c r="O188" s="21"/>
      <c r="P188" s="20"/>
      <c r="Q188" s="21"/>
    </row>
    <row r="189">
      <c r="A189" s="113"/>
      <c r="B189" s="12"/>
      <c r="C189" s="114"/>
      <c r="D189" s="114"/>
      <c r="E189" s="14"/>
      <c r="F189" s="14"/>
      <c r="G189" s="15"/>
      <c r="I189" s="18"/>
      <c r="J189" s="18"/>
      <c r="K189" s="111"/>
      <c r="L189" s="111"/>
      <c r="M189" s="20"/>
      <c r="N189" s="20"/>
      <c r="O189" s="21"/>
      <c r="P189" s="20"/>
      <c r="Q189" s="21"/>
    </row>
    <row r="190">
      <c r="A190" s="28"/>
      <c r="B190" s="18"/>
      <c r="C190" s="111"/>
      <c r="D190" s="111"/>
      <c r="E190" s="20"/>
      <c r="F190" s="20"/>
      <c r="G190" s="21"/>
      <c r="I190" s="18"/>
      <c r="J190" s="18"/>
      <c r="K190" s="111"/>
      <c r="L190" s="111"/>
      <c r="M190" s="20"/>
      <c r="N190" s="20"/>
      <c r="O190" s="21"/>
      <c r="P190" s="20"/>
      <c r="Q190" s="21"/>
    </row>
    <row r="191">
      <c r="A191" s="113"/>
      <c r="B191" s="12"/>
      <c r="C191" s="114"/>
      <c r="D191" s="114"/>
      <c r="E191" s="14"/>
      <c r="F191" s="14"/>
      <c r="G191" s="15"/>
      <c r="I191" s="18"/>
      <c r="J191" s="18"/>
      <c r="K191" s="111"/>
      <c r="L191" s="111"/>
      <c r="M191" s="20"/>
      <c r="N191" s="20"/>
      <c r="O191" s="21"/>
      <c r="P191" s="20"/>
      <c r="Q191" s="21"/>
    </row>
    <row r="192">
      <c r="A192" s="28"/>
      <c r="B192" s="18"/>
      <c r="C192" s="111"/>
      <c r="D192" s="111"/>
      <c r="E192" s="20"/>
      <c r="F192" s="20"/>
      <c r="G192" s="21"/>
      <c r="I192" s="18"/>
      <c r="J192" s="18"/>
      <c r="K192" s="111"/>
      <c r="L192" s="111"/>
      <c r="M192" s="20"/>
      <c r="N192" s="20"/>
      <c r="O192" s="21"/>
      <c r="P192" s="20"/>
      <c r="Q192" s="21"/>
    </row>
    <row r="193">
      <c r="A193" s="113"/>
      <c r="B193" s="12"/>
      <c r="C193" s="114"/>
      <c r="D193" s="114"/>
      <c r="E193" s="14"/>
      <c r="F193" s="14"/>
      <c r="G193" s="15"/>
      <c r="I193" s="18"/>
      <c r="J193" s="18"/>
      <c r="K193" s="111"/>
      <c r="L193" s="111"/>
      <c r="M193" s="20"/>
      <c r="N193" s="20"/>
      <c r="O193" s="21"/>
      <c r="P193" s="20"/>
      <c r="Q193" s="21"/>
    </row>
    <row r="194">
      <c r="A194" s="28"/>
      <c r="B194" s="18"/>
      <c r="C194" s="111"/>
      <c r="D194" s="111"/>
      <c r="E194" s="20"/>
      <c r="F194" s="20"/>
      <c r="G194" s="21"/>
      <c r="I194" s="18"/>
      <c r="J194" s="18"/>
      <c r="K194" s="111"/>
      <c r="L194" s="111"/>
      <c r="M194" s="20"/>
      <c r="N194" s="20"/>
      <c r="O194" s="21"/>
      <c r="P194" s="20"/>
      <c r="Q194" s="24"/>
    </row>
    <row r="195">
      <c r="A195" s="113"/>
      <c r="B195" s="12"/>
      <c r="C195" s="114"/>
      <c r="D195" s="114"/>
      <c r="E195" s="14"/>
      <c r="F195" s="14"/>
      <c r="G195" s="15"/>
      <c r="I195" s="18"/>
      <c r="J195" s="18"/>
      <c r="K195" s="111"/>
      <c r="L195" s="111"/>
      <c r="M195" s="20"/>
      <c r="N195" s="20"/>
      <c r="O195" s="21"/>
      <c r="P195" s="20"/>
      <c r="Q195" s="21"/>
    </row>
    <row r="196">
      <c r="A196" s="28"/>
      <c r="B196" s="18"/>
      <c r="C196" s="111"/>
      <c r="D196" s="111"/>
      <c r="E196" s="20"/>
      <c r="F196" s="20"/>
      <c r="G196" s="21"/>
      <c r="I196" s="18"/>
      <c r="J196" s="18"/>
      <c r="K196" s="111"/>
      <c r="L196" s="111"/>
      <c r="M196" s="20"/>
      <c r="N196" s="20"/>
      <c r="O196" s="21"/>
      <c r="P196" s="20"/>
      <c r="Q196" s="21"/>
    </row>
    <row r="197">
      <c r="A197" s="115"/>
      <c r="C197" s="116"/>
      <c r="D197" s="115"/>
      <c r="E197" s="116"/>
      <c r="F197" s="115"/>
      <c r="G197" s="115"/>
      <c r="H197" s="133"/>
      <c r="I197" s="18"/>
      <c r="J197" s="18"/>
      <c r="K197" s="111"/>
      <c r="L197" s="111"/>
      <c r="M197" s="20"/>
      <c r="N197" s="20"/>
      <c r="O197" s="21"/>
      <c r="P197" s="20"/>
      <c r="Q197" s="21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I198" s="18"/>
      <c r="J198" s="18"/>
      <c r="K198" s="111"/>
      <c r="L198" s="111"/>
      <c r="M198" s="20"/>
      <c r="N198" s="20"/>
      <c r="O198" s="21"/>
      <c r="P198" s="20"/>
      <c r="Q198" s="21"/>
    </row>
    <row r="199">
      <c r="I199" s="18"/>
      <c r="J199" s="18"/>
      <c r="K199" s="111"/>
      <c r="L199" s="111"/>
      <c r="M199" s="20"/>
      <c r="N199" s="20"/>
      <c r="O199" s="21"/>
      <c r="P199" s="20"/>
      <c r="Q199" s="21"/>
    </row>
    <row r="200" ht="28.5" customHeight="1">
      <c r="A200" s="105" t="s">
        <v>1</v>
      </c>
      <c r="B200" s="105" t="s">
        <v>2</v>
      </c>
      <c r="C200" s="105" t="s">
        <v>3</v>
      </c>
      <c r="D200" s="105" t="s">
        <v>4</v>
      </c>
      <c r="E200" s="107" t="s">
        <v>5</v>
      </c>
      <c r="F200" s="107" t="s">
        <v>6</v>
      </c>
      <c r="G200" s="105" t="s">
        <v>84</v>
      </c>
      <c r="I200" s="139"/>
      <c r="J200" s="110"/>
      <c r="K200" s="110"/>
      <c r="L200" s="110"/>
      <c r="M200" s="110"/>
      <c r="N200" s="110"/>
      <c r="O200" s="110"/>
      <c r="P200" s="110"/>
      <c r="Q200" s="110"/>
    </row>
    <row r="201">
      <c r="A201" s="145">
        <v>46153.0</v>
      </c>
      <c r="B201" s="146" t="s">
        <v>8</v>
      </c>
      <c r="C201" s="147" t="s">
        <v>140</v>
      </c>
      <c r="D201" s="147">
        <v>6.0</v>
      </c>
      <c r="E201" s="148">
        <v>25000.0</v>
      </c>
      <c r="F201" s="148">
        <f t="shared" ref="F201:F252" si="9">D201*E201</f>
        <v>150000</v>
      </c>
      <c r="G201" s="149" t="s">
        <v>10</v>
      </c>
      <c r="I201" s="150">
        <f>SUM(F253,F308,F328,F349,F357)</f>
        <v>7971500</v>
      </c>
      <c r="K201" s="28"/>
      <c r="L201" s="18"/>
      <c r="M201" s="111"/>
      <c r="N201" s="111"/>
      <c r="O201" s="20"/>
      <c r="P201" s="20"/>
      <c r="Q201" s="21"/>
    </row>
    <row r="202">
      <c r="A202" s="28">
        <v>46153.0</v>
      </c>
      <c r="B202" s="18" t="s">
        <v>8</v>
      </c>
      <c r="C202" s="111" t="s">
        <v>169</v>
      </c>
      <c r="D202" s="111">
        <v>6.0</v>
      </c>
      <c r="E202" s="20">
        <v>25000.0</v>
      </c>
      <c r="F202" s="20">
        <f t="shared" si="9"/>
        <v>150000</v>
      </c>
      <c r="G202" s="21" t="s">
        <v>10</v>
      </c>
      <c r="I202" s="109"/>
      <c r="K202" s="28"/>
      <c r="L202" s="18"/>
      <c r="M202" s="111"/>
      <c r="N202" s="111"/>
      <c r="O202" s="20"/>
      <c r="P202" s="20"/>
      <c r="Q202" s="21"/>
    </row>
    <row r="203">
      <c r="A203" s="113">
        <v>46153.0</v>
      </c>
      <c r="B203" s="12" t="s">
        <v>8</v>
      </c>
      <c r="C203" s="114" t="s">
        <v>170</v>
      </c>
      <c r="D203" s="114">
        <v>3.0</v>
      </c>
      <c r="E203" s="14">
        <v>25000.0</v>
      </c>
      <c r="F203" s="14">
        <f t="shared" si="9"/>
        <v>75000</v>
      </c>
      <c r="G203" s="15" t="s">
        <v>10</v>
      </c>
      <c r="I203" s="109"/>
      <c r="K203" s="28"/>
      <c r="L203" s="18"/>
      <c r="M203" s="111"/>
      <c r="N203" s="111"/>
      <c r="O203" s="20"/>
      <c r="P203" s="20"/>
      <c r="Q203" s="21"/>
    </row>
    <row r="204">
      <c r="A204" s="28">
        <v>46153.0</v>
      </c>
      <c r="B204" s="18" t="s">
        <v>8</v>
      </c>
      <c r="C204" s="111" t="s">
        <v>171</v>
      </c>
      <c r="D204" s="111">
        <v>1.0</v>
      </c>
      <c r="E204" s="20">
        <v>25000.0</v>
      </c>
      <c r="F204" s="20">
        <f t="shared" si="9"/>
        <v>25000</v>
      </c>
      <c r="G204" s="21" t="s">
        <v>10</v>
      </c>
      <c r="I204" s="109"/>
      <c r="K204" s="28"/>
      <c r="L204" s="18"/>
      <c r="M204" s="111"/>
      <c r="N204" s="111"/>
      <c r="O204" s="20"/>
      <c r="P204" s="20"/>
      <c r="Q204" s="21"/>
    </row>
    <row r="205">
      <c r="A205" s="113">
        <v>46153.0</v>
      </c>
      <c r="B205" s="12" t="s">
        <v>8</v>
      </c>
      <c r="C205" s="114" t="s">
        <v>172</v>
      </c>
      <c r="D205" s="114">
        <v>1.0</v>
      </c>
      <c r="E205" s="14">
        <v>25000.0</v>
      </c>
      <c r="F205" s="14">
        <f t="shared" si="9"/>
        <v>25000</v>
      </c>
      <c r="G205" s="15" t="s">
        <v>10</v>
      </c>
      <c r="I205" s="109"/>
      <c r="K205" s="28"/>
      <c r="L205" s="18"/>
      <c r="M205" s="111"/>
      <c r="N205" s="111"/>
      <c r="O205" s="20"/>
      <c r="P205" s="20"/>
      <c r="Q205" s="21"/>
    </row>
    <row r="206">
      <c r="A206" s="28">
        <v>46153.0</v>
      </c>
      <c r="B206" s="18" t="s">
        <v>8</v>
      </c>
      <c r="C206" s="111" t="s">
        <v>173</v>
      </c>
      <c r="D206" s="111">
        <v>1.0</v>
      </c>
      <c r="E206" s="20">
        <v>25000.0</v>
      </c>
      <c r="F206" s="20">
        <f t="shared" si="9"/>
        <v>25000</v>
      </c>
      <c r="G206" s="21" t="s">
        <v>10</v>
      </c>
      <c r="I206" s="109"/>
      <c r="K206" s="28"/>
      <c r="L206" s="18"/>
      <c r="M206" s="111"/>
      <c r="N206" s="111"/>
      <c r="O206" s="20"/>
      <c r="P206" s="20"/>
      <c r="Q206" s="21"/>
    </row>
    <row r="207">
      <c r="A207" s="113">
        <v>46153.0</v>
      </c>
      <c r="B207" s="12" t="s">
        <v>8</v>
      </c>
      <c r="C207" s="114" t="s">
        <v>174</v>
      </c>
      <c r="D207" s="114">
        <v>1.0</v>
      </c>
      <c r="E207" s="14">
        <v>25000.0</v>
      </c>
      <c r="F207" s="14">
        <f t="shared" si="9"/>
        <v>25000</v>
      </c>
      <c r="G207" s="15" t="s">
        <v>10</v>
      </c>
      <c r="I207" s="109"/>
      <c r="K207" s="28"/>
      <c r="L207" s="18"/>
      <c r="M207" s="111"/>
      <c r="N207" s="111"/>
      <c r="O207" s="20"/>
      <c r="P207" s="20"/>
      <c r="Q207" s="21"/>
    </row>
    <row r="208">
      <c r="A208" s="28">
        <v>46153.0</v>
      </c>
      <c r="B208" s="18" t="s">
        <v>8</v>
      </c>
      <c r="C208" s="111" t="s">
        <v>175</v>
      </c>
      <c r="D208" s="111">
        <v>1.0</v>
      </c>
      <c r="E208" s="20">
        <v>25000.0</v>
      </c>
      <c r="F208" s="20">
        <f t="shared" si="9"/>
        <v>25000</v>
      </c>
      <c r="G208" s="21" t="s">
        <v>10</v>
      </c>
      <c r="I208" s="109"/>
      <c r="K208" s="28"/>
      <c r="L208" s="18"/>
      <c r="M208" s="111"/>
      <c r="N208" s="111"/>
      <c r="O208" s="20"/>
      <c r="P208" s="20"/>
      <c r="Q208" s="21"/>
    </row>
    <row r="209">
      <c r="A209" s="113">
        <v>46153.0</v>
      </c>
      <c r="B209" s="12" t="s">
        <v>8</v>
      </c>
      <c r="C209" s="114" t="s">
        <v>176</v>
      </c>
      <c r="D209" s="114">
        <v>1.0</v>
      </c>
      <c r="E209" s="14">
        <v>25000.0</v>
      </c>
      <c r="F209" s="14">
        <f t="shared" si="9"/>
        <v>25000</v>
      </c>
      <c r="G209" s="15" t="s">
        <v>10</v>
      </c>
      <c r="I209" s="109"/>
      <c r="K209" s="28"/>
      <c r="L209" s="18"/>
      <c r="M209" s="111"/>
      <c r="N209" s="111"/>
      <c r="O209" s="20"/>
      <c r="P209" s="20"/>
      <c r="Q209" s="21"/>
    </row>
    <row r="210">
      <c r="A210" s="28">
        <v>46153.0</v>
      </c>
      <c r="B210" s="18" t="s">
        <v>8</v>
      </c>
      <c r="C210" s="111" t="s">
        <v>177</v>
      </c>
      <c r="D210" s="111">
        <v>1.0</v>
      </c>
      <c r="E210" s="20">
        <v>25000.0</v>
      </c>
      <c r="F210" s="20">
        <f t="shared" si="9"/>
        <v>25000</v>
      </c>
      <c r="G210" s="21" t="s">
        <v>10</v>
      </c>
      <c r="I210" s="109"/>
      <c r="K210" s="28"/>
      <c r="L210" s="18"/>
      <c r="M210" s="111"/>
      <c r="N210" s="111"/>
      <c r="O210" s="20"/>
      <c r="P210" s="20"/>
      <c r="Q210" s="21"/>
    </row>
    <row r="211">
      <c r="A211" s="113">
        <v>46153.0</v>
      </c>
      <c r="B211" s="12" t="s">
        <v>8</v>
      </c>
      <c r="C211" s="114" t="s">
        <v>141</v>
      </c>
      <c r="D211" s="114">
        <v>2.0</v>
      </c>
      <c r="E211" s="14">
        <v>25000.0</v>
      </c>
      <c r="F211" s="14">
        <f t="shared" si="9"/>
        <v>50000</v>
      </c>
      <c r="G211" s="15" t="s">
        <v>10</v>
      </c>
      <c r="I211" s="109"/>
      <c r="K211" s="28"/>
      <c r="L211" s="18"/>
      <c r="M211" s="111"/>
      <c r="N211" s="111"/>
      <c r="O211" s="20"/>
      <c r="P211" s="20"/>
      <c r="Q211" s="21"/>
    </row>
    <row r="212">
      <c r="A212" s="28">
        <v>46153.0</v>
      </c>
      <c r="B212" s="18" t="s">
        <v>8</v>
      </c>
      <c r="C212" s="111" t="s">
        <v>178</v>
      </c>
      <c r="D212" s="111">
        <v>1.0</v>
      </c>
      <c r="E212" s="20">
        <v>25000.0</v>
      </c>
      <c r="F212" s="20">
        <f t="shared" si="9"/>
        <v>25000</v>
      </c>
      <c r="G212" s="21" t="s">
        <v>10</v>
      </c>
      <c r="I212" s="109"/>
      <c r="K212" s="28"/>
      <c r="L212" s="18"/>
      <c r="M212" s="111"/>
      <c r="N212" s="111"/>
      <c r="O212" s="20"/>
      <c r="P212" s="20"/>
      <c r="Q212" s="21"/>
    </row>
    <row r="213">
      <c r="A213" s="113">
        <v>46153.0</v>
      </c>
      <c r="B213" s="12" t="s">
        <v>8</v>
      </c>
      <c r="C213" s="114" t="s">
        <v>179</v>
      </c>
      <c r="D213" s="114">
        <v>1.0</v>
      </c>
      <c r="E213" s="14">
        <v>25000.0</v>
      </c>
      <c r="F213" s="14">
        <f t="shared" si="9"/>
        <v>25000</v>
      </c>
      <c r="G213" s="15" t="s">
        <v>10</v>
      </c>
      <c r="I213" s="109"/>
      <c r="K213" s="28"/>
      <c r="L213" s="18"/>
      <c r="M213" s="111"/>
      <c r="N213" s="111"/>
      <c r="O213" s="20"/>
      <c r="P213" s="20"/>
      <c r="Q213" s="21"/>
    </row>
    <row r="214">
      <c r="A214" s="28">
        <v>46153.0</v>
      </c>
      <c r="B214" s="18" t="s">
        <v>8</v>
      </c>
      <c r="C214" s="111" t="s">
        <v>180</v>
      </c>
      <c r="D214" s="111">
        <v>1.0</v>
      </c>
      <c r="E214" s="20">
        <v>25000.0</v>
      </c>
      <c r="F214" s="20">
        <f t="shared" si="9"/>
        <v>25000</v>
      </c>
      <c r="G214" s="21" t="s">
        <v>10</v>
      </c>
      <c r="I214" s="109"/>
      <c r="K214" s="28"/>
      <c r="L214" s="18"/>
      <c r="M214" s="111"/>
      <c r="N214" s="111"/>
      <c r="O214" s="20"/>
      <c r="P214" s="20"/>
      <c r="Q214" s="21"/>
    </row>
    <row r="215">
      <c r="A215" s="113">
        <v>46153.0</v>
      </c>
      <c r="B215" s="12" t="s">
        <v>8</v>
      </c>
      <c r="C215" s="114" t="s">
        <v>181</v>
      </c>
      <c r="D215" s="114">
        <v>1.0</v>
      </c>
      <c r="E215" s="14">
        <v>25000.0</v>
      </c>
      <c r="F215" s="14">
        <f t="shared" si="9"/>
        <v>25000</v>
      </c>
      <c r="G215" s="15" t="s">
        <v>10</v>
      </c>
      <c r="I215" s="109"/>
      <c r="K215" s="28"/>
      <c r="L215" s="18"/>
      <c r="M215" s="111"/>
      <c r="N215" s="111"/>
      <c r="O215" s="20"/>
      <c r="P215" s="20"/>
      <c r="Q215" s="21"/>
    </row>
    <row r="216">
      <c r="A216" s="28">
        <v>46154.0</v>
      </c>
      <c r="B216" s="18" t="s">
        <v>8</v>
      </c>
      <c r="C216" s="111" t="s">
        <v>140</v>
      </c>
      <c r="D216" s="111">
        <v>15.0</v>
      </c>
      <c r="E216" s="20">
        <v>25000.0</v>
      </c>
      <c r="F216" s="20">
        <f t="shared" si="9"/>
        <v>375000</v>
      </c>
      <c r="G216" s="21" t="s">
        <v>10</v>
      </c>
      <c r="I216" s="109"/>
      <c r="K216" s="28"/>
      <c r="L216" s="18"/>
      <c r="M216" s="111"/>
      <c r="N216" s="111"/>
      <c r="O216" s="20"/>
      <c r="P216" s="20"/>
      <c r="Q216" s="21"/>
    </row>
    <row r="217">
      <c r="A217" s="113">
        <v>46154.0</v>
      </c>
      <c r="B217" s="12" t="s">
        <v>8</v>
      </c>
      <c r="C217" s="114" t="s">
        <v>182</v>
      </c>
      <c r="D217" s="114">
        <v>1.0</v>
      </c>
      <c r="E217" s="14">
        <v>25000.0</v>
      </c>
      <c r="F217" s="14">
        <f t="shared" si="9"/>
        <v>25000</v>
      </c>
      <c r="G217" s="15" t="s">
        <v>10</v>
      </c>
      <c r="I217" s="109"/>
      <c r="K217" s="28"/>
      <c r="L217" s="18"/>
      <c r="M217" s="111"/>
      <c r="N217" s="111"/>
      <c r="O217" s="20"/>
      <c r="P217" s="20"/>
      <c r="Q217" s="21"/>
    </row>
    <row r="218">
      <c r="A218" s="28">
        <v>46154.0</v>
      </c>
      <c r="B218" s="18" t="s">
        <v>8</v>
      </c>
      <c r="C218" s="111" t="s">
        <v>170</v>
      </c>
      <c r="D218" s="111">
        <v>3.0</v>
      </c>
      <c r="E218" s="20">
        <v>25000.0</v>
      </c>
      <c r="F218" s="20">
        <f t="shared" si="9"/>
        <v>75000</v>
      </c>
      <c r="G218" s="21" t="s">
        <v>10</v>
      </c>
      <c r="I218" s="109"/>
      <c r="K218" s="28"/>
      <c r="L218" s="18"/>
      <c r="M218" s="111"/>
      <c r="N218" s="111"/>
      <c r="O218" s="20"/>
      <c r="P218" s="20"/>
      <c r="Q218" s="21"/>
    </row>
    <row r="219">
      <c r="A219" s="113">
        <v>46154.0</v>
      </c>
      <c r="B219" s="12" t="s">
        <v>8</v>
      </c>
      <c r="C219" s="114" t="s">
        <v>169</v>
      </c>
      <c r="D219" s="114">
        <v>3.0</v>
      </c>
      <c r="E219" s="14">
        <v>25000.0</v>
      </c>
      <c r="F219" s="14">
        <f t="shared" si="9"/>
        <v>75000</v>
      </c>
      <c r="G219" s="15" t="s">
        <v>10</v>
      </c>
      <c r="I219" s="109"/>
      <c r="K219" s="28"/>
      <c r="L219" s="18"/>
      <c r="M219" s="111"/>
      <c r="N219" s="111"/>
      <c r="O219" s="20"/>
      <c r="P219" s="20"/>
      <c r="Q219" s="21"/>
    </row>
    <row r="220">
      <c r="A220" s="28">
        <v>46154.0</v>
      </c>
      <c r="B220" s="18" t="s">
        <v>8</v>
      </c>
      <c r="C220" s="111" t="s">
        <v>183</v>
      </c>
      <c r="D220" s="111">
        <v>3.0</v>
      </c>
      <c r="E220" s="20">
        <v>25000.0</v>
      </c>
      <c r="F220" s="20">
        <f t="shared" si="9"/>
        <v>75000</v>
      </c>
      <c r="G220" s="21" t="s">
        <v>10</v>
      </c>
      <c r="I220" s="109"/>
      <c r="K220" s="28"/>
      <c r="L220" s="18"/>
      <c r="M220" s="111"/>
      <c r="N220" s="111"/>
      <c r="O220" s="20"/>
      <c r="P220" s="20"/>
      <c r="Q220" s="21"/>
    </row>
    <row r="221">
      <c r="A221" s="113">
        <v>46154.0</v>
      </c>
      <c r="B221" s="12" t="s">
        <v>8</v>
      </c>
      <c r="C221" s="114" t="s">
        <v>16</v>
      </c>
      <c r="D221" s="114">
        <v>1.6</v>
      </c>
      <c r="E221" s="14">
        <v>25000.0</v>
      </c>
      <c r="F221" s="14">
        <f t="shared" si="9"/>
        <v>40000</v>
      </c>
      <c r="G221" s="15" t="s">
        <v>10</v>
      </c>
      <c r="I221" s="109"/>
      <c r="K221" s="28"/>
      <c r="L221" s="18"/>
      <c r="M221" s="111"/>
      <c r="N221" s="111"/>
      <c r="O221" s="20"/>
      <c r="P221" s="20"/>
      <c r="Q221" s="21"/>
    </row>
    <row r="222">
      <c r="A222" s="28">
        <v>46155.0</v>
      </c>
      <c r="B222" s="18" t="s">
        <v>8</v>
      </c>
      <c r="C222" s="111" t="s">
        <v>140</v>
      </c>
      <c r="D222" s="111">
        <v>20.0</v>
      </c>
      <c r="E222" s="20">
        <v>25000.0</v>
      </c>
      <c r="F222" s="20">
        <f t="shared" si="9"/>
        <v>500000</v>
      </c>
      <c r="G222" s="21" t="s">
        <v>10</v>
      </c>
      <c r="I222" s="109"/>
      <c r="K222" s="28"/>
      <c r="L222" s="18"/>
      <c r="M222" s="111"/>
      <c r="N222" s="111"/>
      <c r="O222" s="20"/>
      <c r="P222" s="20"/>
      <c r="Q222" s="21"/>
    </row>
    <row r="223">
      <c r="A223" s="113">
        <v>46155.0</v>
      </c>
      <c r="B223" s="12" t="s">
        <v>8</v>
      </c>
      <c r="C223" s="114" t="s">
        <v>184</v>
      </c>
      <c r="D223" s="114">
        <v>1.0</v>
      </c>
      <c r="E223" s="14">
        <v>25000.0</v>
      </c>
      <c r="F223" s="14">
        <f t="shared" si="9"/>
        <v>25000</v>
      </c>
      <c r="G223" s="15" t="s">
        <v>10</v>
      </c>
      <c r="I223" s="109"/>
      <c r="K223" s="28"/>
      <c r="L223" s="18"/>
      <c r="M223" s="111"/>
      <c r="N223" s="111"/>
      <c r="O223" s="20"/>
      <c r="P223" s="20"/>
      <c r="Q223" s="21"/>
    </row>
    <row r="224">
      <c r="A224" s="28">
        <v>46155.0</v>
      </c>
      <c r="B224" s="18" t="s">
        <v>8</v>
      </c>
      <c r="C224" s="111" t="s">
        <v>176</v>
      </c>
      <c r="D224" s="111">
        <v>1.0</v>
      </c>
      <c r="E224" s="20">
        <v>25000.0</v>
      </c>
      <c r="F224" s="20">
        <f t="shared" si="9"/>
        <v>25000</v>
      </c>
      <c r="G224" s="21" t="s">
        <v>10</v>
      </c>
      <c r="I224" s="109"/>
      <c r="K224" s="151"/>
      <c r="L224" s="151"/>
      <c r="M224" s="152"/>
      <c r="N224" s="153"/>
      <c r="O224" s="153"/>
      <c r="P224" s="153"/>
      <c r="Q224" s="16"/>
    </row>
    <row r="225">
      <c r="A225" s="113">
        <v>46155.0</v>
      </c>
      <c r="B225" s="12" t="s">
        <v>8</v>
      </c>
      <c r="C225" s="114" t="s">
        <v>185</v>
      </c>
      <c r="D225" s="114">
        <v>1.0</v>
      </c>
      <c r="E225" s="14">
        <v>25000.0</v>
      </c>
      <c r="F225" s="14">
        <f t="shared" si="9"/>
        <v>25000</v>
      </c>
      <c r="G225" s="15" t="s">
        <v>10</v>
      </c>
      <c r="I225" s="109"/>
      <c r="K225" s="110"/>
      <c r="L225" s="110"/>
      <c r="M225" s="110"/>
      <c r="N225" s="110"/>
      <c r="O225" s="110"/>
      <c r="P225" s="110"/>
      <c r="Q225" s="110"/>
    </row>
    <row r="226">
      <c r="A226" s="28">
        <v>46155.0</v>
      </c>
      <c r="B226" s="18" t="s">
        <v>8</v>
      </c>
      <c r="C226" s="111" t="s">
        <v>186</v>
      </c>
      <c r="D226" s="111">
        <v>3.0</v>
      </c>
      <c r="E226" s="20">
        <v>25000.0</v>
      </c>
      <c r="F226" s="20">
        <f t="shared" si="9"/>
        <v>75000</v>
      </c>
      <c r="G226" s="21" t="s">
        <v>10</v>
      </c>
      <c r="I226" s="109"/>
      <c r="K226" s="110"/>
      <c r="L226" s="110"/>
      <c r="M226" s="110"/>
      <c r="N226" s="110"/>
      <c r="O226" s="110"/>
      <c r="P226" s="110"/>
      <c r="Q226" s="110"/>
    </row>
    <row r="227">
      <c r="A227" s="113">
        <v>46156.0</v>
      </c>
      <c r="B227" s="12" t="s">
        <v>8</v>
      </c>
      <c r="C227" s="114" t="s">
        <v>169</v>
      </c>
      <c r="D227" s="114">
        <v>3.0</v>
      </c>
      <c r="E227" s="14">
        <v>25000.0</v>
      </c>
      <c r="F227" s="14">
        <f t="shared" si="9"/>
        <v>75000</v>
      </c>
      <c r="G227" s="15" t="s">
        <v>10</v>
      </c>
      <c r="I227" s="109"/>
      <c r="K227" s="110"/>
      <c r="L227" s="110"/>
      <c r="M227" s="110"/>
      <c r="N227" s="110"/>
      <c r="O227" s="110"/>
      <c r="P227" s="110"/>
      <c r="Q227" s="110"/>
    </row>
    <row r="228">
      <c r="A228" s="28">
        <v>46156.0</v>
      </c>
      <c r="B228" s="18" t="s">
        <v>8</v>
      </c>
      <c r="C228" s="111" t="s">
        <v>187</v>
      </c>
      <c r="D228" s="111">
        <v>1.0</v>
      </c>
      <c r="E228" s="20">
        <v>25000.0</v>
      </c>
      <c r="F228" s="20">
        <f t="shared" si="9"/>
        <v>25000</v>
      </c>
      <c r="G228" s="21" t="s">
        <v>10</v>
      </c>
      <c r="I228" s="109"/>
      <c r="K228" s="110"/>
      <c r="L228" s="110"/>
      <c r="M228" s="110"/>
      <c r="N228" s="110"/>
      <c r="O228" s="110"/>
      <c r="P228" s="110"/>
      <c r="Q228" s="110"/>
    </row>
    <row r="229">
      <c r="A229" s="113">
        <v>46156.0</v>
      </c>
      <c r="B229" s="12" t="s">
        <v>8</v>
      </c>
      <c r="C229" s="114" t="s">
        <v>188</v>
      </c>
      <c r="D229" s="114">
        <v>1.0</v>
      </c>
      <c r="E229" s="14">
        <v>25000.0</v>
      </c>
      <c r="F229" s="14">
        <f t="shared" si="9"/>
        <v>25000</v>
      </c>
      <c r="G229" s="15" t="s">
        <v>10</v>
      </c>
      <c r="I229" s="109"/>
      <c r="K229" s="110"/>
      <c r="L229" s="110"/>
      <c r="M229" s="110"/>
      <c r="N229" s="110"/>
      <c r="O229" s="110"/>
      <c r="P229" s="110"/>
      <c r="Q229" s="110"/>
    </row>
    <row r="230">
      <c r="A230" s="28">
        <v>46156.0</v>
      </c>
      <c r="B230" s="18" t="s">
        <v>8</v>
      </c>
      <c r="C230" s="111" t="s">
        <v>140</v>
      </c>
      <c r="D230" s="111">
        <v>5.0</v>
      </c>
      <c r="E230" s="20">
        <v>25000.0</v>
      </c>
      <c r="F230" s="20">
        <f t="shared" si="9"/>
        <v>125000</v>
      </c>
      <c r="G230" s="21" t="s">
        <v>10</v>
      </c>
      <c r="I230" s="109"/>
      <c r="K230" s="110"/>
      <c r="L230" s="110"/>
      <c r="M230" s="110"/>
      <c r="N230" s="110"/>
      <c r="O230" s="110"/>
      <c r="P230" s="110"/>
      <c r="Q230" s="110"/>
    </row>
    <row r="231">
      <c r="A231" s="113">
        <v>46156.0</v>
      </c>
      <c r="B231" s="12" t="s">
        <v>8</v>
      </c>
      <c r="C231" s="114" t="s">
        <v>189</v>
      </c>
      <c r="D231" s="114">
        <v>1.0</v>
      </c>
      <c r="E231" s="14">
        <v>25000.0</v>
      </c>
      <c r="F231" s="14">
        <f t="shared" si="9"/>
        <v>25000</v>
      </c>
      <c r="G231" s="15" t="s">
        <v>10</v>
      </c>
      <c r="I231" s="109"/>
      <c r="K231" s="110"/>
      <c r="L231" s="110"/>
      <c r="M231" s="110"/>
      <c r="N231" s="110"/>
      <c r="O231" s="110"/>
      <c r="P231" s="110"/>
      <c r="Q231" s="110"/>
    </row>
    <row r="232">
      <c r="A232" s="28">
        <v>46156.0</v>
      </c>
      <c r="B232" s="18" t="s">
        <v>8</v>
      </c>
      <c r="C232" s="111" t="s">
        <v>16</v>
      </c>
      <c r="D232" s="111">
        <v>0.6</v>
      </c>
      <c r="E232" s="20">
        <v>25000.0</v>
      </c>
      <c r="F232" s="20">
        <f t="shared" si="9"/>
        <v>15000</v>
      </c>
      <c r="G232" s="21" t="s">
        <v>10</v>
      </c>
      <c r="I232" s="109"/>
      <c r="K232" s="110"/>
      <c r="L232" s="110"/>
      <c r="M232" s="110"/>
      <c r="N232" s="110"/>
      <c r="O232" s="110"/>
      <c r="P232" s="110"/>
      <c r="Q232" s="110"/>
    </row>
    <row r="233">
      <c r="A233" s="113">
        <v>46157.0</v>
      </c>
      <c r="B233" s="12" t="s">
        <v>8</v>
      </c>
      <c r="C233" s="114" t="s">
        <v>169</v>
      </c>
      <c r="D233" s="114">
        <v>3.0</v>
      </c>
      <c r="E233" s="14">
        <v>25000.0</v>
      </c>
      <c r="F233" s="14">
        <f t="shared" si="9"/>
        <v>75000</v>
      </c>
      <c r="G233" s="15" t="s">
        <v>10</v>
      </c>
      <c r="I233" s="109"/>
      <c r="K233" s="110"/>
      <c r="L233" s="110"/>
      <c r="M233" s="110"/>
      <c r="N233" s="110"/>
      <c r="O233" s="110"/>
      <c r="P233" s="110"/>
      <c r="Q233" s="110"/>
    </row>
    <row r="234">
      <c r="A234" s="28">
        <v>46157.0</v>
      </c>
      <c r="B234" s="18" t="s">
        <v>8</v>
      </c>
      <c r="C234" s="111" t="s">
        <v>170</v>
      </c>
      <c r="D234" s="111">
        <v>3.0</v>
      </c>
      <c r="E234" s="20">
        <v>25000.0</v>
      </c>
      <c r="F234" s="20">
        <f t="shared" si="9"/>
        <v>75000</v>
      </c>
      <c r="G234" s="21" t="s">
        <v>10</v>
      </c>
      <c r="I234" s="109"/>
      <c r="K234" s="110"/>
      <c r="L234" s="110"/>
      <c r="M234" s="110"/>
      <c r="N234" s="110"/>
      <c r="O234" s="110"/>
      <c r="P234" s="110"/>
      <c r="Q234" s="110"/>
    </row>
    <row r="235">
      <c r="A235" s="113">
        <v>46157.0</v>
      </c>
      <c r="B235" s="12" t="s">
        <v>8</v>
      </c>
      <c r="C235" s="114" t="s">
        <v>140</v>
      </c>
      <c r="D235" s="114">
        <v>5.0</v>
      </c>
      <c r="E235" s="14">
        <v>25000.0</v>
      </c>
      <c r="F235" s="14">
        <f t="shared" si="9"/>
        <v>125000</v>
      </c>
      <c r="G235" s="15" t="s">
        <v>10</v>
      </c>
      <c r="I235" s="109"/>
      <c r="K235" s="110"/>
      <c r="L235" s="110"/>
      <c r="M235" s="110"/>
      <c r="N235" s="110"/>
      <c r="O235" s="110"/>
      <c r="P235" s="110"/>
      <c r="Q235" s="110"/>
    </row>
    <row r="236">
      <c r="A236" s="28">
        <v>46157.0</v>
      </c>
      <c r="B236" s="18" t="s">
        <v>8</v>
      </c>
      <c r="C236" s="111" t="s">
        <v>190</v>
      </c>
      <c r="D236" s="111">
        <v>1.0</v>
      </c>
      <c r="E236" s="20">
        <v>25000.0</v>
      </c>
      <c r="F236" s="20">
        <f t="shared" si="9"/>
        <v>25000</v>
      </c>
      <c r="G236" s="21" t="s">
        <v>10</v>
      </c>
      <c r="I236" s="109"/>
      <c r="K236" s="110"/>
      <c r="L236" s="110"/>
      <c r="M236" s="110"/>
      <c r="N236" s="110"/>
      <c r="O236" s="110"/>
      <c r="P236" s="110"/>
      <c r="Q236" s="110"/>
    </row>
    <row r="237">
      <c r="A237" s="113">
        <v>46157.0</v>
      </c>
      <c r="B237" s="12" t="s">
        <v>8</v>
      </c>
      <c r="C237" s="114" t="s">
        <v>176</v>
      </c>
      <c r="D237" s="114">
        <v>1.0</v>
      </c>
      <c r="E237" s="14">
        <v>25000.0</v>
      </c>
      <c r="F237" s="14">
        <f t="shared" si="9"/>
        <v>25000</v>
      </c>
      <c r="G237" s="15" t="s">
        <v>10</v>
      </c>
      <c r="I237" s="109"/>
      <c r="K237" s="110"/>
      <c r="L237" s="110"/>
      <c r="M237" s="110"/>
      <c r="N237" s="110"/>
      <c r="O237" s="110"/>
      <c r="P237" s="110"/>
      <c r="Q237" s="110"/>
    </row>
    <row r="238">
      <c r="A238" s="28">
        <v>46157.0</v>
      </c>
      <c r="B238" s="18" t="s">
        <v>8</v>
      </c>
      <c r="C238" s="111" t="s">
        <v>16</v>
      </c>
      <c r="D238" s="111">
        <v>0.5</v>
      </c>
      <c r="E238" s="20">
        <v>25000.0</v>
      </c>
      <c r="F238" s="20">
        <f t="shared" si="9"/>
        <v>12500</v>
      </c>
      <c r="G238" s="21" t="s">
        <v>10</v>
      </c>
      <c r="I238" s="109"/>
      <c r="K238" s="110"/>
      <c r="L238" s="110"/>
      <c r="M238" s="110"/>
      <c r="N238" s="110"/>
      <c r="O238" s="110"/>
      <c r="P238" s="110"/>
      <c r="Q238" s="110"/>
    </row>
    <row r="239">
      <c r="A239" s="113">
        <v>46158.0</v>
      </c>
      <c r="B239" s="12" t="s">
        <v>8</v>
      </c>
      <c r="C239" s="114" t="s">
        <v>140</v>
      </c>
      <c r="D239" s="114">
        <v>3.0</v>
      </c>
      <c r="E239" s="14">
        <v>25000.0</v>
      </c>
      <c r="F239" s="14">
        <f t="shared" si="9"/>
        <v>75000</v>
      </c>
      <c r="G239" s="15" t="s">
        <v>10</v>
      </c>
      <c r="I239" s="109"/>
      <c r="K239" s="110"/>
      <c r="L239" s="110"/>
      <c r="M239" s="110"/>
      <c r="N239" s="110"/>
      <c r="O239" s="110"/>
      <c r="P239" s="110"/>
      <c r="Q239" s="110"/>
    </row>
    <row r="240">
      <c r="A240" s="28">
        <v>46158.0</v>
      </c>
      <c r="B240" s="18" t="s">
        <v>8</v>
      </c>
      <c r="C240" s="111" t="s">
        <v>191</v>
      </c>
      <c r="D240" s="111">
        <v>2.0</v>
      </c>
      <c r="E240" s="20">
        <v>25000.0</v>
      </c>
      <c r="F240" s="20">
        <f t="shared" si="9"/>
        <v>50000</v>
      </c>
      <c r="G240" s="21" t="s">
        <v>10</v>
      </c>
      <c r="I240" s="109"/>
      <c r="K240" s="110"/>
      <c r="L240" s="110"/>
      <c r="M240" s="110"/>
      <c r="N240" s="110"/>
      <c r="O240" s="110"/>
      <c r="P240" s="110"/>
      <c r="Q240" s="110"/>
    </row>
    <row r="241">
      <c r="A241" s="113">
        <v>46158.0</v>
      </c>
      <c r="B241" s="12" t="s">
        <v>8</v>
      </c>
      <c r="C241" s="114" t="s">
        <v>192</v>
      </c>
      <c r="D241" s="114">
        <v>2.0</v>
      </c>
      <c r="E241" s="14">
        <v>25000.0</v>
      </c>
      <c r="F241" s="14">
        <f t="shared" si="9"/>
        <v>50000</v>
      </c>
      <c r="G241" s="15" t="s">
        <v>10</v>
      </c>
      <c r="I241" s="109"/>
      <c r="K241" s="110"/>
      <c r="L241" s="110"/>
      <c r="M241" s="110"/>
      <c r="N241" s="110"/>
      <c r="O241" s="110"/>
      <c r="P241" s="110"/>
      <c r="Q241" s="110"/>
    </row>
    <row r="242">
      <c r="A242" s="28">
        <v>46158.0</v>
      </c>
      <c r="B242" s="18" t="s">
        <v>8</v>
      </c>
      <c r="C242" s="111" t="s">
        <v>193</v>
      </c>
      <c r="D242" s="111">
        <v>2.0</v>
      </c>
      <c r="E242" s="20">
        <v>25000.0</v>
      </c>
      <c r="F242" s="20">
        <f t="shared" si="9"/>
        <v>50000</v>
      </c>
      <c r="G242" s="21" t="s">
        <v>10</v>
      </c>
      <c r="I242" s="109"/>
      <c r="K242" s="110"/>
      <c r="L242" s="110"/>
      <c r="M242" s="110"/>
      <c r="N242" s="110"/>
      <c r="O242" s="110"/>
      <c r="P242" s="110"/>
      <c r="Q242" s="110"/>
    </row>
    <row r="243">
      <c r="A243" s="113">
        <v>46158.0</v>
      </c>
      <c r="B243" s="12" t="s">
        <v>8</v>
      </c>
      <c r="C243" s="114" t="s">
        <v>169</v>
      </c>
      <c r="D243" s="114">
        <v>3.0</v>
      </c>
      <c r="E243" s="14">
        <v>25000.0</v>
      </c>
      <c r="F243" s="14">
        <f t="shared" si="9"/>
        <v>75000</v>
      </c>
      <c r="G243" s="15" t="s">
        <v>10</v>
      </c>
      <c r="I243" s="109"/>
      <c r="K243" s="110"/>
      <c r="L243" s="110"/>
      <c r="M243" s="110"/>
      <c r="N243" s="110"/>
      <c r="O243" s="110"/>
      <c r="P243" s="110"/>
      <c r="Q243" s="110"/>
    </row>
    <row r="244">
      <c r="A244" s="28">
        <v>46158.0</v>
      </c>
      <c r="B244" s="18" t="s">
        <v>8</v>
      </c>
      <c r="C244" s="111" t="s">
        <v>144</v>
      </c>
      <c r="D244" s="111">
        <v>2.0</v>
      </c>
      <c r="E244" s="20">
        <v>25000.0</v>
      </c>
      <c r="F244" s="20">
        <f t="shared" si="9"/>
        <v>50000</v>
      </c>
      <c r="G244" s="21" t="s">
        <v>10</v>
      </c>
      <c r="I244" s="109"/>
      <c r="K244" s="110"/>
      <c r="L244" s="110"/>
      <c r="M244" s="110"/>
      <c r="N244" s="110"/>
      <c r="O244" s="110"/>
      <c r="P244" s="110"/>
      <c r="Q244" s="110"/>
    </row>
    <row r="245">
      <c r="A245" s="113">
        <v>46158.0</v>
      </c>
      <c r="B245" s="12" t="s">
        <v>8</v>
      </c>
      <c r="C245" s="114" t="s">
        <v>194</v>
      </c>
      <c r="D245" s="114">
        <v>2.0</v>
      </c>
      <c r="E245" s="14">
        <v>25000.0</v>
      </c>
      <c r="F245" s="14">
        <f t="shared" si="9"/>
        <v>50000</v>
      </c>
      <c r="G245" s="15" t="s">
        <v>10</v>
      </c>
      <c r="I245" s="109"/>
      <c r="K245" s="110"/>
      <c r="L245" s="110"/>
      <c r="M245" s="110"/>
      <c r="N245" s="110"/>
      <c r="O245" s="110"/>
      <c r="P245" s="110"/>
      <c r="Q245" s="110"/>
    </row>
    <row r="246">
      <c r="A246" s="28">
        <v>46158.0</v>
      </c>
      <c r="B246" s="18" t="s">
        <v>8</v>
      </c>
      <c r="C246" s="111" t="s">
        <v>143</v>
      </c>
      <c r="D246" s="111">
        <v>2.0</v>
      </c>
      <c r="E246" s="20">
        <v>25000.0</v>
      </c>
      <c r="F246" s="20">
        <f t="shared" si="9"/>
        <v>50000</v>
      </c>
      <c r="G246" s="21" t="s">
        <v>10</v>
      </c>
      <c r="I246" s="109"/>
      <c r="K246" s="110"/>
      <c r="L246" s="110"/>
      <c r="M246" s="110"/>
      <c r="N246" s="110"/>
      <c r="O246" s="110"/>
      <c r="P246" s="110"/>
      <c r="Q246" s="110"/>
    </row>
    <row r="247">
      <c r="A247" s="113">
        <v>46158.0</v>
      </c>
      <c r="B247" s="12" t="s">
        <v>8</v>
      </c>
      <c r="C247" s="114" t="s">
        <v>195</v>
      </c>
      <c r="D247" s="114">
        <v>2.0</v>
      </c>
      <c r="E247" s="14">
        <v>25000.0</v>
      </c>
      <c r="F247" s="14">
        <f t="shared" si="9"/>
        <v>50000</v>
      </c>
      <c r="G247" s="15" t="s">
        <v>10</v>
      </c>
      <c r="I247" s="109"/>
      <c r="K247" s="110"/>
      <c r="L247" s="110"/>
      <c r="M247" s="110"/>
      <c r="N247" s="110"/>
      <c r="O247" s="110"/>
      <c r="P247" s="110"/>
      <c r="Q247" s="110"/>
    </row>
    <row r="248">
      <c r="A248" s="28">
        <v>46158.0</v>
      </c>
      <c r="B248" s="18" t="s">
        <v>8</v>
      </c>
      <c r="C248" s="111" t="s">
        <v>16</v>
      </c>
      <c r="D248" s="111">
        <v>0.5</v>
      </c>
      <c r="E248" s="20">
        <v>25000.0</v>
      </c>
      <c r="F248" s="20">
        <f t="shared" si="9"/>
        <v>12500</v>
      </c>
      <c r="G248" s="21" t="s">
        <v>10</v>
      </c>
      <c r="I248" s="109"/>
      <c r="K248" s="110"/>
      <c r="L248" s="110"/>
      <c r="M248" s="110"/>
      <c r="N248" s="110"/>
      <c r="O248" s="110"/>
      <c r="P248" s="110"/>
      <c r="Q248" s="110"/>
    </row>
    <row r="249">
      <c r="A249" s="113">
        <v>46159.0</v>
      </c>
      <c r="B249" s="12" t="s">
        <v>8</v>
      </c>
      <c r="C249" s="114" t="s">
        <v>196</v>
      </c>
      <c r="D249" s="114">
        <v>3.0</v>
      </c>
      <c r="E249" s="14">
        <v>25000.0</v>
      </c>
      <c r="F249" s="14">
        <f t="shared" si="9"/>
        <v>75000</v>
      </c>
      <c r="G249" s="15" t="s">
        <v>10</v>
      </c>
      <c r="I249" s="109"/>
      <c r="K249" s="110"/>
      <c r="L249" s="110"/>
      <c r="M249" s="110"/>
      <c r="N249" s="110"/>
      <c r="O249" s="110"/>
      <c r="P249" s="110"/>
      <c r="Q249" s="110"/>
    </row>
    <row r="250">
      <c r="A250" s="28">
        <v>46159.0</v>
      </c>
      <c r="B250" s="18" t="s">
        <v>8</v>
      </c>
      <c r="C250" s="111" t="s">
        <v>147</v>
      </c>
      <c r="D250" s="111">
        <v>3.0</v>
      </c>
      <c r="E250" s="20">
        <v>25000.0</v>
      </c>
      <c r="F250" s="20">
        <f t="shared" si="9"/>
        <v>75000</v>
      </c>
      <c r="G250" s="21" t="s">
        <v>10</v>
      </c>
      <c r="I250" s="109"/>
      <c r="K250" s="110"/>
      <c r="L250" s="110"/>
      <c r="M250" s="110"/>
      <c r="N250" s="110"/>
      <c r="O250" s="110"/>
      <c r="P250" s="110"/>
      <c r="Q250" s="110"/>
    </row>
    <row r="251">
      <c r="A251" s="113">
        <v>46159.0</v>
      </c>
      <c r="B251" s="12" t="s">
        <v>8</v>
      </c>
      <c r="C251" s="114" t="s">
        <v>140</v>
      </c>
      <c r="D251" s="114">
        <v>5.0</v>
      </c>
      <c r="E251" s="14">
        <v>25000.0</v>
      </c>
      <c r="F251" s="14">
        <f t="shared" si="9"/>
        <v>125000</v>
      </c>
      <c r="G251" s="15" t="s">
        <v>10</v>
      </c>
      <c r="I251" s="109"/>
      <c r="K251" s="110"/>
      <c r="L251" s="110"/>
      <c r="M251" s="110"/>
      <c r="N251" s="110"/>
      <c r="O251" s="110"/>
      <c r="P251" s="110"/>
      <c r="Q251" s="110"/>
    </row>
    <row r="252">
      <c r="A252" s="28">
        <v>46159.0</v>
      </c>
      <c r="B252" s="18" t="s">
        <v>8</v>
      </c>
      <c r="C252" s="111" t="s">
        <v>16</v>
      </c>
      <c r="D252" s="111">
        <v>0.4</v>
      </c>
      <c r="E252" s="20">
        <v>25000.0</v>
      </c>
      <c r="F252" s="20">
        <f t="shared" si="9"/>
        <v>10000</v>
      </c>
      <c r="G252" s="21" t="s">
        <v>10</v>
      </c>
      <c r="I252" s="109"/>
      <c r="K252" s="110"/>
      <c r="L252" s="110"/>
      <c r="M252" s="110"/>
      <c r="N252" s="110"/>
      <c r="O252" s="110"/>
      <c r="P252" s="110"/>
      <c r="Q252" s="110"/>
    </row>
    <row r="253">
      <c r="A253" s="115" t="s">
        <v>142</v>
      </c>
      <c r="C253" s="116"/>
      <c r="D253" s="115">
        <f>SUM(D201:D252)</f>
        <v>137.6</v>
      </c>
      <c r="E253" s="116"/>
      <c r="F253" s="118">
        <f>SUM(F201:F252)</f>
        <v>3440000</v>
      </c>
      <c r="G253" s="115"/>
      <c r="H253" s="133"/>
      <c r="I253" s="18"/>
      <c r="J253" s="18"/>
      <c r="K253" s="111"/>
      <c r="L253" s="111"/>
      <c r="M253" s="20"/>
      <c r="N253" s="20"/>
      <c r="O253" s="21"/>
      <c r="P253" s="20"/>
      <c r="Q253" s="21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I254" s="109"/>
      <c r="K254" s="110"/>
      <c r="L254" s="110"/>
      <c r="M254" s="110"/>
      <c r="N254" s="110"/>
      <c r="O254" s="110"/>
      <c r="P254" s="110"/>
      <c r="Q254" s="110"/>
    </row>
    <row r="255">
      <c r="I255" s="109"/>
      <c r="K255" s="110"/>
      <c r="L255" s="110"/>
      <c r="M255" s="110"/>
      <c r="N255" s="110"/>
      <c r="O255" s="110"/>
      <c r="P255" s="110"/>
      <c r="Q255" s="110"/>
    </row>
    <row r="256" ht="28.5" customHeight="1">
      <c r="A256" s="105" t="s">
        <v>1</v>
      </c>
      <c r="B256" s="105" t="s">
        <v>2</v>
      </c>
      <c r="C256" s="105" t="s">
        <v>3</v>
      </c>
      <c r="D256" s="105" t="s">
        <v>4</v>
      </c>
      <c r="E256" s="107" t="s">
        <v>5</v>
      </c>
      <c r="F256" s="107" t="s">
        <v>6</v>
      </c>
      <c r="G256" s="105" t="s">
        <v>84</v>
      </c>
      <c r="I256" s="139"/>
      <c r="J256" s="110"/>
      <c r="K256" s="110"/>
      <c r="L256" s="110"/>
      <c r="M256" s="110"/>
      <c r="N256" s="110"/>
      <c r="O256" s="110"/>
      <c r="P256" s="110"/>
      <c r="Q256" s="110"/>
    </row>
    <row r="257">
      <c r="A257" s="28">
        <v>46160.0</v>
      </c>
      <c r="B257" s="18" t="s">
        <v>8</v>
      </c>
      <c r="C257" s="111" t="s">
        <v>169</v>
      </c>
      <c r="D257" s="111">
        <v>3.0</v>
      </c>
      <c r="E257" s="20">
        <v>25000.0</v>
      </c>
      <c r="F257" s="20">
        <f t="shared" ref="F257:F307" si="10">D257*E257</f>
        <v>75000</v>
      </c>
      <c r="G257" s="21" t="s">
        <v>10</v>
      </c>
      <c r="I257" s="109"/>
      <c r="K257" s="110"/>
      <c r="L257" s="110"/>
      <c r="M257" s="110"/>
      <c r="N257" s="110"/>
      <c r="O257" s="110"/>
      <c r="P257" s="110"/>
      <c r="Q257" s="110"/>
    </row>
    <row r="258">
      <c r="A258" s="113">
        <v>46160.0</v>
      </c>
      <c r="B258" s="12" t="s">
        <v>8</v>
      </c>
      <c r="C258" s="114" t="s">
        <v>176</v>
      </c>
      <c r="D258" s="114">
        <v>1.0</v>
      </c>
      <c r="E258" s="14">
        <v>25000.0</v>
      </c>
      <c r="F258" s="14">
        <f t="shared" si="10"/>
        <v>25000</v>
      </c>
      <c r="G258" s="15" t="s">
        <v>10</v>
      </c>
      <c r="I258" s="109"/>
      <c r="K258" s="110"/>
      <c r="L258" s="110"/>
      <c r="M258" s="110"/>
      <c r="N258" s="110"/>
      <c r="O258" s="110"/>
      <c r="P258" s="110"/>
      <c r="Q258" s="110"/>
    </row>
    <row r="259">
      <c r="A259" s="28">
        <v>46160.0</v>
      </c>
      <c r="B259" s="18" t="s">
        <v>8</v>
      </c>
      <c r="C259" s="111" t="s">
        <v>16</v>
      </c>
      <c r="D259" s="111">
        <v>0.4</v>
      </c>
      <c r="E259" s="20">
        <v>25000.0</v>
      </c>
      <c r="F259" s="20">
        <f t="shared" si="10"/>
        <v>10000</v>
      </c>
      <c r="G259" s="21" t="s">
        <v>10</v>
      </c>
      <c r="I259" s="109"/>
      <c r="K259" s="110"/>
      <c r="L259" s="110"/>
      <c r="M259" s="110"/>
      <c r="N259" s="110"/>
      <c r="O259" s="110"/>
      <c r="P259" s="110"/>
      <c r="Q259" s="110"/>
    </row>
    <row r="260">
      <c r="A260" s="113">
        <v>46161.0</v>
      </c>
      <c r="B260" s="12" t="s">
        <v>8</v>
      </c>
      <c r="C260" s="114" t="s">
        <v>170</v>
      </c>
      <c r="D260" s="114">
        <v>3.0</v>
      </c>
      <c r="E260" s="14">
        <v>25000.0</v>
      </c>
      <c r="F260" s="14">
        <f t="shared" si="10"/>
        <v>75000</v>
      </c>
      <c r="G260" s="15" t="s">
        <v>10</v>
      </c>
      <c r="I260" s="109"/>
      <c r="K260" s="110"/>
      <c r="L260" s="110"/>
      <c r="M260" s="110"/>
      <c r="N260" s="110"/>
      <c r="O260" s="110"/>
      <c r="P260" s="110"/>
      <c r="Q260" s="110"/>
    </row>
    <row r="261">
      <c r="A261" s="28">
        <v>46161.0</v>
      </c>
      <c r="B261" s="18" t="s">
        <v>8</v>
      </c>
      <c r="C261" s="18" t="s">
        <v>197</v>
      </c>
      <c r="D261" s="18">
        <v>1.0</v>
      </c>
      <c r="E261" s="20">
        <v>25000.0</v>
      </c>
      <c r="F261" s="20">
        <f t="shared" si="10"/>
        <v>25000</v>
      </c>
      <c r="G261" s="24" t="s">
        <v>10</v>
      </c>
      <c r="I261" s="109"/>
      <c r="K261" s="110"/>
      <c r="L261" s="110"/>
      <c r="M261" s="110"/>
      <c r="N261" s="110"/>
      <c r="O261" s="110"/>
      <c r="P261" s="110"/>
      <c r="Q261" s="110"/>
    </row>
    <row r="262">
      <c r="A262" s="113">
        <v>46161.0</v>
      </c>
      <c r="B262" s="12" t="s">
        <v>8</v>
      </c>
      <c r="C262" s="114" t="s">
        <v>140</v>
      </c>
      <c r="D262" s="114">
        <v>5.0</v>
      </c>
      <c r="E262" s="14">
        <v>25000.0</v>
      </c>
      <c r="F262" s="14">
        <f t="shared" si="10"/>
        <v>125000</v>
      </c>
      <c r="G262" s="15" t="s">
        <v>10</v>
      </c>
      <c r="I262" s="109"/>
      <c r="K262" s="110"/>
      <c r="L262" s="110"/>
      <c r="M262" s="110"/>
      <c r="N262" s="110"/>
      <c r="O262" s="110"/>
      <c r="P262" s="110"/>
      <c r="Q262" s="110"/>
    </row>
    <row r="263">
      <c r="A263" s="28">
        <v>46161.0</v>
      </c>
      <c r="B263" s="18" t="s">
        <v>8</v>
      </c>
      <c r="C263" s="111" t="s">
        <v>198</v>
      </c>
      <c r="D263" s="111">
        <v>1.0</v>
      </c>
      <c r="E263" s="20">
        <v>25000.0</v>
      </c>
      <c r="F263" s="20">
        <f t="shared" si="10"/>
        <v>25000</v>
      </c>
      <c r="G263" s="21" t="s">
        <v>10</v>
      </c>
      <c r="I263" s="109"/>
      <c r="K263" s="110"/>
      <c r="L263" s="110"/>
      <c r="M263" s="110"/>
      <c r="N263" s="110"/>
      <c r="O263" s="110"/>
      <c r="P263" s="110"/>
      <c r="Q263" s="110"/>
    </row>
    <row r="264">
      <c r="A264" s="113">
        <v>46161.0</v>
      </c>
      <c r="B264" s="12" t="s">
        <v>8</v>
      </c>
      <c r="C264" s="114" t="s">
        <v>16</v>
      </c>
      <c r="D264" s="114">
        <v>0.5</v>
      </c>
      <c r="E264" s="14">
        <v>25000.0</v>
      </c>
      <c r="F264" s="14">
        <f t="shared" si="10"/>
        <v>12500</v>
      </c>
      <c r="G264" s="15" t="s">
        <v>10</v>
      </c>
      <c r="I264" s="109"/>
      <c r="K264" s="110"/>
      <c r="L264" s="110"/>
      <c r="M264" s="110"/>
      <c r="N264" s="110"/>
      <c r="O264" s="110"/>
      <c r="P264" s="110"/>
      <c r="Q264" s="110"/>
    </row>
    <row r="265">
      <c r="A265" s="28">
        <v>46162.0</v>
      </c>
      <c r="B265" s="18" t="s">
        <v>8</v>
      </c>
      <c r="C265" s="111" t="s">
        <v>145</v>
      </c>
      <c r="D265" s="111">
        <v>3.0</v>
      </c>
      <c r="E265" s="20">
        <v>25000.0</v>
      </c>
      <c r="F265" s="20">
        <f t="shared" si="10"/>
        <v>75000</v>
      </c>
      <c r="G265" s="21" t="s">
        <v>10</v>
      </c>
      <c r="I265" s="109"/>
      <c r="K265" s="110"/>
      <c r="L265" s="110"/>
      <c r="M265" s="110"/>
      <c r="N265" s="110"/>
      <c r="O265" s="110"/>
      <c r="P265" s="110"/>
      <c r="Q265" s="110"/>
    </row>
    <row r="266">
      <c r="A266" s="113">
        <v>46162.0</v>
      </c>
      <c r="B266" s="12" t="s">
        <v>8</v>
      </c>
      <c r="C266" s="114" t="s">
        <v>169</v>
      </c>
      <c r="D266" s="114">
        <v>3.0</v>
      </c>
      <c r="E266" s="14">
        <v>25000.0</v>
      </c>
      <c r="F266" s="14">
        <f t="shared" si="10"/>
        <v>75000</v>
      </c>
      <c r="G266" s="15" t="s">
        <v>10</v>
      </c>
      <c r="I266" s="109"/>
      <c r="K266" s="110"/>
      <c r="L266" s="110"/>
      <c r="M266" s="110"/>
      <c r="N266" s="110"/>
      <c r="O266" s="110"/>
      <c r="P266" s="110"/>
      <c r="Q266" s="110"/>
    </row>
    <row r="267">
      <c r="A267" s="28">
        <v>46162.0</v>
      </c>
      <c r="B267" s="18" t="s">
        <v>8</v>
      </c>
      <c r="C267" s="111" t="s">
        <v>170</v>
      </c>
      <c r="D267" s="111">
        <v>3.0</v>
      </c>
      <c r="E267" s="20">
        <v>25000.0</v>
      </c>
      <c r="F267" s="20">
        <f t="shared" si="10"/>
        <v>75000</v>
      </c>
      <c r="G267" s="21" t="s">
        <v>10</v>
      </c>
      <c r="I267" s="109"/>
      <c r="K267" s="110"/>
      <c r="L267" s="110"/>
      <c r="M267" s="110"/>
      <c r="N267" s="110"/>
      <c r="O267" s="110"/>
      <c r="P267" s="110"/>
      <c r="Q267" s="110"/>
    </row>
    <row r="268">
      <c r="A268" s="113">
        <v>46162.0</v>
      </c>
      <c r="B268" s="12" t="s">
        <v>8</v>
      </c>
      <c r="C268" s="114" t="s">
        <v>140</v>
      </c>
      <c r="D268" s="114">
        <v>5.0</v>
      </c>
      <c r="E268" s="14">
        <v>25000.0</v>
      </c>
      <c r="F268" s="14">
        <f t="shared" si="10"/>
        <v>125000</v>
      </c>
      <c r="G268" s="15" t="s">
        <v>10</v>
      </c>
      <c r="I268" s="109"/>
      <c r="K268" s="110"/>
      <c r="L268" s="110"/>
      <c r="M268" s="110"/>
      <c r="N268" s="110"/>
      <c r="O268" s="110"/>
      <c r="P268" s="110"/>
      <c r="Q268" s="110"/>
    </row>
    <row r="269">
      <c r="A269" s="28">
        <v>46162.0</v>
      </c>
      <c r="B269" s="18" t="s">
        <v>8</v>
      </c>
      <c r="C269" s="18" t="s">
        <v>182</v>
      </c>
      <c r="D269" s="18">
        <v>1.0</v>
      </c>
      <c r="E269" s="20">
        <v>25000.0</v>
      </c>
      <c r="F269" s="20">
        <f t="shared" si="10"/>
        <v>25000</v>
      </c>
      <c r="G269" s="24" t="s">
        <v>10</v>
      </c>
      <c r="I269" s="109"/>
      <c r="K269" s="110"/>
      <c r="L269" s="110"/>
      <c r="M269" s="110"/>
      <c r="N269" s="110"/>
      <c r="O269" s="110"/>
      <c r="P269" s="110"/>
      <c r="Q269" s="110"/>
    </row>
    <row r="270">
      <c r="A270" s="113">
        <v>46162.0</v>
      </c>
      <c r="B270" s="12" t="s">
        <v>8</v>
      </c>
      <c r="C270" s="12" t="s">
        <v>16</v>
      </c>
      <c r="D270" s="12">
        <v>0.7</v>
      </c>
      <c r="E270" s="14">
        <v>25000.0</v>
      </c>
      <c r="F270" s="14">
        <f t="shared" si="10"/>
        <v>17500</v>
      </c>
      <c r="G270" s="144" t="s">
        <v>10</v>
      </c>
      <c r="I270" s="109"/>
      <c r="K270" s="110"/>
      <c r="L270" s="110"/>
      <c r="M270" s="110"/>
      <c r="N270" s="110"/>
      <c r="O270" s="110"/>
      <c r="P270" s="110"/>
      <c r="Q270" s="110"/>
    </row>
    <row r="271">
      <c r="A271" s="28">
        <v>46162.0</v>
      </c>
      <c r="B271" s="18" t="s">
        <v>8</v>
      </c>
      <c r="C271" s="111" t="s">
        <v>199</v>
      </c>
      <c r="D271" s="111">
        <v>0.25</v>
      </c>
      <c r="E271" s="20">
        <v>25000.0</v>
      </c>
      <c r="F271" s="20">
        <f t="shared" si="10"/>
        <v>6250</v>
      </c>
      <c r="G271" s="21" t="s">
        <v>10</v>
      </c>
      <c r="I271" s="109"/>
      <c r="K271" s="110"/>
      <c r="L271" s="110"/>
      <c r="M271" s="110"/>
      <c r="N271" s="110"/>
      <c r="O271" s="110"/>
      <c r="P271" s="110"/>
      <c r="Q271" s="110"/>
    </row>
    <row r="272">
      <c r="A272" s="113">
        <v>46163.0</v>
      </c>
      <c r="B272" s="12" t="s">
        <v>8</v>
      </c>
      <c r="C272" s="114" t="s">
        <v>200</v>
      </c>
      <c r="D272" s="114">
        <v>5.0</v>
      </c>
      <c r="E272" s="14">
        <v>25000.0</v>
      </c>
      <c r="F272" s="14">
        <f t="shared" si="10"/>
        <v>125000</v>
      </c>
      <c r="G272" s="15" t="s">
        <v>10</v>
      </c>
      <c r="I272" s="109"/>
      <c r="K272" s="110"/>
      <c r="L272" s="110"/>
      <c r="M272" s="110"/>
      <c r="N272" s="110"/>
      <c r="O272" s="110"/>
      <c r="P272" s="110"/>
      <c r="Q272" s="110"/>
    </row>
    <row r="273">
      <c r="A273" s="28">
        <v>46163.0</v>
      </c>
      <c r="B273" s="18" t="s">
        <v>8</v>
      </c>
      <c r="C273" s="111" t="s">
        <v>169</v>
      </c>
      <c r="D273" s="111">
        <v>3.0</v>
      </c>
      <c r="E273" s="20">
        <v>25000.0</v>
      </c>
      <c r="F273" s="20">
        <f t="shared" si="10"/>
        <v>75000</v>
      </c>
      <c r="G273" s="21" t="s">
        <v>10</v>
      </c>
      <c r="I273" s="109"/>
      <c r="K273" s="110"/>
      <c r="L273" s="110"/>
      <c r="M273" s="110"/>
      <c r="N273" s="110"/>
      <c r="O273" s="110"/>
      <c r="P273" s="110"/>
      <c r="Q273" s="110"/>
    </row>
    <row r="274">
      <c r="A274" s="113">
        <v>46163.0</v>
      </c>
      <c r="B274" s="12" t="s">
        <v>8</v>
      </c>
      <c r="C274" s="114" t="s">
        <v>173</v>
      </c>
      <c r="D274" s="114">
        <v>1.0</v>
      </c>
      <c r="E274" s="14">
        <v>25000.0</v>
      </c>
      <c r="F274" s="14">
        <f t="shared" si="10"/>
        <v>25000</v>
      </c>
      <c r="G274" s="15" t="s">
        <v>10</v>
      </c>
      <c r="I274" s="109"/>
      <c r="K274" s="110"/>
      <c r="L274" s="110"/>
      <c r="M274" s="110"/>
      <c r="N274" s="110"/>
      <c r="O274" s="110"/>
      <c r="P274" s="110"/>
      <c r="Q274" s="110"/>
    </row>
    <row r="275">
      <c r="A275" s="28">
        <v>46163.0</v>
      </c>
      <c r="B275" s="18" t="s">
        <v>8</v>
      </c>
      <c r="C275" s="111" t="s">
        <v>201</v>
      </c>
      <c r="D275" s="111">
        <v>1.0</v>
      </c>
      <c r="E275" s="20">
        <v>25000.0</v>
      </c>
      <c r="F275" s="20">
        <f t="shared" si="10"/>
        <v>25000</v>
      </c>
      <c r="G275" s="21" t="s">
        <v>10</v>
      </c>
      <c r="I275" s="109"/>
      <c r="K275" s="110"/>
      <c r="L275" s="110"/>
      <c r="M275" s="110"/>
      <c r="N275" s="110"/>
      <c r="O275" s="110"/>
      <c r="P275" s="110"/>
      <c r="Q275" s="110"/>
    </row>
    <row r="276">
      <c r="A276" s="113">
        <v>46163.0</v>
      </c>
      <c r="B276" s="12" t="s">
        <v>8</v>
      </c>
      <c r="C276" s="114" t="s">
        <v>202</v>
      </c>
      <c r="D276" s="114">
        <v>1.0</v>
      </c>
      <c r="E276" s="14">
        <v>25000.0</v>
      </c>
      <c r="F276" s="14">
        <f t="shared" si="10"/>
        <v>25000</v>
      </c>
      <c r="G276" s="15" t="s">
        <v>10</v>
      </c>
      <c r="I276" s="109"/>
      <c r="K276" s="110"/>
      <c r="L276" s="110"/>
      <c r="M276" s="110"/>
      <c r="N276" s="110"/>
      <c r="O276" s="110"/>
      <c r="P276" s="110"/>
      <c r="Q276" s="110"/>
    </row>
    <row r="277">
      <c r="A277" s="28">
        <v>46163.0</v>
      </c>
      <c r="B277" s="18" t="s">
        <v>8</v>
      </c>
      <c r="C277" s="111" t="s">
        <v>16</v>
      </c>
      <c r="D277" s="111">
        <v>1.0</v>
      </c>
      <c r="E277" s="20">
        <v>25000.0</v>
      </c>
      <c r="F277" s="20">
        <f t="shared" si="10"/>
        <v>25000</v>
      </c>
      <c r="G277" s="21" t="s">
        <v>10</v>
      </c>
      <c r="I277" s="109"/>
      <c r="K277" s="110"/>
      <c r="L277" s="110"/>
      <c r="M277" s="110"/>
      <c r="N277" s="110"/>
      <c r="O277" s="110"/>
      <c r="P277" s="110"/>
      <c r="Q277" s="110"/>
    </row>
    <row r="278">
      <c r="A278" s="113">
        <v>46164.0</v>
      </c>
      <c r="B278" s="12" t="s">
        <v>8</v>
      </c>
      <c r="C278" s="114" t="s">
        <v>140</v>
      </c>
      <c r="D278" s="114">
        <v>5.0</v>
      </c>
      <c r="E278" s="14">
        <v>25000.0</v>
      </c>
      <c r="F278" s="14">
        <f t="shared" si="10"/>
        <v>125000</v>
      </c>
      <c r="G278" s="15" t="s">
        <v>10</v>
      </c>
      <c r="I278" s="109"/>
      <c r="K278" s="110"/>
      <c r="L278" s="110"/>
      <c r="M278" s="110"/>
      <c r="N278" s="110"/>
      <c r="O278" s="110"/>
      <c r="P278" s="110"/>
      <c r="Q278" s="110"/>
    </row>
    <row r="279">
      <c r="A279" s="28">
        <v>46164.0</v>
      </c>
      <c r="B279" s="18" t="s">
        <v>8</v>
      </c>
      <c r="C279" s="111" t="s">
        <v>170</v>
      </c>
      <c r="D279" s="111">
        <v>3.0</v>
      </c>
      <c r="E279" s="20">
        <v>25000.0</v>
      </c>
      <c r="F279" s="20">
        <f t="shared" si="10"/>
        <v>75000</v>
      </c>
      <c r="G279" s="21" t="s">
        <v>10</v>
      </c>
      <c r="I279" s="109"/>
      <c r="K279" s="110"/>
      <c r="L279" s="110"/>
      <c r="M279" s="110"/>
      <c r="N279" s="110"/>
      <c r="O279" s="110"/>
      <c r="P279" s="110"/>
      <c r="Q279" s="110"/>
    </row>
    <row r="280">
      <c r="A280" s="113">
        <v>46164.0</v>
      </c>
      <c r="B280" s="12" t="s">
        <v>8</v>
      </c>
      <c r="C280" s="114" t="s">
        <v>203</v>
      </c>
      <c r="D280" s="114">
        <v>1.0</v>
      </c>
      <c r="E280" s="14">
        <v>25000.0</v>
      </c>
      <c r="F280" s="14">
        <f t="shared" si="10"/>
        <v>25000</v>
      </c>
      <c r="G280" s="15" t="s">
        <v>10</v>
      </c>
      <c r="I280" s="109"/>
      <c r="K280" s="110"/>
      <c r="L280" s="110"/>
      <c r="M280" s="110"/>
      <c r="N280" s="110"/>
      <c r="O280" s="110"/>
      <c r="P280" s="110"/>
      <c r="Q280" s="110"/>
    </row>
    <row r="281">
      <c r="A281" s="28">
        <v>46164.0</v>
      </c>
      <c r="B281" s="18" t="s">
        <v>8</v>
      </c>
      <c r="C281" s="111" t="s">
        <v>204</v>
      </c>
      <c r="D281" s="111">
        <v>1.0</v>
      </c>
      <c r="E281" s="20">
        <v>25000.0</v>
      </c>
      <c r="F281" s="20">
        <f t="shared" si="10"/>
        <v>25000</v>
      </c>
      <c r="G281" s="21" t="s">
        <v>10</v>
      </c>
      <c r="I281" s="109"/>
      <c r="K281" s="110"/>
      <c r="L281" s="110"/>
      <c r="M281" s="110"/>
      <c r="N281" s="110"/>
      <c r="O281" s="110"/>
      <c r="P281" s="110"/>
      <c r="Q281" s="110"/>
    </row>
    <row r="282">
      <c r="A282" s="113">
        <v>46164.0</v>
      </c>
      <c r="B282" s="12" t="s">
        <v>8</v>
      </c>
      <c r="C282" s="114" t="s">
        <v>205</v>
      </c>
      <c r="D282" s="114">
        <v>1.0</v>
      </c>
      <c r="E282" s="14">
        <v>25000.0</v>
      </c>
      <c r="F282" s="14">
        <f t="shared" si="10"/>
        <v>25000</v>
      </c>
      <c r="G282" s="15" t="s">
        <v>10</v>
      </c>
      <c r="I282" s="109"/>
      <c r="K282" s="110"/>
      <c r="L282" s="110"/>
      <c r="M282" s="110"/>
      <c r="N282" s="110"/>
      <c r="O282" s="110"/>
      <c r="P282" s="110"/>
      <c r="Q282" s="110"/>
    </row>
    <row r="283">
      <c r="A283" s="28">
        <v>46164.0</v>
      </c>
      <c r="B283" s="18" t="s">
        <v>8</v>
      </c>
      <c r="C283" s="111" t="s">
        <v>206</v>
      </c>
      <c r="D283" s="111">
        <v>1.0</v>
      </c>
      <c r="E283" s="20">
        <v>25000.0</v>
      </c>
      <c r="F283" s="20">
        <f t="shared" si="10"/>
        <v>25000</v>
      </c>
      <c r="G283" s="21" t="s">
        <v>10</v>
      </c>
      <c r="I283" s="109"/>
      <c r="K283" s="110"/>
      <c r="L283" s="110"/>
      <c r="M283" s="110"/>
      <c r="N283" s="110"/>
      <c r="O283" s="110"/>
      <c r="P283" s="110"/>
      <c r="Q283" s="110"/>
    </row>
    <row r="284">
      <c r="A284" s="113">
        <v>46164.0</v>
      </c>
      <c r="B284" s="12" t="s">
        <v>8</v>
      </c>
      <c r="C284" s="114" t="s">
        <v>207</v>
      </c>
      <c r="D284" s="114">
        <v>1.0</v>
      </c>
      <c r="E284" s="14">
        <v>25000.0</v>
      </c>
      <c r="F284" s="14">
        <f t="shared" si="10"/>
        <v>25000</v>
      </c>
      <c r="G284" s="15" t="s">
        <v>10</v>
      </c>
      <c r="I284" s="109"/>
      <c r="K284" s="110"/>
      <c r="L284" s="110"/>
      <c r="M284" s="110"/>
      <c r="N284" s="110"/>
      <c r="O284" s="110"/>
      <c r="P284" s="110"/>
      <c r="Q284" s="110"/>
    </row>
    <row r="285">
      <c r="A285" s="28">
        <v>46164.0</v>
      </c>
      <c r="B285" s="18" t="s">
        <v>8</v>
      </c>
      <c r="C285" s="111" t="s">
        <v>176</v>
      </c>
      <c r="D285" s="111">
        <v>1.0</v>
      </c>
      <c r="E285" s="20">
        <v>25000.0</v>
      </c>
      <c r="F285" s="20">
        <f t="shared" si="10"/>
        <v>25000</v>
      </c>
      <c r="G285" s="21" t="s">
        <v>10</v>
      </c>
      <c r="I285" s="109"/>
      <c r="K285" s="110"/>
      <c r="L285" s="110"/>
      <c r="M285" s="110"/>
      <c r="N285" s="110"/>
      <c r="O285" s="110"/>
      <c r="P285" s="110"/>
      <c r="Q285" s="110"/>
    </row>
    <row r="286">
      <c r="A286" s="113">
        <v>46164.0</v>
      </c>
      <c r="B286" s="12" t="s">
        <v>8</v>
      </c>
      <c r="C286" s="114" t="s">
        <v>208</v>
      </c>
      <c r="D286" s="114">
        <v>1.0</v>
      </c>
      <c r="E286" s="14">
        <v>25000.0</v>
      </c>
      <c r="F286" s="14">
        <f t="shared" si="10"/>
        <v>25000</v>
      </c>
      <c r="G286" s="15" t="s">
        <v>10</v>
      </c>
      <c r="I286" s="109"/>
      <c r="K286" s="110"/>
      <c r="L286" s="110"/>
      <c r="M286" s="110"/>
      <c r="N286" s="110"/>
      <c r="O286" s="110"/>
      <c r="P286" s="110"/>
      <c r="Q286" s="110"/>
    </row>
    <row r="287">
      <c r="A287" s="28">
        <v>46164.0</v>
      </c>
      <c r="B287" s="18" t="s">
        <v>8</v>
      </c>
      <c r="C287" s="111" t="s">
        <v>16</v>
      </c>
      <c r="D287" s="111">
        <v>0.8</v>
      </c>
      <c r="E287" s="20">
        <v>25000.0</v>
      </c>
      <c r="F287" s="20">
        <f t="shared" si="10"/>
        <v>20000</v>
      </c>
      <c r="G287" s="21" t="s">
        <v>10</v>
      </c>
      <c r="I287" s="109"/>
      <c r="K287" s="110"/>
      <c r="L287" s="110"/>
      <c r="M287" s="110"/>
      <c r="N287" s="110"/>
      <c r="O287" s="110"/>
      <c r="P287" s="110"/>
      <c r="Q287" s="110"/>
    </row>
    <row r="288">
      <c r="A288" s="113">
        <v>46164.0</v>
      </c>
      <c r="B288" s="12" t="s">
        <v>8</v>
      </c>
      <c r="C288" s="114" t="s">
        <v>199</v>
      </c>
      <c r="D288" s="114">
        <v>0.15</v>
      </c>
      <c r="E288" s="14">
        <v>25000.0</v>
      </c>
      <c r="F288" s="14">
        <f t="shared" si="10"/>
        <v>3750</v>
      </c>
      <c r="G288" s="15" t="s">
        <v>10</v>
      </c>
      <c r="I288" s="109"/>
      <c r="K288" s="110"/>
      <c r="L288" s="110"/>
      <c r="M288" s="110"/>
      <c r="N288" s="110"/>
      <c r="O288" s="110"/>
      <c r="P288" s="110"/>
      <c r="Q288" s="110"/>
    </row>
    <row r="289">
      <c r="A289" s="28">
        <v>46165.0</v>
      </c>
      <c r="B289" s="18" t="s">
        <v>8</v>
      </c>
      <c r="C289" s="111" t="s">
        <v>140</v>
      </c>
      <c r="D289" s="111">
        <v>10.0</v>
      </c>
      <c r="E289" s="20">
        <v>25000.0</v>
      </c>
      <c r="F289" s="20">
        <f t="shared" si="10"/>
        <v>250000</v>
      </c>
      <c r="G289" s="21" t="s">
        <v>10</v>
      </c>
      <c r="I289" s="109"/>
      <c r="K289" s="110"/>
      <c r="L289" s="110"/>
      <c r="M289" s="110"/>
      <c r="N289" s="110"/>
      <c r="O289" s="110"/>
      <c r="P289" s="110"/>
      <c r="Q289" s="110"/>
    </row>
    <row r="290">
      <c r="A290" s="113">
        <v>46165.0</v>
      </c>
      <c r="B290" s="12" t="s">
        <v>8</v>
      </c>
      <c r="C290" s="114" t="s">
        <v>176</v>
      </c>
      <c r="D290" s="114">
        <v>1.0</v>
      </c>
      <c r="E290" s="14">
        <v>25000.0</v>
      </c>
      <c r="F290" s="14">
        <f t="shared" si="10"/>
        <v>25000</v>
      </c>
      <c r="G290" s="15" t="s">
        <v>10</v>
      </c>
      <c r="I290" s="109"/>
      <c r="K290" s="110"/>
      <c r="L290" s="110"/>
      <c r="M290" s="110"/>
      <c r="N290" s="110"/>
      <c r="O290" s="110"/>
      <c r="P290" s="110"/>
      <c r="Q290" s="110"/>
    </row>
    <row r="291">
      <c r="A291" s="28">
        <v>46165.0</v>
      </c>
      <c r="B291" s="18" t="s">
        <v>8</v>
      </c>
      <c r="C291" s="111" t="s">
        <v>209</v>
      </c>
      <c r="D291" s="111">
        <v>1.0</v>
      </c>
      <c r="E291" s="20">
        <v>25000.0</v>
      </c>
      <c r="F291" s="20">
        <f t="shared" si="10"/>
        <v>25000</v>
      </c>
      <c r="G291" s="21" t="s">
        <v>10</v>
      </c>
      <c r="I291" s="109"/>
      <c r="K291" s="110"/>
      <c r="L291" s="110"/>
      <c r="M291" s="110"/>
      <c r="N291" s="110"/>
      <c r="O291" s="110"/>
      <c r="P291" s="110"/>
      <c r="Q291" s="110"/>
    </row>
    <row r="292">
      <c r="A292" s="113">
        <v>46165.0</v>
      </c>
      <c r="B292" s="12" t="s">
        <v>8</v>
      </c>
      <c r="C292" s="114" t="s">
        <v>210</v>
      </c>
      <c r="D292" s="114">
        <v>1.0</v>
      </c>
      <c r="E292" s="14">
        <v>25000.0</v>
      </c>
      <c r="F292" s="14">
        <f t="shared" si="10"/>
        <v>25000</v>
      </c>
      <c r="G292" s="15" t="s">
        <v>10</v>
      </c>
      <c r="I292" s="109"/>
      <c r="K292" s="110"/>
      <c r="L292" s="110"/>
      <c r="M292" s="110"/>
      <c r="N292" s="110"/>
      <c r="O292" s="110"/>
      <c r="P292" s="110"/>
      <c r="Q292" s="110"/>
    </row>
    <row r="293">
      <c r="A293" s="28">
        <v>46165.0</v>
      </c>
      <c r="B293" s="18" t="s">
        <v>8</v>
      </c>
      <c r="C293" s="111" t="s">
        <v>169</v>
      </c>
      <c r="D293" s="111">
        <v>3.0</v>
      </c>
      <c r="E293" s="20">
        <v>25000.0</v>
      </c>
      <c r="F293" s="20">
        <f t="shared" si="10"/>
        <v>75000</v>
      </c>
      <c r="G293" s="21" t="s">
        <v>10</v>
      </c>
      <c r="I293" s="109"/>
      <c r="K293" s="110"/>
      <c r="L293" s="110"/>
      <c r="M293" s="110"/>
      <c r="N293" s="110"/>
      <c r="O293" s="110"/>
      <c r="P293" s="110"/>
      <c r="Q293" s="110"/>
    </row>
    <row r="294">
      <c r="A294" s="113">
        <v>46165.0</v>
      </c>
      <c r="B294" s="12" t="s">
        <v>8</v>
      </c>
      <c r="C294" s="114" t="s">
        <v>144</v>
      </c>
      <c r="D294" s="114">
        <v>3.0</v>
      </c>
      <c r="E294" s="14">
        <v>25000.0</v>
      </c>
      <c r="F294" s="14">
        <f t="shared" si="10"/>
        <v>75000</v>
      </c>
      <c r="G294" s="15" t="s">
        <v>10</v>
      </c>
      <c r="I294" s="109"/>
      <c r="K294" s="110"/>
      <c r="L294" s="110"/>
      <c r="M294" s="110"/>
      <c r="N294" s="110"/>
      <c r="O294" s="110"/>
      <c r="P294" s="110"/>
      <c r="Q294" s="110"/>
    </row>
    <row r="295">
      <c r="A295" s="28">
        <v>46165.0</v>
      </c>
      <c r="B295" s="18" t="s">
        <v>8</v>
      </c>
      <c r="C295" s="111" t="s">
        <v>211</v>
      </c>
      <c r="D295" s="111">
        <v>1.0</v>
      </c>
      <c r="E295" s="20">
        <v>25000.0</v>
      </c>
      <c r="F295" s="20">
        <f t="shared" si="10"/>
        <v>25000</v>
      </c>
      <c r="G295" s="21" t="s">
        <v>10</v>
      </c>
      <c r="I295" s="109"/>
      <c r="K295" s="110"/>
      <c r="L295" s="110"/>
      <c r="M295" s="110"/>
      <c r="N295" s="110"/>
      <c r="O295" s="110"/>
      <c r="P295" s="110"/>
      <c r="Q295" s="110"/>
    </row>
    <row r="296">
      <c r="A296" s="113">
        <v>46165.0</v>
      </c>
      <c r="B296" s="12" t="s">
        <v>8</v>
      </c>
      <c r="C296" s="114" t="s">
        <v>212</v>
      </c>
      <c r="D296" s="114">
        <v>1.0</v>
      </c>
      <c r="E296" s="14">
        <v>25000.0</v>
      </c>
      <c r="F296" s="14">
        <f t="shared" si="10"/>
        <v>25000</v>
      </c>
      <c r="G296" s="15" t="s">
        <v>10</v>
      </c>
      <c r="I296" s="109"/>
      <c r="K296" s="110"/>
      <c r="L296" s="110"/>
      <c r="M296" s="110"/>
      <c r="N296" s="110"/>
      <c r="O296" s="110"/>
      <c r="P296" s="110"/>
      <c r="Q296" s="110"/>
    </row>
    <row r="297">
      <c r="A297" s="28">
        <v>46165.0</v>
      </c>
      <c r="B297" s="18" t="s">
        <v>8</v>
      </c>
      <c r="C297" s="111" t="s">
        <v>213</v>
      </c>
      <c r="D297" s="111">
        <v>1.0</v>
      </c>
      <c r="E297" s="20">
        <v>25000.0</v>
      </c>
      <c r="F297" s="20">
        <f t="shared" si="10"/>
        <v>25000</v>
      </c>
      <c r="G297" s="21" t="s">
        <v>10</v>
      </c>
      <c r="I297" s="109"/>
      <c r="K297" s="110"/>
      <c r="L297" s="110"/>
      <c r="M297" s="110"/>
      <c r="N297" s="110"/>
      <c r="O297" s="110"/>
      <c r="P297" s="110"/>
      <c r="Q297" s="110"/>
    </row>
    <row r="298">
      <c r="A298" s="113">
        <v>46165.0</v>
      </c>
      <c r="B298" s="12" t="s">
        <v>8</v>
      </c>
      <c r="C298" s="114" t="s">
        <v>16</v>
      </c>
      <c r="D298" s="114">
        <v>0.6</v>
      </c>
      <c r="E298" s="14">
        <v>25000.0</v>
      </c>
      <c r="F298" s="14">
        <f t="shared" si="10"/>
        <v>15000</v>
      </c>
      <c r="G298" s="15" t="s">
        <v>10</v>
      </c>
      <c r="I298" s="109"/>
      <c r="K298" s="110"/>
      <c r="L298" s="110"/>
      <c r="M298" s="110"/>
      <c r="N298" s="110"/>
      <c r="O298" s="110"/>
      <c r="P298" s="110"/>
      <c r="Q298" s="110"/>
    </row>
    <row r="299">
      <c r="A299" s="28">
        <v>46166.0</v>
      </c>
      <c r="B299" s="18" t="s">
        <v>8</v>
      </c>
      <c r="C299" s="111" t="s">
        <v>205</v>
      </c>
      <c r="D299" s="111">
        <v>2.0</v>
      </c>
      <c r="E299" s="20">
        <v>25000.0</v>
      </c>
      <c r="F299" s="20">
        <f t="shared" si="10"/>
        <v>50000</v>
      </c>
      <c r="G299" s="21" t="s">
        <v>10</v>
      </c>
      <c r="H299" s="133"/>
      <c r="I299" s="18"/>
      <c r="J299" s="18"/>
      <c r="K299" s="111"/>
      <c r="L299" s="111"/>
      <c r="M299" s="20"/>
      <c r="N299" s="20"/>
      <c r="O299" s="21"/>
      <c r="P299" s="20"/>
      <c r="Q299" s="21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13">
        <v>46166.0</v>
      </c>
      <c r="B300" s="12" t="s">
        <v>8</v>
      </c>
      <c r="C300" s="114" t="s">
        <v>176</v>
      </c>
      <c r="D300" s="114">
        <v>1.0</v>
      </c>
      <c r="E300" s="14">
        <v>25000.0</v>
      </c>
      <c r="F300" s="14">
        <f t="shared" si="10"/>
        <v>25000</v>
      </c>
      <c r="G300" s="15" t="s">
        <v>10</v>
      </c>
      <c r="I300" s="109"/>
      <c r="K300" s="110"/>
      <c r="L300" s="110"/>
      <c r="M300" s="110"/>
      <c r="N300" s="110"/>
      <c r="O300" s="110"/>
      <c r="P300" s="110"/>
      <c r="Q300" s="110"/>
    </row>
    <row r="301">
      <c r="A301" s="28">
        <v>46166.0</v>
      </c>
      <c r="B301" s="18" t="s">
        <v>8</v>
      </c>
      <c r="C301" s="111" t="s">
        <v>169</v>
      </c>
      <c r="D301" s="111">
        <v>3.0</v>
      </c>
      <c r="E301" s="20">
        <v>25000.0</v>
      </c>
      <c r="F301" s="20">
        <f t="shared" si="10"/>
        <v>75000</v>
      </c>
      <c r="G301" s="21" t="s">
        <v>10</v>
      </c>
      <c r="I301" s="109"/>
      <c r="K301" s="110"/>
      <c r="L301" s="110"/>
      <c r="M301" s="110"/>
      <c r="N301" s="110"/>
      <c r="O301" s="110"/>
      <c r="P301" s="110"/>
      <c r="Q301" s="110"/>
    </row>
    <row r="302">
      <c r="A302" s="113">
        <v>46166.0</v>
      </c>
      <c r="B302" s="12" t="s">
        <v>8</v>
      </c>
      <c r="C302" s="114" t="s">
        <v>170</v>
      </c>
      <c r="D302" s="114">
        <v>3.0</v>
      </c>
      <c r="E302" s="14">
        <v>25000.0</v>
      </c>
      <c r="F302" s="14">
        <f t="shared" si="10"/>
        <v>75000</v>
      </c>
      <c r="G302" s="15" t="s">
        <v>10</v>
      </c>
      <c r="I302" s="109"/>
      <c r="K302" s="110"/>
      <c r="L302" s="110"/>
      <c r="M302" s="110"/>
      <c r="N302" s="110"/>
      <c r="O302" s="110"/>
      <c r="P302" s="110"/>
      <c r="Q302" s="110"/>
    </row>
    <row r="303">
      <c r="A303" s="28">
        <v>46166.0</v>
      </c>
      <c r="B303" s="18" t="s">
        <v>8</v>
      </c>
      <c r="C303" s="111" t="s">
        <v>207</v>
      </c>
      <c r="D303" s="111">
        <v>1.0</v>
      </c>
      <c r="E303" s="20">
        <v>25000.0</v>
      </c>
      <c r="F303" s="20">
        <f t="shared" si="10"/>
        <v>25000</v>
      </c>
      <c r="G303" s="21" t="s">
        <v>10</v>
      </c>
      <c r="I303" s="109"/>
      <c r="K303" s="110"/>
      <c r="L303" s="110"/>
      <c r="M303" s="110"/>
      <c r="N303" s="110"/>
      <c r="O303" s="110"/>
      <c r="P303" s="110"/>
      <c r="Q303" s="110"/>
    </row>
    <row r="304">
      <c r="A304" s="113">
        <v>46166.0</v>
      </c>
      <c r="B304" s="12" t="s">
        <v>8</v>
      </c>
      <c r="C304" s="114" t="s">
        <v>214</v>
      </c>
      <c r="D304" s="114">
        <v>1.0</v>
      </c>
      <c r="E304" s="14">
        <v>25000.0</v>
      </c>
      <c r="F304" s="14">
        <f t="shared" si="10"/>
        <v>25000</v>
      </c>
      <c r="G304" s="15" t="s">
        <v>10</v>
      </c>
      <c r="I304" s="109"/>
      <c r="K304" s="110"/>
      <c r="L304" s="110"/>
      <c r="M304" s="110"/>
      <c r="N304" s="110"/>
      <c r="O304" s="110"/>
      <c r="P304" s="110"/>
      <c r="Q304" s="110"/>
    </row>
    <row r="305">
      <c r="A305" s="28">
        <v>46166.0</v>
      </c>
      <c r="B305" s="18" t="s">
        <v>8</v>
      </c>
      <c r="C305" s="111" t="s">
        <v>140</v>
      </c>
      <c r="D305" s="111">
        <v>5.0</v>
      </c>
      <c r="E305" s="20">
        <v>25000.0</v>
      </c>
      <c r="F305" s="20">
        <f t="shared" si="10"/>
        <v>125000</v>
      </c>
      <c r="G305" s="21" t="s">
        <v>10</v>
      </c>
      <c r="I305" s="109"/>
      <c r="K305" s="110"/>
      <c r="L305" s="110"/>
      <c r="M305" s="110"/>
      <c r="N305" s="110"/>
      <c r="O305" s="110"/>
      <c r="P305" s="110"/>
      <c r="Q305" s="110"/>
    </row>
    <row r="306">
      <c r="A306" s="113">
        <v>46166.0</v>
      </c>
      <c r="B306" s="12" t="s">
        <v>8</v>
      </c>
      <c r="C306" s="114" t="s">
        <v>141</v>
      </c>
      <c r="D306" s="114">
        <v>2.0</v>
      </c>
      <c r="E306" s="14">
        <v>25000.0</v>
      </c>
      <c r="F306" s="14">
        <f t="shared" si="10"/>
        <v>50000</v>
      </c>
      <c r="G306" s="15" t="s">
        <v>10</v>
      </c>
      <c r="I306" s="109"/>
      <c r="K306" s="110"/>
      <c r="L306" s="110"/>
      <c r="M306" s="110"/>
      <c r="N306" s="110"/>
      <c r="O306" s="110"/>
      <c r="P306" s="110"/>
      <c r="Q306" s="110"/>
    </row>
    <row r="307">
      <c r="A307" s="28">
        <v>46166.0</v>
      </c>
      <c r="B307" s="18" t="s">
        <v>8</v>
      </c>
      <c r="C307" s="111" t="s">
        <v>16</v>
      </c>
      <c r="D307" s="111">
        <v>0.8</v>
      </c>
      <c r="E307" s="20">
        <v>25000.0</v>
      </c>
      <c r="F307" s="20">
        <f t="shared" si="10"/>
        <v>20000</v>
      </c>
      <c r="G307" s="21" t="s">
        <v>10</v>
      </c>
      <c r="I307" s="109"/>
      <c r="K307" s="110"/>
      <c r="L307" s="110"/>
      <c r="M307" s="110"/>
      <c r="N307" s="110"/>
      <c r="O307" s="110"/>
      <c r="P307" s="110"/>
      <c r="Q307" s="110"/>
    </row>
    <row r="308">
      <c r="A308" s="115" t="s">
        <v>142</v>
      </c>
      <c r="C308" s="116"/>
      <c r="D308" s="115">
        <f>SUM(D256:D307)</f>
        <v>100.2</v>
      </c>
      <c r="E308" s="116"/>
      <c r="F308" s="118">
        <f>SUM(F256:F307)</f>
        <v>2505000</v>
      </c>
      <c r="G308" s="115"/>
      <c r="H308" s="133"/>
      <c r="I308" s="18"/>
      <c r="J308" s="18"/>
      <c r="K308" s="111"/>
      <c r="L308" s="111"/>
      <c r="M308" s="20"/>
      <c r="N308" s="20"/>
      <c r="O308" s="21"/>
      <c r="P308" s="20"/>
      <c r="Q308" s="21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I309" s="109"/>
      <c r="K309" s="110"/>
      <c r="L309" s="110"/>
      <c r="M309" s="110"/>
      <c r="N309" s="110"/>
      <c r="O309" s="110"/>
      <c r="P309" s="110"/>
      <c r="Q309" s="110"/>
    </row>
    <row r="310" ht="28.5" customHeight="1">
      <c r="A310" s="105" t="s">
        <v>1</v>
      </c>
      <c r="B310" s="105" t="s">
        <v>2</v>
      </c>
      <c r="C310" s="105" t="s">
        <v>3</v>
      </c>
      <c r="D310" s="105" t="s">
        <v>4</v>
      </c>
      <c r="E310" s="107" t="s">
        <v>5</v>
      </c>
      <c r="F310" s="107" t="s">
        <v>6</v>
      </c>
      <c r="G310" s="105" t="s">
        <v>84</v>
      </c>
      <c r="I310" s="139"/>
      <c r="J310" s="110"/>
      <c r="K310" s="110"/>
      <c r="L310" s="110"/>
      <c r="M310" s="110"/>
      <c r="N310" s="110"/>
      <c r="O310" s="110"/>
      <c r="P310" s="110"/>
      <c r="Q310" s="110"/>
    </row>
    <row r="311">
      <c r="A311" s="113">
        <v>46167.0</v>
      </c>
      <c r="B311" s="12" t="s">
        <v>8</v>
      </c>
      <c r="C311" s="114" t="s">
        <v>145</v>
      </c>
      <c r="D311" s="114">
        <v>3.0</v>
      </c>
      <c r="E311" s="14">
        <v>25000.0</v>
      </c>
      <c r="F311" s="14">
        <f t="shared" ref="F311:F327" si="11">D311*E311</f>
        <v>75000</v>
      </c>
      <c r="G311" s="15" t="s">
        <v>10</v>
      </c>
      <c r="I311" s="109"/>
      <c r="K311" s="110"/>
      <c r="L311" s="110"/>
      <c r="M311" s="110"/>
      <c r="N311" s="110"/>
      <c r="O311" s="110"/>
      <c r="P311" s="110"/>
      <c r="Q311" s="110"/>
    </row>
    <row r="312">
      <c r="A312" s="28">
        <v>46167.0</v>
      </c>
      <c r="B312" s="18" t="s">
        <v>8</v>
      </c>
      <c r="C312" s="111" t="s">
        <v>215</v>
      </c>
      <c r="D312" s="111">
        <v>1.0</v>
      </c>
      <c r="E312" s="20">
        <v>25000.0</v>
      </c>
      <c r="F312" s="20">
        <f t="shared" si="11"/>
        <v>25000</v>
      </c>
      <c r="G312" s="21" t="s">
        <v>10</v>
      </c>
      <c r="I312" s="109"/>
      <c r="K312" s="110"/>
      <c r="L312" s="110"/>
      <c r="M312" s="110"/>
      <c r="N312" s="110"/>
      <c r="O312" s="110"/>
      <c r="P312" s="110"/>
      <c r="Q312" s="110"/>
    </row>
    <row r="313">
      <c r="A313" s="113">
        <v>46167.0</v>
      </c>
      <c r="B313" s="12" t="s">
        <v>8</v>
      </c>
      <c r="C313" s="114" t="s">
        <v>209</v>
      </c>
      <c r="D313" s="114">
        <v>1.0</v>
      </c>
      <c r="E313" s="14">
        <v>25000.0</v>
      </c>
      <c r="F313" s="14">
        <f t="shared" si="11"/>
        <v>25000</v>
      </c>
      <c r="G313" s="15" t="s">
        <v>10</v>
      </c>
      <c r="I313" s="109"/>
      <c r="K313" s="110"/>
      <c r="L313" s="110"/>
      <c r="M313" s="110"/>
      <c r="N313" s="110"/>
      <c r="O313" s="110"/>
      <c r="P313" s="110"/>
      <c r="Q313" s="110"/>
    </row>
    <row r="314">
      <c r="A314" s="28">
        <v>46167.0</v>
      </c>
      <c r="B314" s="18" t="s">
        <v>8</v>
      </c>
      <c r="C314" s="111" t="s">
        <v>140</v>
      </c>
      <c r="D314" s="111">
        <v>5.0</v>
      </c>
      <c r="E314" s="20">
        <v>25000.0</v>
      </c>
      <c r="F314" s="20">
        <f t="shared" si="11"/>
        <v>125000</v>
      </c>
      <c r="G314" s="21" t="s">
        <v>10</v>
      </c>
      <c r="I314" s="109"/>
      <c r="K314" s="110"/>
      <c r="L314" s="110"/>
      <c r="M314" s="110"/>
      <c r="N314" s="110"/>
      <c r="O314" s="110"/>
      <c r="P314" s="110"/>
      <c r="Q314" s="110"/>
    </row>
    <row r="315">
      <c r="A315" s="113">
        <v>46167.0</v>
      </c>
      <c r="B315" s="12" t="s">
        <v>8</v>
      </c>
      <c r="C315" s="114" t="s">
        <v>16</v>
      </c>
      <c r="D315" s="114">
        <v>0.5</v>
      </c>
      <c r="E315" s="14">
        <v>25000.0</v>
      </c>
      <c r="F315" s="14">
        <f t="shared" si="11"/>
        <v>12500</v>
      </c>
      <c r="G315" s="15" t="s">
        <v>10</v>
      </c>
      <c r="I315" s="109"/>
      <c r="K315" s="110"/>
      <c r="L315" s="110"/>
      <c r="M315" s="110"/>
      <c r="N315" s="110"/>
      <c r="O315" s="110"/>
      <c r="P315" s="110"/>
      <c r="Q315" s="110"/>
    </row>
    <row r="316">
      <c r="A316" s="28">
        <v>46168.0</v>
      </c>
      <c r="B316" s="18" t="s">
        <v>8</v>
      </c>
      <c r="C316" s="111" t="s">
        <v>169</v>
      </c>
      <c r="D316" s="111">
        <v>3.0</v>
      </c>
      <c r="E316" s="20">
        <v>25000.0</v>
      </c>
      <c r="F316" s="20">
        <f t="shared" si="11"/>
        <v>75000</v>
      </c>
      <c r="G316" s="21" t="s">
        <v>10</v>
      </c>
      <c r="I316" s="109"/>
      <c r="K316" s="110"/>
      <c r="L316" s="110"/>
      <c r="M316" s="110"/>
      <c r="N316" s="110"/>
      <c r="O316" s="110"/>
      <c r="P316" s="110"/>
      <c r="Q316" s="110"/>
    </row>
    <row r="317">
      <c r="A317" s="113">
        <v>46168.0</v>
      </c>
      <c r="B317" s="12" t="s">
        <v>8</v>
      </c>
      <c r="C317" s="114" t="s">
        <v>216</v>
      </c>
      <c r="D317" s="114">
        <v>1.0</v>
      </c>
      <c r="E317" s="14">
        <v>25000.0</v>
      </c>
      <c r="F317" s="14">
        <f t="shared" si="11"/>
        <v>25000</v>
      </c>
      <c r="G317" s="15" t="s">
        <v>10</v>
      </c>
      <c r="I317" s="109"/>
      <c r="K317" s="110"/>
      <c r="L317" s="110"/>
      <c r="M317" s="110"/>
      <c r="N317" s="110"/>
      <c r="O317" s="110"/>
      <c r="P317" s="110"/>
      <c r="Q317" s="110"/>
    </row>
    <row r="318">
      <c r="A318" s="28">
        <v>46168.0</v>
      </c>
      <c r="B318" s="18" t="s">
        <v>8</v>
      </c>
      <c r="C318" s="111" t="s">
        <v>217</v>
      </c>
      <c r="D318" s="111">
        <v>1.0</v>
      </c>
      <c r="E318" s="20">
        <v>25000.0</v>
      </c>
      <c r="F318" s="20">
        <f t="shared" si="11"/>
        <v>25000</v>
      </c>
      <c r="G318" s="21" t="s">
        <v>10</v>
      </c>
      <c r="I318" s="109"/>
      <c r="K318" s="110"/>
      <c r="L318" s="110"/>
      <c r="M318" s="110"/>
      <c r="N318" s="110"/>
      <c r="O318" s="110"/>
      <c r="P318" s="110"/>
      <c r="Q318" s="110"/>
    </row>
    <row r="319">
      <c r="A319" s="113">
        <v>46168.0</v>
      </c>
      <c r="B319" s="12" t="s">
        <v>8</v>
      </c>
      <c r="C319" s="114" t="s">
        <v>16</v>
      </c>
      <c r="D319" s="114">
        <v>0.3</v>
      </c>
      <c r="E319" s="14">
        <v>25000.0</v>
      </c>
      <c r="F319" s="14">
        <f t="shared" si="11"/>
        <v>7500</v>
      </c>
      <c r="G319" s="15" t="s">
        <v>10</v>
      </c>
      <c r="I319" s="109"/>
      <c r="K319" s="110"/>
      <c r="L319" s="110"/>
      <c r="M319" s="110"/>
      <c r="N319" s="110"/>
      <c r="O319" s="110"/>
      <c r="P319" s="110"/>
      <c r="Q319" s="110"/>
    </row>
    <row r="320">
      <c r="A320" s="28">
        <v>46168.0</v>
      </c>
      <c r="B320" s="18" t="s">
        <v>8</v>
      </c>
      <c r="C320" s="111" t="s">
        <v>199</v>
      </c>
      <c r="D320" s="111">
        <v>0.15</v>
      </c>
      <c r="E320" s="20">
        <v>25000.0</v>
      </c>
      <c r="F320" s="20">
        <f t="shared" si="11"/>
        <v>3750</v>
      </c>
      <c r="G320" s="21" t="s">
        <v>10</v>
      </c>
      <c r="I320" s="109"/>
      <c r="K320" s="110"/>
      <c r="L320" s="110"/>
      <c r="M320" s="110"/>
      <c r="N320" s="110"/>
      <c r="O320" s="110"/>
      <c r="P320" s="110"/>
      <c r="Q320" s="110"/>
    </row>
    <row r="321">
      <c r="A321" s="113">
        <v>46170.0</v>
      </c>
      <c r="B321" s="12" t="s">
        <v>8</v>
      </c>
      <c r="C321" s="114" t="s">
        <v>190</v>
      </c>
      <c r="D321" s="114">
        <v>1.0</v>
      </c>
      <c r="E321" s="14">
        <v>25000.0</v>
      </c>
      <c r="F321" s="14">
        <f t="shared" si="11"/>
        <v>25000</v>
      </c>
      <c r="G321" s="15" t="s">
        <v>10</v>
      </c>
      <c r="I321" s="109"/>
      <c r="K321" s="110"/>
      <c r="L321" s="110"/>
      <c r="M321" s="110"/>
      <c r="N321" s="110"/>
      <c r="O321" s="110"/>
      <c r="P321" s="110"/>
      <c r="Q321" s="110"/>
    </row>
    <row r="322">
      <c r="A322" s="28">
        <v>46171.0</v>
      </c>
      <c r="B322" s="18" t="s">
        <v>8</v>
      </c>
      <c r="C322" s="111" t="s">
        <v>169</v>
      </c>
      <c r="D322" s="111">
        <v>3.0</v>
      </c>
      <c r="E322" s="20">
        <v>25000.0</v>
      </c>
      <c r="F322" s="20">
        <f t="shared" si="11"/>
        <v>75000</v>
      </c>
      <c r="G322" s="21" t="s">
        <v>10</v>
      </c>
      <c r="I322" s="109"/>
      <c r="K322" s="110"/>
      <c r="L322" s="110"/>
      <c r="M322" s="110"/>
      <c r="N322" s="110"/>
      <c r="O322" s="110"/>
      <c r="P322" s="110"/>
      <c r="Q322" s="110"/>
    </row>
    <row r="323">
      <c r="A323" s="113">
        <v>46171.0</v>
      </c>
      <c r="B323" s="12" t="s">
        <v>8</v>
      </c>
      <c r="C323" s="114" t="s">
        <v>170</v>
      </c>
      <c r="D323" s="114">
        <v>3.0</v>
      </c>
      <c r="E323" s="14">
        <v>25000.0</v>
      </c>
      <c r="F323" s="14">
        <f t="shared" si="11"/>
        <v>75000</v>
      </c>
      <c r="G323" s="15" t="s">
        <v>10</v>
      </c>
      <c r="I323" s="109"/>
      <c r="K323" s="110"/>
      <c r="L323" s="110"/>
      <c r="M323" s="110"/>
      <c r="N323" s="110"/>
      <c r="O323" s="110"/>
      <c r="P323" s="110"/>
      <c r="Q323" s="110"/>
    </row>
    <row r="324">
      <c r="A324" s="28">
        <v>46171.0</v>
      </c>
      <c r="B324" s="18" t="s">
        <v>8</v>
      </c>
      <c r="C324" s="111" t="s">
        <v>218</v>
      </c>
      <c r="D324" s="111">
        <v>1.0</v>
      </c>
      <c r="E324" s="20">
        <v>25000.0</v>
      </c>
      <c r="F324" s="20">
        <f t="shared" si="11"/>
        <v>25000</v>
      </c>
      <c r="G324" s="21" t="s">
        <v>10</v>
      </c>
      <c r="I324" s="109"/>
      <c r="K324" s="110"/>
      <c r="L324" s="110"/>
      <c r="M324" s="110"/>
      <c r="N324" s="110"/>
      <c r="O324" s="110"/>
      <c r="P324" s="110"/>
      <c r="Q324" s="110"/>
    </row>
    <row r="325">
      <c r="A325" s="113">
        <v>46172.0</v>
      </c>
      <c r="B325" s="12" t="s">
        <v>8</v>
      </c>
      <c r="C325" s="114" t="s">
        <v>147</v>
      </c>
      <c r="D325" s="114">
        <v>3.0</v>
      </c>
      <c r="E325" s="14">
        <v>25000.0</v>
      </c>
      <c r="F325" s="14">
        <f t="shared" si="11"/>
        <v>75000</v>
      </c>
      <c r="G325" s="15" t="s">
        <v>10</v>
      </c>
      <c r="I325" s="109"/>
      <c r="K325" s="110"/>
      <c r="L325" s="110"/>
      <c r="M325" s="110"/>
      <c r="N325" s="110"/>
      <c r="O325" s="110"/>
      <c r="P325" s="110"/>
      <c r="Q325" s="110"/>
    </row>
    <row r="326">
      <c r="A326" s="28">
        <v>46172.0</v>
      </c>
      <c r="B326" s="18" t="s">
        <v>8</v>
      </c>
      <c r="C326" s="111" t="s">
        <v>219</v>
      </c>
      <c r="D326" s="111">
        <v>1.0</v>
      </c>
      <c r="E326" s="20">
        <v>25000.0</v>
      </c>
      <c r="F326" s="20">
        <f t="shared" si="11"/>
        <v>25000</v>
      </c>
      <c r="G326" s="21" t="s">
        <v>10</v>
      </c>
      <c r="I326" s="109"/>
      <c r="K326" s="110"/>
      <c r="L326" s="110"/>
      <c r="M326" s="110"/>
      <c r="N326" s="110"/>
      <c r="O326" s="110"/>
      <c r="P326" s="110"/>
      <c r="Q326" s="110"/>
    </row>
    <row r="327">
      <c r="A327" s="113">
        <v>46172.0</v>
      </c>
      <c r="B327" s="12" t="s">
        <v>8</v>
      </c>
      <c r="C327" s="114" t="s">
        <v>16</v>
      </c>
      <c r="D327" s="114">
        <v>0.1</v>
      </c>
      <c r="E327" s="14">
        <v>25000.0</v>
      </c>
      <c r="F327" s="14">
        <f t="shared" si="11"/>
        <v>2500</v>
      </c>
      <c r="G327" s="15" t="s">
        <v>10</v>
      </c>
      <c r="I327" s="109"/>
      <c r="K327" s="110"/>
      <c r="L327" s="110"/>
      <c r="M327" s="110"/>
      <c r="N327" s="110"/>
      <c r="O327" s="110"/>
      <c r="P327" s="110"/>
      <c r="Q327" s="110"/>
    </row>
    <row r="328">
      <c r="A328" s="115" t="s">
        <v>142</v>
      </c>
      <c r="C328" s="116"/>
      <c r="D328" s="115">
        <f>SUM(D311:D327)</f>
        <v>28.05</v>
      </c>
      <c r="E328" s="116"/>
      <c r="F328" s="118">
        <f>SUM(F311:F327)</f>
        <v>701250</v>
      </c>
      <c r="G328" s="115"/>
      <c r="H328" s="133"/>
      <c r="I328" s="18"/>
      <c r="J328" s="18"/>
      <c r="K328" s="111"/>
      <c r="L328" s="111"/>
      <c r="M328" s="20"/>
      <c r="N328" s="20"/>
      <c r="O328" s="21"/>
      <c r="P328" s="20"/>
      <c r="Q328" s="21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I329" s="109"/>
      <c r="K329" s="110"/>
      <c r="L329" s="110"/>
      <c r="M329" s="110"/>
      <c r="N329" s="110"/>
      <c r="O329" s="110"/>
      <c r="P329" s="110"/>
      <c r="Q329" s="110"/>
    </row>
    <row r="330" ht="28.5" customHeight="1">
      <c r="A330" s="105" t="s">
        <v>1</v>
      </c>
      <c r="B330" s="105" t="s">
        <v>2</v>
      </c>
      <c r="C330" s="105" t="s">
        <v>3</v>
      </c>
      <c r="D330" s="105" t="s">
        <v>4</v>
      </c>
      <c r="E330" s="107" t="s">
        <v>5</v>
      </c>
      <c r="F330" s="107" t="s">
        <v>6</v>
      </c>
      <c r="G330" s="105" t="s">
        <v>84</v>
      </c>
      <c r="I330" s="139"/>
      <c r="J330" s="110"/>
      <c r="K330" s="110"/>
      <c r="L330" s="110"/>
      <c r="M330" s="110"/>
      <c r="N330" s="110"/>
      <c r="O330" s="110"/>
      <c r="P330" s="110"/>
      <c r="Q330" s="110"/>
    </row>
    <row r="331">
      <c r="A331" s="140">
        <v>46174.0</v>
      </c>
      <c r="B331" s="141" t="s">
        <v>8</v>
      </c>
      <c r="C331" s="141" t="s">
        <v>191</v>
      </c>
      <c r="D331" s="141">
        <v>3.0</v>
      </c>
      <c r="E331" s="20">
        <v>25000.0</v>
      </c>
      <c r="F331" s="20">
        <f t="shared" ref="F331:F348" si="12">D331*E331</f>
        <v>75000</v>
      </c>
      <c r="G331" s="24" t="s">
        <v>10</v>
      </c>
      <c r="I331" s="109"/>
      <c r="K331" s="110"/>
      <c r="L331" s="110"/>
      <c r="M331" s="110"/>
      <c r="N331" s="110"/>
      <c r="O331" s="110"/>
      <c r="P331" s="110"/>
      <c r="Q331" s="110"/>
    </row>
    <row r="332">
      <c r="A332" s="142">
        <v>46174.0</v>
      </c>
      <c r="B332" s="143" t="s">
        <v>8</v>
      </c>
      <c r="C332" s="143" t="s">
        <v>220</v>
      </c>
      <c r="D332" s="143">
        <v>5.0</v>
      </c>
      <c r="E332" s="14">
        <v>25000.0</v>
      </c>
      <c r="F332" s="14">
        <f t="shared" si="12"/>
        <v>125000</v>
      </c>
      <c r="G332" s="144" t="s">
        <v>10</v>
      </c>
      <c r="I332" s="109"/>
      <c r="K332" s="110"/>
      <c r="L332" s="110"/>
      <c r="M332" s="110"/>
      <c r="N332" s="110"/>
      <c r="O332" s="110"/>
      <c r="P332" s="110"/>
      <c r="Q332" s="110"/>
    </row>
    <row r="333">
      <c r="A333" s="140">
        <v>46174.0</v>
      </c>
      <c r="B333" s="141" t="s">
        <v>8</v>
      </c>
      <c r="C333" s="141" t="s">
        <v>169</v>
      </c>
      <c r="D333" s="141">
        <v>3.0</v>
      </c>
      <c r="E333" s="20">
        <v>25000.0</v>
      </c>
      <c r="F333" s="20">
        <f t="shared" si="12"/>
        <v>75000</v>
      </c>
      <c r="G333" s="24" t="s">
        <v>10</v>
      </c>
      <c r="I333" s="109"/>
      <c r="K333" s="110"/>
      <c r="L333" s="110"/>
      <c r="M333" s="110"/>
      <c r="N333" s="110"/>
      <c r="O333" s="110"/>
      <c r="P333" s="110"/>
      <c r="Q333" s="110"/>
    </row>
    <row r="334">
      <c r="A334" s="142">
        <v>46174.0</v>
      </c>
      <c r="B334" s="143" t="s">
        <v>8</v>
      </c>
      <c r="C334" s="143" t="s">
        <v>170</v>
      </c>
      <c r="D334" s="143">
        <v>3.0</v>
      </c>
      <c r="E334" s="14">
        <v>25000.0</v>
      </c>
      <c r="F334" s="14">
        <f t="shared" si="12"/>
        <v>75000</v>
      </c>
      <c r="G334" s="144" t="s">
        <v>10</v>
      </c>
      <c r="I334" s="109"/>
      <c r="K334" s="110"/>
      <c r="L334" s="110"/>
      <c r="M334" s="110"/>
      <c r="N334" s="110"/>
      <c r="O334" s="110"/>
      <c r="P334" s="110"/>
      <c r="Q334" s="110"/>
    </row>
    <row r="335">
      <c r="A335" s="28">
        <v>46175.0</v>
      </c>
      <c r="B335" s="18" t="s">
        <v>8</v>
      </c>
      <c r="C335" s="111" t="s">
        <v>170</v>
      </c>
      <c r="D335" s="111">
        <v>3.0</v>
      </c>
      <c r="E335" s="20">
        <v>25000.0</v>
      </c>
      <c r="F335" s="20">
        <f t="shared" si="12"/>
        <v>75000</v>
      </c>
      <c r="G335" s="21" t="s">
        <v>10</v>
      </c>
      <c r="I335" s="109"/>
      <c r="K335" s="110"/>
      <c r="L335" s="110"/>
      <c r="M335" s="110"/>
      <c r="N335" s="110"/>
      <c r="O335" s="110"/>
      <c r="P335" s="110"/>
      <c r="Q335" s="110"/>
    </row>
    <row r="336">
      <c r="A336" s="113">
        <v>46175.0</v>
      </c>
      <c r="B336" s="12" t="s">
        <v>8</v>
      </c>
      <c r="C336" s="114" t="s">
        <v>143</v>
      </c>
      <c r="D336" s="114">
        <v>3.0</v>
      </c>
      <c r="E336" s="14">
        <v>25000.0</v>
      </c>
      <c r="F336" s="14">
        <f t="shared" si="12"/>
        <v>75000</v>
      </c>
      <c r="G336" s="15" t="s">
        <v>10</v>
      </c>
      <c r="I336" s="109"/>
      <c r="K336" s="110"/>
      <c r="L336" s="110"/>
      <c r="M336" s="110"/>
      <c r="N336" s="110"/>
      <c r="O336" s="110"/>
      <c r="P336" s="110"/>
      <c r="Q336" s="110"/>
    </row>
    <row r="337">
      <c r="A337" s="28">
        <v>46175.0</v>
      </c>
      <c r="B337" s="18" t="s">
        <v>8</v>
      </c>
      <c r="C337" s="111" t="s">
        <v>169</v>
      </c>
      <c r="D337" s="111">
        <v>3.0</v>
      </c>
      <c r="E337" s="20">
        <v>25000.0</v>
      </c>
      <c r="F337" s="20">
        <f t="shared" si="12"/>
        <v>75000</v>
      </c>
      <c r="G337" s="21" t="s">
        <v>10</v>
      </c>
      <c r="I337" s="109"/>
      <c r="K337" s="110"/>
      <c r="L337" s="110"/>
      <c r="M337" s="110"/>
      <c r="N337" s="110"/>
      <c r="O337" s="110"/>
      <c r="P337" s="110"/>
      <c r="Q337" s="110"/>
    </row>
    <row r="338">
      <c r="A338" s="113">
        <v>46175.0</v>
      </c>
      <c r="B338" s="12" t="s">
        <v>8</v>
      </c>
      <c r="C338" s="114" t="s">
        <v>221</v>
      </c>
      <c r="D338" s="114">
        <v>2.0</v>
      </c>
      <c r="E338" s="14">
        <v>25000.0</v>
      </c>
      <c r="F338" s="14">
        <f t="shared" si="12"/>
        <v>50000</v>
      </c>
      <c r="G338" s="15" t="s">
        <v>10</v>
      </c>
      <c r="I338" s="109"/>
      <c r="K338" s="110"/>
      <c r="L338" s="110"/>
      <c r="M338" s="110"/>
      <c r="N338" s="110"/>
      <c r="O338" s="110"/>
      <c r="P338" s="110"/>
      <c r="Q338" s="110"/>
    </row>
    <row r="339">
      <c r="A339" s="28">
        <v>46175.0</v>
      </c>
      <c r="B339" s="18" t="s">
        <v>8</v>
      </c>
      <c r="C339" s="111" t="s">
        <v>144</v>
      </c>
      <c r="D339" s="111">
        <v>3.0</v>
      </c>
      <c r="E339" s="20">
        <v>25000.0</v>
      </c>
      <c r="F339" s="20">
        <f t="shared" si="12"/>
        <v>75000</v>
      </c>
      <c r="G339" s="21" t="s">
        <v>10</v>
      </c>
      <c r="I339" s="109"/>
      <c r="K339" s="110"/>
      <c r="L339" s="110"/>
      <c r="M339" s="110"/>
      <c r="N339" s="110"/>
      <c r="O339" s="110"/>
      <c r="P339" s="110"/>
      <c r="Q339" s="110"/>
    </row>
    <row r="340">
      <c r="A340" s="113">
        <v>46176.0</v>
      </c>
      <c r="B340" s="12" t="s">
        <v>8</v>
      </c>
      <c r="C340" s="114" t="s">
        <v>145</v>
      </c>
      <c r="D340" s="114">
        <v>3.0</v>
      </c>
      <c r="E340" s="14">
        <v>25000.0</v>
      </c>
      <c r="F340" s="14">
        <f t="shared" si="12"/>
        <v>75000</v>
      </c>
      <c r="G340" s="15" t="s">
        <v>10</v>
      </c>
      <c r="I340" s="109"/>
      <c r="K340" s="110"/>
      <c r="L340" s="110"/>
      <c r="M340" s="110"/>
      <c r="N340" s="110"/>
      <c r="O340" s="110"/>
      <c r="P340" s="110"/>
      <c r="Q340" s="110"/>
    </row>
    <row r="341">
      <c r="A341" s="28">
        <v>46176.0</v>
      </c>
      <c r="B341" s="18" t="s">
        <v>8</v>
      </c>
      <c r="C341" s="111" t="s">
        <v>170</v>
      </c>
      <c r="D341" s="111">
        <v>3.0</v>
      </c>
      <c r="E341" s="20">
        <v>25000.0</v>
      </c>
      <c r="F341" s="20">
        <f t="shared" si="12"/>
        <v>75000</v>
      </c>
      <c r="G341" s="21" t="s">
        <v>10</v>
      </c>
      <c r="I341" s="109"/>
      <c r="K341" s="110"/>
      <c r="L341" s="110"/>
      <c r="M341" s="110"/>
      <c r="N341" s="110"/>
      <c r="O341" s="110"/>
      <c r="P341" s="110"/>
      <c r="Q341" s="110"/>
    </row>
    <row r="342">
      <c r="A342" s="113">
        <v>46177.0</v>
      </c>
      <c r="B342" s="12" t="s">
        <v>8</v>
      </c>
      <c r="C342" s="114" t="s">
        <v>149</v>
      </c>
      <c r="D342" s="114">
        <v>2.0</v>
      </c>
      <c r="E342" s="14">
        <v>25000.0</v>
      </c>
      <c r="F342" s="14">
        <f t="shared" si="12"/>
        <v>50000</v>
      </c>
      <c r="G342" s="15" t="s">
        <v>10</v>
      </c>
      <c r="I342" s="109"/>
      <c r="K342" s="110"/>
      <c r="L342" s="110"/>
      <c r="M342" s="110"/>
      <c r="N342" s="110"/>
      <c r="O342" s="110"/>
      <c r="P342" s="110"/>
      <c r="Q342" s="110"/>
    </row>
    <row r="343">
      <c r="A343" s="28">
        <v>46177.0</v>
      </c>
      <c r="B343" s="18" t="s">
        <v>8</v>
      </c>
      <c r="C343" s="111" t="s">
        <v>186</v>
      </c>
      <c r="D343" s="111">
        <v>3.0</v>
      </c>
      <c r="E343" s="20">
        <v>25000.0</v>
      </c>
      <c r="F343" s="20">
        <f t="shared" si="12"/>
        <v>75000</v>
      </c>
      <c r="G343" s="21" t="s">
        <v>10</v>
      </c>
      <c r="I343" s="109"/>
      <c r="K343" s="110"/>
      <c r="L343" s="110"/>
      <c r="M343" s="110"/>
      <c r="N343" s="110"/>
      <c r="O343" s="110"/>
      <c r="P343" s="110"/>
      <c r="Q343" s="110"/>
    </row>
    <row r="344">
      <c r="A344" s="113">
        <v>46178.0</v>
      </c>
      <c r="B344" s="12" t="s">
        <v>8</v>
      </c>
      <c r="C344" s="114" t="s">
        <v>140</v>
      </c>
      <c r="D344" s="114">
        <v>2.0</v>
      </c>
      <c r="E344" s="14">
        <v>25000.0</v>
      </c>
      <c r="F344" s="14">
        <f t="shared" si="12"/>
        <v>50000</v>
      </c>
      <c r="G344" s="15" t="s">
        <v>10</v>
      </c>
      <c r="I344" s="109"/>
      <c r="K344" s="110"/>
      <c r="L344" s="110"/>
      <c r="M344" s="110"/>
      <c r="N344" s="110"/>
      <c r="O344" s="110"/>
      <c r="P344" s="110"/>
      <c r="Q344" s="110"/>
    </row>
    <row r="345">
      <c r="A345" s="28">
        <v>46179.0</v>
      </c>
      <c r="B345" s="18" t="s">
        <v>8</v>
      </c>
      <c r="C345" s="111" t="s">
        <v>169</v>
      </c>
      <c r="D345" s="111">
        <v>3.0</v>
      </c>
      <c r="E345" s="20">
        <v>25000.0</v>
      </c>
      <c r="F345" s="20">
        <f t="shared" si="12"/>
        <v>75000</v>
      </c>
      <c r="G345" s="21" t="s">
        <v>10</v>
      </c>
      <c r="I345" s="109"/>
      <c r="K345" s="110"/>
      <c r="L345" s="110"/>
      <c r="M345" s="110"/>
      <c r="N345" s="110"/>
      <c r="O345" s="110"/>
      <c r="P345" s="110"/>
      <c r="Q345" s="110"/>
    </row>
    <row r="346">
      <c r="A346" s="113">
        <v>46179.0</v>
      </c>
      <c r="B346" s="12" t="s">
        <v>8</v>
      </c>
      <c r="C346" s="114" t="s">
        <v>170</v>
      </c>
      <c r="D346" s="114">
        <v>3.0</v>
      </c>
      <c r="E346" s="14">
        <v>25000.0</v>
      </c>
      <c r="F346" s="14">
        <f t="shared" si="12"/>
        <v>75000</v>
      </c>
      <c r="G346" s="15" t="s">
        <v>10</v>
      </c>
      <c r="I346" s="109"/>
      <c r="K346" s="110"/>
      <c r="L346" s="110"/>
      <c r="M346" s="110"/>
      <c r="N346" s="110"/>
      <c r="O346" s="110"/>
      <c r="P346" s="110"/>
      <c r="Q346" s="110"/>
    </row>
    <row r="347">
      <c r="A347" s="28">
        <v>46179.0</v>
      </c>
      <c r="B347" s="18" t="s">
        <v>8</v>
      </c>
      <c r="C347" s="111" t="s">
        <v>221</v>
      </c>
      <c r="D347" s="111">
        <v>2.0</v>
      </c>
      <c r="E347" s="20">
        <v>25000.0</v>
      </c>
      <c r="F347" s="20">
        <f t="shared" si="12"/>
        <v>50000</v>
      </c>
      <c r="G347" s="21" t="s">
        <v>10</v>
      </c>
      <c r="I347" s="109"/>
      <c r="K347" s="110"/>
      <c r="L347" s="110"/>
      <c r="M347" s="110"/>
      <c r="N347" s="110"/>
      <c r="O347" s="110"/>
      <c r="P347" s="110"/>
      <c r="Q347" s="110"/>
    </row>
    <row r="348">
      <c r="A348" s="113">
        <v>46179.0</v>
      </c>
      <c r="B348" s="12" t="s">
        <v>8</v>
      </c>
      <c r="C348" s="114" t="s">
        <v>222</v>
      </c>
      <c r="D348" s="114">
        <v>3.0</v>
      </c>
      <c r="E348" s="14">
        <v>25000.0</v>
      </c>
      <c r="F348" s="14">
        <f t="shared" si="12"/>
        <v>75000</v>
      </c>
      <c r="G348" s="15" t="s">
        <v>10</v>
      </c>
      <c r="I348" s="109"/>
      <c r="K348" s="110"/>
      <c r="L348" s="110"/>
      <c r="M348" s="110"/>
      <c r="N348" s="110"/>
      <c r="O348" s="110"/>
      <c r="P348" s="110"/>
      <c r="Q348" s="110"/>
    </row>
    <row r="349">
      <c r="A349" s="115" t="s">
        <v>142</v>
      </c>
      <c r="C349" s="116"/>
      <c r="D349" s="115">
        <f>SUM(D331:D348)</f>
        <v>52</v>
      </c>
      <c r="E349" s="116"/>
      <c r="F349" s="118">
        <f>SUM(F331:F348)</f>
        <v>1300000</v>
      </c>
      <c r="G349" s="115"/>
      <c r="H349" s="133"/>
      <c r="I349" s="18"/>
      <c r="J349" s="18"/>
      <c r="K349" s="111"/>
      <c r="L349" s="111"/>
      <c r="M349" s="20"/>
      <c r="N349" s="20"/>
      <c r="O349" s="21"/>
      <c r="P349" s="20"/>
      <c r="Q349" s="21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I350" s="109"/>
      <c r="K350" s="110"/>
      <c r="L350" s="110"/>
      <c r="M350" s="110"/>
      <c r="N350" s="110"/>
      <c r="O350" s="110"/>
      <c r="P350" s="110"/>
      <c r="Q350" s="110"/>
    </row>
    <row r="351">
      <c r="A351" s="154">
        <v>46174.0</v>
      </c>
      <c r="B351" s="155" t="s">
        <v>8</v>
      </c>
      <c r="C351" s="155" t="s">
        <v>16</v>
      </c>
      <c r="D351" s="155">
        <v>0.14</v>
      </c>
      <c r="E351" s="32">
        <v>25000.0</v>
      </c>
      <c r="F351" s="32">
        <f t="shared" ref="F351:F356" si="13">D351*E351</f>
        <v>3500</v>
      </c>
      <c r="G351" s="156" t="s">
        <v>10</v>
      </c>
      <c r="I351" s="109"/>
      <c r="K351" s="110"/>
      <c r="L351" s="110"/>
      <c r="M351" s="110"/>
      <c r="N351" s="110"/>
      <c r="O351" s="110"/>
      <c r="P351" s="110"/>
      <c r="Q351" s="110"/>
    </row>
    <row r="352">
      <c r="A352" s="157">
        <v>46175.0</v>
      </c>
      <c r="B352" s="29" t="s">
        <v>8</v>
      </c>
      <c r="C352" s="73" t="s">
        <v>16</v>
      </c>
      <c r="D352" s="73">
        <v>0.1</v>
      </c>
      <c r="E352" s="32">
        <v>25000.0</v>
      </c>
      <c r="F352" s="32">
        <f t="shared" si="13"/>
        <v>2500</v>
      </c>
      <c r="G352" s="33" t="s">
        <v>10</v>
      </c>
      <c r="I352" s="109"/>
      <c r="K352" s="110"/>
      <c r="L352" s="110"/>
      <c r="M352" s="110"/>
      <c r="N352" s="110"/>
      <c r="O352" s="110"/>
      <c r="P352" s="110"/>
      <c r="Q352" s="110"/>
    </row>
    <row r="353">
      <c r="A353" s="157">
        <v>46176.0</v>
      </c>
      <c r="B353" s="29" t="s">
        <v>8</v>
      </c>
      <c r="C353" s="73" t="s">
        <v>16</v>
      </c>
      <c r="D353" s="73">
        <v>0.1</v>
      </c>
      <c r="E353" s="32">
        <v>25000.0</v>
      </c>
      <c r="F353" s="32">
        <f t="shared" si="13"/>
        <v>2500</v>
      </c>
      <c r="G353" s="33" t="s">
        <v>10</v>
      </c>
      <c r="I353" s="109"/>
      <c r="K353" s="110"/>
      <c r="L353" s="110"/>
      <c r="M353" s="110"/>
      <c r="N353" s="110"/>
      <c r="O353" s="110"/>
      <c r="P353" s="110"/>
      <c r="Q353" s="110"/>
    </row>
    <row r="354">
      <c r="A354" s="157">
        <v>46177.0</v>
      </c>
      <c r="B354" s="29" t="s">
        <v>8</v>
      </c>
      <c r="C354" s="73" t="s">
        <v>16</v>
      </c>
      <c r="D354" s="73">
        <v>0.2</v>
      </c>
      <c r="E354" s="32">
        <v>25000.0</v>
      </c>
      <c r="F354" s="32">
        <f t="shared" si="13"/>
        <v>5000</v>
      </c>
      <c r="G354" s="33" t="s">
        <v>10</v>
      </c>
      <c r="I354" s="109"/>
      <c r="K354" s="110"/>
      <c r="L354" s="110"/>
      <c r="M354" s="110"/>
      <c r="N354" s="110"/>
      <c r="O354" s="110"/>
      <c r="P354" s="110"/>
      <c r="Q354" s="110"/>
    </row>
    <row r="355">
      <c r="A355" s="157">
        <v>46178.0</v>
      </c>
      <c r="B355" s="29" t="s">
        <v>8</v>
      </c>
      <c r="C355" s="73" t="s">
        <v>16</v>
      </c>
      <c r="D355" s="73">
        <v>0.3</v>
      </c>
      <c r="E355" s="32">
        <v>25000.0</v>
      </c>
      <c r="F355" s="32">
        <f t="shared" si="13"/>
        <v>7500</v>
      </c>
      <c r="G355" s="33" t="s">
        <v>10</v>
      </c>
      <c r="I355" s="109"/>
      <c r="K355" s="110"/>
      <c r="L355" s="110"/>
      <c r="M355" s="110"/>
      <c r="N355" s="110"/>
      <c r="O355" s="110"/>
      <c r="P355" s="110"/>
      <c r="Q355" s="110"/>
    </row>
    <row r="356">
      <c r="A356" s="157">
        <v>46179.0</v>
      </c>
      <c r="B356" s="29" t="s">
        <v>8</v>
      </c>
      <c r="C356" s="73" t="s">
        <v>16</v>
      </c>
      <c r="D356" s="73">
        <v>0.17</v>
      </c>
      <c r="E356" s="32">
        <v>25000.0</v>
      </c>
      <c r="F356" s="32">
        <f t="shared" si="13"/>
        <v>4250</v>
      </c>
      <c r="G356" s="33" t="s">
        <v>10</v>
      </c>
      <c r="I356" s="109"/>
      <c r="K356" s="110"/>
      <c r="L356" s="110"/>
      <c r="M356" s="110"/>
      <c r="N356" s="110"/>
      <c r="O356" s="110"/>
      <c r="P356" s="110"/>
      <c r="Q356" s="110"/>
    </row>
    <row r="357">
      <c r="A357" s="115" t="s">
        <v>142</v>
      </c>
      <c r="C357" s="116"/>
      <c r="D357" s="115">
        <f>SUM(D351:D356)</f>
        <v>1.01</v>
      </c>
      <c r="E357" s="116"/>
      <c r="F357" s="118">
        <f>SUM(F351:F356)</f>
        <v>25250</v>
      </c>
      <c r="G357" s="115"/>
      <c r="H357" s="133"/>
      <c r="I357" s="18"/>
      <c r="J357" s="18"/>
      <c r="K357" s="111"/>
      <c r="L357" s="111"/>
      <c r="M357" s="20"/>
      <c r="N357" s="20"/>
      <c r="O357" s="21"/>
      <c r="P357" s="20"/>
      <c r="Q357" s="21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15" t="s">
        <v>142</v>
      </c>
      <c r="C358" s="116"/>
      <c r="D358" s="115">
        <f>SUM(D357,D349)</f>
        <v>53.01</v>
      </c>
      <c r="E358" s="116"/>
      <c r="F358" s="118">
        <f>SUM(F357,F349)</f>
        <v>1325250</v>
      </c>
      <c r="G358" s="115"/>
      <c r="H358" s="133"/>
      <c r="I358" s="158">
        <f>SUM(F357,F349,F328,F308,F253,F197,F135,F88,F48)</f>
        <v>8905000</v>
      </c>
      <c r="J358" s="18"/>
      <c r="K358" s="111"/>
      <c r="L358" s="111"/>
      <c r="M358" s="20"/>
      <c r="N358" s="20"/>
      <c r="O358" s="21"/>
      <c r="P358" s="20"/>
      <c r="Q358" s="21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I359" s="109"/>
      <c r="K359" s="110"/>
      <c r="L359" s="110"/>
      <c r="M359" s="110"/>
      <c r="N359" s="110"/>
      <c r="O359" s="110"/>
      <c r="P359" s="110"/>
      <c r="Q359" s="110"/>
    </row>
    <row r="360">
      <c r="I360" s="109"/>
      <c r="K360" s="110"/>
      <c r="L360" s="110"/>
      <c r="M360" s="110"/>
      <c r="N360" s="110"/>
      <c r="O360" s="110"/>
      <c r="P360" s="110"/>
      <c r="Q360" s="110"/>
    </row>
    <row r="361">
      <c r="I361" s="109"/>
      <c r="K361" s="110"/>
      <c r="L361" s="110"/>
      <c r="M361" s="110"/>
      <c r="N361" s="110"/>
      <c r="O361" s="110"/>
      <c r="P361" s="110"/>
      <c r="Q361" s="110"/>
    </row>
    <row r="362">
      <c r="I362" s="109"/>
      <c r="K362" s="110"/>
      <c r="L362" s="110"/>
      <c r="M362" s="110"/>
      <c r="N362" s="110"/>
      <c r="O362" s="110"/>
      <c r="P362" s="110"/>
      <c r="Q362" s="110"/>
    </row>
    <row r="363">
      <c r="I363" s="109"/>
      <c r="K363" s="110"/>
      <c r="L363" s="110"/>
      <c r="M363" s="110"/>
      <c r="N363" s="110"/>
      <c r="O363" s="110"/>
      <c r="P363" s="110"/>
      <c r="Q363" s="110"/>
    </row>
    <row r="364">
      <c r="I364" s="109"/>
      <c r="K364" s="110"/>
      <c r="L364" s="110"/>
      <c r="M364" s="110"/>
      <c r="N364" s="110"/>
      <c r="O364" s="110"/>
      <c r="P364" s="110"/>
      <c r="Q364" s="110"/>
    </row>
    <row r="365">
      <c r="I365" s="109"/>
      <c r="K365" s="110"/>
      <c r="L365" s="110"/>
      <c r="M365" s="110"/>
      <c r="N365" s="110"/>
      <c r="O365" s="110"/>
      <c r="P365" s="110"/>
      <c r="Q365" s="110"/>
    </row>
    <row r="366">
      <c r="I366" s="109"/>
      <c r="K366" s="110"/>
      <c r="L366" s="110"/>
      <c r="M366" s="110"/>
      <c r="N366" s="110"/>
      <c r="O366" s="110"/>
      <c r="P366" s="110"/>
      <c r="Q366" s="110"/>
    </row>
    <row r="367">
      <c r="I367" s="109"/>
      <c r="K367" s="110"/>
      <c r="L367" s="110"/>
      <c r="M367" s="110"/>
      <c r="N367" s="110"/>
      <c r="O367" s="110"/>
      <c r="P367" s="110"/>
      <c r="Q367" s="110"/>
    </row>
    <row r="368">
      <c r="I368" s="109"/>
      <c r="K368" s="110"/>
      <c r="L368" s="110"/>
      <c r="M368" s="110"/>
      <c r="N368" s="110"/>
      <c r="O368" s="110"/>
      <c r="P368" s="110"/>
      <c r="Q368" s="110"/>
    </row>
    <row r="369">
      <c r="I369" s="109"/>
      <c r="K369" s="110"/>
      <c r="L369" s="110"/>
      <c r="M369" s="110"/>
      <c r="N369" s="110"/>
      <c r="O369" s="110"/>
      <c r="P369" s="110"/>
      <c r="Q369" s="110"/>
    </row>
    <row r="370">
      <c r="I370" s="109"/>
      <c r="K370" s="110"/>
      <c r="L370" s="110"/>
      <c r="M370" s="110"/>
      <c r="N370" s="110"/>
      <c r="O370" s="110"/>
      <c r="P370" s="110"/>
      <c r="Q370" s="110"/>
    </row>
    <row r="371">
      <c r="I371" s="109"/>
      <c r="K371" s="110"/>
      <c r="L371" s="110"/>
      <c r="M371" s="110"/>
      <c r="N371" s="110"/>
      <c r="O371" s="110"/>
      <c r="P371" s="110"/>
      <c r="Q371" s="110"/>
    </row>
    <row r="372">
      <c r="I372" s="109"/>
      <c r="K372" s="110"/>
      <c r="L372" s="110"/>
      <c r="M372" s="110"/>
      <c r="N372" s="110"/>
      <c r="O372" s="110"/>
      <c r="P372" s="110"/>
      <c r="Q372" s="110"/>
    </row>
    <row r="373">
      <c r="I373" s="109"/>
      <c r="K373" s="110"/>
      <c r="L373" s="110"/>
      <c r="M373" s="110"/>
      <c r="N373" s="110"/>
      <c r="O373" s="110"/>
      <c r="P373" s="110"/>
      <c r="Q373" s="110"/>
    </row>
    <row r="374">
      <c r="I374" s="109"/>
      <c r="K374" s="110"/>
      <c r="L374" s="110"/>
      <c r="M374" s="110"/>
      <c r="N374" s="110"/>
      <c r="O374" s="110"/>
      <c r="P374" s="110"/>
      <c r="Q374" s="110"/>
    </row>
    <row r="375">
      <c r="I375" s="109"/>
      <c r="K375" s="110"/>
      <c r="L375" s="110"/>
      <c r="M375" s="110"/>
      <c r="N375" s="110"/>
      <c r="O375" s="110"/>
      <c r="P375" s="110"/>
      <c r="Q375" s="110"/>
    </row>
    <row r="376">
      <c r="I376" s="109"/>
      <c r="K376" s="110"/>
      <c r="L376" s="110"/>
      <c r="M376" s="110"/>
      <c r="N376" s="110"/>
      <c r="O376" s="110"/>
      <c r="P376" s="110"/>
      <c r="Q376" s="110"/>
    </row>
    <row r="377">
      <c r="I377" s="109"/>
      <c r="K377" s="110"/>
      <c r="L377" s="110"/>
      <c r="M377" s="110"/>
      <c r="N377" s="110"/>
      <c r="O377" s="110"/>
      <c r="P377" s="110"/>
      <c r="Q377" s="110"/>
    </row>
    <row r="378">
      <c r="I378" s="109"/>
      <c r="K378" s="110"/>
      <c r="L378" s="110"/>
      <c r="M378" s="110"/>
      <c r="N378" s="110"/>
      <c r="O378" s="110"/>
      <c r="P378" s="110"/>
      <c r="Q378" s="110"/>
    </row>
    <row r="379">
      <c r="I379" s="109"/>
      <c r="K379" s="110"/>
      <c r="L379" s="110"/>
      <c r="M379" s="110"/>
      <c r="N379" s="110"/>
      <c r="O379" s="110"/>
      <c r="P379" s="110"/>
      <c r="Q379" s="110"/>
    </row>
    <row r="380">
      <c r="I380" s="109"/>
      <c r="K380" s="110"/>
      <c r="L380" s="110"/>
      <c r="M380" s="110"/>
      <c r="N380" s="110"/>
      <c r="O380" s="110"/>
      <c r="P380" s="110"/>
      <c r="Q380" s="110"/>
    </row>
    <row r="381">
      <c r="I381" s="109"/>
      <c r="K381" s="110"/>
      <c r="L381" s="110"/>
      <c r="M381" s="110"/>
      <c r="N381" s="110"/>
      <c r="O381" s="110"/>
      <c r="P381" s="110"/>
      <c r="Q381" s="110"/>
    </row>
    <row r="382">
      <c r="I382" s="109"/>
      <c r="K382" s="110"/>
      <c r="L382" s="110"/>
      <c r="M382" s="110"/>
      <c r="N382" s="110"/>
      <c r="O382" s="110"/>
      <c r="P382" s="110"/>
      <c r="Q382" s="110"/>
    </row>
    <row r="383">
      <c r="I383" s="109"/>
      <c r="K383" s="110"/>
      <c r="L383" s="110"/>
      <c r="M383" s="110"/>
      <c r="N383" s="110"/>
      <c r="O383" s="110"/>
      <c r="P383" s="110"/>
      <c r="Q383" s="110"/>
    </row>
    <row r="384">
      <c r="I384" s="109"/>
      <c r="K384" s="110"/>
      <c r="L384" s="110"/>
      <c r="M384" s="110"/>
      <c r="N384" s="110"/>
      <c r="O384" s="110"/>
      <c r="P384" s="110"/>
      <c r="Q384" s="110"/>
    </row>
    <row r="385">
      <c r="I385" s="109"/>
      <c r="K385" s="110"/>
      <c r="L385" s="110"/>
      <c r="M385" s="110"/>
      <c r="N385" s="110"/>
      <c r="O385" s="110"/>
      <c r="P385" s="110"/>
      <c r="Q385" s="110"/>
    </row>
    <row r="386">
      <c r="I386" s="109"/>
      <c r="K386" s="110"/>
      <c r="L386" s="110"/>
      <c r="M386" s="110"/>
      <c r="N386" s="110"/>
      <c r="O386" s="110"/>
      <c r="P386" s="110"/>
      <c r="Q386" s="110"/>
    </row>
    <row r="387">
      <c r="I387" s="109"/>
      <c r="K387" s="110"/>
      <c r="L387" s="110"/>
      <c r="M387" s="110"/>
      <c r="N387" s="110"/>
      <c r="O387" s="110"/>
      <c r="P387" s="110"/>
      <c r="Q387" s="110"/>
    </row>
    <row r="388">
      <c r="I388" s="109"/>
      <c r="K388" s="110"/>
      <c r="L388" s="110"/>
      <c r="M388" s="110"/>
      <c r="N388" s="110"/>
      <c r="O388" s="110"/>
      <c r="P388" s="110"/>
      <c r="Q388" s="110"/>
    </row>
    <row r="389">
      <c r="I389" s="109"/>
      <c r="K389" s="110"/>
      <c r="L389" s="110"/>
      <c r="M389" s="110"/>
      <c r="N389" s="110"/>
      <c r="O389" s="110"/>
      <c r="P389" s="110"/>
      <c r="Q389" s="110"/>
    </row>
    <row r="390">
      <c r="I390" s="109"/>
      <c r="K390" s="110"/>
      <c r="L390" s="110"/>
      <c r="M390" s="110"/>
      <c r="N390" s="110"/>
      <c r="O390" s="110"/>
      <c r="P390" s="110"/>
      <c r="Q390" s="110"/>
    </row>
    <row r="391">
      <c r="I391" s="109"/>
      <c r="K391" s="110"/>
      <c r="L391" s="110"/>
      <c r="M391" s="110"/>
      <c r="N391" s="110"/>
      <c r="O391" s="110"/>
      <c r="P391" s="110"/>
      <c r="Q391" s="110"/>
    </row>
    <row r="392">
      <c r="I392" s="109"/>
      <c r="K392" s="110"/>
      <c r="L392" s="110"/>
      <c r="M392" s="110"/>
      <c r="N392" s="110"/>
      <c r="O392" s="110"/>
      <c r="P392" s="110"/>
      <c r="Q392" s="110"/>
    </row>
    <row r="393">
      <c r="I393" s="109"/>
      <c r="K393" s="110"/>
      <c r="L393" s="110"/>
      <c r="M393" s="110"/>
      <c r="N393" s="110"/>
      <c r="O393" s="110"/>
      <c r="P393" s="110"/>
      <c r="Q393" s="110"/>
    </row>
    <row r="394">
      <c r="I394" s="109"/>
      <c r="K394" s="110"/>
      <c r="L394" s="110"/>
      <c r="M394" s="110"/>
      <c r="N394" s="110"/>
      <c r="O394" s="110"/>
      <c r="P394" s="110"/>
      <c r="Q394" s="110"/>
    </row>
    <row r="395">
      <c r="I395" s="109"/>
      <c r="K395" s="110"/>
      <c r="L395" s="110"/>
      <c r="M395" s="110"/>
      <c r="N395" s="110"/>
      <c r="O395" s="110"/>
      <c r="P395" s="110"/>
      <c r="Q395" s="110"/>
    </row>
    <row r="396">
      <c r="I396" s="109"/>
      <c r="K396" s="110"/>
      <c r="L396" s="110"/>
      <c r="M396" s="110"/>
      <c r="N396" s="110"/>
      <c r="O396" s="110"/>
      <c r="P396" s="110"/>
      <c r="Q396" s="110"/>
    </row>
    <row r="397">
      <c r="I397" s="109"/>
      <c r="K397" s="110"/>
      <c r="L397" s="110"/>
      <c r="M397" s="110"/>
      <c r="N397" s="110"/>
      <c r="O397" s="110"/>
      <c r="P397" s="110"/>
      <c r="Q397" s="110"/>
    </row>
    <row r="398">
      <c r="I398" s="109"/>
      <c r="K398" s="110"/>
      <c r="L398" s="110"/>
      <c r="M398" s="110"/>
      <c r="N398" s="110"/>
      <c r="O398" s="110"/>
      <c r="P398" s="110"/>
      <c r="Q398" s="110"/>
    </row>
    <row r="399">
      <c r="I399" s="109"/>
      <c r="K399" s="110"/>
      <c r="L399" s="110"/>
      <c r="M399" s="110"/>
      <c r="N399" s="110"/>
      <c r="O399" s="110"/>
      <c r="P399" s="110"/>
      <c r="Q399" s="110"/>
    </row>
    <row r="400">
      <c r="I400" s="109"/>
      <c r="K400" s="110"/>
      <c r="L400" s="110"/>
      <c r="M400" s="110"/>
      <c r="N400" s="110"/>
      <c r="O400" s="110"/>
      <c r="P400" s="110"/>
      <c r="Q400" s="110"/>
    </row>
    <row r="401">
      <c r="I401" s="109"/>
      <c r="K401" s="110"/>
      <c r="L401" s="110"/>
      <c r="M401" s="110"/>
      <c r="N401" s="110"/>
      <c r="O401" s="110"/>
      <c r="P401" s="110"/>
      <c r="Q401" s="110"/>
    </row>
    <row r="402">
      <c r="I402" s="109"/>
      <c r="K402" s="110"/>
      <c r="L402" s="110"/>
      <c r="M402" s="110"/>
      <c r="N402" s="110"/>
      <c r="O402" s="110"/>
      <c r="P402" s="110"/>
      <c r="Q402" s="110"/>
    </row>
    <row r="403">
      <c r="I403" s="109"/>
      <c r="K403" s="110"/>
      <c r="L403" s="110"/>
      <c r="M403" s="110"/>
      <c r="N403" s="110"/>
      <c r="O403" s="110"/>
      <c r="P403" s="110"/>
      <c r="Q403" s="110"/>
    </row>
    <row r="404">
      <c r="I404" s="109"/>
      <c r="K404" s="110"/>
      <c r="L404" s="110"/>
      <c r="M404" s="110"/>
      <c r="N404" s="110"/>
      <c r="O404" s="110"/>
      <c r="P404" s="110"/>
      <c r="Q404" s="110"/>
    </row>
    <row r="405">
      <c r="I405" s="109"/>
      <c r="K405" s="110"/>
      <c r="L405" s="110"/>
      <c r="M405" s="110"/>
      <c r="N405" s="110"/>
      <c r="O405" s="110"/>
      <c r="P405" s="110"/>
      <c r="Q405" s="110"/>
    </row>
    <row r="406">
      <c r="I406" s="109"/>
      <c r="K406" s="110"/>
      <c r="L406" s="110"/>
      <c r="M406" s="110"/>
      <c r="N406" s="110"/>
      <c r="O406" s="110"/>
      <c r="P406" s="110"/>
      <c r="Q406" s="110"/>
    </row>
    <row r="407">
      <c r="I407" s="109"/>
      <c r="K407" s="110"/>
      <c r="L407" s="110"/>
      <c r="M407" s="110"/>
      <c r="N407" s="110"/>
      <c r="O407" s="110"/>
      <c r="P407" s="110"/>
      <c r="Q407" s="110"/>
    </row>
    <row r="408">
      <c r="I408" s="109"/>
      <c r="K408" s="110"/>
      <c r="L408" s="110"/>
      <c r="M408" s="110"/>
      <c r="N408" s="110"/>
      <c r="O408" s="110"/>
      <c r="P408" s="110"/>
      <c r="Q408" s="110"/>
    </row>
    <row r="409">
      <c r="I409" s="109"/>
      <c r="K409" s="110"/>
      <c r="L409" s="110"/>
      <c r="M409" s="110"/>
      <c r="N409" s="110"/>
      <c r="O409" s="110"/>
      <c r="P409" s="110"/>
      <c r="Q409" s="110"/>
    </row>
    <row r="410">
      <c r="I410" s="109"/>
      <c r="K410" s="110"/>
      <c r="L410" s="110"/>
      <c r="M410" s="110"/>
      <c r="N410" s="110"/>
      <c r="O410" s="110"/>
      <c r="P410" s="110"/>
      <c r="Q410" s="110"/>
    </row>
    <row r="411">
      <c r="I411" s="109"/>
      <c r="K411" s="110"/>
      <c r="L411" s="110"/>
      <c r="M411" s="110"/>
      <c r="N411" s="110"/>
      <c r="O411" s="110"/>
      <c r="P411" s="110"/>
      <c r="Q411" s="110"/>
    </row>
    <row r="412">
      <c r="I412" s="109"/>
      <c r="K412" s="110"/>
      <c r="L412" s="110"/>
      <c r="M412" s="110"/>
      <c r="N412" s="110"/>
      <c r="O412" s="110"/>
      <c r="P412" s="110"/>
      <c r="Q412" s="110"/>
    </row>
    <row r="413">
      <c r="I413" s="109"/>
      <c r="K413" s="110"/>
      <c r="L413" s="110"/>
      <c r="M413" s="110"/>
      <c r="N413" s="110"/>
      <c r="O413" s="110"/>
      <c r="P413" s="110"/>
      <c r="Q413" s="110"/>
    </row>
    <row r="414">
      <c r="I414" s="109"/>
      <c r="K414" s="110"/>
      <c r="L414" s="110"/>
      <c r="M414" s="110"/>
      <c r="N414" s="110"/>
      <c r="O414" s="110"/>
      <c r="P414" s="110"/>
      <c r="Q414" s="110"/>
    </row>
    <row r="415">
      <c r="I415" s="109"/>
      <c r="K415" s="110"/>
      <c r="L415" s="110"/>
      <c r="M415" s="110"/>
      <c r="N415" s="110"/>
      <c r="O415" s="110"/>
      <c r="P415" s="110"/>
      <c r="Q415" s="110"/>
    </row>
    <row r="416">
      <c r="I416" s="109"/>
      <c r="K416" s="110"/>
      <c r="L416" s="110"/>
      <c r="M416" s="110"/>
      <c r="N416" s="110"/>
      <c r="O416" s="110"/>
      <c r="P416" s="110"/>
      <c r="Q416" s="110"/>
    </row>
    <row r="417">
      <c r="I417" s="109"/>
      <c r="K417" s="110"/>
      <c r="L417" s="110"/>
      <c r="M417" s="110"/>
      <c r="N417" s="110"/>
      <c r="O417" s="110"/>
      <c r="P417" s="110"/>
      <c r="Q417" s="110"/>
    </row>
    <row r="418">
      <c r="I418" s="109"/>
      <c r="K418" s="110"/>
      <c r="L418" s="110"/>
      <c r="M418" s="110"/>
      <c r="N418" s="110"/>
      <c r="O418" s="110"/>
      <c r="P418" s="110"/>
      <c r="Q418" s="110"/>
    </row>
    <row r="419">
      <c r="I419" s="109"/>
      <c r="K419" s="110"/>
      <c r="L419" s="110"/>
      <c r="M419" s="110"/>
      <c r="N419" s="110"/>
      <c r="O419" s="110"/>
      <c r="P419" s="110"/>
      <c r="Q419" s="110"/>
    </row>
    <row r="420">
      <c r="I420" s="109"/>
      <c r="K420" s="110"/>
      <c r="L420" s="110"/>
      <c r="M420" s="110"/>
      <c r="N420" s="110"/>
      <c r="O420" s="110"/>
      <c r="P420" s="110"/>
      <c r="Q420" s="110"/>
    </row>
    <row r="421">
      <c r="I421" s="109"/>
      <c r="K421" s="110"/>
      <c r="L421" s="110"/>
      <c r="M421" s="110"/>
      <c r="N421" s="110"/>
      <c r="O421" s="110"/>
      <c r="P421" s="110"/>
      <c r="Q421" s="110"/>
    </row>
    <row r="422">
      <c r="I422" s="109"/>
      <c r="K422" s="110"/>
      <c r="L422" s="110"/>
      <c r="M422" s="110"/>
      <c r="N422" s="110"/>
      <c r="O422" s="110"/>
      <c r="P422" s="110"/>
      <c r="Q422" s="110"/>
    </row>
    <row r="423">
      <c r="I423" s="109"/>
      <c r="K423" s="110"/>
      <c r="L423" s="110"/>
      <c r="M423" s="110"/>
      <c r="N423" s="110"/>
      <c r="O423" s="110"/>
      <c r="P423" s="110"/>
      <c r="Q423" s="110"/>
    </row>
    <row r="424">
      <c r="I424" s="109"/>
      <c r="K424" s="110"/>
      <c r="L424" s="110"/>
      <c r="M424" s="110"/>
      <c r="N424" s="110"/>
      <c r="O424" s="110"/>
      <c r="P424" s="110"/>
      <c r="Q424" s="110"/>
    </row>
    <row r="425">
      <c r="I425" s="109"/>
      <c r="K425" s="110"/>
      <c r="L425" s="110"/>
      <c r="M425" s="110"/>
      <c r="N425" s="110"/>
      <c r="O425" s="110"/>
      <c r="P425" s="110"/>
      <c r="Q425" s="110"/>
    </row>
    <row r="426">
      <c r="I426" s="109"/>
      <c r="K426" s="110"/>
      <c r="L426" s="110"/>
      <c r="M426" s="110"/>
      <c r="N426" s="110"/>
      <c r="O426" s="110"/>
      <c r="P426" s="110"/>
      <c r="Q426" s="110"/>
    </row>
    <row r="427">
      <c r="I427" s="109"/>
      <c r="K427" s="110"/>
      <c r="L427" s="110"/>
      <c r="M427" s="110"/>
      <c r="N427" s="110"/>
      <c r="O427" s="110"/>
      <c r="P427" s="110"/>
      <c r="Q427" s="110"/>
    </row>
    <row r="428">
      <c r="I428" s="109"/>
      <c r="K428" s="110"/>
      <c r="L428" s="110"/>
      <c r="M428" s="110"/>
      <c r="N428" s="110"/>
      <c r="O428" s="110"/>
      <c r="P428" s="110"/>
      <c r="Q428" s="110"/>
    </row>
    <row r="429">
      <c r="I429" s="109"/>
      <c r="K429" s="110"/>
      <c r="L429" s="110"/>
      <c r="M429" s="110"/>
      <c r="N429" s="110"/>
      <c r="O429" s="110"/>
      <c r="P429" s="110"/>
      <c r="Q429" s="110"/>
    </row>
    <row r="430">
      <c r="I430" s="109"/>
      <c r="K430" s="110"/>
      <c r="L430" s="110"/>
      <c r="M430" s="110"/>
      <c r="N430" s="110"/>
      <c r="O430" s="110"/>
      <c r="P430" s="110"/>
      <c r="Q430" s="110"/>
    </row>
    <row r="431">
      <c r="I431" s="109"/>
      <c r="K431" s="110"/>
      <c r="L431" s="110"/>
      <c r="M431" s="110"/>
      <c r="N431" s="110"/>
      <c r="O431" s="110"/>
      <c r="P431" s="110"/>
      <c r="Q431" s="110"/>
    </row>
    <row r="432">
      <c r="I432" s="109"/>
      <c r="K432" s="110"/>
      <c r="L432" s="110"/>
      <c r="M432" s="110"/>
      <c r="N432" s="110"/>
      <c r="O432" s="110"/>
      <c r="P432" s="110"/>
      <c r="Q432" s="110"/>
    </row>
    <row r="433">
      <c r="I433" s="109"/>
      <c r="K433" s="110"/>
      <c r="L433" s="110"/>
      <c r="M433" s="110"/>
      <c r="N433" s="110"/>
      <c r="O433" s="110"/>
      <c r="P433" s="110"/>
      <c r="Q433" s="110"/>
    </row>
    <row r="434">
      <c r="I434" s="109"/>
      <c r="K434" s="110"/>
      <c r="L434" s="110"/>
      <c r="M434" s="110"/>
      <c r="N434" s="110"/>
      <c r="O434" s="110"/>
      <c r="P434" s="110"/>
      <c r="Q434" s="110"/>
    </row>
    <row r="435">
      <c r="I435" s="109"/>
      <c r="K435" s="110"/>
      <c r="L435" s="110"/>
      <c r="M435" s="110"/>
      <c r="N435" s="110"/>
      <c r="O435" s="110"/>
      <c r="P435" s="110"/>
      <c r="Q435" s="110"/>
    </row>
    <row r="436">
      <c r="I436" s="109"/>
      <c r="K436" s="110"/>
      <c r="L436" s="110"/>
      <c r="M436" s="110"/>
      <c r="N436" s="110"/>
      <c r="O436" s="110"/>
      <c r="P436" s="110"/>
      <c r="Q436" s="110"/>
    </row>
    <row r="437">
      <c r="I437" s="109"/>
      <c r="K437" s="110"/>
      <c r="L437" s="110"/>
      <c r="M437" s="110"/>
      <c r="N437" s="110"/>
      <c r="O437" s="110"/>
      <c r="P437" s="110"/>
      <c r="Q437" s="110"/>
    </row>
    <row r="438">
      <c r="I438" s="109"/>
      <c r="K438" s="110"/>
      <c r="L438" s="110"/>
      <c r="M438" s="110"/>
      <c r="N438" s="110"/>
      <c r="O438" s="110"/>
      <c r="P438" s="110"/>
      <c r="Q438" s="110"/>
    </row>
    <row r="439">
      <c r="I439" s="109"/>
      <c r="K439" s="110"/>
      <c r="L439" s="110"/>
      <c r="M439" s="110"/>
      <c r="N439" s="110"/>
      <c r="O439" s="110"/>
      <c r="P439" s="110"/>
      <c r="Q439" s="110"/>
    </row>
    <row r="440">
      <c r="I440" s="109"/>
      <c r="K440" s="110"/>
      <c r="L440" s="110"/>
      <c r="M440" s="110"/>
      <c r="N440" s="110"/>
      <c r="O440" s="110"/>
      <c r="P440" s="110"/>
      <c r="Q440" s="110"/>
    </row>
    <row r="441">
      <c r="I441" s="109"/>
      <c r="K441" s="110"/>
      <c r="L441" s="110"/>
      <c r="M441" s="110"/>
      <c r="N441" s="110"/>
      <c r="O441" s="110"/>
      <c r="P441" s="110"/>
      <c r="Q441" s="110"/>
    </row>
    <row r="442">
      <c r="I442" s="109"/>
      <c r="K442" s="110"/>
      <c r="L442" s="110"/>
      <c r="M442" s="110"/>
      <c r="N442" s="110"/>
      <c r="O442" s="110"/>
      <c r="P442" s="110"/>
      <c r="Q442" s="110"/>
    </row>
    <row r="443">
      <c r="I443" s="109"/>
      <c r="K443" s="110"/>
      <c r="L443" s="110"/>
      <c r="M443" s="110"/>
      <c r="N443" s="110"/>
      <c r="O443" s="110"/>
      <c r="P443" s="110"/>
      <c r="Q443" s="110"/>
    </row>
    <row r="444">
      <c r="I444" s="109"/>
      <c r="K444" s="110"/>
      <c r="L444" s="110"/>
      <c r="M444" s="110"/>
      <c r="N444" s="110"/>
      <c r="O444" s="110"/>
      <c r="P444" s="110"/>
      <c r="Q444" s="110"/>
    </row>
    <row r="445">
      <c r="I445" s="109"/>
      <c r="K445" s="110"/>
      <c r="L445" s="110"/>
      <c r="M445" s="110"/>
      <c r="N445" s="110"/>
      <c r="O445" s="110"/>
      <c r="P445" s="110"/>
      <c r="Q445" s="110"/>
    </row>
    <row r="446">
      <c r="I446" s="109"/>
      <c r="K446" s="110"/>
      <c r="L446" s="110"/>
      <c r="M446" s="110"/>
      <c r="N446" s="110"/>
      <c r="O446" s="110"/>
      <c r="P446" s="110"/>
      <c r="Q446" s="110"/>
    </row>
    <row r="447">
      <c r="I447" s="109"/>
      <c r="K447" s="110"/>
      <c r="L447" s="110"/>
      <c r="M447" s="110"/>
      <c r="N447" s="110"/>
      <c r="O447" s="110"/>
      <c r="P447" s="110"/>
      <c r="Q447" s="110"/>
    </row>
    <row r="448">
      <c r="I448" s="109"/>
      <c r="K448" s="110"/>
      <c r="L448" s="110"/>
      <c r="M448" s="110"/>
      <c r="N448" s="110"/>
      <c r="O448" s="110"/>
      <c r="P448" s="110"/>
      <c r="Q448" s="110"/>
    </row>
    <row r="449">
      <c r="I449" s="109"/>
      <c r="K449" s="110"/>
      <c r="L449" s="110"/>
      <c r="M449" s="110"/>
      <c r="N449" s="110"/>
      <c r="O449" s="110"/>
      <c r="P449" s="110"/>
      <c r="Q449" s="110"/>
    </row>
    <row r="450">
      <c r="I450" s="109"/>
      <c r="K450" s="110"/>
      <c r="L450" s="110"/>
      <c r="M450" s="110"/>
      <c r="N450" s="110"/>
      <c r="O450" s="110"/>
      <c r="P450" s="110"/>
      <c r="Q450" s="110"/>
    </row>
    <row r="451">
      <c r="I451" s="109"/>
      <c r="K451" s="110"/>
      <c r="L451" s="110"/>
      <c r="M451" s="110"/>
      <c r="N451" s="110"/>
      <c r="O451" s="110"/>
      <c r="P451" s="110"/>
      <c r="Q451" s="110"/>
    </row>
    <row r="452">
      <c r="I452" s="109"/>
      <c r="K452" s="110"/>
      <c r="L452" s="110"/>
      <c r="M452" s="110"/>
      <c r="N452" s="110"/>
      <c r="O452" s="110"/>
      <c r="P452" s="110"/>
      <c r="Q452" s="110"/>
    </row>
    <row r="453">
      <c r="I453" s="109"/>
      <c r="K453" s="110"/>
      <c r="L453" s="110"/>
      <c r="M453" s="110"/>
      <c r="N453" s="110"/>
      <c r="O453" s="110"/>
      <c r="P453" s="110"/>
      <c r="Q453" s="110"/>
    </row>
    <row r="454">
      <c r="I454" s="109"/>
      <c r="K454" s="110"/>
      <c r="L454" s="110"/>
      <c r="M454" s="110"/>
      <c r="N454" s="110"/>
      <c r="O454" s="110"/>
      <c r="P454" s="110"/>
      <c r="Q454" s="110"/>
    </row>
    <row r="455">
      <c r="I455" s="109"/>
      <c r="K455" s="110"/>
      <c r="L455" s="110"/>
      <c r="M455" s="110"/>
      <c r="N455" s="110"/>
      <c r="O455" s="110"/>
      <c r="P455" s="110"/>
      <c r="Q455" s="110"/>
    </row>
    <row r="456">
      <c r="I456" s="109"/>
      <c r="K456" s="110"/>
      <c r="L456" s="110"/>
      <c r="M456" s="110"/>
      <c r="N456" s="110"/>
      <c r="O456" s="110"/>
      <c r="P456" s="110"/>
      <c r="Q456" s="110"/>
    </row>
    <row r="457">
      <c r="I457" s="109"/>
      <c r="K457" s="110"/>
      <c r="L457" s="110"/>
      <c r="M457" s="110"/>
      <c r="N457" s="110"/>
      <c r="O457" s="110"/>
      <c r="P457" s="110"/>
      <c r="Q457" s="110"/>
    </row>
    <row r="458">
      <c r="I458" s="109"/>
      <c r="K458" s="110"/>
      <c r="L458" s="110"/>
      <c r="M458" s="110"/>
      <c r="N458" s="110"/>
      <c r="O458" s="110"/>
      <c r="P458" s="110"/>
      <c r="Q458" s="110"/>
    </row>
    <row r="459">
      <c r="I459" s="109"/>
      <c r="K459" s="110"/>
      <c r="L459" s="110"/>
      <c r="M459" s="110"/>
      <c r="N459" s="110"/>
      <c r="O459" s="110"/>
      <c r="P459" s="110"/>
      <c r="Q459" s="110"/>
    </row>
    <row r="460">
      <c r="I460" s="109"/>
      <c r="K460" s="110"/>
      <c r="L460" s="110"/>
      <c r="M460" s="110"/>
      <c r="N460" s="110"/>
      <c r="O460" s="110"/>
      <c r="P460" s="110"/>
      <c r="Q460" s="110"/>
    </row>
    <row r="461">
      <c r="I461" s="109"/>
      <c r="K461" s="110"/>
      <c r="L461" s="110"/>
      <c r="M461" s="110"/>
      <c r="N461" s="110"/>
      <c r="O461" s="110"/>
      <c r="P461" s="110"/>
      <c r="Q461" s="110"/>
    </row>
    <row r="462">
      <c r="I462" s="109"/>
      <c r="K462" s="110"/>
      <c r="L462" s="110"/>
      <c r="M462" s="110"/>
      <c r="N462" s="110"/>
      <c r="O462" s="110"/>
      <c r="P462" s="110"/>
      <c r="Q462" s="110"/>
    </row>
    <row r="463">
      <c r="I463" s="109"/>
      <c r="K463" s="110"/>
      <c r="L463" s="110"/>
      <c r="M463" s="110"/>
      <c r="N463" s="110"/>
      <c r="O463" s="110"/>
      <c r="P463" s="110"/>
      <c r="Q463" s="110"/>
    </row>
    <row r="464">
      <c r="I464" s="109"/>
      <c r="K464" s="110"/>
      <c r="L464" s="110"/>
      <c r="M464" s="110"/>
      <c r="N464" s="110"/>
      <c r="O464" s="110"/>
      <c r="P464" s="110"/>
      <c r="Q464" s="110"/>
    </row>
    <row r="465">
      <c r="I465" s="109"/>
      <c r="K465" s="110"/>
      <c r="L465" s="110"/>
      <c r="M465" s="110"/>
      <c r="N465" s="110"/>
      <c r="O465" s="110"/>
      <c r="P465" s="110"/>
      <c r="Q465" s="110"/>
    </row>
    <row r="466">
      <c r="I466" s="109"/>
      <c r="K466" s="110"/>
      <c r="L466" s="110"/>
      <c r="M466" s="110"/>
      <c r="N466" s="110"/>
      <c r="O466" s="110"/>
      <c r="P466" s="110"/>
      <c r="Q466" s="110"/>
    </row>
    <row r="467">
      <c r="I467" s="109"/>
      <c r="K467" s="110"/>
      <c r="L467" s="110"/>
      <c r="M467" s="110"/>
      <c r="N467" s="110"/>
      <c r="O467" s="110"/>
      <c r="P467" s="110"/>
      <c r="Q467" s="110"/>
    </row>
    <row r="468">
      <c r="I468" s="109"/>
      <c r="K468" s="110"/>
      <c r="L468" s="110"/>
      <c r="M468" s="110"/>
      <c r="N468" s="110"/>
      <c r="O468" s="110"/>
      <c r="P468" s="110"/>
      <c r="Q468" s="110"/>
    </row>
    <row r="469">
      <c r="I469" s="109"/>
      <c r="K469" s="110"/>
      <c r="L469" s="110"/>
      <c r="M469" s="110"/>
      <c r="N469" s="110"/>
      <c r="O469" s="110"/>
      <c r="P469" s="110"/>
      <c r="Q469" s="110"/>
    </row>
    <row r="470">
      <c r="I470" s="109"/>
      <c r="K470" s="110"/>
      <c r="L470" s="110"/>
      <c r="M470" s="110"/>
      <c r="N470" s="110"/>
      <c r="O470" s="110"/>
      <c r="P470" s="110"/>
      <c r="Q470" s="110"/>
    </row>
    <row r="471">
      <c r="I471" s="109"/>
      <c r="K471" s="110"/>
      <c r="L471" s="110"/>
      <c r="M471" s="110"/>
      <c r="N471" s="110"/>
      <c r="O471" s="110"/>
      <c r="P471" s="110"/>
      <c r="Q471" s="110"/>
    </row>
    <row r="472">
      <c r="I472" s="109"/>
      <c r="K472" s="110"/>
      <c r="L472" s="110"/>
      <c r="M472" s="110"/>
      <c r="N472" s="110"/>
      <c r="O472" s="110"/>
      <c r="P472" s="110"/>
      <c r="Q472" s="110"/>
    </row>
    <row r="473">
      <c r="I473" s="109"/>
      <c r="K473" s="110"/>
      <c r="L473" s="110"/>
      <c r="M473" s="110"/>
      <c r="N473" s="110"/>
      <c r="O473" s="110"/>
      <c r="P473" s="110"/>
      <c r="Q473" s="110"/>
    </row>
    <row r="474">
      <c r="I474" s="109"/>
      <c r="K474" s="110"/>
      <c r="L474" s="110"/>
      <c r="M474" s="110"/>
      <c r="N474" s="110"/>
      <c r="O474" s="110"/>
      <c r="P474" s="110"/>
      <c r="Q474" s="110"/>
    </row>
    <row r="475">
      <c r="I475" s="109"/>
      <c r="K475" s="110"/>
      <c r="L475" s="110"/>
      <c r="M475" s="110"/>
      <c r="N475" s="110"/>
      <c r="O475" s="110"/>
      <c r="P475" s="110"/>
      <c r="Q475" s="110"/>
    </row>
    <row r="476">
      <c r="I476" s="109"/>
      <c r="K476" s="110"/>
      <c r="L476" s="110"/>
      <c r="M476" s="110"/>
      <c r="N476" s="110"/>
      <c r="O476" s="110"/>
      <c r="P476" s="110"/>
      <c r="Q476" s="110"/>
    </row>
    <row r="477">
      <c r="I477" s="109"/>
      <c r="K477" s="110"/>
      <c r="L477" s="110"/>
      <c r="M477" s="110"/>
      <c r="N477" s="110"/>
      <c r="O477" s="110"/>
      <c r="P477" s="110"/>
      <c r="Q477" s="110"/>
    </row>
    <row r="478">
      <c r="I478" s="109"/>
      <c r="K478" s="110"/>
      <c r="L478" s="110"/>
      <c r="M478" s="110"/>
      <c r="N478" s="110"/>
      <c r="O478" s="110"/>
      <c r="P478" s="110"/>
      <c r="Q478" s="110"/>
    </row>
    <row r="479">
      <c r="I479" s="109"/>
      <c r="K479" s="110"/>
      <c r="L479" s="110"/>
      <c r="M479" s="110"/>
      <c r="N479" s="110"/>
      <c r="O479" s="110"/>
      <c r="P479" s="110"/>
      <c r="Q479" s="110"/>
    </row>
    <row r="480">
      <c r="I480" s="109"/>
      <c r="K480" s="110"/>
      <c r="L480" s="110"/>
      <c r="M480" s="110"/>
      <c r="N480" s="110"/>
      <c r="O480" s="110"/>
      <c r="P480" s="110"/>
      <c r="Q480" s="110"/>
    </row>
    <row r="481">
      <c r="I481" s="109"/>
      <c r="K481" s="110"/>
      <c r="L481" s="110"/>
      <c r="M481" s="110"/>
      <c r="N481" s="110"/>
      <c r="O481" s="110"/>
      <c r="P481" s="110"/>
      <c r="Q481" s="110"/>
    </row>
    <row r="482">
      <c r="I482" s="109"/>
      <c r="K482" s="110"/>
      <c r="L482" s="110"/>
      <c r="M482" s="110"/>
      <c r="N482" s="110"/>
      <c r="O482" s="110"/>
      <c r="P482" s="110"/>
      <c r="Q482" s="110"/>
    </row>
    <row r="483">
      <c r="I483" s="109"/>
      <c r="K483" s="110"/>
      <c r="L483" s="110"/>
      <c r="M483" s="110"/>
      <c r="N483" s="110"/>
      <c r="O483" s="110"/>
      <c r="P483" s="110"/>
      <c r="Q483" s="110"/>
    </row>
    <row r="484">
      <c r="I484" s="109"/>
      <c r="K484" s="110"/>
      <c r="L484" s="110"/>
      <c r="M484" s="110"/>
      <c r="N484" s="110"/>
      <c r="O484" s="110"/>
      <c r="P484" s="110"/>
      <c r="Q484" s="110"/>
    </row>
    <row r="485">
      <c r="I485" s="109"/>
      <c r="K485" s="110"/>
      <c r="L485" s="110"/>
      <c r="M485" s="110"/>
      <c r="N485" s="110"/>
      <c r="O485" s="110"/>
      <c r="P485" s="110"/>
      <c r="Q485" s="110"/>
    </row>
    <row r="486">
      <c r="I486" s="109"/>
      <c r="K486" s="110"/>
      <c r="L486" s="110"/>
      <c r="M486" s="110"/>
      <c r="N486" s="110"/>
      <c r="O486" s="110"/>
      <c r="P486" s="110"/>
      <c r="Q486" s="110"/>
    </row>
    <row r="487">
      <c r="I487" s="109"/>
      <c r="K487" s="110"/>
      <c r="L487" s="110"/>
      <c r="M487" s="110"/>
      <c r="N487" s="110"/>
      <c r="O487" s="110"/>
      <c r="P487" s="110"/>
      <c r="Q487" s="110"/>
    </row>
    <row r="488">
      <c r="I488" s="109"/>
      <c r="K488" s="110"/>
      <c r="L488" s="110"/>
      <c r="M488" s="110"/>
      <c r="N488" s="110"/>
      <c r="O488" s="110"/>
      <c r="P488" s="110"/>
      <c r="Q488" s="110"/>
    </row>
    <row r="489">
      <c r="I489" s="109"/>
      <c r="K489" s="110"/>
      <c r="L489" s="110"/>
      <c r="M489" s="110"/>
      <c r="N489" s="110"/>
      <c r="O489" s="110"/>
      <c r="P489" s="110"/>
      <c r="Q489" s="110"/>
    </row>
    <row r="490">
      <c r="I490" s="109"/>
      <c r="K490" s="110"/>
      <c r="L490" s="110"/>
      <c r="M490" s="110"/>
      <c r="N490" s="110"/>
      <c r="O490" s="110"/>
      <c r="P490" s="110"/>
      <c r="Q490" s="110"/>
    </row>
    <row r="491">
      <c r="I491" s="109"/>
      <c r="K491" s="110"/>
      <c r="L491" s="110"/>
      <c r="M491" s="110"/>
      <c r="N491" s="110"/>
      <c r="O491" s="110"/>
      <c r="P491" s="110"/>
      <c r="Q491" s="110"/>
    </row>
    <row r="492">
      <c r="I492" s="109"/>
      <c r="K492" s="110"/>
      <c r="L492" s="110"/>
      <c r="M492" s="110"/>
      <c r="N492" s="110"/>
      <c r="O492" s="110"/>
      <c r="P492" s="110"/>
      <c r="Q492" s="110"/>
    </row>
    <row r="493">
      <c r="I493" s="109"/>
      <c r="K493" s="110"/>
      <c r="L493" s="110"/>
      <c r="M493" s="110"/>
      <c r="N493" s="110"/>
      <c r="O493" s="110"/>
      <c r="P493" s="110"/>
      <c r="Q493" s="110"/>
    </row>
    <row r="494">
      <c r="I494" s="109"/>
      <c r="K494" s="110"/>
      <c r="L494" s="110"/>
      <c r="M494" s="110"/>
      <c r="N494" s="110"/>
      <c r="O494" s="110"/>
      <c r="P494" s="110"/>
      <c r="Q494" s="110"/>
    </row>
    <row r="495">
      <c r="I495" s="109"/>
      <c r="K495" s="110"/>
      <c r="L495" s="110"/>
      <c r="M495" s="110"/>
      <c r="N495" s="110"/>
      <c r="O495" s="110"/>
      <c r="P495" s="110"/>
      <c r="Q495" s="110"/>
    </row>
    <row r="496">
      <c r="I496" s="109"/>
      <c r="K496" s="110"/>
      <c r="L496" s="110"/>
      <c r="M496" s="110"/>
      <c r="N496" s="110"/>
      <c r="O496" s="110"/>
      <c r="P496" s="110"/>
      <c r="Q496" s="110"/>
    </row>
    <row r="497">
      <c r="I497" s="109"/>
      <c r="K497" s="110"/>
      <c r="L497" s="110"/>
      <c r="M497" s="110"/>
      <c r="N497" s="110"/>
      <c r="O497" s="110"/>
      <c r="P497" s="110"/>
      <c r="Q497" s="110"/>
    </row>
    <row r="498">
      <c r="I498" s="109"/>
      <c r="K498" s="110"/>
      <c r="L498" s="110"/>
      <c r="M498" s="110"/>
      <c r="N498" s="110"/>
      <c r="O498" s="110"/>
      <c r="P498" s="110"/>
      <c r="Q498" s="110"/>
    </row>
    <row r="499">
      <c r="I499" s="109"/>
      <c r="K499" s="110"/>
      <c r="L499" s="110"/>
      <c r="M499" s="110"/>
      <c r="N499" s="110"/>
      <c r="O499" s="110"/>
      <c r="P499" s="110"/>
      <c r="Q499" s="110"/>
    </row>
    <row r="500">
      <c r="I500" s="109"/>
      <c r="K500" s="110"/>
      <c r="L500" s="110"/>
      <c r="M500" s="110"/>
      <c r="N500" s="110"/>
      <c r="O500" s="110"/>
      <c r="P500" s="110"/>
      <c r="Q500" s="110"/>
    </row>
    <row r="501">
      <c r="I501" s="109"/>
      <c r="K501" s="110"/>
      <c r="L501" s="110"/>
      <c r="M501" s="110"/>
      <c r="N501" s="110"/>
      <c r="O501" s="110"/>
      <c r="P501" s="110"/>
      <c r="Q501" s="110"/>
    </row>
    <row r="502">
      <c r="I502" s="109"/>
      <c r="K502" s="110"/>
      <c r="L502" s="110"/>
      <c r="M502" s="110"/>
      <c r="N502" s="110"/>
      <c r="O502" s="110"/>
      <c r="P502" s="110"/>
      <c r="Q502" s="110"/>
    </row>
    <row r="503">
      <c r="I503" s="109"/>
      <c r="K503" s="110"/>
      <c r="L503" s="110"/>
      <c r="M503" s="110"/>
      <c r="N503" s="110"/>
      <c r="O503" s="110"/>
      <c r="P503" s="110"/>
      <c r="Q503" s="110"/>
    </row>
    <row r="504">
      <c r="I504" s="109"/>
      <c r="K504" s="110"/>
      <c r="L504" s="110"/>
      <c r="M504" s="110"/>
      <c r="N504" s="110"/>
      <c r="O504" s="110"/>
      <c r="P504" s="110"/>
      <c r="Q504" s="110"/>
    </row>
    <row r="505">
      <c r="I505" s="109"/>
      <c r="K505" s="110"/>
      <c r="L505" s="110"/>
      <c r="M505" s="110"/>
      <c r="N505" s="110"/>
      <c r="O505" s="110"/>
      <c r="P505" s="110"/>
      <c r="Q505" s="110"/>
    </row>
    <row r="506">
      <c r="I506" s="109"/>
      <c r="K506" s="110"/>
      <c r="L506" s="110"/>
      <c r="M506" s="110"/>
      <c r="N506" s="110"/>
      <c r="O506" s="110"/>
      <c r="P506" s="110"/>
      <c r="Q506" s="110"/>
    </row>
    <row r="507">
      <c r="I507" s="109"/>
      <c r="K507" s="110"/>
      <c r="L507" s="110"/>
      <c r="M507" s="110"/>
      <c r="N507" s="110"/>
      <c r="O507" s="110"/>
      <c r="P507" s="110"/>
      <c r="Q507" s="110"/>
    </row>
    <row r="508">
      <c r="I508" s="109"/>
      <c r="K508" s="110"/>
      <c r="L508" s="110"/>
      <c r="M508" s="110"/>
      <c r="N508" s="110"/>
      <c r="O508" s="110"/>
      <c r="P508" s="110"/>
      <c r="Q508" s="110"/>
    </row>
    <row r="509">
      <c r="I509" s="109"/>
      <c r="K509" s="110"/>
      <c r="L509" s="110"/>
      <c r="M509" s="110"/>
      <c r="N509" s="110"/>
      <c r="O509" s="110"/>
      <c r="P509" s="110"/>
      <c r="Q509" s="110"/>
    </row>
    <row r="510">
      <c r="I510" s="109"/>
      <c r="K510" s="110"/>
      <c r="L510" s="110"/>
      <c r="M510" s="110"/>
      <c r="N510" s="110"/>
      <c r="O510" s="110"/>
      <c r="P510" s="110"/>
      <c r="Q510" s="110"/>
    </row>
    <row r="511">
      <c r="I511" s="109"/>
      <c r="K511" s="110"/>
      <c r="L511" s="110"/>
      <c r="M511" s="110"/>
      <c r="N511" s="110"/>
      <c r="O511" s="110"/>
      <c r="P511" s="110"/>
      <c r="Q511" s="110"/>
    </row>
    <row r="512">
      <c r="I512" s="109"/>
      <c r="K512" s="110"/>
      <c r="L512" s="110"/>
      <c r="M512" s="110"/>
      <c r="N512" s="110"/>
      <c r="O512" s="110"/>
      <c r="P512" s="110"/>
      <c r="Q512" s="110"/>
    </row>
    <row r="513">
      <c r="I513" s="109"/>
      <c r="K513" s="110"/>
      <c r="L513" s="110"/>
      <c r="M513" s="110"/>
      <c r="N513" s="110"/>
      <c r="O513" s="110"/>
      <c r="P513" s="110"/>
      <c r="Q513" s="110"/>
    </row>
    <row r="514">
      <c r="I514" s="109"/>
      <c r="K514" s="110"/>
      <c r="L514" s="110"/>
      <c r="M514" s="110"/>
      <c r="N514" s="110"/>
      <c r="O514" s="110"/>
      <c r="P514" s="110"/>
      <c r="Q514" s="110"/>
    </row>
    <row r="515">
      <c r="I515" s="109"/>
      <c r="K515" s="110"/>
      <c r="L515" s="110"/>
      <c r="M515" s="110"/>
      <c r="N515" s="110"/>
      <c r="O515" s="110"/>
      <c r="P515" s="110"/>
      <c r="Q515" s="110"/>
    </row>
    <row r="516">
      <c r="I516" s="109"/>
      <c r="K516" s="110"/>
      <c r="L516" s="110"/>
      <c r="M516" s="110"/>
      <c r="N516" s="110"/>
      <c r="O516" s="110"/>
      <c r="P516" s="110"/>
      <c r="Q516" s="110"/>
    </row>
    <row r="517">
      <c r="I517" s="109"/>
      <c r="K517" s="110"/>
      <c r="L517" s="110"/>
      <c r="M517" s="110"/>
      <c r="N517" s="110"/>
      <c r="O517" s="110"/>
      <c r="P517" s="110"/>
      <c r="Q517" s="110"/>
    </row>
    <row r="518">
      <c r="I518" s="109"/>
      <c r="K518" s="110"/>
      <c r="L518" s="110"/>
      <c r="M518" s="110"/>
      <c r="N518" s="110"/>
      <c r="O518" s="110"/>
      <c r="P518" s="110"/>
      <c r="Q518" s="110"/>
    </row>
    <row r="519">
      <c r="I519" s="109"/>
      <c r="K519" s="110"/>
      <c r="L519" s="110"/>
      <c r="M519" s="110"/>
      <c r="N519" s="110"/>
      <c r="O519" s="110"/>
      <c r="P519" s="110"/>
      <c r="Q519" s="110"/>
    </row>
    <row r="520">
      <c r="I520" s="109"/>
      <c r="K520" s="110"/>
      <c r="L520" s="110"/>
      <c r="M520" s="110"/>
      <c r="N520" s="110"/>
      <c r="O520" s="110"/>
      <c r="P520" s="110"/>
      <c r="Q520" s="110"/>
    </row>
    <row r="521">
      <c r="I521" s="109"/>
      <c r="K521" s="110"/>
      <c r="L521" s="110"/>
      <c r="M521" s="110"/>
      <c r="N521" s="110"/>
      <c r="O521" s="110"/>
      <c r="P521" s="110"/>
      <c r="Q521" s="110"/>
    </row>
    <row r="522">
      <c r="I522" s="109"/>
      <c r="K522" s="110"/>
      <c r="L522" s="110"/>
      <c r="M522" s="110"/>
      <c r="N522" s="110"/>
      <c r="O522" s="110"/>
      <c r="P522" s="110"/>
      <c r="Q522" s="110"/>
    </row>
    <row r="523">
      <c r="I523" s="109"/>
      <c r="K523" s="110"/>
      <c r="L523" s="110"/>
      <c r="M523" s="110"/>
      <c r="N523" s="110"/>
      <c r="O523" s="110"/>
      <c r="P523" s="110"/>
      <c r="Q523" s="110"/>
    </row>
    <row r="524">
      <c r="I524" s="109"/>
      <c r="K524" s="110"/>
      <c r="L524" s="110"/>
      <c r="M524" s="110"/>
      <c r="N524" s="110"/>
      <c r="O524" s="110"/>
      <c r="P524" s="110"/>
      <c r="Q524" s="110"/>
    </row>
    <row r="525">
      <c r="I525" s="109"/>
      <c r="K525" s="110"/>
      <c r="L525" s="110"/>
      <c r="M525" s="110"/>
      <c r="N525" s="110"/>
      <c r="O525" s="110"/>
      <c r="P525" s="110"/>
      <c r="Q525" s="110"/>
    </row>
    <row r="526">
      <c r="I526" s="109"/>
      <c r="K526" s="110"/>
      <c r="L526" s="110"/>
      <c r="M526" s="110"/>
      <c r="N526" s="110"/>
      <c r="O526" s="110"/>
      <c r="P526" s="110"/>
      <c r="Q526" s="110"/>
    </row>
    <row r="527">
      <c r="I527" s="109"/>
      <c r="K527" s="110"/>
      <c r="L527" s="110"/>
      <c r="M527" s="110"/>
      <c r="N527" s="110"/>
      <c r="O527" s="110"/>
      <c r="P527" s="110"/>
      <c r="Q527" s="110"/>
    </row>
    <row r="528">
      <c r="I528" s="109"/>
      <c r="K528" s="110"/>
      <c r="L528" s="110"/>
      <c r="M528" s="110"/>
      <c r="N528" s="110"/>
      <c r="O528" s="110"/>
      <c r="P528" s="110"/>
      <c r="Q528" s="110"/>
    </row>
    <row r="529">
      <c r="I529" s="109"/>
      <c r="K529" s="110"/>
      <c r="L529" s="110"/>
      <c r="M529" s="110"/>
      <c r="N529" s="110"/>
      <c r="O529" s="110"/>
      <c r="P529" s="110"/>
      <c r="Q529" s="110"/>
    </row>
    <row r="530">
      <c r="I530" s="109"/>
      <c r="K530" s="110"/>
      <c r="L530" s="110"/>
      <c r="M530" s="110"/>
      <c r="N530" s="110"/>
      <c r="O530" s="110"/>
      <c r="P530" s="110"/>
      <c r="Q530" s="110"/>
    </row>
    <row r="531">
      <c r="I531" s="109"/>
      <c r="K531" s="110"/>
      <c r="L531" s="110"/>
      <c r="M531" s="110"/>
      <c r="N531" s="110"/>
      <c r="O531" s="110"/>
      <c r="P531" s="110"/>
      <c r="Q531" s="110"/>
    </row>
    <row r="532">
      <c r="I532" s="109"/>
      <c r="K532" s="110"/>
      <c r="L532" s="110"/>
      <c r="M532" s="110"/>
      <c r="N532" s="110"/>
      <c r="O532" s="110"/>
      <c r="P532" s="110"/>
      <c r="Q532" s="110"/>
    </row>
    <row r="533">
      <c r="I533" s="109"/>
      <c r="K533" s="110"/>
      <c r="L533" s="110"/>
      <c r="M533" s="110"/>
      <c r="N533" s="110"/>
      <c r="O533" s="110"/>
      <c r="P533" s="110"/>
      <c r="Q533" s="110"/>
    </row>
    <row r="534">
      <c r="I534" s="109"/>
      <c r="K534" s="110"/>
      <c r="L534" s="110"/>
      <c r="M534" s="110"/>
      <c r="N534" s="110"/>
      <c r="O534" s="110"/>
      <c r="P534" s="110"/>
      <c r="Q534" s="110"/>
    </row>
    <row r="535">
      <c r="I535" s="109"/>
      <c r="K535" s="110"/>
      <c r="L535" s="110"/>
      <c r="M535" s="110"/>
      <c r="N535" s="110"/>
      <c r="O535" s="110"/>
      <c r="P535" s="110"/>
      <c r="Q535" s="110"/>
    </row>
    <row r="536">
      <c r="I536" s="109"/>
      <c r="K536" s="110"/>
      <c r="L536" s="110"/>
      <c r="M536" s="110"/>
      <c r="N536" s="110"/>
      <c r="O536" s="110"/>
      <c r="P536" s="110"/>
      <c r="Q536" s="110"/>
    </row>
    <row r="537">
      <c r="I537" s="109"/>
      <c r="K537" s="110"/>
      <c r="L537" s="110"/>
      <c r="M537" s="110"/>
      <c r="N537" s="110"/>
      <c r="O537" s="110"/>
      <c r="P537" s="110"/>
      <c r="Q537" s="110"/>
    </row>
    <row r="538">
      <c r="I538" s="109"/>
      <c r="K538" s="110"/>
      <c r="L538" s="110"/>
      <c r="M538" s="110"/>
      <c r="N538" s="110"/>
      <c r="O538" s="110"/>
      <c r="P538" s="110"/>
      <c r="Q538" s="110"/>
    </row>
    <row r="539">
      <c r="I539" s="109"/>
      <c r="K539" s="110"/>
      <c r="L539" s="110"/>
      <c r="M539" s="110"/>
      <c r="N539" s="110"/>
      <c r="O539" s="110"/>
      <c r="P539" s="110"/>
      <c r="Q539" s="110"/>
    </row>
    <row r="540">
      <c r="I540" s="109"/>
      <c r="K540" s="110"/>
      <c r="L540" s="110"/>
      <c r="M540" s="110"/>
      <c r="N540" s="110"/>
      <c r="O540" s="110"/>
      <c r="P540" s="110"/>
      <c r="Q540" s="110"/>
    </row>
    <row r="541">
      <c r="I541" s="109"/>
      <c r="K541" s="110"/>
      <c r="L541" s="110"/>
      <c r="M541" s="110"/>
      <c r="N541" s="110"/>
      <c r="O541" s="110"/>
      <c r="P541" s="110"/>
      <c r="Q541" s="110"/>
    </row>
    <row r="542">
      <c r="I542" s="109"/>
      <c r="K542" s="110"/>
      <c r="L542" s="110"/>
      <c r="M542" s="110"/>
      <c r="N542" s="110"/>
      <c r="O542" s="110"/>
      <c r="P542" s="110"/>
      <c r="Q542" s="110"/>
    </row>
    <row r="543">
      <c r="I543" s="109"/>
      <c r="K543" s="110"/>
      <c r="L543" s="110"/>
      <c r="M543" s="110"/>
      <c r="N543" s="110"/>
      <c r="O543" s="110"/>
      <c r="P543" s="110"/>
      <c r="Q543" s="110"/>
    </row>
    <row r="544">
      <c r="I544" s="109"/>
      <c r="K544" s="110"/>
      <c r="L544" s="110"/>
      <c r="M544" s="110"/>
      <c r="N544" s="110"/>
      <c r="O544" s="110"/>
      <c r="P544" s="110"/>
      <c r="Q544" s="110"/>
    </row>
    <row r="545">
      <c r="I545" s="109"/>
      <c r="K545" s="110"/>
      <c r="L545" s="110"/>
      <c r="M545" s="110"/>
      <c r="N545" s="110"/>
      <c r="O545" s="110"/>
      <c r="P545" s="110"/>
      <c r="Q545" s="110"/>
    </row>
    <row r="546">
      <c r="I546" s="109"/>
      <c r="K546" s="110"/>
      <c r="L546" s="110"/>
      <c r="M546" s="110"/>
      <c r="N546" s="110"/>
      <c r="O546" s="110"/>
      <c r="P546" s="110"/>
      <c r="Q546" s="110"/>
    </row>
    <row r="547">
      <c r="I547" s="109"/>
      <c r="K547" s="110"/>
      <c r="L547" s="110"/>
      <c r="M547" s="110"/>
      <c r="N547" s="110"/>
      <c r="O547" s="110"/>
      <c r="P547" s="110"/>
      <c r="Q547" s="110"/>
    </row>
    <row r="548">
      <c r="I548" s="109"/>
      <c r="K548" s="110"/>
      <c r="L548" s="110"/>
      <c r="M548" s="110"/>
      <c r="N548" s="110"/>
      <c r="O548" s="110"/>
      <c r="P548" s="110"/>
      <c r="Q548" s="110"/>
    </row>
    <row r="549">
      <c r="I549" s="109"/>
      <c r="K549" s="110"/>
      <c r="L549" s="110"/>
      <c r="M549" s="110"/>
      <c r="N549" s="110"/>
      <c r="O549" s="110"/>
      <c r="P549" s="110"/>
      <c r="Q549" s="110"/>
    </row>
    <row r="550">
      <c r="I550" s="109"/>
      <c r="K550" s="110"/>
      <c r="L550" s="110"/>
      <c r="M550" s="110"/>
      <c r="N550" s="110"/>
      <c r="O550" s="110"/>
      <c r="P550" s="110"/>
      <c r="Q550" s="110"/>
    </row>
    <row r="551">
      <c r="I551" s="109"/>
      <c r="K551" s="110"/>
      <c r="L551" s="110"/>
      <c r="M551" s="110"/>
      <c r="N551" s="110"/>
      <c r="O551" s="110"/>
      <c r="P551" s="110"/>
      <c r="Q551" s="110"/>
    </row>
    <row r="552">
      <c r="I552" s="109"/>
      <c r="K552" s="110"/>
      <c r="L552" s="110"/>
      <c r="M552" s="110"/>
      <c r="N552" s="110"/>
      <c r="O552" s="110"/>
      <c r="P552" s="110"/>
      <c r="Q552" s="110"/>
    </row>
    <row r="553">
      <c r="I553" s="109"/>
      <c r="K553" s="110"/>
      <c r="L553" s="110"/>
      <c r="M553" s="110"/>
      <c r="N553" s="110"/>
      <c r="O553" s="110"/>
      <c r="P553" s="110"/>
      <c r="Q553" s="110"/>
    </row>
    <row r="554">
      <c r="I554" s="109"/>
      <c r="K554" s="110"/>
      <c r="L554" s="110"/>
      <c r="M554" s="110"/>
      <c r="N554" s="110"/>
      <c r="O554" s="110"/>
      <c r="P554" s="110"/>
      <c r="Q554" s="110"/>
    </row>
    <row r="555">
      <c r="I555" s="109"/>
      <c r="K555" s="110"/>
      <c r="L555" s="110"/>
      <c r="M555" s="110"/>
      <c r="N555" s="110"/>
      <c r="O555" s="110"/>
      <c r="P555" s="110"/>
      <c r="Q555" s="110"/>
    </row>
    <row r="556">
      <c r="I556" s="109"/>
      <c r="K556" s="110"/>
      <c r="L556" s="110"/>
      <c r="M556" s="110"/>
      <c r="N556" s="110"/>
      <c r="O556" s="110"/>
      <c r="P556" s="110"/>
      <c r="Q556" s="110"/>
    </row>
    <row r="557">
      <c r="I557" s="109"/>
      <c r="K557" s="110"/>
      <c r="L557" s="110"/>
      <c r="M557" s="110"/>
      <c r="N557" s="110"/>
      <c r="O557" s="110"/>
      <c r="P557" s="110"/>
      <c r="Q557" s="110"/>
    </row>
    <row r="558">
      <c r="I558" s="109"/>
      <c r="K558" s="110"/>
      <c r="L558" s="110"/>
      <c r="M558" s="110"/>
      <c r="N558" s="110"/>
      <c r="O558" s="110"/>
      <c r="P558" s="110"/>
      <c r="Q558" s="110"/>
    </row>
    <row r="559">
      <c r="I559" s="109"/>
      <c r="K559" s="110"/>
      <c r="L559" s="110"/>
      <c r="M559" s="110"/>
      <c r="N559" s="110"/>
      <c r="O559" s="110"/>
      <c r="P559" s="110"/>
      <c r="Q559" s="110"/>
    </row>
    <row r="560">
      <c r="I560" s="109"/>
      <c r="K560" s="110"/>
      <c r="L560" s="110"/>
      <c r="M560" s="110"/>
      <c r="N560" s="110"/>
      <c r="O560" s="110"/>
      <c r="P560" s="110"/>
      <c r="Q560" s="110"/>
    </row>
    <row r="561">
      <c r="I561" s="109"/>
      <c r="K561" s="110"/>
      <c r="L561" s="110"/>
      <c r="M561" s="110"/>
      <c r="N561" s="110"/>
      <c r="O561" s="110"/>
      <c r="P561" s="110"/>
      <c r="Q561" s="110"/>
    </row>
    <row r="562">
      <c r="I562" s="109"/>
      <c r="K562" s="110"/>
      <c r="L562" s="110"/>
      <c r="M562" s="110"/>
      <c r="N562" s="110"/>
      <c r="O562" s="110"/>
      <c r="P562" s="110"/>
      <c r="Q562" s="110"/>
    </row>
    <row r="563">
      <c r="I563" s="109"/>
      <c r="K563" s="110"/>
      <c r="L563" s="110"/>
      <c r="M563" s="110"/>
      <c r="N563" s="110"/>
      <c r="O563" s="110"/>
      <c r="P563" s="110"/>
      <c r="Q563" s="110"/>
    </row>
    <row r="564">
      <c r="I564" s="109"/>
      <c r="K564" s="110"/>
      <c r="L564" s="110"/>
      <c r="M564" s="110"/>
      <c r="N564" s="110"/>
      <c r="O564" s="110"/>
      <c r="P564" s="110"/>
      <c r="Q564" s="110"/>
    </row>
    <row r="565">
      <c r="I565" s="109"/>
      <c r="K565" s="110"/>
      <c r="L565" s="110"/>
      <c r="M565" s="110"/>
      <c r="N565" s="110"/>
      <c r="O565" s="110"/>
      <c r="P565" s="110"/>
      <c r="Q565" s="110"/>
    </row>
    <row r="566">
      <c r="I566" s="109"/>
      <c r="K566" s="110"/>
      <c r="L566" s="110"/>
      <c r="M566" s="110"/>
      <c r="N566" s="110"/>
      <c r="O566" s="110"/>
      <c r="P566" s="110"/>
      <c r="Q566" s="110"/>
    </row>
    <row r="567">
      <c r="I567" s="109"/>
      <c r="K567" s="110"/>
      <c r="L567" s="110"/>
      <c r="M567" s="110"/>
      <c r="N567" s="110"/>
      <c r="O567" s="110"/>
      <c r="P567" s="110"/>
      <c r="Q567" s="110"/>
    </row>
    <row r="568">
      <c r="I568" s="109"/>
      <c r="K568" s="110"/>
      <c r="L568" s="110"/>
      <c r="M568" s="110"/>
      <c r="N568" s="110"/>
      <c r="O568" s="110"/>
      <c r="P568" s="110"/>
      <c r="Q568" s="110"/>
    </row>
    <row r="569">
      <c r="I569" s="109"/>
      <c r="K569" s="110"/>
      <c r="L569" s="110"/>
      <c r="M569" s="110"/>
      <c r="N569" s="110"/>
      <c r="O569" s="110"/>
      <c r="P569" s="110"/>
      <c r="Q569" s="110"/>
    </row>
    <row r="570">
      <c r="I570" s="109"/>
      <c r="K570" s="110"/>
      <c r="L570" s="110"/>
      <c r="M570" s="110"/>
      <c r="N570" s="110"/>
      <c r="O570" s="110"/>
      <c r="P570" s="110"/>
      <c r="Q570" s="110"/>
    </row>
    <row r="571">
      <c r="I571" s="109"/>
      <c r="K571" s="110"/>
      <c r="L571" s="110"/>
      <c r="M571" s="110"/>
      <c r="N571" s="110"/>
      <c r="O571" s="110"/>
      <c r="P571" s="110"/>
      <c r="Q571" s="110"/>
    </row>
    <row r="572">
      <c r="I572" s="109"/>
      <c r="K572" s="110"/>
      <c r="L572" s="110"/>
      <c r="M572" s="110"/>
      <c r="N572" s="110"/>
      <c r="O572" s="110"/>
      <c r="P572" s="110"/>
      <c r="Q572" s="110"/>
    </row>
    <row r="573">
      <c r="I573" s="109"/>
      <c r="K573" s="110"/>
      <c r="L573" s="110"/>
      <c r="M573" s="110"/>
      <c r="N573" s="110"/>
      <c r="O573" s="110"/>
      <c r="P573" s="110"/>
      <c r="Q573" s="110"/>
    </row>
    <row r="574">
      <c r="I574" s="109"/>
      <c r="K574" s="110"/>
      <c r="L574" s="110"/>
      <c r="M574" s="110"/>
      <c r="N574" s="110"/>
      <c r="O574" s="110"/>
      <c r="P574" s="110"/>
      <c r="Q574" s="110"/>
    </row>
    <row r="575">
      <c r="I575" s="109"/>
      <c r="K575" s="110"/>
      <c r="L575" s="110"/>
      <c r="M575" s="110"/>
      <c r="N575" s="110"/>
      <c r="O575" s="110"/>
      <c r="P575" s="110"/>
      <c r="Q575" s="110"/>
    </row>
    <row r="576">
      <c r="I576" s="109"/>
      <c r="K576" s="110"/>
      <c r="L576" s="110"/>
      <c r="M576" s="110"/>
      <c r="N576" s="110"/>
      <c r="O576" s="110"/>
      <c r="P576" s="110"/>
      <c r="Q576" s="110"/>
    </row>
    <row r="577">
      <c r="I577" s="109"/>
      <c r="K577" s="110"/>
      <c r="L577" s="110"/>
      <c r="M577" s="110"/>
      <c r="N577" s="110"/>
      <c r="O577" s="110"/>
      <c r="P577" s="110"/>
      <c r="Q577" s="110"/>
    </row>
    <row r="578">
      <c r="I578" s="109"/>
      <c r="K578" s="110"/>
      <c r="L578" s="110"/>
      <c r="M578" s="110"/>
      <c r="N578" s="110"/>
      <c r="O578" s="110"/>
      <c r="P578" s="110"/>
      <c r="Q578" s="110"/>
    </row>
    <row r="579">
      <c r="I579" s="109"/>
      <c r="K579" s="110"/>
      <c r="L579" s="110"/>
      <c r="M579" s="110"/>
      <c r="N579" s="110"/>
      <c r="O579" s="110"/>
      <c r="P579" s="110"/>
      <c r="Q579" s="110"/>
    </row>
    <row r="580">
      <c r="I580" s="109"/>
      <c r="K580" s="110"/>
      <c r="L580" s="110"/>
      <c r="M580" s="110"/>
      <c r="N580" s="110"/>
      <c r="O580" s="110"/>
      <c r="P580" s="110"/>
      <c r="Q580" s="110"/>
    </row>
    <row r="581">
      <c r="I581" s="109"/>
      <c r="K581" s="110"/>
      <c r="L581" s="110"/>
      <c r="M581" s="110"/>
      <c r="N581" s="110"/>
      <c r="O581" s="110"/>
      <c r="P581" s="110"/>
      <c r="Q581" s="110"/>
    </row>
    <row r="582">
      <c r="I582" s="109"/>
      <c r="K582" s="110"/>
      <c r="L582" s="110"/>
      <c r="M582" s="110"/>
      <c r="N582" s="110"/>
      <c r="O582" s="110"/>
      <c r="P582" s="110"/>
      <c r="Q582" s="110"/>
    </row>
    <row r="583">
      <c r="I583" s="109"/>
      <c r="K583" s="110"/>
      <c r="L583" s="110"/>
      <c r="M583" s="110"/>
      <c r="N583" s="110"/>
      <c r="O583" s="110"/>
      <c r="P583" s="110"/>
      <c r="Q583" s="110"/>
    </row>
    <row r="584">
      <c r="I584" s="109"/>
      <c r="K584" s="110"/>
      <c r="L584" s="110"/>
      <c r="M584" s="110"/>
      <c r="N584" s="110"/>
      <c r="O584" s="110"/>
      <c r="P584" s="110"/>
      <c r="Q584" s="110"/>
    </row>
    <row r="585">
      <c r="I585" s="109"/>
      <c r="K585" s="110"/>
      <c r="L585" s="110"/>
      <c r="M585" s="110"/>
      <c r="N585" s="110"/>
      <c r="O585" s="110"/>
      <c r="P585" s="110"/>
      <c r="Q585" s="110"/>
    </row>
    <row r="586">
      <c r="I586" s="109"/>
      <c r="K586" s="110"/>
      <c r="L586" s="110"/>
      <c r="M586" s="110"/>
      <c r="N586" s="110"/>
      <c r="O586" s="110"/>
      <c r="P586" s="110"/>
      <c r="Q586" s="110"/>
    </row>
    <row r="587">
      <c r="I587" s="109"/>
      <c r="K587" s="110"/>
      <c r="L587" s="110"/>
      <c r="M587" s="110"/>
      <c r="N587" s="110"/>
      <c r="O587" s="110"/>
      <c r="P587" s="110"/>
      <c r="Q587" s="110"/>
    </row>
    <row r="588">
      <c r="I588" s="109"/>
      <c r="K588" s="110"/>
      <c r="L588" s="110"/>
      <c r="M588" s="110"/>
      <c r="N588" s="110"/>
      <c r="O588" s="110"/>
      <c r="P588" s="110"/>
      <c r="Q588" s="110"/>
    </row>
    <row r="589">
      <c r="I589" s="109"/>
      <c r="K589" s="110"/>
      <c r="L589" s="110"/>
      <c r="M589" s="110"/>
      <c r="N589" s="110"/>
      <c r="O589" s="110"/>
      <c r="P589" s="110"/>
      <c r="Q589" s="110"/>
    </row>
    <row r="590">
      <c r="I590" s="109"/>
      <c r="K590" s="110"/>
      <c r="L590" s="110"/>
      <c r="M590" s="110"/>
      <c r="N590" s="110"/>
      <c r="O590" s="110"/>
      <c r="P590" s="110"/>
      <c r="Q590" s="110"/>
    </row>
    <row r="591">
      <c r="I591" s="109"/>
      <c r="K591" s="110"/>
      <c r="L591" s="110"/>
      <c r="M591" s="110"/>
      <c r="N591" s="110"/>
      <c r="O591" s="110"/>
      <c r="P591" s="110"/>
      <c r="Q591" s="110"/>
    </row>
    <row r="592">
      <c r="I592" s="109"/>
      <c r="K592" s="110"/>
      <c r="L592" s="110"/>
      <c r="M592" s="110"/>
      <c r="N592" s="110"/>
      <c r="O592" s="110"/>
      <c r="P592" s="110"/>
      <c r="Q592" s="110"/>
    </row>
    <row r="593">
      <c r="I593" s="109"/>
      <c r="K593" s="110"/>
      <c r="L593" s="110"/>
      <c r="M593" s="110"/>
      <c r="N593" s="110"/>
      <c r="O593" s="110"/>
      <c r="P593" s="110"/>
      <c r="Q593" s="110"/>
    </row>
    <row r="594">
      <c r="I594" s="109"/>
      <c r="K594" s="110"/>
      <c r="L594" s="110"/>
      <c r="M594" s="110"/>
      <c r="N594" s="110"/>
      <c r="O594" s="110"/>
      <c r="P594" s="110"/>
      <c r="Q594" s="110"/>
    </row>
    <row r="595">
      <c r="I595" s="109"/>
      <c r="K595" s="110"/>
      <c r="L595" s="110"/>
      <c r="M595" s="110"/>
      <c r="N595" s="110"/>
      <c r="O595" s="110"/>
      <c r="P595" s="110"/>
      <c r="Q595" s="110"/>
    </row>
    <row r="596">
      <c r="I596" s="109"/>
      <c r="K596" s="110"/>
      <c r="L596" s="110"/>
      <c r="M596" s="110"/>
      <c r="N596" s="110"/>
      <c r="O596" s="110"/>
      <c r="P596" s="110"/>
      <c r="Q596" s="110"/>
    </row>
    <row r="597">
      <c r="I597" s="109"/>
      <c r="K597" s="110"/>
      <c r="L597" s="110"/>
      <c r="M597" s="110"/>
      <c r="N597" s="110"/>
      <c r="O597" s="110"/>
      <c r="P597" s="110"/>
      <c r="Q597" s="110"/>
    </row>
    <row r="598">
      <c r="I598" s="109"/>
      <c r="K598" s="110"/>
      <c r="L598" s="110"/>
      <c r="M598" s="110"/>
      <c r="N598" s="110"/>
      <c r="O598" s="110"/>
      <c r="P598" s="110"/>
      <c r="Q598" s="110"/>
    </row>
    <row r="599">
      <c r="I599" s="109"/>
      <c r="K599" s="110"/>
      <c r="L599" s="110"/>
      <c r="M599" s="110"/>
      <c r="N599" s="110"/>
      <c r="O599" s="110"/>
      <c r="P599" s="110"/>
      <c r="Q599" s="110"/>
    </row>
    <row r="600">
      <c r="I600" s="109"/>
      <c r="K600" s="110"/>
      <c r="L600" s="110"/>
      <c r="M600" s="110"/>
      <c r="N600" s="110"/>
      <c r="O600" s="110"/>
      <c r="P600" s="110"/>
      <c r="Q600" s="110"/>
    </row>
    <row r="601">
      <c r="I601" s="109"/>
      <c r="K601" s="110"/>
      <c r="L601" s="110"/>
      <c r="M601" s="110"/>
      <c r="N601" s="110"/>
      <c r="O601" s="110"/>
      <c r="P601" s="110"/>
      <c r="Q601" s="110"/>
    </row>
    <row r="602">
      <c r="I602" s="109"/>
      <c r="K602" s="110"/>
      <c r="L602" s="110"/>
      <c r="M602" s="110"/>
      <c r="N602" s="110"/>
      <c r="O602" s="110"/>
      <c r="P602" s="110"/>
      <c r="Q602" s="110"/>
    </row>
    <row r="603">
      <c r="I603" s="109"/>
      <c r="K603" s="110"/>
      <c r="L603" s="110"/>
      <c r="M603" s="110"/>
      <c r="N603" s="110"/>
      <c r="O603" s="110"/>
      <c r="P603" s="110"/>
      <c r="Q603" s="110"/>
    </row>
    <row r="604">
      <c r="I604" s="109"/>
      <c r="K604" s="110"/>
      <c r="L604" s="110"/>
      <c r="M604" s="110"/>
      <c r="N604" s="110"/>
      <c r="O604" s="110"/>
      <c r="P604" s="110"/>
      <c r="Q604" s="110"/>
    </row>
    <row r="605">
      <c r="I605" s="109"/>
      <c r="K605" s="110"/>
      <c r="L605" s="110"/>
      <c r="M605" s="110"/>
      <c r="N605" s="110"/>
      <c r="O605" s="110"/>
      <c r="P605" s="110"/>
      <c r="Q605" s="110"/>
    </row>
    <row r="606">
      <c r="I606" s="109"/>
      <c r="K606" s="110"/>
      <c r="L606" s="110"/>
      <c r="M606" s="110"/>
      <c r="N606" s="110"/>
      <c r="O606" s="110"/>
      <c r="P606" s="110"/>
      <c r="Q606" s="110"/>
    </row>
    <row r="607">
      <c r="I607" s="109"/>
      <c r="K607" s="110"/>
      <c r="L607" s="110"/>
      <c r="M607" s="110"/>
      <c r="N607" s="110"/>
      <c r="O607" s="110"/>
      <c r="P607" s="110"/>
      <c r="Q607" s="110"/>
    </row>
    <row r="608">
      <c r="I608" s="109"/>
      <c r="K608" s="110"/>
      <c r="L608" s="110"/>
      <c r="M608" s="110"/>
      <c r="N608" s="110"/>
      <c r="O608" s="110"/>
      <c r="P608" s="110"/>
      <c r="Q608" s="110"/>
    </row>
    <row r="609">
      <c r="I609" s="109"/>
      <c r="K609" s="110"/>
      <c r="L609" s="110"/>
      <c r="M609" s="110"/>
      <c r="N609" s="110"/>
      <c r="O609" s="110"/>
      <c r="P609" s="110"/>
      <c r="Q609" s="110"/>
    </row>
    <row r="610">
      <c r="I610" s="109"/>
      <c r="K610" s="110"/>
      <c r="L610" s="110"/>
      <c r="M610" s="110"/>
      <c r="N610" s="110"/>
      <c r="O610" s="110"/>
      <c r="P610" s="110"/>
      <c r="Q610" s="110"/>
    </row>
    <row r="611">
      <c r="I611" s="109"/>
      <c r="K611" s="110"/>
      <c r="L611" s="110"/>
      <c r="M611" s="110"/>
      <c r="N611" s="110"/>
      <c r="O611" s="110"/>
      <c r="P611" s="110"/>
      <c r="Q611" s="110"/>
    </row>
    <row r="612">
      <c r="I612" s="109"/>
      <c r="K612" s="110"/>
      <c r="L612" s="110"/>
      <c r="M612" s="110"/>
      <c r="N612" s="110"/>
      <c r="O612" s="110"/>
      <c r="P612" s="110"/>
      <c r="Q612" s="110"/>
    </row>
    <row r="613">
      <c r="I613" s="109"/>
      <c r="K613" s="110"/>
      <c r="L613" s="110"/>
      <c r="M613" s="110"/>
      <c r="N613" s="110"/>
      <c r="O613" s="110"/>
      <c r="P613" s="110"/>
      <c r="Q613" s="110"/>
    </row>
    <row r="614">
      <c r="I614" s="109"/>
      <c r="K614" s="110"/>
      <c r="L614" s="110"/>
      <c r="M614" s="110"/>
      <c r="N614" s="110"/>
      <c r="O614" s="110"/>
      <c r="P614" s="110"/>
      <c r="Q614" s="110"/>
    </row>
    <row r="615">
      <c r="I615" s="109"/>
      <c r="K615" s="110"/>
      <c r="L615" s="110"/>
      <c r="M615" s="110"/>
      <c r="N615" s="110"/>
      <c r="O615" s="110"/>
      <c r="P615" s="110"/>
      <c r="Q615" s="110"/>
    </row>
    <row r="616">
      <c r="I616" s="109"/>
      <c r="K616" s="110"/>
      <c r="L616" s="110"/>
      <c r="M616" s="110"/>
      <c r="N616" s="110"/>
      <c r="O616" s="110"/>
      <c r="P616" s="110"/>
      <c r="Q616" s="110"/>
    </row>
    <row r="617">
      <c r="I617" s="109"/>
      <c r="K617" s="110"/>
      <c r="L617" s="110"/>
      <c r="M617" s="110"/>
      <c r="N617" s="110"/>
      <c r="O617" s="110"/>
      <c r="P617" s="110"/>
      <c r="Q617" s="110"/>
    </row>
    <row r="618">
      <c r="I618" s="109"/>
      <c r="K618" s="110"/>
      <c r="L618" s="110"/>
      <c r="M618" s="110"/>
      <c r="N618" s="110"/>
      <c r="O618" s="110"/>
      <c r="P618" s="110"/>
      <c r="Q618" s="110"/>
    </row>
    <row r="619">
      <c r="I619" s="109"/>
      <c r="K619" s="110"/>
      <c r="L619" s="110"/>
      <c r="M619" s="110"/>
      <c r="N619" s="110"/>
      <c r="O619" s="110"/>
      <c r="P619" s="110"/>
      <c r="Q619" s="110"/>
    </row>
    <row r="620">
      <c r="I620" s="109"/>
      <c r="K620" s="110"/>
      <c r="L620" s="110"/>
      <c r="M620" s="110"/>
      <c r="N620" s="110"/>
      <c r="O620" s="110"/>
      <c r="P620" s="110"/>
      <c r="Q620" s="110"/>
    </row>
    <row r="621">
      <c r="I621" s="109"/>
      <c r="K621" s="110"/>
      <c r="L621" s="110"/>
      <c r="M621" s="110"/>
      <c r="N621" s="110"/>
      <c r="O621" s="110"/>
      <c r="P621" s="110"/>
      <c r="Q621" s="110"/>
    </row>
    <row r="622">
      <c r="I622" s="109"/>
      <c r="K622" s="110"/>
      <c r="L622" s="110"/>
      <c r="M622" s="110"/>
      <c r="N622" s="110"/>
      <c r="O622" s="110"/>
      <c r="P622" s="110"/>
      <c r="Q622" s="110"/>
    </row>
    <row r="623">
      <c r="I623" s="109"/>
      <c r="K623" s="110"/>
      <c r="L623" s="110"/>
      <c r="M623" s="110"/>
      <c r="N623" s="110"/>
      <c r="O623" s="110"/>
      <c r="P623" s="110"/>
      <c r="Q623" s="110"/>
    </row>
    <row r="624">
      <c r="I624" s="109"/>
      <c r="K624" s="110"/>
      <c r="L624" s="110"/>
      <c r="M624" s="110"/>
      <c r="N624" s="110"/>
      <c r="O624" s="110"/>
      <c r="P624" s="110"/>
      <c r="Q624" s="110"/>
    </row>
    <row r="625">
      <c r="I625" s="109"/>
      <c r="K625" s="110"/>
      <c r="L625" s="110"/>
      <c r="M625" s="110"/>
      <c r="N625" s="110"/>
      <c r="O625" s="110"/>
      <c r="P625" s="110"/>
      <c r="Q625" s="110"/>
    </row>
    <row r="626">
      <c r="I626" s="109"/>
      <c r="K626" s="110"/>
      <c r="L626" s="110"/>
      <c r="M626" s="110"/>
      <c r="N626" s="110"/>
      <c r="O626" s="110"/>
      <c r="P626" s="110"/>
      <c r="Q626" s="110"/>
    </row>
    <row r="627">
      <c r="I627" s="109"/>
      <c r="K627" s="110"/>
      <c r="L627" s="110"/>
      <c r="M627" s="110"/>
      <c r="N627" s="110"/>
      <c r="O627" s="110"/>
      <c r="P627" s="110"/>
      <c r="Q627" s="110"/>
    </row>
    <row r="628">
      <c r="I628" s="109"/>
      <c r="K628" s="110"/>
      <c r="L628" s="110"/>
      <c r="M628" s="110"/>
      <c r="N628" s="110"/>
      <c r="O628" s="110"/>
      <c r="P628" s="110"/>
      <c r="Q628" s="110"/>
    </row>
    <row r="629">
      <c r="I629" s="109"/>
      <c r="K629" s="110"/>
      <c r="L629" s="110"/>
      <c r="M629" s="110"/>
      <c r="N629" s="110"/>
      <c r="O629" s="110"/>
      <c r="P629" s="110"/>
      <c r="Q629" s="110"/>
    </row>
    <row r="630">
      <c r="I630" s="109"/>
      <c r="K630" s="110"/>
      <c r="L630" s="110"/>
      <c r="M630" s="110"/>
      <c r="N630" s="110"/>
      <c r="O630" s="110"/>
      <c r="P630" s="110"/>
      <c r="Q630" s="110"/>
    </row>
    <row r="631">
      <c r="I631" s="109"/>
      <c r="K631" s="110"/>
      <c r="L631" s="110"/>
      <c r="M631" s="110"/>
      <c r="N631" s="110"/>
      <c r="O631" s="110"/>
      <c r="P631" s="110"/>
      <c r="Q631" s="110"/>
    </row>
    <row r="632">
      <c r="I632" s="109"/>
      <c r="K632" s="110"/>
      <c r="L632" s="110"/>
      <c r="M632" s="110"/>
      <c r="N632" s="110"/>
      <c r="O632" s="110"/>
      <c r="P632" s="110"/>
      <c r="Q632" s="110"/>
    </row>
    <row r="633">
      <c r="I633" s="109"/>
      <c r="K633" s="110"/>
      <c r="L633" s="110"/>
      <c r="M633" s="110"/>
      <c r="N633" s="110"/>
      <c r="O633" s="110"/>
      <c r="P633" s="110"/>
      <c r="Q633" s="110"/>
    </row>
    <row r="634">
      <c r="I634" s="109"/>
      <c r="K634" s="110"/>
      <c r="L634" s="110"/>
      <c r="M634" s="110"/>
      <c r="N634" s="110"/>
      <c r="O634" s="110"/>
      <c r="P634" s="110"/>
      <c r="Q634" s="110"/>
    </row>
    <row r="635">
      <c r="I635" s="109"/>
      <c r="K635" s="110"/>
      <c r="L635" s="110"/>
      <c r="M635" s="110"/>
      <c r="N635" s="110"/>
      <c r="O635" s="110"/>
      <c r="P635" s="110"/>
      <c r="Q635" s="110"/>
    </row>
    <row r="636">
      <c r="I636" s="109"/>
      <c r="K636" s="110"/>
      <c r="L636" s="110"/>
      <c r="M636" s="110"/>
      <c r="N636" s="110"/>
      <c r="O636" s="110"/>
      <c r="P636" s="110"/>
      <c r="Q636" s="110"/>
    </row>
    <row r="637">
      <c r="I637" s="109"/>
      <c r="K637" s="110"/>
      <c r="L637" s="110"/>
      <c r="M637" s="110"/>
      <c r="N637" s="110"/>
      <c r="O637" s="110"/>
      <c r="P637" s="110"/>
      <c r="Q637" s="110"/>
    </row>
    <row r="638">
      <c r="I638" s="109"/>
      <c r="K638" s="110"/>
      <c r="L638" s="110"/>
      <c r="M638" s="110"/>
      <c r="N638" s="110"/>
      <c r="O638" s="110"/>
      <c r="P638" s="110"/>
      <c r="Q638" s="110"/>
    </row>
    <row r="639">
      <c r="I639" s="109"/>
      <c r="K639" s="110"/>
      <c r="L639" s="110"/>
      <c r="M639" s="110"/>
      <c r="N639" s="110"/>
      <c r="O639" s="110"/>
      <c r="P639" s="110"/>
      <c r="Q639" s="110"/>
    </row>
    <row r="640">
      <c r="I640" s="109"/>
      <c r="K640" s="110"/>
      <c r="L640" s="110"/>
      <c r="M640" s="110"/>
      <c r="N640" s="110"/>
      <c r="O640" s="110"/>
      <c r="P640" s="110"/>
      <c r="Q640" s="110"/>
    </row>
    <row r="641">
      <c r="I641" s="109"/>
      <c r="K641" s="110"/>
      <c r="L641" s="110"/>
      <c r="M641" s="110"/>
      <c r="N641" s="110"/>
      <c r="O641" s="110"/>
      <c r="P641" s="110"/>
      <c r="Q641" s="110"/>
    </row>
    <row r="642">
      <c r="I642" s="109"/>
      <c r="K642" s="110"/>
      <c r="L642" s="110"/>
      <c r="M642" s="110"/>
      <c r="N642" s="110"/>
      <c r="O642" s="110"/>
      <c r="P642" s="110"/>
      <c r="Q642" s="110"/>
    </row>
    <row r="643">
      <c r="I643" s="109"/>
      <c r="K643" s="110"/>
      <c r="L643" s="110"/>
      <c r="M643" s="110"/>
      <c r="N643" s="110"/>
      <c r="O643" s="110"/>
      <c r="P643" s="110"/>
      <c r="Q643" s="110"/>
    </row>
    <row r="644">
      <c r="I644" s="109"/>
      <c r="K644" s="110"/>
      <c r="L644" s="110"/>
      <c r="M644" s="110"/>
      <c r="N644" s="110"/>
      <c r="O644" s="110"/>
      <c r="P644" s="110"/>
      <c r="Q644" s="110"/>
    </row>
    <row r="645">
      <c r="I645" s="109"/>
      <c r="K645" s="110"/>
      <c r="L645" s="110"/>
      <c r="M645" s="110"/>
      <c r="N645" s="110"/>
      <c r="O645" s="110"/>
      <c r="P645" s="110"/>
      <c r="Q645" s="110"/>
    </row>
    <row r="646">
      <c r="I646" s="109"/>
      <c r="K646" s="110"/>
      <c r="L646" s="110"/>
      <c r="M646" s="110"/>
      <c r="N646" s="110"/>
      <c r="O646" s="110"/>
      <c r="P646" s="110"/>
      <c r="Q646" s="110"/>
    </row>
    <row r="647">
      <c r="I647" s="109"/>
      <c r="K647" s="110"/>
      <c r="L647" s="110"/>
      <c r="M647" s="110"/>
      <c r="N647" s="110"/>
      <c r="O647" s="110"/>
      <c r="P647" s="110"/>
      <c r="Q647" s="110"/>
    </row>
    <row r="648">
      <c r="I648" s="109"/>
      <c r="K648" s="110"/>
      <c r="L648" s="110"/>
      <c r="M648" s="110"/>
      <c r="N648" s="110"/>
      <c r="O648" s="110"/>
      <c r="P648" s="110"/>
      <c r="Q648" s="110"/>
    </row>
    <row r="649">
      <c r="I649" s="109"/>
      <c r="K649" s="110"/>
      <c r="L649" s="110"/>
      <c r="M649" s="110"/>
      <c r="N649" s="110"/>
      <c r="O649" s="110"/>
      <c r="P649" s="110"/>
      <c r="Q649" s="110"/>
    </row>
    <row r="650">
      <c r="I650" s="109"/>
      <c r="K650" s="110"/>
      <c r="L650" s="110"/>
      <c r="M650" s="110"/>
      <c r="N650" s="110"/>
      <c r="O650" s="110"/>
      <c r="P650" s="110"/>
      <c r="Q650" s="110"/>
    </row>
    <row r="651">
      <c r="I651" s="109"/>
      <c r="K651" s="110"/>
      <c r="L651" s="110"/>
      <c r="M651" s="110"/>
      <c r="N651" s="110"/>
      <c r="O651" s="110"/>
      <c r="P651" s="110"/>
      <c r="Q651" s="110"/>
    </row>
    <row r="652">
      <c r="I652" s="109"/>
      <c r="K652" s="110"/>
      <c r="L652" s="110"/>
      <c r="M652" s="110"/>
      <c r="N652" s="110"/>
      <c r="O652" s="110"/>
      <c r="P652" s="110"/>
      <c r="Q652" s="110"/>
    </row>
    <row r="653">
      <c r="I653" s="109"/>
      <c r="K653" s="110"/>
      <c r="L653" s="110"/>
      <c r="M653" s="110"/>
      <c r="N653" s="110"/>
      <c r="O653" s="110"/>
      <c r="P653" s="110"/>
      <c r="Q653" s="110"/>
    </row>
    <row r="654">
      <c r="I654" s="109"/>
      <c r="K654" s="110"/>
      <c r="L654" s="110"/>
      <c r="M654" s="110"/>
      <c r="N654" s="110"/>
      <c r="O654" s="110"/>
      <c r="P654" s="110"/>
      <c r="Q654" s="110"/>
    </row>
    <row r="655">
      <c r="I655" s="109"/>
      <c r="K655" s="110"/>
      <c r="L655" s="110"/>
      <c r="M655" s="110"/>
      <c r="N655" s="110"/>
      <c r="O655" s="110"/>
      <c r="P655" s="110"/>
      <c r="Q655" s="110"/>
    </row>
    <row r="656">
      <c r="I656" s="109"/>
      <c r="K656" s="110"/>
      <c r="L656" s="110"/>
      <c r="M656" s="110"/>
      <c r="N656" s="110"/>
      <c r="O656" s="110"/>
      <c r="P656" s="110"/>
      <c r="Q656" s="110"/>
    </row>
    <row r="657">
      <c r="I657" s="109"/>
      <c r="K657" s="110"/>
      <c r="L657" s="110"/>
      <c r="M657" s="110"/>
      <c r="N657" s="110"/>
      <c r="O657" s="110"/>
      <c r="P657" s="110"/>
      <c r="Q657" s="110"/>
    </row>
    <row r="658">
      <c r="I658" s="109"/>
      <c r="K658" s="110"/>
      <c r="L658" s="110"/>
      <c r="M658" s="110"/>
      <c r="N658" s="110"/>
      <c r="O658" s="110"/>
      <c r="P658" s="110"/>
      <c r="Q658" s="110"/>
    </row>
    <row r="659">
      <c r="I659" s="109"/>
      <c r="K659" s="110"/>
      <c r="L659" s="110"/>
      <c r="M659" s="110"/>
      <c r="N659" s="110"/>
      <c r="O659" s="110"/>
      <c r="P659" s="110"/>
      <c r="Q659" s="110"/>
    </row>
    <row r="660">
      <c r="I660" s="109"/>
      <c r="K660" s="110"/>
      <c r="L660" s="110"/>
      <c r="M660" s="110"/>
      <c r="N660" s="110"/>
      <c r="O660" s="110"/>
      <c r="P660" s="110"/>
      <c r="Q660" s="110"/>
    </row>
    <row r="661">
      <c r="I661" s="109"/>
      <c r="K661" s="110"/>
      <c r="L661" s="110"/>
      <c r="M661" s="110"/>
      <c r="N661" s="110"/>
      <c r="O661" s="110"/>
      <c r="P661" s="110"/>
      <c r="Q661" s="110"/>
    </row>
    <row r="662">
      <c r="I662" s="109"/>
      <c r="K662" s="110"/>
      <c r="L662" s="110"/>
      <c r="M662" s="110"/>
      <c r="N662" s="110"/>
      <c r="O662" s="110"/>
      <c r="P662" s="110"/>
      <c r="Q662" s="110"/>
    </row>
    <row r="663">
      <c r="I663" s="109"/>
      <c r="K663" s="110"/>
      <c r="L663" s="110"/>
      <c r="M663" s="110"/>
      <c r="N663" s="110"/>
      <c r="O663" s="110"/>
      <c r="P663" s="110"/>
      <c r="Q663" s="110"/>
    </row>
    <row r="664">
      <c r="I664" s="109"/>
      <c r="K664" s="110"/>
      <c r="L664" s="110"/>
      <c r="M664" s="110"/>
      <c r="N664" s="110"/>
      <c r="O664" s="110"/>
      <c r="P664" s="110"/>
      <c r="Q664" s="110"/>
    </row>
    <row r="665">
      <c r="I665" s="109"/>
      <c r="K665" s="110"/>
      <c r="L665" s="110"/>
      <c r="M665" s="110"/>
      <c r="N665" s="110"/>
      <c r="O665" s="110"/>
      <c r="P665" s="110"/>
      <c r="Q665" s="110"/>
    </row>
    <row r="666">
      <c r="I666" s="109"/>
      <c r="K666" s="110"/>
      <c r="L666" s="110"/>
      <c r="M666" s="110"/>
      <c r="N666" s="110"/>
      <c r="O666" s="110"/>
      <c r="P666" s="110"/>
      <c r="Q666" s="110"/>
    </row>
    <row r="667">
      <c r="I667" s="109"/>
      <c r="K667" s="110"/>
      <c r="L667" s="110"/>
      <c r="M667" s="110"/>
      <c r="N667" s="110"/>
      <c r="O667" s="110"/>
      <c r="P667" s="110"/>
      <c r="Q667" s="110"/>
    </row>
    <row r="668">
      <c r="I668" s="109"/>
      <c r="K668" s="110"/>
      <c r="L668" s="110"/>
      <c r="M668" s="110"/>
      <c r="N668" s="110"/>
      <c r="O668" s="110"/>
      <c r="P668" s="110"/>
      <c r="Q668" s="110"/>
    </row>
    <row r="669">
      <c r="I669" s="109"/>
      <c r="K669" s="110"/>
      <c r="L669" s="110"/>
      <c r="M669" s="110"/>
      <c r="N669" s="110"/>
      <c r="O669" s="110"/>
      <c r="P669" s="110"/>
      <c r="Q669" s="110"/>
    </row>
    <row r="670">
      <c r="I670" s="109"/>
      <c r="K670" s="110"/>
      <c r="L670" s="110"/>
      <c r="M670" s="110"/>
      <c r="N670" s="110"/>
      <c r="O670" s="110"/>
      <c r="P670" s="110"/>
      <c r="Q670" s="110"/>
    </row>
    <row r="671">
      <c r="I671" s="109"/>
      <c r="K671" s="110"/>
      <c r="L671" s="110"/>
      <c r="M671" s="110"/>
      <c r="N671" s="110"/>
      <c r="O671" s="110"/>
      <c r="P671" s="110"/>
      <c r="Q671" s="110"/>
    </row>
    <row r="672">
      <c r="I672" s="109"/>
      <c r="K672" s="110"/>
      <c r="L672" s="110"/>
      <c r="M672" s="110"/>
      <c r="N672" s="110"/>
      <c r="O672" s="110"/>
      <c r="P672" s="110"/>
      <c r="Q672" s="110"/>
    </row>
    <row r="673">
      <c r="I673" s="109"/>
      <c r="K673" s="110"/>
      <c r="L673" s="110"/>
      <c r="M673" s="110"/>
      <c r="N673" s="110"/>
      <c r="O673" s="110"/>
      <c r="P673" s="110"/>
      <c r="Q673" s="110"/>
    </row>
    <row r="674">
      <c r="I674" s="109"/>
      <c r="K674" s="110"/>
      <c r="L674" s="110"/>
      <c r="M674" s="110"/>
      <c r="N674" s="110"/>
      <c r="O674" s="110"/>
      <c r="P674" s="110"/>
      <c r="Q674" s="110"/>
    </row>
    <row r="675">
      <c r="I675" s="109"/>
      <c r="K675" s="110"/>
      <c r="L675" s="110"/>
      <c r="M675" s="110"/>
      <c r="N675" s="110"/>
      <c r="O675" s="110"/>
      <c r="P675" s="110"/>
      <c r="Q675" s="110"/>
    </row>
    <row r="676">
      <c r="I676" s="109"/>
      <c r="K676" s="110"/>
      <c r="L676" s="110"/>
      <c r="M676" s="110"/>
      <c r="N676" s="110"/>
      <c r="O676" s="110"/>
      <c r="P676" s="110"/>
      <c r="Q676" s="110"/>
    </row>
    <row r="677">
      <c r="I677" s="109"/>
      <c r="K677" s="110"/>
      <c r="L677" s="110"/>
      <c r="M677" s="110"/>
      <c r="N677" s="110"/>
      <c r="O677" s="110"/>
      <c r="P677" s="110"/>
      <c r="Q677" s="110"/>
    </row>
    <row r="678">
      <c r="I678" s="109"/>
      <c r="K678" s="110"/>
      <c r="L678" s="110"/>
      <c r="M678" s="110"/>
      <c r="N678" s="110"/>
      <c r="O678" s="110"/>
      <c r="P678" s="110"/>
      <c r="Q678" s="110"/>
    </row>
    <row r="679">
      <c r="I679" s="109"/>
      <c r="K679" s="110"/>
      <c r="L679" s="110"/>
      <c r="M679" s="110"/>
      <c r="N679" s="110"/>
      <c r="O679" s="110"/>
      <c r="P679" s="110"/>
      <c r="Q679" s="110"/>
    </row>
    <row r="680">
      <c r="I680" s="109"/>
      <c r="K680" s="110"/>
      <c r="L680" s="110"/>
      <c r="M680" s="110"/>
      <c r="N680" s="110"/>
      <c r="O680" s="110"/>
      <c r="P680" s="110"/>
      <c r="Q680" s="110"/>
    </row>
    <row r="681">
      <c r="I681" s="109"/>
      <c r="K681" s="110"/>
      <c r="L681" s="110"/>
      <c r="M681" s="110"/>
      <c r="N681" s="110"/>
      <c r="O681" s="110"/>
      <c r="P681" s="110"/>
      <c r="Q681" s="110"/>
    </row>
    <row r="682">
      <c r="I682" s="109"/>
      <c r="K682" s="110"/>
      <c r="L682" s="110"/>
      <c r="M682" s="110"/>
      <c r="N682" s="110"/>
      <c r="O682" s="110"/>
      <c r="P682" s="110"/>
      <c r="Q682" s="110"/>
    </row>
    <row r="683">
      <c r="I683" s="109"/>
      <c r="K683" s="110"/>
      <c r="L683" s="110"/>
      <c r="M683" s="110"/>
      <c r="N683" s="110"/>
      <c r="O683" s="110"/>
      <c r="P683" s="110"/>
      <c r="Q683" s="110"/>
    </row>
    <row r="684">
      <c r="I684" s="109"/>
      <c r="K684" s="110"/>
      <c r="L684" s="110"/>
      <c r="M684" s="110"/>
      <c r="N684" s="110"/>
      <c r="O684" s="110"/>
      <c r="P684" s="110"/>
      <c r="Q684" s="110"/>
    </row>
    <row r="685">
      <c r="I685" s="109"/>
      <c r="K685" s="110"/>
      <c r="L685" s="110"/>
      <c r="M685" s="110"/>
      <c r="N685" s="110"/>
      <c r="O685" s="110"/>
      <c r="P685" s="110"/>
      <c r="Q685" s="110"/>
    </row>
    <row r="686">
      <c r="I686" s="109"/>
      <c r="K686" s="110"/>
      <c r="L686" s="110"/>
      <c r="M686" s="110"/>
      <c r="N686" s="110"/>
      <c r="O686" s="110"/>
      <c r="P686" s="110"/>
      <c r="Q686" s="110"/>
    </row>
    <row r="687">
      <c r="I687" s="109"/>
      <c r="K687" s="110"/>
      <c r="L687" s="110"/>
      <c r="M687" s="110"/>
      <c r="N687" s="110"/>
      <c r="O687" s="110"/>
      <c r="P687" s="110"/>
      <c r="Q687" s="110"/>
    </row>
    <row r="688">
      <c r="I688" s="109"/>
      <c r="K688" s="110"/>
      <c r="L688" s="110"/>
      <c r="M688" s="110"/>
      <c r="N688" s="110"/>
      <c r="O688" s="110"/>
      <c r="P688" s="110"/>
      <c r="Q688" s="110"/>
    </row>
    <row r="689">
      <c r="I689" s="109"/>
      <c r="K689" s="110"/>
      <c r="L689" s="110"/>
      <c r="M689" s="110"/>
      <c r="N689" s="110"/>
      <c r="O689" s="110"/>
      <c r="P689" s="110"/>
      <c r="Q689" s="110"/>
    </row>
    <row r="690">
      <c r="I690" s="109"/>
      <c r="K690" s="110"/>
      <c r="L690" s="110"/>
      <c r="M690" s="110"/>
      <c r="N690" s="110"/>
      <c r="O690" s="110"/>
      <c r="P690" s="110"/>
      <c r="Q690" s="110"/>
    </row>
    <row r="691">
      <c r="I691" s="109"/>
      <c r="K691" s="110"/>
      <c r="L691" s="110"/>
      <c r="M691" s="110"/>
      <c r="N691" s="110"/>
      <c r="O691" s="110"/>
      <c r="P691" s="110"/>
      <c r="Q691" s="110"/>
    </row>
    <row r="692">
      <c r="I692" s="109"/>
      <c r="K692" s="110"/>
      <c r="L692" s="110"/>
      <c r="M692" s="110"/>
      <c r="N692" s="110"/>
      <c r="O692" s="110"/>
      <c r="P692" s="110"/>
      <c r="Q692" s="110"/>
    </row>
    <row r="693">
      <c r="I693" s="109"/>
      <c r="K693" s="110"/>
      <c r="L693" s="110"/>
      <c r="M693" s="110"/>
      <c r="N693" s="110"/>
      <c r="O693" s="110"/>
      <c r="P693" s="110"/>
      <c r="Q693" s="110"/>
    </row>
    <row r="694">
      <c r="I694" s="109"/>
      <c r="K694" s="110"/>
      <c r="L694" s="110"/>
      <c r="M694" s="110"/>
      <c r="N694" s="110"/>
      <c r="O694" s="110"/>
      <c r="P694" s="110"/>
      <c r="Q694" s="110"/>
    </row>
    <row r="695">
      <c r="I695" s="109"/>
      <c r="K695" s="110"/>
      <c r="L695" s="110"/>
      <c r="M695" s="110"/>
      <c r="N695" s="110"/>
      <c r="O695" s="110"/>
      <c r="P695" s="110"/>
      <c r="Q695" s="110"/>
    </row>
    <row r="696">
      <c r="I696" s="109"/>
      <c r="K696" s="110"/>
      <c r="L696" s="110"/>
      <c r="M696" s="110"/>
      <c r="N696" s="110"/>
      <c r="O696" s="110"/>
      <c r="P696" s="110"/>
      <c r="Q696" s="110"/>
    </row>
    <row r="697">
      <c r="I697" s="109"/>
      <c r="K697" s="110"/>
      <c r="L697" s="110"/>
      <c r="M697" s="110"/>
      <c r="N697" s="110"/>
      <c r="O697" s="110"/>
      <c r="P697" s="110"/>
      <c r="Q697" s="110"/>
    </row>
    <row r="698">
      <c r="I698" s="109"/>
      <c r="K698" s="110"/>
      <c r="L698" s="110"/>
      <c r="M698" s="110"/>
      <c r="N698" s="110"/>
      <c r="O698" s="110"/>
      <c r="P698" s="110"/>
      <c r="Q698" s="110"/>
    </row>
    <row r="699">
      <c r="I699" s="109"/>
      <c r="K699" s="110"/>
      <c r="L699" s="110"/>
      <c r="M699" s="110"/>
      <c r="N699" s="110"/>
      <c r="O699" s="110"/>
      <c r="P699" s="110"/>
      <c r="Q699" s="110"/>
    </row>
    <row r="700">
      <c r="I700" s="109"/>
      <c r="K700" s="110"/>
      <c r="L700" s="110"/>
      <c r="M700" s="110"/>
      <c r="N700" s="110"/>
      <c r="O700" s="110"/>
      <c r="P700" s="110"/>
      <c r="Q700" s="110"/>
    </row>
    <row r="701">
      <c r="I701" s="109"/>
      <c r="K701" s="110"/>
      <c r="L701" s="110"/>
      <c r="M701" s="110"/>
      <c r="N701" s="110"/>
      <c r="O701" s="110"/>
      <c r="P701" s="110"/>
      <c r="Q701" s="110"/>
    </row>
    <row r="702">
      <c r="I702" s="109"/>
      <c r="K702" s="110"/>
      <c r="L702" s="110"/>
      <c r="M702" s="110"/>
      <c r="N702" s="110"/>
      <c r="O702" s="110"/>
      <c r="P702" s="110"/>
      <c r="Q702" s="110"/>
    </row>
    <row r="703">
      <c r="I703" s="109"/>
      <c r="K703" s="110"/>
      <c r="L703" s="110"/>
      <c r="M703" s="110"/>
      <c r="N703" s="110"/>
      <c r="O703" s="110"/>
      <c r="P703" s="110"/>
      <c r="Q703" s="110"/>
    </row>
    <row r="704">
      <c r="I704" s="109"/>
      <c r="K704" s="110"/>
      <c r="L704" s="110"/>
      <c r="M704" s="110"/>
      <c r="N704" s="110"/>
      <c r="O704" s="110"/>
      <c r="P704" s="110"/>
      <c r="Q704" s="110"/>
    </row>
    <row r="705">
      <c r="I705" s="109"/>
      <c r="K705" s="110"/>
      <c r="L705" s="110"/>
      <c r="M705" s="110"/>
      <c r="N705" s="110"/>
      <c r="O705" s="110"/>
      <c r="P705" s="110"/>
      <c r="Q705" s="110"/>
    </row>
    <row r="706">
      <c r="I706" s="109"/>
      <c r="K706" s="110"/>
      <c r="L706" s="110"/>
      <c r="M706" s="110"/>
      <c r="N706" s="110"/>
      <c r="O706" s="110"/>
      <c r="P706" s="110"/>
      <c r="Q706" s="110"/>
    </row>
    <row r="707">
      <c r="I707" s="109"/>
      <c r="K707" s="110"/>
      <c r="L707" s="110"/>
      <c r="M707" s="110"/>
      <c r="N707" s="110"/>
      <c r="O707" s="110"/>
      <c r="P707" s="110"/>
      <c r="Q707" s="110"/>
    </row>
    <row r="708">
      <c r="I708" s="109"/>
      <c r="K708" s="110"/>
      <c r="L708" s="110"/>
      <c r="M708" s="110"/>
      <c r="N708" s="110"/>
      <c r="O708" s="110"/>
      <c r="P708" s="110"/>
      <c r="Q708" s="110"/>
    </row>
    <row r="709">
      <c r="I709" s="109"/>
      <c r="K709" s="110"/>
      <c r="L709" s="110"/>
      <c r="M709" s="110"/>
      <c r="N709" s="110"/>
      <c r="O709" s="110"/>
      <c r="P709" s="110"/>
      <c r="Q709" s="110"/>
    </row>
    <row r="710">
      <c r="I710" s="109"/>
      <c r="K710" s="110"/>
      <c r="L710" s="110"/>
      <c r="M710" s="110"/>
      <c r="N710" s="110"/>
      <c r="O710" s="110"/>
      <c r="P710" s="110"/>
      <c r="Q710" s="110"/>
    </row>
    <row r="711">
      <c r="I711" s="109"/>
      <c r="K711" s="110"/>
      <c r="L711" s="110"/>
      <c r="M711" s="110"/>
      <c r="N711" s="110"/>
      <c r="O711" s="110"/>
      <c r="P711" s="110"/>
      <c r="Q711" s="110"/>
    </row>
    <row r="712">
      <c r="I712" s="109"/>
      <c r="K712" s="110"/>
      <c r="L712" s="110"/>
      <c r="M712" s="110"/>
      <c r="N712" s="110"/>
      <c r="O712" s="110"/>
      <c r="P712" s="110"/>
      <c r="Q712" s="110"/>
    </row>
    <row r="713">
      <c r="I713" s="109"/>
      <c r="K713" s="110"/>
      <c r="L713" s="110"/>
      <c r="M713" s="110"/>
      <c r="N713" s="110"/>
      <c r="O713" s="110"/>
      <c r="P713" s="110"/>
      <c r="Q713" s="110"/>
    </row>
    <row r="714">
      <c r="I714" s="109"/>
      <c r="K714" s="110"/>
      <c r="L714" s="110"/>
      <c r="M714" s="110"/>
      <c r="N714" s="110"/>
      <c r="O714" s="110"/>
      <c r="P714" s="110"/>
      <c r="Q714" s="110"/>
    </row>
    <row r="715">
      <c r="I715" s="109"/>
      <c r="K715" s="110"/>
      <c r="L715" s="110"/>
      <c r="M715" s="110"/>
      <c r="N715" s="110"/>
      <c r="O715" s="110"/>
      <c r="P715" s="110"/>
      <c r="Q715" s="110"/>
    </row>
    <row r="716">
      <c r="I716" s="109"/>
      <c r="K716" s="110"/>
      <c r="L716" s="110"/>
      <c r="M716" s="110"/>
      <c r="N716" s="110"/>
      <c r="O716" s="110"/>
      <c r="P716" s="110"/>
      <c r="Q716" s="110"/>
    </row>
    <row r="717">
      <c r="I717" s="109"/>
      <c r="K717" s="110"/>
      <c r="L717" s="110"/>
      <c r="M717" s="110"/>
      <c r="N717" s="110"/>
      <c r="O717" s="110"/>
      <c r="P717" s="110"/>
      <c r="Q717" s="110"/>
    </row>
    <row r="718">
      <c r="I718" s="109"/>
      <c r="K718" s="110"/>
      <c r="L718" s="110"/>
      <c r="M718" s="110"/>
      <c r="N718" s="110"/>
      <c r="O718" s="110"/>
      <c r="P718" s="110"/>
      <c r="Q718" s="110"/>
    </row>
    <row r="719">
      <c r="I719" s="109"/>
      <c r="K719" s="110"/>
      <c r="L719" s="110"/>
      <c r="M719" s="110"/>
      <c r="N719" s="110"/>
      <c r="O719" s="110"/>
      <c r="P719" s="110"/>
      <c r="Q719" s="110"/>
    </row>
    <row r="720">
      <c r="I720" s="109"/>
      <c r="K720" s="110"/>
      <c r="L720" s="110"/>
      <c r="M720" s="110"/>
      <c r="N720" s="110"/>
      <c r="O720" s="110"/>
      <c r="P720" s="110"/>
      <c r="Q720" s="110"/>
    </row>
    <row r="721">
      <c r="I721" s="109"/>
      <c r="K721" s="110"/>
      <c r="L721" s="110"/>
      <c r="M721" s="110"/>
      <c r="N721" s="110"/>
      <c r="O721" s="110"/>
      <c r="P721" s="110"/>
      <c r="Q721" s="110"/>
    </row>
    <row r="722">
      <c r="I722" s="109"/>
      <c r="K722" s="110"/>
      <c r="L722" s="110"/>
      <c r="M722" s="110"/>
      <c r="N722" s="110"/>
      <c r="O722" s="110"/>
      <c r="P722" s="110"/>
      <c r="Q722" s="110"/>
    </row>
    <row r="723">
      <c r="I723" s="109"/>
      <c r="K723" s="110"/>
      <c r="L723" s="110"/>
      <c r="M723" s="110"/>
      <c r="N723" s="110"/>
      <c r="O723" s="110"/>
      <c r="P723" s="110"/>
      <c r="Q723" s="110"/>
    </row>
    <row r="724">
      <c r="I724" s="109"/>
      <c r="K724" s="110"/>
      <c r="L724" s="110"/>
      <c r="M724" s="110"/>
      <c r="N724" s="110"/>
      <c r="O724" s="110"/>
      <c r="P724" s="110"/>
      <c r="Q724" s="110"/>
    </row>
    <row r="725">
      <c r="I725" s="109"/>
      <c r="K725" s="110"/>
      <c r="L725" s="110"/>
      <c r="M725" s="110"/>
      <c r="N725" s="110"/>
      <c r="O725" s="110"/>
      <c r="P725" s="110"/>
      <c r="Q725" s="110"/>
    </row>
    <row r="726">
      <c r="I726" s="109"/>
      <c r="K726" s="110"/>
      <c r="L726" s="110"/>
      <c r="M726" s="110"/>
      <c r="N726" s="110"/>
      <c r="O726" s="110"/>
      <c r="P726" s="110"/>
      <c r="Q726" s="110"/>
    </row>
    <row r="727">
      <c r="I727" s="109"/>
      <c r="K727" s="110"/>
      <c r="L727" s="110"/>
      <c r="M727" s="110"/>
      <c r="N727" s="110"/>
      <c r="O727" s="110"/>
      <c r="P727" s="110"/>
      <c r="Q727" s="110"/>
    </row>
    <row r="728">
      <c r="I728" s="109"/>
      <c r="K728" s="110"/>
      <c r="L728" s="110"/>
      <c r="M728" s="110"/>
      <c r="N728" s="110"/>
      <c r="O728" s="110"/>
      <c r="P728" s="110"/>
      <c r="Q728" s="110"/>
    </row>
    <row r="729">
      <c r="I729" s="109"/>
      <c r="K729" s="110"/>
      <c r="L729" s="110"/>
      <c r="M729" s="110"/>
      <c r="N729" s="110"/>
      <c r="O729" s="110"/>
      <c r="P729" s="110"/>
      <c r="Q729" s="110"/>
    </row>
    <row r="730">
      <c r="I730" s="109"/>
      <c r="K730" s="110"/>
      <c r="L730" s="110"/>
      <c r="M730" s="110"/>
      <c r="N730" s="110"/>
      <c r="O730" s="110"/>
      <c r="P730" s="110"/>
      <c r="Q730" s="110"/>
    </row>
    <row r="731">
      <c r="I731" s="109"/>
      <c r="K731" s="110"/>
      <c r="L731" s="110"/>
      <c r="M731" s="110"/>
      <c r="N731" s="110"/>
      <c r="O731" s="110"/>
      <c r="P731" s="110"/>
      <c r="Q731" s="110"/>
    </row>
    <row r="732">
      <c r="I732" s="109"/>
      <c r="K732" s="110"/>
      <c r="L732" s="110"/>
      <c r="M732" s="110"/>
      <c r="N732" s="110"/>
      <c r="O732" s="110"/>
      <c r="P732" s="110"/>
      <c r="Q732" s="110"/>
    </row>
    <row r="733">
      <c r="I733" s="109"/>
      <c r="K733" s="110"/>
      <c r="L733" s="110"/>
      <c r="M733" s="110"/>
      <c r="N733" s="110"/>
      <c r="O733" s="110"/>
      <c r="P733" s="110"/>
      <c r="Q733" s="110"/>
    </row>
    <row r="734">
      <c r="I734" s="109"/>
      <c r="K734" s="110"/>
      <c r="L734" s="110"/>
      <c r="M734" s="110"/>
      <c r="N734" s="110"/>
      <c r="O734" s="110"/>
      <c r="P734" s="110"/>
      <c r="Q734" s="110"/>
    </row>
    <row r="735">
      <c r="I735" s="109"/>
      <c r="K735" s="110"/>
      <c r="L735" s="110"/>
      <c r="M735" s="110"/>
      <c r="N735" s="110"/>
      <c r="O735" s="110"/>
      <c r="P735" s="110"/>
      <c r="Q735" s="110"/>
    </row>
    <row r="736">
      <c r="I736" s="109"/>
      <c r="K736" s="110"/>
      <c r="L736" s="110"/>
      <c r="M736" s="110"/>
      <c r="N736" s="110"/>
      <c r="O736" s="110"/>
      <c r="P736" s="110"/>
      <c r="Q736" s="110"/>
    </row>
    <row r="737">
      <c r="I737" s="109"/>
      <c r="K737" s="110"/>
      <c r="L737" s="110"/>
      <c r="M737" s="110"/>
      <c r="N737" s="110"/>
      <c r="O737" s="110"/>
      <c r="P737" s="110"/>
      <c r="Q737" s="110"/>
    </row>
    <row r="738">
      <c r="I738" s="109"/>
      <c r="K738" s="110"/>
      <c r="L738" s="110"/>
      <c r="M738" s="110"/>
      <c r="N738" s="110"/>
      <c r="O738" s="110"/>
      <c r="P738" s="110"/>
      <c r="Q738" s="110"/>
    </row>
    <row r="739">
      <c r="I739" s="109"/>
      <c r="K739" s="110"/>
      <c r="L739" s="110"/>
      <c r="M739" s="110"/>
      <c r="N739" s="110"/>
      <c r="O739" s="110"/>
      <c r="P739" s="110"/>
      <c r="Q739" s="110"/>
    </row>
    <row r="740">
      <c r="I740" s="109"/>
      <c r="K740" s="110"/>
      <c r="L740" s="110"/>
      <c r="M740" s="110"/>
      <c r="N740" s="110"/>
      <c r="O740" s="110"/>
      <c r="P740" s="110"/>
      <c r="Q740" s="110"/>
    </row>
    <row r="741">
      <c r="I741" s="109"/>
      <c r="K741" s="110"/>
      <c r="L741" s="110"/>
      <c r="M741" s="110"/>
      <c r="N741" s="110"/>
      <c r="O741" s="110"/>
      <c r="P741" s="110"/>
      <c r="Q741" s="110"/>
    </row>
    <row r="742">
      <c r="I742" s="109"/>
      <c r="K742" s="110"/>
      <c r="L742" s="110"/>
      <c r="M742" s="110"/>
      <c r="N742" s="110"/>
      <c r="O742" s="110"/>
      <c r="P742" s="110"/>
      <c r="Q742" s="110"/>
    </row>
    <row r="743">
      <c r="I743" s="109"/>
      <c r="K743" s="110"/>
      <c r="L743" s="110"/>
      <c r="M743" s="110"/>
      <c r="N743" s="110"/>
      <c r="O743" s="110"/>
      <c r="P743" s="110"/>
      <c r="Q743" s="110"/>
    </row>
    <row r="744">
      <c r="I744" s="109"/>
      <c r="K744" s="110"/>
      <c r="L744" s="110"/>
      <c r="M744" s="110"/>
      <c r="N744" s="110"/>
      <c r="O744" s="110"/>
      <c r="P744" s="110"/>
      <c r="Q744" s="110"/>
    </row>
    <row r="745">
      <c r="I745" s="109"/>
      <c r="K745" s="110"/>
      <c r="L745" s="110"/>
      <c r="M745" s="110"/>
      <c r="N745" s="110"/>
      <c r="O745" s="110"/>
      <c r="P745" s="110"/>
      <c r="Q745" s="110"/>
    </row>
    <row r="746">
      <c r="I746" s="109"/>
      <c r="K746" s="110"/>
      <c r="L746" s="110"/>
      <c r="M746" s="110"/>
      <c r="N746" s="110"/>
      <c r="O746" s="110"/>
      <c r="P746" s="110"/>
      <c r="Q746" s="110"/>
    </row>
    <row r="747">
      <c r="I747" s="109"/>
      <c r="K747" s="110"/>
      <c r="L747" s="110"/>
      <c r="M747" s="110"/>
      <c r="N747" s="110"/>
      <c r="O747" s="110"/>
      <c r="P747" s="110"/>
      <c r="Q747" s="110"/>
    </row>
    <row r="748">
      <c r="I748" s="109"/>
      <c r="K748" s="110"/>
      <c r="L748" s="110"/>
      <c r="M748" s="110"/>
      <c r="N748" s="110"/>
      <c r="O748" s="110"/>
      <c r="P748" s="110"/>
      <c r="Q748" s="110"/>
    </row>
    <row r="749">
      <c r="I749" s="109"/>
      <c r="K749" s="110"/>
      <c r="L749" s="110"/>
      <c r="M749" s="110"/>
      <c r="N749" s="110"/>
      <c r="O749" s="110"/>
      <c r="P749" s="110"/>
      <c r="Q749" s="110"/>
    </row>
    <row r="750">
      <c r="I750" s="109"/>
      <c r="K750" s="110"/>
      <c r="L750" s="110"/>
      <c r="M750" s="110"/>
      <c r="N750" s="110"/>
      <c r="O750" s="110"/>
      <c r="P750" s="110"/>
      <c r="Q750" s="110"/>
    </row>
    <row r="751">
      <c r="I751" s="109"/>
      <c r="K751" s="110"/>
      <c r="L751" s="110"/>
      <c r="M751" s="110"/>
      <c r="N751" s="110"/>
      <c r="O751" s="110"/>
      <c r="P751" s="110"/>
      <c r="Q751" s="110"/>
    </row>
    <row r="752">
      <c r="I752" s="109"/>
      <c r="K752" s="110"/>
      <c r="L752" s="110"/>
      <c r="M752" s="110"/>
      <c r="N752" s="110"/>
      <c r="O752" s="110"/>
      <c r="P752" s="110"/>
      <c r="Q752" s="110"/>
    </row>
    <row r="753">
      <c r="I753" s="109"/>
      <c r="K753" s="110"/>
      <c r="L753" s="110"/>
      <c r="M753" s="110"/>
      <c r="N753" s="110"/>
      <c r="O753" s="110"/>
      <c r="P753" s="110"/>
      <c r="Q753" s="110"/>
    </row>
    <row r="754">
      <c r="I754" s="109"/>
      <c r="K754" s="110"/>
      <c r="L754" s="110"/>
      <c r="M754" s="110"/>
      <c r="N754" s="110"/>
      <c r="O754" s="110"/>
      <c r="P754" s="110"/>
      <c r="Q754" s="110"/>
    </row>
    <row r="755">
      <c r="I755" s="109"/>
      <c r="K755" s="110"/>
      <c r="L755" s="110"/>
      <c r="M755" s="110"/>
      <c r="N755" s="110"/>
      <c r="O755" s="110"/>
      <c r="P755" s="110"/>
      <c r="Q755" s="110"/>
    </row>
    <row r="756">
      <c r="I756" s="109"/>
      <c r="K756" s="110"/>
      <c r="L756" s="110"/>
      <c r="M756" s="110"/>
      <c r="N756" s="110"/>
      <c r="O756" s="110"/>
      <c r="P756" s="110"/>
      <c r="Q756" s="110"/>
    </row>
    <row r="757">
      <c r="I757" s="109"/>
      <c r="K757" s="110"/>
      <c r="L757" s="110"/>
      <c r="M757" s="110"/>
      <c r="N757" s="110"/>
      <c r="O757" s="110"/>
      <c r="P757" s="110"/>
      <c r="Q757" s="110"/>
    </row>
    <row r="758">
      <c r="I758" s="109"/>
      <c r="K758" s="110"/>
      <c r="L758" s="110"/>
      <c r="M758" s="110"/>
      <c r="N758" s="110"/>
      <c r="O758" s="110"/>
      <c r="P758" s="110"/>
      <c r="Q758" s="110"/>
    </row>
    <row r="759">
      <c r="I759" s="109"/>
      <c r="K759" s="110"/>
      <c r="L759" s="110"/>
      <c r="M759" s="110"/>
      <c r="N759" s="110"/>
      <c r="O759" s="110"/>
      <c r="P759" s="110"/>
      <c r="Q759" s="110"/>
    </row>
    <row r="760">
      <c r="I760" s="109"/>
      <c r="K760" s="110"/>
      <c r="L760" s="110"/>
      <c r="M760" s="110"/>
      <c r="N760" s="110"/>
      <c r="O760" s="110"/>
      <c r="P760" s="110"/>
      <c r="Q760" s="110"/>
    </row>
    <row r="761">
      <c r="I761" s="109"/>
      <c r="K761" s="110"/>
      <c r="L761" s="110"/>
      <c r="M761" s="110"/>
      <c r="N761" s="110"/>
      <c r="O761" s="110"/>
      <c r="P761" s="110"/>
      <c r="Q761" s="110"/>
    </row>
    <row r="762">
      <c r="I762" s="109"/>
      <c r="K762" s="110"/>
      <c r="L762" s="110"/>
      <c r="M762" s="110"/>
      <c r="N762" s="110"/>
      <c r="O762" s="110"/>
      <c r="P762" s="110"/>
      <c r="Q762" s="110"/>
    </row>
    <row r="763">
      <c r="I763" s="109"/>
      <c r="K763" s="110"/>
      <c r="L763" s="110"/>
      <c r="M763" s="110"/>
      <c r="N763" s="110"/>
      <c r="O763" s="110"/>
      <c r="P763" s="110"/>
      <c r="Q763" s="110"/>
    </row>
    <row r="764">
      <c r="I764" s="109"/>
      <c r="K764" s="110"/>
      <c r="L764" s="110"/>
      <c r="M764" s="110"/>
      <c r="N764" s="110"/>
      <c r="O764" s="110"/>
      <c r="P764" s="110"/>
      <c r="Q764" s="110"/>
    </row>
    <row r="765">
      <c r="I765" s="109"/>
      <c r="K765" s="110"/>
      <c r="L765" s="110"/>
      <c r="M765" s="110"/>
      <c r="N765" s="110"/>
      <c r="O765" s="110"/>
      <c r="P765" s="110"/>
      <c r="Q765" s="110"/>
    </row>
    <row r="766">
      <c r="I766" s="109"/>
      <c r="K766" s="110"/>
      <c r="L766" s="110"/>
      <c r="M766" s="110"/>
      <c r="N766" s="110"/>
      <c r="O766" s="110"/>
      <c r="P766" s="110"/>
      <c r="Q766" s="110"/>
    </row>
    <row r="767">
      <c r="I767" s="109"/>
      <c r="K767" s="110"/>
      <c r="L767" s="110"/>
      <c r="M767" s="110"/>
      <c r="N767" s="110"/>
      <c r="O767" s="110"/>
      <c r="P767" s="110"/>
      <c r="Q767" s="110"/>
    </row>
    <row r="768">
      <c r="I768" s="109"/>
      <c r="K768" s="110"/>
      <c r="L768" s="110"/>
      <c r="M768" s="110"/>
      <c r="N768" s="110"/>
      <c r="O768" s="110"/>
      <c r="P768" s="110"/>
      <c r="Q768" s="110"/>
    </row>
    <row r="769">
      <c r="I769" s="109"/>
      <c r="K769" s="110"/>
      <c r="L769" s="110"/>
      <c r="M769" s="110"/>
      <c r="N769" s="110"/>
      <c r="O769" s="110"/>
      <c r="P769" s="110"/>
      <c r="Q769" s="110"/>
    </row>
    <row r="770">
      <c r="I770" s="109"/>
      <c r="K770" s="110"/>
      <c r="L770" s="110"/>
      <c r="M770" s="110"/>
      <c r="N770" s="110"/>
      <c r="O770" s="110"/>
      <c r="P770" s="110"/>
      <c r="Q770" s="110"/>
    </row>
    <row r="771">
      <c r="I771" s="109"/>
      <c r="K771" s="110"/>
      <c r="L771" s="110"/>
      <c r="M771" s="110"/>
      <c r="N771" s="110"/>
      <c r="O771" s="110"/>
      <c r="P771" s="110"/>
      <c r="Q771" s="110"/>
    </row>
    <row r="772">
      <c r="I772" s="109"/>
      <c r="K772" s="110"/>
      <c r="L772" s="110"/>
      <c r="M772" s="110"/>
      <c r="N772" s="110"/>
      <c r="O772" s="110"/>
      <c r="P772" s="110"/>
      <c r="Q772" s="110"/>
    </row>
    <row r="773">
      <c r="I773" s="109"/>
      <c r="K773" s="110"/>
      <c r="L773" s="110"/>
      <c r="M773" s="110"/>
      <c r="N773" s="110"/>
      <c r="O773" s="110"/>
      <c r="P773" s="110"/>
      <c r="Q773" s="110"/>
    </row>
    <row r="774">
      <c r="I774" s="109"/>
      <c r="K774" s="110"/>
      <c r="L774" s="110"/>
      <c r="M774" s="110"/>
      <c r="N774" s="110"/>
      <c r="O774" s="110"/>
      <c r="P774" s="110"/>
      <c r="Q774" s="110"/>
    </row>
    <row r="775">
      <c r="I775" s="109"/>
      <c r="K775" s="110"/>
      <c r="L775" s="110"/>
      <c r="M775" s="110"/>
      <c r="N775" s="110"/>
      <c r="O775" s="110"/>
      <c r="P775" s="110"/>
      <c r="Q775" s="110"/>
    </row>
    <row r="776">
      <c r="I776" s="109"/>
      <c r="K776" s="110"/>
      <c r="L776" s="110"/>
      <c r="M776" s="110"/>
      <c r="N776" s="110"/>
      <c r="O776" s="110"/>
      <c r="P776" s="110"/>
      <c r="Q776" s="110"/>
    </row>
    <row r="777">
      <c r="I777" s="109"/>
      <c r="K777" s="110"/>
      <c r="L777" s="110"/>
      <c r="M777" s="110"/>
      <c r="N777" s="110"/>
      <c r="O777" s="110"/>
      <c r="P777" s="110"/>
      <c r="Q777" s="110"/>
    </row>
    <row r="778">
      <c r="I778" s="109"/>
      <c r="K778" s="110"/>
      <c r="L778" s="110"/>
      <c r="M778" s="110"/>
      <c r="N778" s="110"/>
      <c r="O778" s="110"/>
      <c r="P778" s="110"/>
      <c r="Q778" s="110"/>
    </row>
    <row r="779">
      <c r="I779" s="109"/>
      <c r="K779" s="110"/>
      <c r="L779" s="110"/>
      <c r="M779" s="110"/>
      <c r="N779" s="110"/>
      <c r="O779" s="110"/>
      <c r="P779" s="110"/>
      <c r="Q779" s="110"/>
    </row>
    <row r="780">
      <c r="I780" s="109"/>
      <c r="K780" s="110"/>
      <c r="L780" s="110"/>
      <c r="M780" s="110"/>
      <c r="N780" s="110"/>
      <c r="O780" s="110"/>
      <c r="P780" s="110"/>
      <c r="Q780" s="110"/>
    </row>
    <row r="781">
      <c r="I781" s="109"/>
      <c r="K781" s="110"/>
      <c r="L781" s="110"/>
      <c r="M781" s="110"/>
      <c r="N781" s="110"/>
      <c r="O781" s="110"/>
      <c r="P781" s="110"/>
      <c r="Q781" s="110"/>
    </row>
    <row r="782">
      <c r="I782" s="109"/>
      <c r="K782" s="110"/>
      <c r="L782" s="110"/>
      <c r="M782" s="110"/>
      <c r="N782" s="110"/>
      <c r="O782" s="110"/>
      <c r="P782" s="110"/>
      <c r="Q782" s="110"/>
    </row>
    <row r="783">
      <c r="I783" s="109"/>
      <c r="K783" s="110"/>
      <c r="L783" s="110"/>
      <c r="M783" s="110"/>
      <c r="N783" s="110"/>
      <c r="O783" s="110"/>
      <c r="P783" s="110"/>
      <c r="Q783" s="110"/>
    </row>
    <row r="784">
      <c r="I784" s="109"/>
      <c r="K784" s="110"/>
      <c r="L784" s="110"/>
      <c r="M784" s="110"/>
      <c r="N784" s="110"/>
      <c r="O784" s="110"/>
      <c r="P784" s="110"/>
      <c r="Q784" s="110"/>
    </row>
    <row r="785">
      <c r="I785" s="109"/>
      <c r="K785" s="110"/>
      <c r="L785" s="110"/>
      <c r="M785" s="110"/>
      <c r="N785" s="110"/>
      <c r="O785" s="110"/>
      <c r="P785" s="110"/>
      <c r="Q785" s="110"/>
    </row>
    <row r="786">
      <c r="I786" s="109"/>
      <c r="K786" s="110"/>
      <c r="L786" s="110"/>
      <c r="M786" s="110"/>
      <c r="N786" s="110"/>
      <c r="O786" s="110"/>
      <c r="P786" s="110"/>
      <c r="Q786" s="110"/>
    </row>
    <row r="787">
      <c r="I787" s="109"/>
      <c r="K787" s="110"/>
      <c r="L787" s="110"/>
      <c r="M787" s="110"/>
      <c r="N787" s="110"/>
      <c r="O787" s="110"/>
      <c r="P787" s="110"/>
      <c r="Q787" s="110"/>
    </row>
    <row r="788">
      <c r="I788" s="109"/>
      <c r="K788" s="110"/>
      <c r="L788" s="110"/>
      <c r="M788" s="110"/>
      <c r="N788" s="110"/>
      <c r="O788" s="110"/>
      <c r="P788" s="110"/>
      <c r="Q788" s="110"/>
    </row>
    <row r="789">
      <c r="I789" s="109"/>
      <c r="K789" s="110"/>
      <c r="L789" s="110"/>
      <c r="M789" s="110"/>
      <c r="N789" s="110"/>
      <c r="O789" s="110"/>
      <c r="P789" s="110"/>
      <c r="Q789" s="110"/>
    </row>
    <row r="790">
      <c r="I790" s="109"/>
      <c r="K790" s="110"/>
      <c r="L790" s="110"/>
      <c r="M790" s="110"/>
      <c r="N790" s="110"/>
      <c r="O790" s="110"/>
      <c r="P790" s="110"/>
      <c r="Q790" s="110"/>
    </row>
    <row r="791">
      <c r="I791" s="109"/>
      <c r="K791" s="110"/>
      <c r="L791" s="110"/>
      <c r="M791" s="110"/>
      <c r="N791" s="110"/>
      <c r="O791" s="110"/>
      <c r="P791" s="110"/>
      <c r="Q791" s="110"/>
    </row>
    <row r="792">
      <c r="I792" s="109"/>
      <c r="K792" s="110"/>
      <c r="L792" s="110"/>
      <c r="M792" s="110"/>
      <c r="N792" s="110"/>
      <c r="O792" s="110"/>
      <c r="P792" s="110"/>
      <c r="Q792" s="110"/>
    </row>
    <row r="793">
      <c r="I793" s="109"/>
      <c r="K793" s="110"/>
      <c r="L793" s="110"/>
      <c r="M793" s="110"/>
      <c r="N793" s="110"/>
      <c r="O793" s="110"/>
      <c r="P793" s="110"/>
      <c r="Q793" s="110"/>
    </row>
    <row r="794">
      <c r="I794" s="109"/>
      <c r="K794" s="110"/>
      <c r="L794" s="110"/>
      <c r="M794" s="110"/>
      <c r="N794" s="110"/>
      <c r="O794" s="110"/>
      <c r="P794" s="110"/>
      <c r="Q794" s="110"/>
    </row>
    <row r="795">
      <c r="I795" s="109"/>
      <c r="K795" s="110"/>
      <c r="L795" s="110"/>
      <c r="M795" s="110"/>
      <c r="N795" s="110"/>
      <c r="O795" s="110"/>
      <c r="P795" s="110"/>
      <c r="Q795" s="110"/>
    </row>
    <row r="796">
      <c r="I796" s="109"/>
      <c r="K796" s="110"/>
      <c r="L796" s="110"/>
      <c r="M796" s="110"/>
      <c r="N796" s="110"/>
      <c r="O796" s="110"/>
      <c r="P796" s="110"/>
      <c r="Q796" s="110"/>
    </row>
    <row r="797">
      <c r="I797" s="109"/>
      <c r="K797" s="110"/>
      <c r="L797" s="110"/>
      <c r="M797" s="110"/>
      <c r="N797" s="110"/>
      <c r="O797" s="110"/>
      <c r="P797" s="110"/>
      <c r="Q797" s="110"/>
    </row>
    <row r="798">
      <c r="I798" s="109"/>
      <c r="K798" s="110"/>
      <c r="L798" s="110"/>
      <c r="M798" s="110"/>
      <c r="N798" s="110"/>
      <c r="O798" s="110"/>
      <c r="P798" s="110"/>
      <c r="Q798" s="110"/>
    </row>
    <row r="799">
      <c r="I799" s="109"/>
      <c r="K799" s="110"/>
      <c r="L799" s="110"/>
      <c r="M799" s="110"/>
      <c r="N799" s="110"/>
      <c r="O799" s="110"/>
      <c r="P799" s="110"/>
      <c r="Q799" s="110"/>
    </row>
    <row r="800">
      <c r="I800" s="109"/>
      <c r="K800" s="110"/>
      <c r="L800" s="110"/>
      <c r="M800" s="110"/>
      <c r="N800" s="110"/>
      <c r="O800" s="110"/>
      <c r="P800" s="110"/>
      <c r="Q800" s="110"/>
    </row>
    <row r="801">
      <c r="I801" s="109"/>
      <c r="K801" s="110"/>
      <c r="L801" s="110"/>
      <c r="M801" s="110"/>
      <c r="N801" s="110"/>
      <c r="O801" s="110"/>
      <c r="P801" s="110"/>
      <c r="Q801" s="110"/>
    </row>
    <row r="802">
      <c r="I802" s="109"/>
      <c r="K802" s="110"/>
      <c r="L802" s="110"/>
      <c r="M802" s="110"/>
      <c r="N802" s="110"/>
      <c r="O802" s="110"/>
      <c r="P802" s="110"/>
      <c r="Q802" s="110"/>
    </row>
    <row r="803">
      <c r="I803" s="109"/>
      <c r="K803" s="110"/>
      <c r="L803" s="110"/>
      <c r="M803" s="110"/>
      <c r="N803" s="110"/>
      <c r="O803" s="110"/>
      <c r="P803" s="110"/>
      <c r="Q803" s="110"/>
    </row>
    <row r="804">
      <c r="I804" s="109"/>
      <c r="K804" s="110"/>
      <c r="L804" s="110"/>
      <c r="M804" s="110"/>
      <c r="N804" s="110"/>
      <c r="O804" s="110"/>
      <c r="P804" s="110"/>
      <c r="Q804" s="110"/>
    </row>
    <row r="805">
      <c r="I805" s="109"/>
      <c r="K805" s="110"/>
      <c r="L805" s="110"/>
      <c r="M805" s="110"/>
      <c r="N805" s="110"/>
      <c r="O805" s="110"/>
      <c r="P805" s="110"/>
      <c r="Q805" s="110"/>
    </row>
    <row r="806">
      <c r="I806" s="109"/>
      <c r="K806" s="110"/>
      <c r="L806" s="110"/>
      <c r="M806" s="110"/>
      <c r="N806" s="110"/>
      <c r="O806" s="110"/>
      <c r="P806" s="110"/>
      <c r="Q806" s="110"/>
    </row>
    <row r="807">
      <c r="I807" s="109"/>
      <c r="K807" s="110"/>
      <c r="L807" s="110"/>
      <c r="M807" s="110"/>
      <c r="N807" s="110"/>
      <c r="O807" s="110"/>
      <c r="P807" s="110"/>
      <c r="Q807" s="110"/>
    </row>
    <row r="808">
      <c r="I808" s="109"/>
      <c r="K808" s="110"/>
      <c r="L808" s="110"/>
      <c r="M808" s="110"/>
      <c r="N808" s="110"/>
      <c r="O808" s="110"/>
      <c r="P808" s="110"/>
      <c r="Q808" s="110"/>
    </row>
    <row r="809">
      <c r="I809" s="109"/>
      <c r="K809" s="110"/>
      <c r="L809" s="110"/>
      <c r="M809" s="110"/>
      <c r="N809" s="110"/>
      <c r="O809" s="110"/>
      <c r="P809" s="110"/>
      <c r="Q809" s="110"/>
    </row>
    <row r="810">
      <c r="I810" s="109"/>
      <c r="K810" s="110"/>
      <c r="L810" s="110"/>
      <c r="M810" s="110"/>
      <c r="N810" s="110"/>
      <c r="O810" s="110"/>
      <c r="P810" s="110"/>
      <c r="Q810" s="110"/>
    </row>
    <row r="811">
      <c r="I811" s="109"/>
      <c r="K811" s="110"/>
      <c r="L811" s="110"/>
      <c r="M811" s="110"/>
      <c r="N811" s="110"/>
      <c r="O811" s="110"/>
      <c r="P811" s="110"/>
      <c r="Q811" s="110"/>
    </row>
    <row r="812">
      <c r="I812" s="109"/>
      <c r="K812" s="110"/>
      <c r="L812" s="110"/>
      <c r="M812" s="110"/>
      <c r="N812" s="110"/>
      <c r="O812" s="110"/>
      <c r="P812" s="110"/>
      <c r="Q812" s="110"/>
    </row>
    <row r="813">
      <c r="I813" s="109"/>
      <c r="K813" s="110"/>
      <c r="L813" s="110"/>
      <c r="M813" s="110"/>
      <c r="N813" s="110"/>
      <c r="O813" s="110"/>
      <c r="P813" s="110"/>
      <c r="Q813" s="110"/>
    </row>
    <row r="814">
      <c r="I814" s="109"/>
      <c r="K814" s="110"/>
      <c r="L814" s="110"/>
      <c r="M814" s="110"/>
      <c r="N814" s="110"/>
      <c r="O814" s="110"/>
      <c r="P814" s="110"/>
      <c r="Q814" s="110"/>
    </row>
    <row r="815">
      <c r="I815" s="109"/>
      <c r="K815" s="110"/>
      <c r="L815" s="110"/>
      <c r="M815" s="110"/>
      <c r="N815" s="110"/>
      <c r="O815" s="110"/>
      <c r="P815" s="110"/>
      <c r="Q815" s="110"/>
    </row>
    <row r="816">
      <c r="I816" s="109"/>
      <c r="K816" s="110"/>
      <c r="L816" s="110"/>
      <c r="M816" s="110"/>
      <c r="N816" s="110"/>
      <c r="O816" s="110"/>
      <c r="P816" s="110"/>
      <c r="Q816" s="110"/>
    </row>
    <row r="817">
      <c r="I817" s="109"/>
      <c r="K817" s="110"/>
      <c r="L817" s="110"/>
      <c r="M817" s="110"/>
      <c r="N817" s="110"/>
      <c r="O817" s="110"/>
      <c r="P817" s="110"/>
      <c r="Q817" s="110"/>
    </row>
    <row r="818">
      <c r="I818" s="109"/>
      <c r="K818" s="110"/>
      <c r="L818" s="110"/>
      <c r="M818" s="110"/>
      <c r="N818" s="110"/>
      <c r="O818" s="110"/>
      <c r="P818" s="110"/>
      <c r="Q818" s="110"/>
    </row>
    <row r="819">
      <c r="I819" s="109"/>
      <c r="K819" s="110"/>
      <c r="L819" s="110"/>
      <c r="M819" s="110"/>
      <c r="N819" s="110"/>
      <c r="O819" s="110"/>
      <c r="P819" s="110"/>
      <c r="Q819" s="110"/>
    </row>
    <row r="820">
      <c r="I820" s="109"/>
      <c r="K820" s="110"/>
      <c r="L820" s="110"/>
      <c r="M820" s="110"/>
      <c r="N820" s="110"/>
      <c r="O820" s="110"/>
      <c r="P820" s="110"/>
      <c r="Q820" s="110"/>
    </row>
    <row r="821">
      <c r="I821" s="109"/>
      <c r="K821" s="110"/>
      <c r="L821" s="110"/>
      <c r="M821" s="110"/>
      <c r="N821" s="110"/>
      <c r="O821" s="110"/>
      <c r="P821" s="110"/>
      <c r="Q821" s="110"/>
    </row>
    <row r="822">
      <c r="I822" s="109"/>
      <c r="K822" s="110"/>
      <c r="L822" s="110"/>
      <c r="M822" s="110"/>
      <c r="N822" s="110"/>
      <c r="O822" s="110"/>
      <c r="P822" s="110"/>
      <c r="Q822" s="110"/>
    </row>
    <row r="823">
      <c r="I823" s="109"/>
      <c r="K823" s="110"/>
      <c r="L823" s="110"/>
      <c r="M823" s="110"/>
      <c r="N823" s="110"/>
      <c r="O823" s="110"/>
      <c r="P823" s="110"/>
      <c r="Q823" s="110"/>
    </row>
    <row r="824">
      <c r="I824" s="109"/>
      <c r="K824" s="110"/>
      <c r="L824" s="110"/>
      <c r="M824" s="110"/>
      <c r="N824" s="110"/>
      <c r="O824" s="110"/>
      <c r="P824" s="110"/>
      <c r="Q824" s="110"/>
    </row>
    <row r="825">
      <c r="I825" s="109"/>
      <c r="K825" s="110"/>
      <c r="L825" s="110"/>
      <c r="M825" s="110"/>
      <c r="N825" s="110"/>
      <c r="O825" s="110"/>
      <c r="P825" s="110"/>
      <c r="Q825" s="110"/>
    </row>
    <row r="826">
      <c r="I826" s="109"/>
      <c r="K826" s="110"/>
      <c r="L826" s="110"/>
      <c r="M826" s="110"/>
      <c r="N826" s="110"/>
      <c r="O826" s="110"/>
      <c r="P826" s="110"/>
      <c r="Q826" s="110"/>
    </row>
    <row r="827">
      <c r="I827" s="109"/>
      <c r="K827" s="110"/>
      <c r="L827" s="110"/>
      <c r="M827" s="110"/>
      <c r="N827" s="110"/>
      <c r="O827" s="110"/>
      <c r="P827" s="110"/>
      <c r="Q827" s="110"/>
    </row>
    <row r="828">
      <c r="I828" s="109"/>
      <c r="K828" s="110"/>
      <c r="L828" s="110"/>
      <c r="M828" s="110"/>
      <c r="N828" s="110"/>
      <c r="O828" s="110"/>
      <c r="P828" s="110"/>
      <c r="Q828" s="110"/>
    </row>
    <row r="829">
      <c r="I829" s="109"/>
      <c r="K829" s="110"/>
      <c r="L829" s="110"/>
      <c r="M829" s="110"/>
      <c r="N829" s="110"/>
      <c r="O829" s="110"/>
      <c r="P829" s="110"/>
      <c r="Q829" s="110"/>
    </row>
    <row r="830">
      <c r="I830" s="109"/>
      <c r="K830" s="110"/>
      <c r="L830" s="110"/>
      <c r="M830" s="110"/>
      <c r="N830" s="110"/>
      <c r="O830" s="110"/>
      <c r="P830" s="110"/>
      <c r="Q830" s="110"/>
    </row>
    <row r="831">
      <c r="I831" s="109"/>
      <c r="K831" s="110"/>
      <c r="L831" s="110"/>
      <c r="M831" s="110"/>
      <c r="N831" s="110"/>
      <c r="O831" s="110"/>
      <c r="P831" s="110"/>
      <c r="Q831" s="110"/>
    </row>
    <row r="832">
      <c r="I832" s="109"/>
      <c r="K832" s="110"/>
      <c r="L832" s="110"/>
      <c r="M832" s="110"/>
      <c r="N832" s="110"/>
      <c r="O832" s="110"/>
      <c r="P832" s="110"/>
      <c r="Q832" s="110"/>
    </row>
    <row r="833">
      <c r="I833" s="109"/>
      <c r="K833" s="110"/>
      <c r="L833" s="110"/>
      <c r="M833" s="110"/>
      <c r="N833" s="110"/>
      <c r="O833" s="110"/>
      <c r="P833" s="110"/>
      <c r="Q833" s="110"/>
    </row>
    <row r="834">
      <c r="I834" s="109"/>
      <c r="K834" s="110"/>
      <c r="L834" s="110"/>
      <c r="M834" s="110"/>
      <c r="N834" s="110"/>
      <c r="O834" s="110"/>
      <c r="P834" s="110"/>
      <c r="Q834" s="110"/>
    </row>
    <row r="835">
      <c r="I835" s="109"/>
      <c r="K835" s="110"/>
      <c r="L835" s="110"/>
      <c r="M835" s="110"/>
      <c r="N835" s="110"/>
      <c r="O835" s="110"/>
      <c r="P835" s="110"/>
      <c r="Q835" s="110"/>
    </row>
    <row r="836">
      <c r="I836" s="109"/>
      <c r="K836" s="110"/>
      <c r="L836" s="110"/>
      <c r="M836" s="110"/>
      <c r="N836" s="110"/>
      <c r="O836" s="110"/>
      <c r="P836" s="110"/>
      <c r="Q836" s="110"/>
    </row>
    <row r="837">
      <c r="I837" s="109"/>
      <c r="K837" s="110"/>
      <c r="L837" s="110"/>
      <c r="M837" s="110"/>
      <c r="N837" s="110"/>
      <c r="O837" s="110"/>
      <c r="P837" s="110"/>
      <c r="Q837" s="110"/>
    </row>
    <row r="838">
      <c r="I838" s="109"/>
      <c r="K838" s="110"/>
      <c r="L838" s="110"/>
      <c r="M838" s="110"/>
      <c r="N838" s="110"/>
      <c r="O838" s="110"/>
      <c r="P838" s="110"/>
      <c r="Q838" s="110"/>
    </row>
    <row r="839">
      <c r="I839" s="109"/>
      <c r="K839" s="110"/>
      <c r="L839" s="110"/>
      <c r="M839" s="110"/>
      <c r="N839" s="110"/>
      <c r="O839" s="110"/>
      <c r="P839" s="110"/>
      <c r="Q839" s="110"/>
    </row>
    <row r="840">
      <c r="I840" s="109"/>
      <c r="K840" s="110"/>
      <c r="L840" s="110"/>
      <c r="M840" s="110"/>
      <c r="N840" s="110"/>
      <c r="O840" s="110"/>
      <c r="P840" s="110"/>
      <c r="Q840" s="110"/>
    </row>
    <row r="841">
      <c r="I841" s="109"/>
      <c r="K841" s="110"/>
      <c r="L841" s="110"/>
      <c r="M841" s="110"/>
      <c r="N841" s="110"/>
      <c r="O841" s="110"/>
      <c r="P841" s="110"/>
      <c r="Q841" s="110"/>
    </row>
    <row r="842">
      <c r="I842" s="109"/>
      <c r="K842" s="110"/>
      <c r="L842" s="110"/>
      <c r="M842" s="110"/>
      <c r="N842" s="110"/>
      <c r="O842" s="110"/>
      <c r="P842" s="110"/>
      <c r="Q842" s="110"/>
    </row>
    <row r="843">
      <c r="I843" s="109"/>
      <c r="K843" s="110"/>
      <c r="L843" s="110"/>
      <c r="M843" s="110"/>
      <c r="N843" s="110"/>
      <c r="O843" s="110"/>
      <c r="P843" s="110"/>
      <c r="Q843" s="110"/>
    </row>
    <row r="844">
      <c r="I844" s="109"/>
      <c r="K844" s="110"/>
      <c r="L844" s="110"/>
      <c r="M844" s="110"/>
      <c r="N844" s="110"/>
      <c r="O844" s="110"/>
      <c r="P844" s="110"/>
      <c r="Q844" s="110"/>
    </row>
    <row r="845">
      <c r="I845" s="109"/>
      <c r="K845" s="110"/>
      <c r="L845" s="110"/>
      <c r="M845" s="110"/>
      <c r="N845" s="110"/>
      <c r="O845" s="110"/>
      <c r="P845" s="110"/>
      <c r="Q845" s="110"/>
    </row>
    <row r="846">
      <c r="I846" s="109"/>
      <c r="K846" s="110"/>
      <c r="L846" s="110"/>
      <c r="M846" s="110"/>
      <c r="N846" s="110"/>
      <c r="O846" s="110"/>
      <c r="P846" s="110"/>
      <c r="Q846" s="110"/>
    </row>
    <row r="847">
      <c r="I847" s="109"/>
      <c r="K847" s="110"/>
      <c r="L847" s="110"/>
      <c r="M847" s="110"/>
      <c r="N847" s="110"/>
      <c r="O847" s="110"/>
      <c r="P847" s="110"/>
      <c r="Q847" s="110"/>
    </row>
    <row r="848">
      <c r="I848" s="109"/>
      <c r="K848" s="110"/>
      <c r="L848" s="110"/>
      <c r="M848" s="110"/>
      <c r="N848" s="110"/>
      <c r="O848" s="110"/>
      <c r="P848" s="110"/>
      <c r="Q848" s="110"/>
    </row>
    <row r="849">
      <c r="I849" s="109"/>
      <c r="K849" s="110"/>
      <c r="L849" s="110"/>
      <c r="M849" s="110"/>
      <c r="N849" s="110"/>
      <c r="O849" s="110"/>
      <c r="P849" s="110"/>
      <c r="Q849" s="110"/>
    </row>
    <row r="850">
      <c r="I850" s="109"/>
      <c r="K850" s="110"/>
      <c r="L850" s="110"/>
      <c r="M850" s="110"/>
      <c r="N850" s="110"/>
      <c r="O850" s="110"/>
      <c r="P850" s="110"/>
      <c r="Q850" s="110"/>
    </row>
    <row r="851">
      <c r="I851" s="109"/>
      <c r="K851" s="110"/>
      <c r="L851" s="110"/>
      <c r="M851" s="110"/>
      <c r="N851" s="110"/>
      <c r="O851" s="110"/>
      <c r="P851" s="110"/>
      <c r="Q851" s="110"/>
    </row>
    <row r="852">
      <c r="I852" s="109"/>
      <c r="K852" s="110"/>
      <c r="L852" s="110"/>
      <c r="M852" s="110"/>
      <c r="N852" s="110"/>
      <c r="O852" s="110"/>
      <c r="P852" s="110"/>
      <c r="Q852" s="110"/>
    </row>
    <row r="853">
      <c r="I853" s="109"/>
      <c r="K853" s="110"/>
      <c r="L853" s="110"/>
      <c r="M853" s="110"/>
      <c r="N853" s="110"/>
      <c r="O853" s="110"/>
      <c r="P853" s="110"/>
      <c r="Q853" s="110"/>
    </row>
    <row r="854">
      <c r="I854" s="109"/>
      <c r="K854" s="110"/>
      <c r="L854" s="110"/>
      <c r="M854" s="110"/>
      <c r="N854" s="110"/>
      <c r="O854" s="110"/>
      <c r="P854" s="110"/>
      <c r="Q854" s="110"/>
    </row>
    <row r="855">
      <c r="I855" s="109"/>
      <c r="K855" s="110"/>
      <c r="L855" s="110"/>
      <c r="M855" s="110"/>
      <c r="N855" s="110"/>
      <c r="O855" s="110"/>
      <c r="P855" s="110"/>
      <c r="Q855" s="110"/>
    </row>
    <row r="856">
      <c r="I856" s="109"/>
      <c r="K856" s="110"/>
      <c r="L856" s="110"/>
      <c r="M856" s="110"/>
      <c r="N856" s="110"/>
      <c r="O856" s="110"/>
      <c r="P856" s="110"/>
      <c r="Q856" s="110"/>
    </row>
    <row r="857">
      <c r="I857" s="109"/>
      <c r="K857" s="110"/>
      <c r="L857" s="110"/>
      <c r="M857" s="110"/>
      <c r="N857" s="110"/>
      <c r="O857" s="110"/>
      <c r="P857" s="110"/>
      <c r="Q857" s="110"/>
    </row>
    <row r="858">
      <c r="I858" s="109"/>
      <c r="K858" s="110"/>
      <c r="L858" s="110"/>
      <c r="M858" s="110"/>
      <c r="N858" s="110"/>
      <c r="O858" s="110"/>
      <c r="P858" s="110"/>
      <c r="Q858" s="110"/>
    </row>
    <row r="859">
      <c r="I859" s="109"/>
      <c r="K859" s="110"/>
      <c r="L859" s="110"/>
      <c r="M859" s="110"/>
      <c r="N859" s="110"/>
      <c r="O859" s="110"/>
      <c r="P859" s="110"/>
      <c r="Q859" s="110"/>
    </row>
    <row r="860">
      <c r="I860" s="109"/>
      <c r="K860" s="110"/>
      <c r="L860" s="110"/>
      <c r="M860" s="110"/>
      <c r="N860" s="110"/>
      <c r="O860" s="110"/>
      <c r="P860" s="110"/>
      <c r="Q860" s="110"/>
    </row>
    <row r="861">
      <c r="I861" s="109"/>
      <c r="K861" s="110"/>
      <c r="L861" s="110"/>
      <c r="M861" s="110"/>
      <c r="N861" s="110"/>
      <c r="O861" s="110"/>
      <c r="P861" s="110"/>
      <c r="Q861" s="110"/>
    </row>
    <row r="862">
      <c r="I862" s="109"/>
      <c r="K862" s="110"/>
      <c r="L862" s="110"/>
      <c r="M862" s="110"/>
      <c r="N862" s="110"/>
      <c r="O862" s="110"/>
      <c r="P862" s="110"/>
      <c r="Q862" s="110"/>
    </row>
    <row r="863">
      <c r="I863" s="109"/>
      <c r="K863" s="110"/>
      <c r="L863" s="110"/>
      <c r="M863" s="110"/>
      <c r="N863" s="110"/>
      <c r="O863" s="110"/>
      <c r="P863" s="110"/>
      <c r="Q863" s="110"/>
    </row>
    <row r="864">
      <c r="I864" s="109"/>
      <c r="K864" s="110"/>
      <c r="L864" s="110"/>
      <c r="M864" s="110"/>
      <c r="N864" s="110"/>
      <c r="O864" s="110"/>
      <c r="P864" s="110"/>
      <c r="Q864" s="110"/>
    </row>
    <row r="865">
      <c r="I865" s="109"/>
      <c r="K865" s="110"/>
      <c r="L865" s="110"/>
      <c r="M865" s="110"/>
      <c r="N865" s="110"/>
      <c r="O865" s="110"/>
      <c r="P865" s="110"/>
      <c r="Q865" s="110"/>
    </row>
    <row r="866">
      <c r="I866" s="109"/>
      <c r="K866" s="110"/>
      <c r="L866" s="110"/>
      <c r="M866" s="110"/>
      <c r="N866" s="110"/>
      <c r="O866" s="110"/>
      <c r="P866" s="110"/>
      <c r="Q866" s="110"/>
    </row>
    <row r="867">
      <c r="I867" s="109"/>
      <c r="K867" s="110"/>
      <c r="L867" s="110"/>
      <c r="M867" s="110"/>
      <c r="N867" s="110"/>
      <c r="O867" s="110"/>
      <c r="P867" s="110"/>
      <c r="Q867" s="110"/>
    </row>
    <row r="868">
      <c r="I868" s="109"/>
      <c r="K868" s="110"/>
      <c r="L868" s="110"/>
      <c r="M868" s="110"/>
      <c r="N868" s="110"/>
      <c r="O868" s="110"/>
      <c r="P868" s="110"/>
      <c r="Q868" s="110"/>
    </row>
    <row r="869">
      <c r="I869" s="109"/>
      <c r="K869" s="110"/>
      <c r="L869" s="110"/>
      <c r="M869" s="110"/>
      <c r="N869" s="110"/>
      <c r="O869" s="110"/>
      <c r="P869" s="110"/>
      <c r="Q869" s="110"/>
    </row>
    <row r="870">
      <c r="I870" s="109"/>
      <c r="K870" s="110"/>
      <c r="L870" s="110"/>
      <c r="M870" s="110"/>
      <c r="N870" s="110"/>
      <c r="O870" s="110"/>
      <c r="P870" s="110"/>
      <c r="Q870" s="110"/>
    </row>
    <row r="871">
      <c r="I871" s="109"/>
      <c r="K871" s="110"/>
      <c r="L871" s="110"/>
      <c r="M871" s="110"/>
      <c r="N871" s="110"/>
      <c r="O871" s="110"/>
      <c r="P871" s="110"/>
      <c r="Q871" s="110"/>
    </row>
    <row r="872">
      <c r="I872" s="109"/>
      <c r="K872" s="110"/>
      <c r="L872" s="110"/>
      <c r="M872" s="110"/>
      <c r="N872" s="110"/>
      <c r="O872" s="110"/>
      <c r="P872" s="110"/>
      <c r="Q872" s="110"/>
    </row>
    <row r="873">
      <c r="I873" s="109"/>
      <c r="K873" s="110"/>
      <c r="L873" s="110"/>
      <c r="M873" s="110"/>
      <c r="N873" s="110"/>
      <c r="O873" s="110"/>
      <c r="P873" s="110"/>
      <c r="Q873" s="110"/>
    </row>
    <row r="874">
      <c r="I874" s="109"/>
      <c r="K874" s="110"/>
      <c r="L874" s="110"/>
      <c r="M874" s="110"/>
      <c r="N874" s="110"/>
      <c r="O874" s="110"/>
      <c r="P874" s="110"/>
      <c r="Q874" s="110"/>
    </row>
    <row r="875">
      <c r="I875" s="109"/>
      <c r="K875" s="110"/>
      <c r="L875" s="110"/>
      <c r="M875" s="110"/>
      <c r="N875" s="110"/>
      <c r="O875" s="110"/>
      <c r="P875" s="110"/>
      <c r="Q875" s="110"/>
    </row>
    <row r="876">
      <c r="I876" s="109"/>
      <c r="K876" s="110"/>
      <c r="L876" s="110"/>
      <c r="M876" s="110"/>
      <c r="N876" s="110"/>
      <c r="O876" s="110"/>
      <c r="P876" s="110"/>
      <c r="Q876" s="110"/>
    </row>
    <row r="877">
      <c r="I877" s="109"/>
      <c r="K877" s="110"/>
      <c r="L877" s="110"/>
      <c r="M877" s="110"/>
      <c r="N877" s="110"/>
      <c r="O877" s="110"/>
      <c r="P877" s="110"/>
      <c r="Q877" s="110"/>
    </row>
    <row r="878">
      <c r="I878" s="109"/>
      <c r="K878" s="110"/>
      <c r="L878" s="110"/>
      <c r="M878" s="110"/>
      <c r="N878" s="110"/>
      <c r="O878" s="110"/>
      <c r="P878" s="110"/>
      <c r="Q878" s="110"/>
    </row>
    <row r="879">
      <c r="I879" s="109"/>
      <c r="K879" s="110"/>
      <c r="L879" s="110"/>
      <c r="M879" s="110"/>
      <c r="N879" s="110"/>
      <c r="O879" s="110"/>
      <c r="P879" s="110"/>
      <c r="Q879" s="110"/>
    </row>
    <row r="880">
      <c r="I880" s="109"/>
      <c r="K880" s="110"/>
      <c r="L880" s="110"/>
      <c r="M880" s="110"/>
      <c r="N880" s="110"/>
      <c r="O880" s="110"/>
      <c r="P880" s="110"/>
      <c r="Q880" s="110"/>
    </row>
    <row r="881">
      <c r="I881" s="109"/>
      <c r="K881" s="110"/>
      <c r="L881" s="110"/>
      <c r="M881" s="110"/>
      <c r="N881" s="110"/>
      <c r="O881" s="110"/>
      <c r="P881" s="110"/>
      <c r="Q881" s="110"/>
    </row>
    <row r="882">
      <c r="I882" s="109"/>
      <c r="K882" s="110"/>
      <c r="L882" s="110"/>
      <c r="M882" s="110"/>
      <c r="N882" s="110"/>
      <c r="O882" s="110"/>
      <c r="P882" s="110"/>
      <c r="Q882" s="110"/>
    </row>
    <row r="883">
      <c r="I883" s="109"/>
      <c r="K883" s="110"/>
      <c r="L883" s="110"/>
      <c r="M883" s="110"/>
      <c r="N883" s="110"/>
      <c r="O883" s="110"/>
      <c r="P883" s="110"/>
      <c r="Q883" s="110"/>
    </row>
    <row r="884">
      <c r="I884" s="109"/>
      <c r="K884" s="110"/>
      <c r="L884" s="110"/>
      <c r="M884" s="110"/>
      <c r="N884" s="110"/>
      <c r="O884" s="110"/>
      <c r="P884" s="110"/>
      <c r="Q884" s="110"/>
    </row>
    <row r="885">
      <c r="I885" s="109"/>
      <c r="K885" s="110"/>
      <c r="L885" s="110"/>
      <c r="M885" s="110"/>
      <c r="N885" s="110"/>
      <c r="O885" s="110"/>
      <c r="P885" s="110"/>
      <c r="Q885" s="110"/>
    </row>
    <row r="886">
      <c r="I886" s="109"/>
      <c r="K886" s="110"/>
      <c r="L886" s="110"/>
      <c r="M886" s="110"/>
      <c r="N886" s="110"/>
      <c r="O886" s="110"/>
      <c r="P886" s="110"/>
      <c r="Q886" s="110"/>
    </row>
    <row r="887">
      <c r="I887" s="109"/>
      <c r="K887" s="110"/>
      <c r="L887" s="110"/>
      <c r="M887" s="110"/>
      <c r="N887" s="110"/>
      <c r="O887" s="110"/>
      <c r="P887" s="110"/>
      <c r="Q887" s="110"/>
    </row>
    <row r="888">
      <c r="I888" s="109"/>
      <c r="K888" s="110"/>
      <c r="L888" s="110"/>
      <c r="M888" s="110"/>
      <c r="N888" s="110"/>
      <c r="O888" s="110"/>
      <c r="P888" s="110"/>
      <c r="Q888" s="110"/>
    </row>
    <row r="889">
      <c r="I889" s="109"/>
      <c r="K889" s="110"/>
      <c r="L889" s="110"/>
      <c r="M889" s="110"/>
      <c r="N889" s="110"/>
      <c r="O889" s="110"/>
      <c r="P889" s="110"/>
      <c r="Q889" s="110"/>
    </row>
    <row r="890">
      <c r="I890" s="109"/>
      <c r="K890" s="110"/>
      <c r="L890" s="110"/>
      <c r="M890" s="110"/>
      <c r="N890" s="110"/>
      <c r="O890" s="110"/>
      <c r="P890" s="110"/>
      <c r="Q890" s="110"/>
    </row>
    <row r="891">
      <c r="I891" s="109"/>
      <c r="K891" s="110"/>
      <c r="L891" s="110"/>
      <c r="M891" s="110"/>
      <c r="N891" s="110"/>
      <c r="O891" s="110"/>
      <c r="P891" s="110"/>
      <c r="Q891" s="110"/>
    </row>
    <row r="892">
      <c r="I892" s="109"/>
      <c r="K892" s="110"/>
      <c r="L892" s="110"/>
      <c r="M892" s="110"/>
      <c r="N892" s="110"/>
      <c r="O892" s="110"/>
      <c r="P892" s="110"/>
      <c r="Q892" s="110"/>
    </row>
    <row r="893">
      <c r="I893" s="109"/>
      <c r="K893" s="110"/>
      <c r="L893" s="110"/>
      <c r="M893" s="110"/>
      <c r="N893" s="110"/>
      <c r="O893" s="110"/>
      <c r="P893" s="110"/>
      <c r="Q893" s="110"/>
    </row>
    <row r="894">
      <c r="I894" s="109"/>
      <c r="K894" s="110"/>
      <c r="L894" s="110"/>
      <c r="M894" s="110"/>
      <c r="N894" s="110"/>
      <c r="O894" s="110"/>
      <c r="P894" s="110"/>
      <c r="Q894" s="110"/>
    </row>
    <row r="895">
      <c r="I895" s="109"/>
      <c r="K895" s="110"/>
      <c r="L895" s="110"/>
      <c r="M895" s="110"/>
      <c r="N895" s="110"/>
      <c r="O895" s="110"/>
      <c r="P895" s="110"/>
      <c r="Q895" s="110"/>
    </row>
    <row r="896">
      <c r="I896" s="109"/>
      <c r="K896" s="110"/>
      <c r="L896" s="110"/>
      <c r="M896" s="110"/>
      <c r="N896" s="110"/>
      <c r="O896" s="110"/>
      <c r="P896" s="110"/>
      <c r="Q896" s="110"/>
    </row>
    <row r="897">
      <c r="I897" s="109"/>
      <c r="K897" s="110"/>
      <c r="L897" s="110"/>
      <c r="M897" s="110"/>
      <c r="N897" s="110"/>
      <c r="O897" s="110"/>
      <c r="P897" s="110"/>
      <c r="Q897" s="110"/>
    </row>
    <row r="898">
      <c r="I898" s="109"/>
      <c r="K898" s="110"/>
      <c r="L898" s="110"/>
      <c r="M898" s="110"/>
      <c r="N898" s="110"/>
      <c r="O898" s="110"/>
      <c r="P898" s="110"/>
      <c r="Q898" s="110"/>
    </row>
    <row r="899">
      <c r="I899" s="109"/>
      <c r="K899" s="110"/>
      <c r="L899" s="110"/>
      <c r="M899" s="110"/>
      <c r="N899" s="110"/>
      <c r="O899" s="110"/>
      <c r="P899" s="110"/>
      <c r="Q899" s="110"/>
    </row>
    <row r="900">
      <c r="I900" s="109"/>
      <c r="K900" s="110"/>
      <c r="L900" s="110"/>
      <c r="M900" s="110"/>
      <c r="N900" s="110"/>
      <c r="O900" s="110"/>
      <c r="P900" s="110"/>
      <c r="Q900" s="110"/>
    </row>
    <row r="901">
      <c r="I901" s="109"/>
      <c r="K901" s="110"/>
      <c r="L901" s="110"/>
      <c r="M901" s="110"/>
      <c r="N901" s="110"/>
      <c r="O901" s="110"/>
      <c r="P901" s="110"/>
      <c r="Q901" s="110"/>
    </row>
    <row r="902">
      <c r="I902" s="109"/>
      <c r="K902" s="110"/>
      <c r="L902" s="110"/>
      <c r="M902" s="110"/>
      <c r="N902" s="110"/>
      <c r="O902" s="110"/>
      <c r="P902" s="110"/>
      <c r="Q902" s="110"/>
    </row>
    <row r="903">
      <c r="I903" s="109"/>
      <c r="K903" s="110"/>
      <c r="L903" s="110"/>
      <c r="M903" s="110"/>
      <c r="N903" s="110"/>
      <c r="O903" s="110"/>
      <c r="P903" s="110"/>
      <c r="Q903" s="110"/>
    </row>
    <row r="904">
      <c r="I904" s="109"/>
      <c r="K904" s="110"/>
      <c r="L904" s="110"/>
      <c r="M904" s="110"/>
      <c r="N904" s="110"/>
      <c r="O904" s="110"/>
      <c r="P904" s="110"/>
      <c r="Q904" s="110"/>
    </row>
    <row r="905">
      <c r="I905" s="109"/>
      <c r="K905" s="110"/>
      <c r="L905" s="110"/>
      <c r="M905" s="110"/>
      <c r="N905" s="110"/>
      <c r="O905" s="110"/>
      <c r="P905" s="110"/>
      <c r="Q905" s="110"/>
    </row>
    <row r="906">
      <c r="I906" s="109"/>
      <c r="K906" s="110"/>
      <c r="L906" s="110"/>
      <c r="M906" s="110"/>
      <c r="N906" s="110"/>
      <c r="O906" s="110"/>
      <c r="P906" s="110"/>
      <c r="Q906" s="110"/>
    </row>
    <row r="907">
      <c r="I907" s="109"/>
      <c r="K907" s="110"/>
      <c r="L907" s="110"/>
      <c r="M907" s="110"/>
      <c r="N907" s="110"/>
      <c r="O907" s="110"/>
      <c r="P907" s="110"/>
      <c r="Q907" s="110"/>
    </row>
    <row r="908">
      <c r="I908" s="109"/>
      <c r="K908" s="110"/>
      <c r="L908" s="110"/>
      <c r="M908" s="110"/>
      <c r="N908" s="110"/>
      <c r="O908" s="110"/>
      <c r="P908" s="110"/>
      <c r="Q908" s="110"/>
    </row>
    <row r="909">
      <c r="I909" s="109"/>
      <c r="K909" s="110"/>
      <c r="L909" s="110"/>
      <c r="M909" s="110"/>
      <c r="N909" s="110"/>
      <c r="O909" s="110"/>
      <c r="P909" s="110"/>
      <c r="Q909" s="110"/>
    </row>
    <row r="910">
      <c r="I910" s="109"/>
      <c r="K910" s="110"/>
      <c r="L910" s="110"/>
      <c r="M910" s="110"/>
      <c r="N910" s="110"/>
      <c r="O910" s="110"/>
      <c r="P910" s="110"/>
      <c r="Q910" s="110"/>
    </row>
    <row r="911">
      <c r="I911" s="109"/>
      <c r="K911" s="110"/>
      <c r="L911" s="110"/>
      <c r="M911" s="110"/>
      <c r="N911" s="110"/>
      <c r="O911" s="110"/>
      <c r="P911" s="110"/>
      <c r="Q911" s="110"/>
    </row>
    <row r="912">
      <c r="I912" s="109"/>
      <c r="K912" s="110"/>
      <c r="L912" s="110"/>
      <c r="M912" s="110"/>
      <c r="N912" s="110"/>
      <c r="O912" s="110"/>
      <c r="P912" s="110"/>
      <c r="Q912" s="110"/>
    </row>
    <row r="913">
      <c r="I913" s="109"/>
      <c r="K913" s="110"/>
      <c r="L913" s="110"/>
      <c r="M913" s="110"/>
      <c r="N913" s="110"/>
      <c r="O913" s="110"/>
      <c r="P913" s="110"/>
      <c r="Q913" s="110"/>
    </row>
    <row r="914">
      <c r="I914" s="109"/>
      <c r="K914" s="110"/>
      <c r="L914" s="110"/>
      <c r="M914" s="110"/>
      <c r="N914" s="110"/>
      <c r="O914" s="110"/>
      <c r="P914" s="110"/>
      <c r="Q914" s="110"/>
    </row>
    <row r="915">
      <c r="I915" s="109"/>
      <c r="K915" s="110"/>
      <c r="L915" s="110"/>
      <c r="M915" s="110"/>
      <c r="N915" s="110"/>
      <c r="O915" s="110"/>
      <c r="P915" s="110"/>
      <c r="Q915" s="110"/>
    </row>
    <row r="916">
      <c r="I916" s="109"/>
      <c r="K916" s="110"/>
      <c r="L916" s="110"/>
      <c r="M916" s="110"/>
      <c r="N916" s="110"/>
      <c r="O916" s="110"/>
      <c r="P916" s="110"/>
      <c r="Q916" s="110"/>
    </row>
    <row r="917">
      <c r="I917" s="109"/>
      <c r="K917" s="110"/>
      <c r="L917" s="110"/>
      <c r="M917" s="110"/>
      <c r="N917" s="110"/>
      <c r="O917" s="110"/>
      <c r="P917" s="110"/>
      <c r="Q917" s="110"/>
    </row>
    <row r="918">
      <c r="I918" s="109"/>
      <c r="K918" s="110"/>
      <c r="L918" s="110"/>
      <c r="M918" s="110"/>
      <c r="N918" s="110"/>
      <c r="O918" s="110"/>
      <c r="P918" s="110"/>
      <c r="Q918" s="110"/>
    </row>
    <row r="919">
      <c r="I919" s="109"/>
      <c r="K919" s="110"/>
      <c r="L919" s="110"/>
      <c r="M919" s="110"/>
      <c r="N919" s="110"/>
      <c r="O919" s="110"/>
      <c r="P919" s="110"/>
      <c r="Q919" s="110"/>
    </row>
    <row r="920">
      <c r="I920" s="109"/>
      <c r="K920" s="110"/>
      <c r="L920" s="110"/>
      <c r="M920" s="110"/>
      <c r="N920" s="110"/>
      <c r="O920" s="110"/>
      <c r="P920" s="110"/>
      <c r="Q920" s="110"/>
    </row>
    <row r="921">
      <c r="I921" s="109"/>
      <c r="K921" s="110"/>
      <c r="L921" s="110"/>
      <c r="M921" s="110"/>
      <c r="N921" s="110"/>
      <c r="O921" s="110"/>
      <c r="P921" s="110"/>
      <c r="Q921" s="110"/>
    </row>
    <row r="922">
      <c r="I922" s="109"/>
      <c r="K922" s="110"/>
      <c r="L922" s="110"/>
      <c r="M922" s="110"/>
      <c r="N922" s="110"/>
      <c r="O922" s="110"/>
      <c r="P922" s="110"/>
      <c r="Q922" s="110"/>
    </row>
    <row r="923">
      <c r="I923" s="109"/>
      <c r="K923" s="110"/>
      <c r="L923" s="110"/>
      <c r="M923" s="110"/>
      <c r="N923" s="110"/>
      <c r="O923" s="110"/>
      <c r="P923" s="110"/>
      <c r="Q923" s="110"/>
    </row>
    <row r="924">
      <c r="I924" s="109"/>
      <c r="K924" s="110"/>
      <c r="L924" s="110"/>
      <c r="M924" s="110"/>
      <c r="N924" s="110"/>
      <c r="O924" s="110"/>
      <c r="P924" s="110"/>
      <c r="Q924" s="110"/>
    </row>
    <row r="925">
      <c r="I925" s="109"/>
      <c r="K925" s="110"/>
      <c r="L925" s="110"/>
      <c r="M925" s="110"/>
      <c r="N925" s="110"/>
      <c r="O925" s="110"/>
      <c r="P925" s="110"/>
      <c r="Q925" s="110"/>
    </row>
    <row r="926">
      <c r="I926" s="109"/>
      <c r="K926" s="110"/>
      <c r="L926" s="110"/>
      <c r="M926" s="110"/>
      <c r="N926" s="110"/>
      <c r="O926" s="110"/>
      <c r="P926" s="110"/>
      <c r="Q926" s="110"/>
    </row>
    <row r="927">
      <c r="I927" s="109"/>
      <c r="K927" s="110"/>
      <c r="L927" s="110"/>
      <c r="M927" s="110"/>
      <c r="N927" s="110"/>
      <c r="O927" s="110"/>
      <c r="P927" s="110"/>
      <c r="Q927" s="110"/>
    </row>
    <row r="928">
      <c r="I928" s="109"/>
      <c r="K928" s="110"/>
      <c r="L928" s="110"/>
      <c r="M928" s="110"/>
      <c r="N928" s="110"/>
      <c r="O928" s="110"/>
      <c r="P928" s="110"/>
      <c r="Q928" s="110"/>
    </row>
    <row r="929">
      <c r="I929" s="109"/>
      <c r="K929" s="110"/>
      <c r="L929" s="110"/>
      <c r="M929" s="110"/>
      <c r="N929" s="110"/>
      <c r="O929" s="110"/>
      <c r="P929" s="110"/>
      <c r="Q929" s="110"/>
    </row>
    <row r="930">
      <c r="I930" s="109"/>
      <c r="K930" s="110"/>
      <c r="L930" s="110"/>
      <c r="M930" s="110"/>
      <c r="N930" s="110"/>
      <c r="O930" s="110"/>
      <c r="P930" s="110"/>
      <c r="Q930" s="110"/>
    </row>
    <row r="931">
      <c r="I931" s="109"/>
      <c r="K931" s="110"/>
      <c r="L931" s="110"/>
      <c r="M931" s="110"/>
      <c r="N931" s="110"/>
      <c r="O931" s="110"/>
      <c r="P931" s="110"/>
      <c r="Q931" s="110"/>
    </row>
    <row r="932">
      <c r="I932" s="109"/>
      <c r="K932" s="110"/>
      <c r="L932" s="110"/>
      <c r="M932" s="110"/>
      <c r="N932" s="110"/>
      <c r="O932" s="110"/>
      <c r="P932" s="110"/>
      <c r="Q932" s="110"/>
    </row>
    <row r="933">
      <c r="I933" s="109"/>
      <c r="K933" s="110"/>
      <c r="L933" s="110"/>
      <c r="M933" s="110"/>
      <c r="N933" s="110"/>
      <c r="O933" s="110"/>
      <c r="P933" s="110"/>
      <c r="Q933" s="110"/>
    </row>
    <row r="934">
      <c r="I934" s="109"/>
      <c r="K934" s="110"/>
      <c r="L934" s="110"/>
      <c r="M934" s="110"/>
      <c r="N934" s="110"/>
      <c r="O934" s="110"/>
      <c r="P934" s="110"/>
      <c r="Q934" s="110"/>
    </row>
    <row r="935">
      <c r="I935" s="109"/>
      <c r="K935" s="110"/>
      <c r="L935" s="110"/>
      <c r="M935" s="110"/>
      <c r="N935" s="110"/>
      <c r="O935" s="110"/>
      <c r="P935" s="110"/>
      <c r="Q935" s="110"/>
    </row>
    <row r="936">
      <c r="I936" s="109"/>
      <c r="K936" s="110"/>
      <c r="L936" s="110"/>
      <c r="M936" s="110"/>
      <c r="N936" s="110"/>
      <c r="O936" s="110"/>
      <c r="P936" s="110"/>
      <c r="Q936" s="110"/>
    </row>
    <row r="937">
      <c r="I937" s="109"/>
      <c r="K937" s="110"/>
      <c r="L937" s="110"/>
      <c r="M937" s="110"/>
      <c r="N937" s="110"/>
      <c r="O937" s="110"/>
      <c r="P937" s="110"/>
      <c r="Q937" s="110"/>
    </row>
    <row r="938">
      <c r="I938" s="109"/>
      <c r="K938" s="110"/>
      <c r="L938" s="110"/>
      <c r="M938" s="110"/>
      <c r="N938" s="110"/>
      <c r="O938" s="110"/>
      <c r="P938" s="110"/>
      <c r="Q938" s="110"/>
    </row>
    <row r="939">
      <c r="I939" s="109"/>
      <c r="K939" s="110"/>
      <c r="L939" s="110"/>
      <c r="M939" s="110"/>
      <c r="N939" s="110"/>
      <c r="O939" s="110"/>
      <c r="P939" s="110"/>
      <c r="Q939" s="110"/>
    </row>
    <row r="940">
      <c r="I940" s="109"/>
      <c r="K940" s="110"/>
      <c r="L940" s="110"/>
      <c r="M940" s="110"/>
      <c r="N940" s="110"/>
      <c r="O940" s="110"/>
      <c r="P940" s="110"/>
      <c r="Q940" s="110"/>
    </row>
    <row r="941">
      <c r="I941" s="109"/>
      <c r="K941" s="110"/>
      <c r="L941" s="110"/>
      <c r="M941" s="110"/>
      <c r="N941" s="110"/>
      <c r="O941" s="110"/>
      <c r="P941" s="110"/>
      <c r="Q941" s="110"/>
    </row>
    <row r="942">
      <c r="I942" s="109"/>
      <c r="K942" s="110"/>
      <c r="L942" s="110"/>
      <c r="M942" s="110"/>
      <c r="N942" s="110"/>
      <c r="O942" s="110"/>
      <c r="P942" s="110"/>
      <c r="Q942" s="110"/>
    </row>
    <row r="943">
      <c r="I943" s="109"/>
      <c r="K943" s="110"/>
      <c r="L943" s="110"/>
      <c r="M943" s="110"/>
      <c r="N943" s="110"/>
      <c r="O943" s="110"/>
      <c r="P943" s="110"/>
      <c r="Q943" s="110"/>
    </row>
    <row r="944">
      <c r="I944" s="109"/>
      <c r="K944" s="110"/>
      <c r="L944" s="110"/>
      <c r="M944" s="110"/>
      <c r="N944" s="110"/>
      <c r="O944" s="110"/>
      <c r="P944" s="110"/>
      <c r="Q944" s="110"/>
    </row>
    <row r="945">
      <c r="I945" s="109"/>
      <c r="K945" s="110"/>
      <c r="L945" s="110"/>
      <c r="M945" s="110"/>
      <c r="N945" s="110"/>
      <c r="O945" s="110"/>
      <c r="P945" s="110"/>
      <c r="Q945" s="110"/>
    </row>
    <row r="946">
      <c r="I946" s="109"/>
      <c r="K946" s="110"/>
      <c r="L946" s="110"/>
      <c r="M946" s="110"/>
      <c r="N946" s="110"/>
      <c r="O946" s="110"/>
      <c r="P946" s="110"/>
      <c r="Q946" s="110"/>
    </row>
    <row r="947">
      <c r="I947" s="109"/>
      <c r="K947" s="110"/>
      <c r="L947" s="110"/>
      <c r="M947" s="110"/>
      <c r="N947" s="110"/>
      <c r="O947" s="110"/>
      <c r="P947" s="110"/>
      <c r="Q947" s="110"/>
    </row>
    <row r="948">
      <c r="I948" s="109"/>
      <c r="K948" s="110"/>
      <c r="L948" s="110"/>
      <c r="M948" s="110"/>
      <c r="N948" s="110"/>
      <c r="O948" s="110"/>
      <c r="P948" s="110"/>
      <c r="Q948" s="110"/>
    </row>
    <row r="949">
      <c r="I949" s="109"/>
      <c r="K949" s="110"/>
      <c r="L949" s="110"/>
      <c r="M949" s="110"/>
      <c r="N949" s="110"/>
      <c r="O949" s="110"/>
      <c r="P949" s="110"/>
      <c r="Q949" s="110"/>
    </row>
    <row r="950">
      <c r="I950" s="109"/>
      <c r="K950" s="110"/>
      <c r="L950" s="110"/>
      <c r="M950" s="110"/>
      <c r="N950" s="110"/>
      <c r="O950" s="110"/>
      <c r="P950" s="110"/>
      <c r="Q950" s="110"/>
    </row>
    <row r="951">
      <c r="I951" s="109"/>
      <c r="K951" s="110"/>
      <c r="L951" s="110"/>
      <c r="M951" s="110"/>
      <c r="N951" s="110"/>
      <c r="O951" s="110"/>
      <c r="P951" s="110"/>
      <c r="Q951" s="110"/>
    </row>
    <row r="952">
      <c r="I952" s="109"/>
      <c r="K952" s="110"/>
      <c r="L952" s="110"/>
      <c r="M952" s="110"/>
      <c r="N952" s="110"/>
      <c r="O952" s="110"/>
      <c r="P952" s="110"/>
      <c r="Q952" s="110"/>
    </row>
    <row r="953">
      <c r="I953" s="109"/>
      <c r="K953" s="110"/>
      <c r="L953" s="110"/>
      <c r="M953" s="110"/>
      <c r="N953" s="110"/>
      <c r="O953" s="110"/>
      <c r="P953" s="110"/>
      <c r="Q953" s="110"/>
    </row>
    <row r="954">
      <c r="I954" s="109"/>
      <c r="K954" s="110"/>
      <c r="L954" s="110"/>
      <c r="M954" s="110"/>
      <c r="N954" s="110"/>
      <c r="O954" s="110"/>
      <c r="P954" s="110"/>
      <c r="Q954" s="110"/>
    </row>
    <row r="955">
      <c r="I955" s="109"/>
      <c r="K955" s="110"/>
      <c r="L955" s="110"/>
      <c r="M955" s="110"/>
      <c r="N955" s="110"/>
      <c r="O955" s="110"/>
      <c r="P955" s="110"/>
      <c r="Q955" s="110"/>
    </row>
    <row r="956">
      <c r="I956" s="109"/>
      <c r="K956" s="110"/>
      <c r="L956" s="110"/>
      <c r="M956" s="110"/>
      <c r="N956" s="110"/>
      <c r="O956" s="110"/>
      <c r="P956" s="110"/>
      <c r="Q956" s="110"/>
    </row>
    <row r="957">
      <c r="I957" s="109"/>
      <c r="K957" s="110"/>
      <c r="L957" s="110"/>
      <c r="M957" s="110"/>
      <c r="N957" s="110"/>
      <c r="O957" s="110"/>
      <c r="P957" s="110"/>
      <c r="Q957" s="110"/>
    </row>
    <row r="958">
      <c r="I958" s="109"/>
      <c r="K958" s="110"/>
      <c r="L958" s="110"/>
      <c r="M958" s="110"/>
      <c r="N958" s="110"/>
      <c r="O958" s="110"/>
      <c r="P958" s="110"/>
      <c r="Q958" s="110"/>
    </row>
    <row r="959">
      <c r="I959" s="109"/>
      <c r="K959" s="110"/>
      <c r="L959" s="110"/>
      <c r="M959" s="110"/>
      <c r="N959" s="110"/>
      <c r="O959" s="110"/>
      <c r="P959" s="110"/>
      <c r="Q959" s="110"/>
    </row>
    <row r="960">
      <c r="I960" s="109"/>
      <c r="K960" s="110"/>
      <c r="L960" s="110"/>
      <c r="M960" s="110"/>
      <c r="N960" s="110"/>
      <c r="O960" s="110"/>
      <c r="P960" s="110"/>
      <c r="Q960" s="110"/>
    </row>
    <row r="961">
      <c r="I961" s="109"/>
      <c r="K961" s="110"/>
      <c r="L961" s="110"/>
      <c r="M961" s="110"/>
      <c r="N961" s="110"/>
      <c r="O961" s="110"/>
      <c r="P961" s="110"/>
      <c r="Q961" s="110"/>
    </row>
    <row r="962">
      <c r="I962" s="109"/>
      <c r="K962" s="110"/>
      <c r="L962" s="110"/>
      <c r="M962" s="110"/>
      <c r="N962" s="110"/>
      <c r="O962" s="110"/>
      <c r="P962" s="110"/>
      <c r="Q962" s="110"/>
    </row>
    <row r="963">
      <c r="I963" s="109"/>
      <c r="K963" s="110"/>
      <c r="L963" s="110"/>
      <c r="M963" s="110"/>
      <c r="N963" s="110"/>
      <c r="O963" s="110"/>
      <c r="P963" s="110"/>
      <c r="Q963" s="110"/>
    </row>
    <row r="964">
      <c r="I964" s="109"/>
      <c r="K964" s="110"/>
      <c r="L964" s="110"/>
      <c r="M964" s="110"/>
      <c r="N964" s="110"/>
      <c r="O964" s="110"/>
      <c r="P964" s="110"/>
      <c r="Q964" s="110"/>
    </row>
    <row r="965">
      <c r="I965" s="109"/>
      <c r="K965" s="110"/>
      <c r="L965" s="110"/>
      <c r="M965" s="110"/>
      <c r="N965" s="110"/>
      <c r="O965" s="110"/>
      <c r="P965" s="110"/>
      <c r="Q965" s="110"/>
    </row>
    <row r="966">
      <c r="I966" s="109"/>
      <c r="K966" s="110"/>
      <c r="L966" s="110"/>
      <c r="M966" s="110"/>
      <c r="N966" s="110"/>
      <c r="O966" s="110"/>
      <c r="P966" s="110"/>
      <c r="Q966" s="110"/>
    </row>
    <row r="967">
      <c r="I967" s="109"/>
      <c r="K967" s="110"/>
      <c r="L967" s="110"/>
      <c r="M967" s="110"/>
      <c r="N967" s="110"/>
      <c r="O967" s="110"/>
      <c r="P967" s="110"/>
      <c r="Q967" s="110"/>
    </row>
    <row r="968">
      <c r="I968" s="109"/>
      <c r="K968" s="110"/>
      <c r="L968" s="110"/>
      <c r="M968" s="110"/>
      <c r="N968" s="110"/>
      <c r="O968" s="110"/>
      <c r="P968" s="110"/>
      <c r="Q968" s="110"/>
    </row>
    <row r="969">
      <c r="I969" s="109"/>
      <c r="K969" s="110"/>
      <c r="L969" s="110"/>
      <c r="M969" s="110"/>
      <c r="N969" s="110"/>
      <c r="O969" s="110"/>
      <c r="P969" s="110"/>
      <c r="Q969" s="110"/>
    </row>
    <row r="970">
      <c r="I970" s="109"/>
      <c r="K970" s="110"/>
      <c r="L970" s="110"/>
      <c r="M970" s="110"/>
      <c r="N970" s="110"/>
      <c r="O970" s="110"/>
      <c r="P970" s="110"/>
      <c r="Q970" s="110"/>
    </row>
    <row r="971">
      <c r="I971" s="109"/>
      <c r="K971" s="110"/>
      <c r="L971" s="110"/>
      <c r="M971" s="110"/>
      <c r="N971" s="110"/>
      <c r="O971" s="110"/>
      <c r="P971" s="110"/>
      <c r="Q971" s="110"/>
    </row>
    <row r="972">
      <c r="I972" s="109"/>
      <c r="K972" s="110"/>
      <c r="L972" s="110"/>
      <c r="M972" s="110"/>
      <c r="N972" s="110"/>
      <c r="O972" s="110"/>
      <c r="P972" s="110"/>
      <c r="Q972" s="110"/>
    </row>
    <row r="973">
      <c r="I973" s="109"/>
      <c r="K973" s="110"/>
      <c r="L973" s="110"/>
      <c r="M973" s="110"/>
      <c r="N973" s="110"/>
      <c r="O973" s="110"/>
      <c r="P973" s="110"/>
      <c r="Q973" s="110"/>
    </row>
    <row r="974">
      <c r="I974" s="109"/>
      <c r="K974" s="110"/>
      <c r="L974" s="110"/>
      <c r="M974" s="110"/>
      <c r="N974" s="110"/>
      <c r="O974" s="110"/>
      <c r="P974" s="110"/>
      <c r="Q974" s="110"/>
    </row>
    <row r="975">
      <c r="I975" s="109"/>
      <c r="K975" s="110"/>
      <c r="L975" s="110"/>
      <c r="M975" s="110"/>
      <c r="N975" s="110"/>
      <c r="O975" s="110"/>
      <c r="P975" s="110"/>
      <c r="Q975" s="110"/>
    </row>
    <row r="976">
      <c r="I976" s="109"/>
      <c r="K976" s="110"/>
      <c r="L976" s="110"/>
      <c r="M976" s="110"/>
      <c r="N976" s="110"/>
      <c r="O976" s="110"/>
      <c r="P976" s="110"/>
      <c r="Q976" s="110"/>
    </row>
    <row r="977">
      <c r="I977" s="109"/>
      <c r="K977" s="110"/>
      <c r="L977" s="110"/>
      <c r="M977" s="110"/>
      <c r="N977" s="110"/>
      <c r="O977" s="110"/>
      <c r="P977" s="110"/>
      <c r="Q977" s="110"/>
    </row>
    <row r="978">
      <c r="I978" s="109"/>
      <c r="K978" s="110"/>
      <c r="L978" s="110"/>
      <c r="M978" s="110"/>
      <c r="N978" s="110"/>
      <c r="O978" s="110"/>
      <c r="P978" s="110"/>
      <c r="Q978" s="110"/>
    </row>
    <row r="979">
      <c r="I979" s="109"/>
      <c r="K979" s="110"/>
      <c r="L979" s="110"/>
      <c r="M979" s="110"/>
      <c r="N979" s="110"/>
      <c r="O979" s="110"/>
      <c r="P979" s="110"/>
      <c r="Q979" s="110"/>
    </row>
    <row r="980">
      <c r="I980" s="109"/>
      <c r="K980" s="110"/>
      <c r="L980" s="110"/>
      <c r="M980" s="110"/>
      <c r="N980" s="110"/>
      <c r="O980" s="110"/>
      <c r="P980" s="110"/>
      <c r="Q980" s="110"/>
    </row>
    <row r="981">
      <c r="I981" s="109"/>
      <c r="K981" s="110"/>
      <c r="L981" s="110"/>
      <c r="M981" s="110"/>
      <c r="N981" s="110"/>
      <c r="O981" s="110"/>
      <c r="P981" s="110"/>
      <c r="Q981" s="110"/>
    </row>
    <row r="982">
      <c r="I982" s="109"/>
      <c r="K982" s="110"/>
      <c r="L982" s="110"/>
      <c r="M982" s="110"/>
      <c r="N982" s="110"/>
      <c r="O982" s="110"/>
      <c r="P982" s="110"/>
      <c r="Q982" s="110"/>
    </row>
    <row r="983">
      <c r="I983" s="109"/>
      <c r="K983" s="110"/>
      <c r="L983" s="110"/>
      <c r="M983" s="110"/>
      <c r="N983" s="110"/>
      <c r="O983" s="110"/>
      <c r="P983" s="110"/>
      <c r="Q983" s="110"/>
    </row>
    <row r="984">
      <c r="I984" s="109"/>
      <c r="K984" s="110"/>
      <c r="L984" s="110"/>
      <c r="M984" s="110"/>
      <c r="N984" s="110"/>
      <c r="O984" s="110"/>
      <c r="P984" s="110"/>
      <c r="Q984" s="110"/>
    </row>
    <row r="985">
      <c r="I985" s="109"/>
      <c r="K985" s="110"/>
      <c r="L985" s="110"/>
      <c r="M985" s="110"/>
      <c r="N985" s="110"/>
      <c r="O985" s="110"/>
      <c r="P985" s="110"/>
      <c r="Q985" s="110"/>
    </row>
    <row r="986">
      <c r="I986" s="109"/>
      <c r="K986" s="110"/>
      <c r="L986" s="110"/>
      <c r="M986" s="110"/>
      <c r="N986" s="110"/>
      <c r="O986" s="110"/>
      <c r="P986" s="110"/>
      <c r="Q986" s="110"/>
    </row>
    <row r="987">
      <c r="I987" s="109"/>
      <c r="K987" s="110"/>
      <c r="L987" s="110"/>
      <c r="M987" s="110"/>
      <c r="N987" s="110"/>
      <c r="O987" s="110"/>
      <c r="P987" s="110"/>
      <c r="Q987" s="110"/>
    </row>
    <row r="988">
      <c r="I988" s="109"/>
      <c r="K988" s="110"/>
      <c r="L988" s="110"/>
      <c r="M988" s="110"/>
      <c r="N988" s="110"/>
      <c r="O988" s="110"/>
      <c r="P988" s="110"/>
      <c r="Q988" s="110"/>
    </row>
    <row r="989">
      <c r="I989" s="109"/>
      <c r="K989" s="110"/>
      <c r="L989" s="110"/>
      <c r="M989" s="110"/>
      <c r="N989" s="110"/>
      <c r="O989" s="110"/>
      <c r="P989" s="110"/>
      <c r="Q989" s="110"/>
    </row>
    <row r="990">
      <c r="I990" s="109"/>
      <c r="K990" s="110"/>
      <c r="L990" s="110"/>
      <c r="M990" s="110"/>
      <c r="N990" s="110"/>
      <c r="O990" s="110"/>
      <c r="P990" s="110"/>
      <c r="Q990" s="110"/>
    </row>
    <row r="991">
      <c r="I991" s="109"/>
      <c r="K991" s="110"/>
      <c r="L991" s="110"/>
      <c r="M991" s="110"/>
      <c r="N991" s="110"/>
      <c r="O991" s="110"/>
      <c r="P991" s="110"/>
      <c r="Q991" s="110"/>
    </row>
    <row r="992">
      <c r="I992" s="109"/>
      <c r="K992" s="110"/>
      <c r="L992" s="110"/>
      <c r="M992" s="110"/>
      <c r="N992" s="110"/>
      <c r="O992" s="110"/>
      <c r="P992" s="110"/>
      <c r="Q992" s="110"/>
    </row>
    <row r="993">
      <c r="I993" s="109"/>
      <c r="K993" s="110"/>
      <c r="L993" s="110"/>
      <c r="M993" s="110"/>
      <c r="N993" s="110"/>
      <c r="O993" s="110"/>
      <c r="P993" s="110"/>
      <c r="Q993" s="110"/>
    </row>
    <row r="994">
      <c r="I994" s="109"/>
      <c r="K994" s="110"/>
      <c r="L994" s="110"/>
      <c r="M994" s="110"/>
      <c r="N994" s="110"/>
      <c r="O994" s="110"/>
      <c r="P994" s="110"/>
      <c r="Q994" s="110"/>
    </row>
    <row r="995">
      <c r="I995" s="109"/>
      <c r="K995" s="110"/>
      <c r="L995" s="110"/>
      <c r="M995" s="110"/>
      <c r="N995" s="110"/>
      <c r="O995" s="110"/>
      <c r="P995" s="110"/>
      <c r="Q995" s="110"/>
    </row>
    <row r="996">
      <c r="I996" s="109"/>
      <c r="K996" s="110"/>
      <c r="L996" s="110"/>
      <c r="M996" s="110"/>
      <c r="N996" s="110"/>
      <c r="O996" s="110"/>
      <c r="P996" s="110"/>
      <c r="Q996" s="110"/>
    </row>
    <row r="997">
      <c r="I997" s="109"/>
      <c r="K997" s="110"/>
      <c r="L997" s="110"/>
      <c r="M997" s="110"/>
      <c r="N997" s="110"/>
      <c r="O997" s="110"/>
      <c r="P997" s="110"/>
      <c r="Q997" s="110"/>
    </row>
    <row r="998">
      <c r="I998" s="109"/>
      <c r="K998" s="110"/>
      <c r="L998" s="110"/>
      <c r="M998" s="110"/>
      <c r="N998" s="110"/>
      <c r="O998" s="110"/>
      <c r="P998" s="110"/>
      <c r="Q998" s="110"/>
    </row>
    <row r="999">
      <c r="I999" s="109"/>
      <c r="K999" s="110"/>
      <c r="L999" s="110"/>
      <c r="M999" s="110"/>
      <c r="N999" s="110"/>
      <c r="O999" s="110"/>
      <c r="P999" s="110"/>
      <c r="Q999" s="110"/>
    </row>
    <row r="1000">
      <c r="I1000" s="109"/>
      <c r="K1000" s="110"/>
      <c r="L1000" s="110"/>
      <c r="M1000" s="110"/>
      <c r="N1000" s="110"/>
      <c r="O1000" s="110"/>
      <c r="P1000" s="110"/>
      <c r="Q1000" s="110"/>
    </row>
    <row r="1001">
      <c r="I1001" s="109"/>
      <c r="K1001" s="110"/>
      <c r="L1001" s="110"/>
      <c r="M1001" s="110"/>
      <c r="N1001" s="110"/>
      <c r="O1001" s="110"/>
      <c r="P1001" s="110"/>
      <c r="Q1001" s="110"/>
    </row>
    <row r="1002">
      <c r="I1002" s="109"/>
      <c r="K1002" s="110"/>
      <c r="L1002" s="110"/>
      <c r="M1002" s="110"/>
      <c r="N1002" s="110"/>
      <c r="O1002" s="110"/>
      <c r="P1002" s="110"/>
      <c r="Q1002" s="110"/>
    </row>
    <row r="1003">
      <c r="I1003" s="109"/>
      <c r="K1003" s="110"/>
      <c r="L1003" s="110"/>
      <c r="M1003" s="110"/>
      <c r="N1003" s="110"/>
      <c r="O1003" s="110"/>
      <c r="P1003" s="110"/>
      <c r="Q1003" s="110"/>
    </row>
    <row r="1004">
      <c r="I1004" s="109"/>
      <c r="K1004" s="110"/>
      <c r="L1004" s="110"/>
      <c r="M1004" s="110"/>
      <c r="N1004" s="110"/>
      <c r="O1004" s="110"/>
      <c r="P1004" s="110"/>
      <c r="Q1004" s="110"/>
    </row>
    <row r="1005">
      <c r="I1005" s="109"/>
      <c r="K1005" s="110"/>
      <c r="L1005" s="110"/>
      <c r="M1005" s="110"/>
      <c r="N1005" s="110"/>
      <c r="O1005" s="110"/>
      <c r="P1005" s="110"/>
      <c r="Q1005" s="110"/>
    </row>
    <row r="1006">
      <c r="I1006" s="109"/>
      <c r="K1006" s="110"/>
      <c r="L1006" s="110"/>
      <c r="M1006" s="110"/>
      <c r="N1006" s="110"/>
      <c r="O1006" s="110"/>
      <c r="P1006" s="110"/>
      <c r="Q1006" s="110"/>
    </row>
    <row r="1007">
      <c r="I1007" s="109"/>
      <c r="K1007" s="110"/>
      <c r="L1007" s="110"/>
      <c r="M1007" s="110"/>
      <c r="N1007" s="110"/>
      <c r="O1007" s="110"/>
      <c r="P1007" s="110"/>
      <c r="Q1007" s="110"/>
    </row>
    <row r="1008">
      <c r="I1008" s="109"/>
      <c r="K1008" s="110"/>
      <c r="L1008" s="110"/>
      <c r="M1008" s="110"/>
      <c r="N1008" s="110"/>
      <c r="O1008" s="110"/>
      <c r="P1008" s="110"/>
      <c r="Q1008" s="110"/>
    </row>
    <row r="1009">
      <c r="I1009" s="109"/>
      <c r="K1009" s="110"/>
      <c r="L1009" s="110"/>
      <c r="M1009" s="110"/>
      <c r="N1009" s="110"/>
      <c r="O1009" s="110"/>
      <c r="P1009" s="110"/>
      <c r="Q1009" s="110"/>
    </row>
    <row r="1010">
      <c r="I1010" s="109"/>
      <c r="K1010" s="110"/>
      <c r="L1010" s="110"/>
      <c r="M1010" s="110"/>
      <c r="N1010" s="110"/>
      <c r="O1010" s="110"/>
      <c r="P1010" s="110"/>
      <c r="Q1010" s="110"/>
    </row>
    <row r="1011">
      <c r="I1011" s="109"/>
      <c r="K1011" s="110"/>
      <c r="L1011" s="110"/>
      <c r="M1011" s="110"/>
      <c r="N1011" s="110"/>
      <c r="O1011" s="110"/>
      <c r="P1011" s="110"/>
      <c r="Q1011" s="110"/>
    </row>
    <row r="1012">
      <c r="I1012" s="109"/>
      <c r="K1012" s="110"/>
      <c r="L1012" s="110"/>
      <c r="M1012" s="110"/>
      <c r="N1012" s="110"/>
      <c r="O1012" s="110"/>
      <c r="P1012" s="110"/>
      <c r="Q1012" s="110"/>
    </row>
    <row r="1013">
      <c r="I1013" s="109"/>
      <c r="K1013" s="110"/>
      <c r="L1013" s="110"/>
      <c r="M1013" s="110"/>
      <c r="N1013" s="110"/>
      <c r="O1013" s="110"/>
      <c r="P1013" s="110"/>
      <c r="Q1013" s="110"/>
    </row>
    <row r="1014">
      <c r="I1014" s="109"/>
      <c r="K1014" s="110"/>
      <c r="L1014" s="110"/>
      <c r="M1014" s="110"/>
      <c r="N1014" s="110"/>
      <c r="O1014" s="110"/>
      <c r="P1014" s="110"/>
      <c r="Q1014" s="110"/>
    </row>
    <row r="1015">
      <c r="I1015" s="109"/>
      <c r="K1015" s="110"/>
      <c r="L1015" s="110"/>
      <c r="M1015" s="110"/>
      <c r="N1015" s="110"/>
      <c r="O1015" s="110"/>
      <c r="P1015" s="110"/>
      <c r="Q1015" s="110"/>
    </row>
    <row r="1016">
      <c r="I1016" s="109"/>
      <c r="K1016" s="110"/>
      <c r="L1016" s="110"/>
      <c r="M1016" s="110"/>
      <c r="N1016" s="110"/>
      <c r="O1016" s="110"/>
      <c r="P1016" s="110"/>
      <c r="Q1016" s="110"/>
    </row>
    <row r="1017">
      <c r="I1017" s="109"/>
      <c r="K1017" s="110"/>
      <c r="L1017" s="110"/>
      <c r="M1017" s="110"/>
      <c r="N1017" s="110"/>
      <c r="O1017" s="110"/>
      <c r="P1017" s="110"/>
      <c r="Q1017" s="110"/>
    </row>
    <row r="1018">
      <c r="I1018" s="109"/>
      <c r="K1018" s="110"/>
      <c r="L1018" s="110"/>
      <c r="M1018" s="110"/>
      <c r="N1018" s="110"/>
      <c r="O1018" s="110"/>
      <c r="P1018" s="110"/>
      <c r="Q1018" s="110"/>
    </row>
    <row r="1019">
      <c r="I1019" s="109"/>
      <c r="K1019" s="110"/>
      <c r="L1019" s="110"/>
      <c r="M1019" s="110"/>
      <c r="N1019" s="110"/>
      <c r="O1019" s="110"/>
      <c r="P1019" s="110"/>
      <c r="Q1019" s="110"/>
    </row>
    <row r="1020">
      <c r="I1020" s="109"/>
      <c r="K1020" s="110"/>
      <c r="L1020" s="110"/>
      <c r="M1020" s="110"/>
      <c r="N1020" s="110"/>
      <c r="O1020" s="110"/>
      <c r="P1020" s="110"/>
      <c r="Q1020" s="110"/>
    </row>
    <row r="1021">
      <c r="I1021" s="109"/>
      <c r="K1021" s="110"/>
      <c r="L1021" s="110"/>
      <c r="M1021" s="110"/>
      <c r="N1021" s="110"/>
      <c r="O1021" s="110"/>
      <c r="P1021" s="110"/>
      <c r="Q1021" s="110"/>
    </row>
    <row r="1022">
      <c r="I1022" s="109"/>
      <c r="K1022" s="110"/>
      <c r="L1022" s="110"/>
      <c r="M1022" s="110"/>
      <c r="N1022" s="110"/>
      <c r="O1022" s="110"/>
      <c r="P1022" s="110"/>
      <c r="Q1022" s="110"/>
    </row>
    <row r="1023">
      <c r="I1023" s="109"/>
      <c r="K1023" s="110"/>
      <c r="L1023" s="110"/>
      <c r="M1023" s="110"/>
      <c r="N1023" s="110"/>
      <c r="O1023" s="110"/>
      <c r="P1023" s="110"/>
      <c r="Q1023" s="110"/>
    </row>
    <row r="1024">
      <c r="I1024" s="109"/>
      <c r="K1024" s="110"/>
      <c r="L1024" s="110"/>
      <c r="M1024" s="110"/>
      <c r="N1024" s="110"/>
      <c r="O1024" s="110"/>
      <c r="P1024" s="110"/>
      <c r="Q1024" s="110"/>
    </row>
    <row r="1025">
      <c r="I1025" s="109"/>
      <c r="K1025" s="110"/>
      <c r="L1025" s="110"/>
      <c r="M1025" s="110"/>
      <c r="N1025" s="110"/>
      <c r="O1025" s="110"/>
      <c r="P1025" s="110"/>
      <c r="Q1025" s="110"/>
    </row>
    <row r="1026">
      <c r="I1026" s="109"/>
      <c r="K1026" s="110"/>
      <c r="L1026" s="110"/>
      <c r="M1026" s="110"/>
      <c r="N1026" s="110"/>
      <c r="O1026" s="110"/>
      <c r="P1026" s="110"/>
      <c r="Q1026" s="110"/>
    </row>
    <row r="1027">
      <c r="I1027" s="109"/>
      <c r="K1027" s="110"/>
      <c r="L1027" s="110"/>
      <c r="M1027" s="110"/>
      <c r="N1027" s="110"/>
      <c r="O1027" s="110"/>
      <c r="P1027" s="110"/>
      <c r="Q1027" s="110"/>
    </row>
    <row r="1028">
      <c r="I1028" s="109"/>
      <c r="K1028" s="110"/>
      <c r="L1028" s="110"/>
      <c r="M1028" s="110"/>
      <c r="N1028" s="110"/>
      <c r="O1028" s="110"/>
      <c r="P1028" s="110"/>
      <c r="Q1028" s="110"/>
    </row>
    <row r="1029">
      <c r="I1029" s="109"/>
      <c r="K1029" s="110"/>
      <c r="L1029" s="110"/>
      <c r="M1029" s="110"/>
      <c r="N1029" s="110"/>
      <c r="O1029" s="110"/>
      <c r="P1029" s="110"/>
      <c r="Q1029" s="110"/>
    </row>
    <row r="1030">
      <c r="I1030" s="109"/>
      <c r="K1030" s="110"/>
      <c r="L1030" s="110"/>
      <c r="M1030" s="110"/>
      <c r="N1030" s="110"/>
      <c r="O1030" s="110"/>
      <c r="P1030" s="110"/>
      <c r="Q1030" s="110"/>
    </row>
    <row r="1031">
      <c r="I1031" s="109"/>
      <c r="K1031" s="110"/>
      <c r="L1031" s="110"/>
      <c r="M1031" s="110"/>
      <c r="N1031" s="110"/>
      <c r="O1031" s="110"/>
      <c r="P1031" s="110"/>
      <c r="Q1031" s="110"/>
    </row>
    <row r="1032">
      <c r="I1032" s="109"/>
      <c r="K1032" s="110"/>
      <c r="L1032" s="110"/>
      <c r="M1032" s="110"/>
      <c r="N1032" s="110"/>
      <c r="O1032" s="110"/>
      <c r="P1032" s="110"/>
      <c r="Q1032" s="110"/>
    </row>
    <row r="1033">
      <c r="I1033" s="109"/>
      <c r="K1033" s="110"/>
      <c r="L1033" s="110"/>
      <c r="M1033" s="110"/>
      <c r="N1033" s="110"/>
      <c r="O1033" s="110"/>
      <c r="P1033" s="110"/>
      <c r="Q1033" s="110"/>
    </row>
    <row r="1034">
      <c r="I1034" s="109"/>
      <c r="K1034" s="110"/>
      <c r="L1034" s="110"/>
      <c r="M1034" s="110"/>
      <c r="N1034" s="110"/>
      <c r="O1034" s="110"/>
      <c r="P1034" s="110"/>
      <c r="Q1034" s="110"/>
    </row>
    <row r="1035">
      <c r="I1035" s="109"/>
      <c r="K1035" s="110"/>
      <c r="L1035" s="110"/>
      <c r="M1035" s="110"/>
      <c r="N1035" s="110"/>
      <c r="O1035" s="110"/>
      <c r="P1035" s="110"/>
      <c r="Q1035" s="110"/>
    </row>
    <row r="1036">
      <c r="I1036" s="109"/>
      <c r="K1036" s="110"/>
      <c r="L1036" s="110"/>
      <c r="M1036" s="110"/>
      <c r="N1036" s="110"/>
      <c r="O1036" s="110"/>
      <c r="P1036" s="110"/>
      <c r="Q1036" s="110"/>
    </row>
    <row r="1037">
      <c r="I1037" s="109"/>
      <c r="K1037" s="110"/>
      <c r="L1037" s="110"/>
      <c r="M1037" s="110"/>
      <c r="N1037" s="110"/>
      <c r="O1037" s="110"/>
      <c r="P1037" s="110"/>
      <c r="Q1037" s="110"/>
    </row>
    <row r="1038">
      <c r="I1038" s="109"/>
      <c r="K1038" s="110"/>
      <c r="L1038" s="110"/>
      <c r="M1038" s="110"/>
      <c r="N1038" s="110"/>
      <c r="O1038" s="110"/>
      <c r="P1038" s="110"/>
      <c r="Q1038" s="110"/>
    </row>
    <row r="1039">
      <c r="I1039" s="109"/>
      <c r="K1039" s="110"/>
      <c r="L1039" s="110"/>
      <c r="M1039" s="110"/>
      <c r="N1039" s="110"/>
      <c r="O1039" s="110"/>
      <c r="P1039" s="110"/>
      <c r="Q1039" s="110"/>
    </row>
    <row r="1040">
      <c r="I1040" s="109"/>
      <c r="K1040" s="110"/>
      <c r="L1040" s="110"/>
      <c r="M1040" s="110"/>
      <c r="N1040" s="110"/>
      <c r="O1040" s="110"/>
      <c r="P1040" s="110"/>
      <c r="Q1040" s="110"/>
    </row>
    <row r="1041">
      <c r="I1041" s="109"/>
      <c r="K1041" s="110"/>
      <c r="L1041" s="110"/>
      <c r="M1041" s="110"/>
      <c r="N1041" s="110"/>
      <c r="O1041" s="110"/>
      <c r="P1041" s="110"/>
      <c r="Q1041" s="110"/>
    </row>
    <row r="1042">
      <c r="I1042" s="109"/>
      <c r="K1042" s="110"/>
      <c r="L1042" s="110"/>
      <c r="M1042" s="110"/>
      <c r="N1042" s="110"/>
      <c r="O1042" s="110"/>
      <c r="P1042" s="110"/>
      <c r="Q1042" s="110"/>
    </row>
    <row r="1043">
      <c r="I1043" s="109"/>
      <c r="K1043" s="110"/>
      <c r="L1043" s="110"/>
      <c r="M1043" s="110"/>
      <c r="N1043" s="110"/>
      <c r="O1043" s="110"/>
      <c r="P1043" s="110"/>
      <c r="Q1043" s="110"/>
    </row>
    <row r="1044">
      <c r="I1044" s="109"/>
      <c r="K1044" s="110"/>
      <c r="L1044" s="110"/>
      <c r="M1044" s="110"/>
      <c r="N1044" s="110"/>
      <c r="O1044" s="110"/>
      <c r="P1044" s="110"/>
      <c r="Q1044" s="110"/>
    </row>
    <row r="1045">
      <c r="I1045" s="109"/>
      <c r="K1045" s="110"/>
      <c r="L1045" s="110"/>
      <c r="M1045" s="110"/>
      <c r="N1045" s="110"/>
      <c r="O1045" s="110"/>
      <c r="P1045" s="110"/>
      <c r="Q1045" s="110"/>
    </row>
    <row r="1046">
      <c r="I1046" s="109"/>
      <c r="K1046" s="110"/>
      <c r="L1046" s="110"/>
      <c r="M1046" s="110"/>
      <c r="N1046" s="110"/>
      <c r="O1046" s="110"/>
      <c r="P1046" s="110"/>
      <c r="Q1046" s="110"/>
    </row>
    <row r="1047">
      <c r="I1047" s="109"/>
      <c r="K1047" s="110"/>
      <c r="L1047" s="110"/>
      <c r="M1047" s="110"/>
      <c r="N1047" s="110"/>
      <c r="O1047" s="110"/>
      <c r="P1047" s="110"/>
      <c r="Q1047" s="110"/>
    </row>
    <row r="1048">
      <c r="I1048" s="109"/>
      <c r="K1048" s="110"/>
      <c r="L1048" s="110"/>
      <c r="M1048" s="110"/>
      <c r="N1048" s="110"/>
      <c r="O1048" s="110"/>
      <c r="P1048" s="110"/>
      <c r="Q1048" s="110"/>
    </row>
    <row r="1049">
      <c r="I1049" s="109"/>
      <c r="K1049" s="110"/>
      <c r="L1049" s="110"/>
      <c r="M1049" s="110"/>
      <c r="N1049" s="110"/>
      <c r="O1049" s="110"/>
      <c r="P1049" s="110"/>
      <c r="Q1049" s="110"/>
    </row>
    <row r="1050">
      <c r="I1050" s="109"/>
      <c r="K1050" s="110"/>
      <c r="L1050" s="110"/>
      <c r="M1050" s="110"/>
      <c r="N1050" s="110"/>
      <c r="O1050" s="110"/>
      <c r="P1050" s="110"/>
      <c r="Q1050" s="110"/>
    </row>
    <row r="1051">
      <c r="I1051" s="109"/>
      <c r="K1051" s="110"/>
      <c r="L1051" s="110"/>
      <c r="M1051" s="110"/>
      <c r="N1051" s="110"/>
      <c r="O1051" s="110"/>
      <c r="P1051" s="110"/>
      <c r="Q1051" s="110"/>
    </row>
    <row r="1052">
      <c r="I1052" s="109"/>
      <c r="K1052" s="110"/>
      <c r="L1052" s="110"/>
      <c r="M1052" s="110"/>
      <c r="N1052" s="110"/>
      <c r="O1052" s="110"/>
      <c r="P1052" s="110"/>
      <c r="Q1052" s="110"/>
    </row>
    <row r="1053">
      <c r="I1053" s="109"/>
      <c r="K1053" s="110"/>
      <c r="L1053" s="110"/>
      <c r="M1053" s="110"/>
      <c r="N1053" s="110"/>
      <c r="O1053" s="110"/>
      <c r="P1053" s="110"/>
      <c r="Q1053" s="110"/>
    </row>
    <row r="1054">
      <c r="I1054" s="109"/>
      <c r="K1054" s="110"/>
      <c r="L1054" s="110"/>
      <c r="M1054" s="110"/>
      <c r="N1054" s="110"/>
      <c r="O1054" s="110"/>
      <c r="P1054" s="110"/>
      <c r="Q1054" s="110"/>
    </row>
    <row r="1055">
      <c r="I1055" s="109"/>
      <c r="K1055" s="110"/>
      <c r="L1055" s="110"/>
      <c r="M1055" s="110"/>
      <c r="N1055" s="110"/>
      <c r="O1055" s="110"/>
      <c r="P1055" s="110"/>
      <c r="Q1055" s="110"/>
    </row>
    <row r="1056">
      <c r="I1056" s="109"/>
      <c r="K1056" s="110"/>
      <c r="L1056" s="110"/>
      <c r="M1056" s="110"/>
      <c r="N1056" s="110"/>
      <c r="O1056" s="110"/>
      <c r="P1056" s="110"/>
      <c r="Q1056" s="110"/>
    </row>
    <row r="1057">
      <c r="I1057" s="109"/>
      <c r="K1057" s="110"/>
      <c r="L1057" s="110"/>
      <c r="M1057" s="110"/>
      <c r="N1057" s="110"/>
      <c r="O1057" s="110"/>
      <c r="P1057" s="110"/>
      <c r="Q1057" s="110"/>
    </row>
    <row r="1058">
      <c r="I1058" s="109"/>
      <c r="K1058" s="110"/>
      <c r="L1058" s="110"/>
      <c r="M1058" s="110"/>
      <c r="N1058" s="110"/>
      <c r="O1058" s="110"/>
      <c r="P1058" s="110"/>
      <c r="Q1058" s="110"/>
    </row>
    <row r="1059">
      <c r="I1059" s="109"/>
      <c r="K1059" s="110"/>
      <c r="L1059" s="110"/>
      <c r="M1059" s="110"/>
      <c r="N1059" s="110"/>
      <c r="O1059" s="110"/>
      <c r="P1059" s="110"/>
      <c r="Q1059" s="110"/>
    </row>
    <row r="1060">
      <c r="I1060" s="109"/>
      <c r="K1060" s="110"/>
      <c r="L1060" s="110"/>
      <c r="M1060" s="110"/>
      <c r="N1060" s="110"/>
      <c r="O1060" s="110"/>
      <c r="P1060" s="110"/>
      <c r="Q1060" s="110"/>
    </row>
    <row r="1061">
      <c r="I1061" s="109"/>
      <c r="K1061" s="110"/>
      <c r="L1061" s="110"/>
      <c r="M1061" s="110"/>
      <c r="N1061" s="110"/>
      <c r="O1061" s="110"/>
      <c r="P1061" s="110"/>
      <c r="Q1061" s="110"/>
    </row>
    <row r="1062">
      <c r="I1062" s="109"/>
      <c r="K1062" s="110"/>
      <c r="L1062" s="110"/>
      <c r="M1062" s="110"/>
      <c r="N1062" s="110"/>
      <c r="O1062" s="110"/>
      <c r="P1062" s="110"/>
      <c r="Q1062" s="110"/>
    </row>
    <row r="1063">
      <c r="I1063" s="109"/>
      <c r="K1063" s="110"/>
      <c r="L1063" s="110"/>
      <c r="M1063" s="110"/>
      <c r="N1063" s="110"/>
      <c r="O1063" s="110"/>
      <c r="P1063" s="110"/>
      <c r="Q1063" s="110"/>
    </row>
    <row r="1064">
      <c r="I1064" s="109"/>
      <c r="K1064" s="110"/>
      <c r="L1064" s="110"/>
      <c r="M1064" s="110"/>
      <c r="N1064" s="110"/>
      <c r="O1064" s="110"/>
      <c r="P1064" s="110"/>
      <c r="Q1064" s="110"/>
    </row>
    <row r="1065">
      <c r="I1065" s="109"/>
      <c r="K1065" s="110"/>
      <c r="L1065" s="110"/>
      <c r="M1065" s="110"/>
      <c r="N1065" s="110"/>
      <c r="O1065" s="110"/>
      <c r="P1065" s="110"/>
      <c r="Q1065" s="110"/>
    </row>
    <row r="1066">
      <c r="I1066" s="109"/>
      <c r="K1066" s="110"/>
      <c r="L1066" s="110"/>
      <c r="M1066" s="110"/>
      <c r="N1066" s="110"/>
      <c r="O1066" s="110"/>
      <c r="P1066" s="110"/>
      <c r="Q1066" s="110"/>
    </row>
    <row r="1067">
      <c r="I1067" s="109"/>
      <c r="K1067" s="110"/>
      <c r="L1067" s="110"/>
      <c r="M1067" s="110"/>
      <c r="N1067" s="110"/>
      <c r="O1067" s="110"/>
      <c r="P1067" s="110"/>
      <c r="Q1067" s="110"/>
    </row>
    <row r="1068">
      <c r="I1068" s="109"/>
      <c r="K1068" s="110"/>
      <c r="L1068" s="110"/>
      <c r="M1068" s="110"/>
      <c r="N1068" s="110"/>
      <c r="O1068" s="110"/>
      <c r="P1068" s="110"/>
      <c r="Q1068" s="110"/>
    </row>
    <row r="1069">
      <c r="I1069" s="109"/>
      <c r="K1069" s="110"/>
      <c r="L1069" s="110"/>
      <c r="M1069" s="110"/>
      <c r="N1069" s="110"/>
      <c r="O1069" s="110"/>
      <c r="P1069" s="110"/>
      <c r="Q1069" s="110"/>
    </row>
    <row r="1070">
      <c r="I1070" s="109"/>
      <c r="K1070" s="110"/>
      <c r="L1070" s="110"/>
      <c r="M1070" s="110"/>
      <c r="N1070" s="110"/>
      <c r="O1070" s="110"/>
      <c r="P1070" s="110"/>
      <c r="Q1070" s="110"/>
    </row>
    <row r="1071">
      <c r="I1071" s="109"/>
      <c r="K1071" s="110"/>
      <c r="L1071" s="110"/>
      <c r="M1071" s="110"/>
      <c r="N1071" s="110"/>
      <c r="O1071" s="110"/>
      <c r="P1071" s="110"/>
      <c r="Q1071" s="110"/>
    </row>
    <row r="1072">
      <c r="I1072" s="109"/>
      <c r="K1072" s="110"/>
      <c r="L1072" s="110"/>
      <c r="M1072" s="110"/>
      <c r="N1072" s="110"/>
      <c r="O1072" s="110"/>
      <c r="P1072" s="110"/>
      <c r="Q1072" s="110"/>
    </row>
    <row r="1073">
      <c r="I1073" s="109"/>
      <c r="K1073" s="110"/>
      <c r="L1073" s="110"/>
      <c r="M1073" s="110"/>
      <c r="N1073" s="110"/>
      <c r="O1073" s="110"/>
      <c r="P1073" s="110"/>
      <c r="Q1073" s="110"/>
    </row>
    <row r="1074">
      <c r="I1074" s="109"/>
      <c r="K1074" s="110"/>
      <c r="L1074" s="110"/>
      <c r="M1074" s="110"/>
      <c r="N1074" s="110"/>
      <c r="O1074" s="110"/>
      <c r="P1074" s="110"/>
      <c r="Q1074" s="110"/>
    </row>
    <row r="1075">
      <c r="I1075" s="109"/>
      <c r="K1075" s="110"/>
      <c r="L1075" s="110"/>
      <c r="M1075" s="110"/>
      <c r="N1075" s="110"/>
      <c r="O1075" s="110"/>
      <c r="P1075" s="110"/>
      <c r="Q1075" s="110"/>
    </row>
    <row r="1076">
      <c r="I1076" s="109"/>
      <c r="K1076" s="110"/>
      <c r="L1076" s="110"/>
      <c r="M1076" s="110"/>
      <c r="N1076" s="110"/>
      <c r="O1076" s="110"/>
      <c r="P1076" s="110"/>
      <c r="Q1076" s="110"/>
    </row>
    <row r="1077">
      <c r="I1077" s="109"/>
      <c r="K1077" s="110"/>
      <c r="L1077" s="110"/>
      <c r="M1077" s="110"/>
      <c r="N1077" s="110"/>
      <c r="O1077" s="110"/>
      <c r="P1077" s="110"/>
      <c r="Q1077" s="110"/>
    </row>
    <row r="1078">
      <c r="I1078" s="109"/>
      <c r="K1078" s="110"/>
      <c r="L1078" s="110"/>
      <c r="M1078" s="110"/>
      <c r="N1078" s="110"/>
      <c r="O1078" s="110"/>
      <c r="P1078" s="110"/>
      <c r="Q1078" s="110"/>
    </row>
    <row r="1079">
      <c r="I1079" s="109"/>
      <c r="K1079" s="110"/>
      <c r="L1079" s="110"/>
      <c r="M1079" s="110"/>
      <c r="N1079" s="110"/>
      <c r="O1079" s="110"/>
      <c r="P1079" s="110"/>
      <c r="Q1079" s="110"/>
    </row>
    <row r="1080">
      <c r="I1080" s="109"/>
      <c r="K1080" s="110"/>
      <c r="L1080" s="110"/>
      <c r="M1080" s="110"/>
      <c r="N1080" s="110"/>
      <c r="O1080" s="110"/>
      <c r="P1080" s="110"/>
      <c r="Q1080" s="110"/>
    </row>
    <row r="1081">
      <c r="I1081" s="109"/>
      <c r="K1081" s="110"/>
      <c r="L1081" s="110"/>
      <c r="M1081" s="110"/>
      <c r="N1081" s="110"/>
      <c r="O1081" s="110"/>
      <c r="P1081" s="110"/>
      <c r="Q1081" s="110"/>
    </row>
    <row r="1082">
      <c r="I1082" s="109"/>
      <c r="K1082" s="110"/>
      <c r="L1082" s="110"/>
      <c r="M1082" s="110"/>
      <c r="N1082" s="110"/>
      <c r="O1082" s="110"/>
      <c r="P1082" s="110"/>
      <c r="Q1082" s="110"/>
    </row>
    <row r="1083">
      <c r="I1083" s="109"/>
      <c r="K1083" s="110"/>
      <c r="L1083" s="110"/>
      <c r="M1083" s="110"/>
      <c r="N1083" s="110"/>
      <c r="O1083" s="110"/>
      <c r="P1083" s="110"/>
      <c r="Q1083" s="110"/>
    </row>
    <row r="1084">
      <c r="I1084" s="109"/>
      <c r="K1084" s="110"/>
      <c r="L1084" s="110"/>
      <c r="M1084" s="110"/>
      <c r="N1084" s="110"/>
      <c r="O1084" s="110"/>
      <c r="P1084" s="110"/>
      <c r="Q1084" s="110"/>
    </row>
    <row r="1085">
      <c r="I1085" s="109"/>
      <c r="K1085" s="110"/>
      <c r="L1085" s="110"/>
      <c r="M1085" s="110"/>
      <c r="N1085" s="110"/>
      <c r="O1085" s="110"/>
      <c r="P1085" s="110"/>
      <c r="Q1085" s="110"/>
    </row>
    <row r="1086">
      <c r="I1086" s="109"/>
      <c r="K1086" s="110"/>
      <c r="L1086" s="110"/>
      <c r="M1086" s="110"/>
      <c r="N1086" s="110"/>
      <c r="O1086" s="110"/>
      <c r="P1086" s="110"/>
      <c r="Q1086" s="110"/>
    </row>
    <row r="1087">
      <c r="I1087" s="109"/>
      <c r="K1087" s="110"/>
      <c r="L1087" s="110"/>
      <c r="M1087" s="110"/>
      <c r="N1087" s="110"/>
      <c r="O1087" s="110"/>
      <c r="P1087" s="110"/>
      <c r="Q1087" s="110"/>
    </row>
    <row r="1088">
      <c r="I1088" s="109"/>
      <c r="K1088" s="110"/>
      <c r="L1088" s="110"/>
      <c r="M1088" s="110"/>
      <c r="N1088" s="110"/>
      <c r="O1088" s="110"/>
      <c r="P1088" s="110"/>
      <c r="Q1088" s="110"/>
    </row>
    <row r="1089">
      <c r="I1089" s="109"/>
      <c r="K1089" s="110"/>
      <c r="L1089" s="110"/>
      <c r="M1089" s="110"/>
      <c r="N1089" s="110"/>
      <c r="O1089" s="110"/>
      <c r="P1089" s="110"/>
      <c r="Q1089" s="110"/>
    </row>
    <row r="1090">
      <c r="I1090" s="109"/>
      <c r="K1090" s="110"/>
      <c r="L1090" s="110"/>
      <c r="M1090" s="110"/>
      <c r="N1090" s="110"/>
      <c r="O1090" s="110"/>
      <c r="P1090" s="110"/>
      <c r="Q1090" s="110"/>
    </row>
    <row r="1091">
      <c r="I1091" s="109"/>
      <c r="K1091" s="110"/>
      <c r="L1091" s="110"/>
      <c r="M1091" s="110"/>
      <c r="N1091" s="110"/>
      <c r="O1091" s="110"/>
      <c r="P1091" s="110"/>
      <c r="Q1091" s="110"/>
    </row>
    <row r="1092">
      <c r="I1092" s="109"/>
      <c r="K1092" s="110"/>
      <c r="L1092" s="110"/>
      <c r="M1092" s="110"/>
      <c r="N1092" s="110"/>
      <c r="O1092" s="110"/>
      <c r="P1092" s="110"/>
      <c r="Q1092" s="110"/>
    </row>
    <row r="1093">
      <c r="I1093" s="109"/>
      <c r="K1093" s="110"/>
      <c r="L1093" s="110"/>
      <c r="M1093" s="110"/>
      <c r="N1093" s="110"/>
      <c r="O1093" s="110"/>
      <c r="P1093" s="110"/>
      <c r="Q1093" s="110"/>
    </row>
    <row r="1094">
      <c r="I1094" s="109"/>
      <c r="K1094" s="110"/>
      <c r="L1094" s="110"/>
      <c r="M1094" s="110"/>
      <c r="N1094" s="110"/>
      <c r="O1094" s="110"/>
      <c r="P1094" s="110"/>
      <c r="Q1094" s="110"/>
    </row>
    <row r="1095">
      <c r="I1095" s="109"/>
      <c r="K1095" s="110"/>
      <c r="L1095" s="110"/>
      <c r="M1095" s="110"/>
      <c r="N1095" s="110"/>
      <c r="O1095" s="110"/>
      <c r="P1095" s="110"/>
      <c r="Q1095" s="110"/>
    </row>
    <row r="1096">
      <c r="I1096" s="109"/>
      <c r="K1096" s="110"/>
      <c r="L1096" s="110"/>
      <c r="M1096" s="110"/>
      <c r="N1096" s="110"/>
      <c r="O1096" s="110"/>
      <c r="P1096" s="110"/>
      <c r="Q1096" s="110"/>
    </row>
    <row r="1097">
      <c r="I1097" s="109"/>
      <c r="K1097" s="110"/>
      <c r="L1097" s="110"/>
      <c r="M1097" s="110"/>
      <c r="N1097" s="110"/>
      <c r="O1097" s="110"/>
      <c r="P1097" s="110"/>
      <c r="Q1097" s="110"/>
    </row>
    <row r="1098">
      <c r="I1098" s="109"/>
      <c r="K1098" s="110"/>
      <c r="L1098" s="110"/>
      <c r="M1098" s="110"/>
      <c r="N1098" s="110"/>
      <c r="O1098" s="110"/>
      <c r="P1098" s="110"/>
      <c r="Q1098" s="110"/>
    </row>
    <row r="1099">
      <c r="I1099" s="109"/>
      <c r="K1099" s="110"/>
      <c r="L1099" s="110"/>
      <c r="M1099" s="110"/>
      <c r="N1099" s="110"/>
      <c r="O1099" s="110"/>
      <c r="P1099" s="110"/>
      <c r="Q1099" s="110"/>
    </row>
    <row r="1100">
      <c r="I1100" s="109"/>
      <c r="K1100" s="110"/>
      <c r="L1100" s="110"/>
      <c r="M1100" s="110"/>
      <c r="N1100" s="110"/>
      <c r="O1100" s="110"/>
      <c r="P1100" s="110"/>
      <c r="Q1100" s="110"/>
    </row>
    <row r="1101">
      <c r="I1101" s="109"/>
      <c r="K1101" s="110"/>
      <c r="L1101" s="110"/>
      <c r="M1101" s="110"/>
      <c r="N1101" s="110"/>
      <c r="O1101" s="110"/>
      <c r="P1101" s="110"/>
      <c r="Q1101" s="110"/>
    </row>
    <row r="1102">
      <c r="I1102" s="109"/>
      <c r="K1102" s="110"/>
      <c r="L1102" s="110"/>
      <c r="M1102" s="110"/>
      <c r="N1102" s="110"/>
      <c r="O1102" s="110"/>
      <c r="P1102" s="110"/>
      <c r="Q1102" s="110"/>
    </row>
    <row r="1103">
      <c r="I1103" s="109"/>
      <c r="K1103" s="110"/>
      <c r="L1103" s="110"/>
      <c r="M1103" s="110"/>
      <c r="N1103" s="110"/>
      <c r="O1103" s="110"/>
      <c r="P1103" s="110"/>
      <c r="Q1103" s="110"/>
    </row>
    <row r="1104">
      <c r="I1104" s="109"/>
      <c r="K1104" s="110"/>
      <c r="L1104" s="110"/>
      <c r="M1104" s="110"/>
      <c r="N1104" s="110"/>
      <c r="O1104" s="110"/>
      <c r="P1104" s="110"/>
      <c r="Q1104" s="110"/>
    </row>
    <row r="1105">
      <c r="I1105" s="109"/>
      <c r="K1105" s="110"/>
      <c r="L1105" s="110"/>
      <c r="M1105" s="110"/>
      <c r="N1105" s="110"/>
      <c r="O1105" s="110"/>
      <c r="P1105" s="110"/>
      <c r="Q1105" s="110"/>
    </row>
    <row r="1106">
      <c r="I1106" s="109"/>
      <c r="K1106" s="110"/>
      <c r="L1106" s="110"/>
      <c r="M1106" s="110"/>
      <c r="N1106" s="110"/>
      <c r="O1106" s="110"/>
      <c r="P1106" s="110"/>
      <c r="Q1106" s="110"/>
    </row>
    <row r="1107">
      <c r="I1107" s="109"/>
      <c r="K1107" s="110"/>
      <c r="L1107" s="110"/>
      <c r="M1107" s="110"/>
      <c r="N1107" s="110"/>
      <c r="O1107" s="110"/>
      <c r="P1107" s="110"/>
      <c r="Q1107" s="110"/>
    </row>
    <row r="1108">
      <c r="I1108" s="109"/>
      <c r="K1108" s="110"/>
      <c r="L1108" s="110"/>
      <c r="M1108" s="110"/>
      <c r="N1108" s="110"/>
      <c r="O1108" s="110"/>
      <c r="P1108" s="110"/>
      <c r="Q1108" s="110"/>
    </row>
    <row r="1109">
      <c r="I1109" s="109"/>
      <c r="K1109" s="110"/>
      <c r="L1109" s="110"/>
      <c r="M1109" s="110"/>
      <c r="N1109" s="110"/>
      <c r="O1109" s="110"/>
      <c r="P1109" s="110"/>
      <c r="Q1109" s="110"/>
    </row>
    <row r="1110">
      <c r="I1110" s="109"/>
      <c r="K1110" s="110"/>
      <c r="L1110" s="110"/>
      <c r="M1110" s="110"/>
      <c r="N1110" s="110"/>
      <c r="O1110" s="110"/>
      <c r="P1110" s="110"/>
      <c r="Q1110" s="110"/>
    </row>
    <row r="1111">
      <c r="I1111" s="109"/>
      <c r="K1111" s="110"/>
      <c r="L1111" s="110"/>
      <c r="M1111" s="110"/>
      <c r="N1111" s="110"/>
      <c r="O1111" s="110"/>
      <c r="P1111" s="110"/>
      <c r="Q1111" s="110"/>
    </row>
    <row r="1112">
      <c r="I1112" s="109"/>
      <c r="K1112" s="110"/>
      <c r="L1112" s="110"/>
      <c r="M1112" s="110"/>
      <c r="N1112" s="110"/>
      <c r="O1112" s="110"/>
      <c r="P1112" s="110"/>
      <c r="Q1112" s="110"/>
    </row>
    <row r="1113">
      <c r="I1113" s="109"/>
      <c r="K1113" s="110"/>
      <c r="L1113" s="110"/>
      <c r="M1113" s="110"/>
      <c r="N1113" s="110"/>
      <c r="O1113" s="110"/>
      <c r="P1113" s="110"/>
      <c r="Q1113" s="110"/>
    </row>
    <row r="1114">
      <c r="I1114" s="109"/>
      <c r="K1114" s="110"/>
      <c r="L1114" s="110"/>
      <c r="M1114" s="110"/>
      <c r="N1114" s="110"/>
      <c r="O1114" s="110"/>
      <c r="P1114" s="110"/>
      <c r="Q1114" s="110"/>
    </row>
    <row r="1115">
      <c r="I1115" s="109"/>
      <c r="K1115" s="110"/>
      <c r="L1115" s="110"/>
      <c r="M1115" s="110"/>
      <c r="N1115" s="110"/>
      <c r="O1115" s="110"/>
      <c r="P1115" s="110"/>
      <c r="Q1115" s="110"/>
    </row>
    <row r="1116">
      <c r="I1116" s="109"/>
      <c r="K1116" s="110"/>
      <c r="L1116" s="110"/>
      <c r="M1116" s="110"/>
      <c r="N1116" s="110"/>
      <c r="O1116" s="110"/>
      <c r="P1116" s="110"/>
      <c r="Q1116" s="110"/>
    </row>
    <row r="1117">
      <c r="I1117" s="109"/>
      <c r="K1117" s="110"/>
      <c r="L1117" s="110"/>
      <c r="M1117" s="110"/>
      <c r="N1117" s="110"/>
      <c r="O1117" s="110"/>
      <c r="P1117" s="110"/>
      <c r="Q1117" s="110"/>
    </row>
    <row r="1118">
      <c r="I1118" s="109"/>
      <c r="K1118" s="110"/>
      <c r="L1118" s="110"/>
      <c r="M1118" s="110"/>
      <c r="N1118" s="110"/>
      <c r="O1118" s="110"/>
      <c r="P1118" s="110"/>
      <c r="Q1118" s="110"/>
    </row>
    <row r="1119">
      <c r="I1119" s="109"/>
      <c r="K1119" s="110"/>
      <c r="L1119" s="110"/>
      <c r="M1119" s="110"/>
      <c r="N1119" s="110"/>
      <c r="O1119" s="110"/>
      <c r="P1119" s="110"/>
      <c r="Q1119" s="110"/>
    </row>
    <row r="1120">
      <c r="I1120" s="109"/>
      <c r="K1120" s="110"/>
      <c r="L1120" s="110"/>
      <c r="M1120" s="110"/>
      <c r="N1120" s="110"/>
      <c r="O1120" s="110"/>
      <c r="P1120" s="110"/>
      <c r="Q1120" s="110"/>
    </row>
    <row r="1121">
      <c r="I1121" s="109"/>
      <c r="K1121" s="110"/>
      <c r="L1121" s="110"/>
      <c r="M1121" s="110"/>
      <c r="N1121" s="110"/>
      <c r="O1121" s="110"/>
      <c r="P1121" s="110"/>
      <c r="Q1121" s="110"/>
    </row>
    <row r="1122">
      <c r="I1122" s="109"/>
      <c r="K1122" s="110"/>
      <c r="L1122" s="110"/>
      <c r="M1122" s="110"/>
      <c r="N1122" s="110"/>
      <c r="O1122" s="110"/>
      <c r="P1122" s="110"/>
      <c r="Q1122" s="110"/>
    </row>
    <row r="1123">
      <c r="I1123" s="109"/>
      <c r="K1123" s="110"/>
      <c r="L1123" s="110"/>
      <c r="M1123" s="110"/>
      <c r="N1123" s="110"/>
      <c r="O1123" s="110"/>
      <c r="P1123" s="110"/>
      <c r="Q1123" s="110"/>
    </row>
    <row r="1124">
      <c r="I1124" s="109"/>
      <c r="K1124" s="110"/>
      <c r="L1124" s="110"/>
      <c r="M1124" s="110"/>
      <c r="N1124" s="110"/>
      <c r="O1124" s="110"/>
      <c r="P1124" s="110"/>
      <c r="Q1124" s="110"/>
    </row>
    <row r="1125">
      <c r="I1125" s="109"/>
      <c r="K1125" s="110"/>
      <c r="L1125" s="110"/>
      <c r="M1125" s="110"/>
      <c r="N1125" s="110"/>
      <c r="O1125" s="110"/>
      <c r="P1125" s="110"/>
      <c r="Q1125" s="110"/>
    </row>
    <row r="1126">
      <c r="I1126" s="109"/>
      <c r="K1126" s="110"/>
      <c r="L1126" s="110"/>
      <c r="M1126" s="110"/>
      <c r="N1126" s="110"/>
      <c r="O1126" s="110"/>
      <c r="P1126" s="110"/>
      <c r="Q1126" s="110"/>
    </row>
    <row r="1127">
      <c r="I1127" s="109"/>
      <c r="K1127" s="110"/>
      <c r="L1127" s="110"/>
      <c r="M1127" s="110"/>
      <c r="N1127" s="110"/>
      <c r="O1127" s="110"/>
      <c r="P1127" s="110"/>
      <c r="Q1127" s="110"/>
    </row>
    <row r="1128">
      <c r="I1128" s="109"/>
      <c r="K1128" s="110"/>
      <c r="L1128" s="110"/>
      <c r="M1128" s="110"/>
      <c r="N1128" s="110"/>
      <c r="O1128" s="110"/>
      <c r="P1128" s="110"/>
      <c r="Q1128" s="110"/>
    </row>
    <row r="1129">
      <c r="I1129" s="109"/>
      <c r="K1129" s="110"/>
      <c r="L1129" s="110"/>
      <c r="M1129" s="110"/>
      <c r="N1129" s="110"/>
      <c r="O1129" s="110"/>
      <c r="P1129" s="110"/>
      <c r="Q1129" s="110"/>
    </row>
    <row r="1130">
      <c r="I1130" s="109"/>
      <c r="K1130" s="110"/>
      <c r="L1130" s="110"/>
      <c r="M1130" s="110"/>
      <c r="N1130" s="110"/>
      <c r="O1130" s="110"/>
      <c r="P1130" s="110"/>
      <c r="Q1130" s="110"/>
    </row>
    <row r="1131">
      <c r="I1131" s="109"/>
      <c r="K1131" s="110"/>
      <c r="L1131" s="110"/>
      <c r="M1131" s="110"/>
      <c r="N1131" s="110"/>
      <c r="O1131" s="110"/>
      <c r="P1131" s="110"/>
      <c r="Q1131" s="110"/>
    </row>
    <row r="1132">
      <c r="I1132" s="109"/>
      <c r="K1132" s="110"/>
      <c r="L1132" s="110"/>
      <c r="M1132" s="110"/>
      <c r="N1132" s="110"/>
      <c r="O1132" s="110"/>
      <c r="P1132" s="110"/>
      <c r="Q1132" s="110"/>
    </row>
    <row r="1133">
      <c r="I1133" s="109"/>
      <c r="K1133" s="110"/>
      <c r="L1133" s="110"/>
      <c r="M1133" s="110"/>
      <c r="N1133" s="110"/>
      <c r="O1133" s="110"/>
      <c r="P1133" s="110"/>
      <c r="Q1133" s="110"/>
    </row>
    <row r="1134">
      <c r="I1134" s="109"/>
      <c r="K1134" s="110"/>
      <c r="L1134" s="110"/>
      <c r="M1134" s="110"/>
      <c r="N1134" s="110"/>
      <c r="O1134" s="110"/>
      <c r="P1134" s="110"/>
      <c r="Q1134" s="110"/>
    </row>
    <row r="1135">
      <c r="I1135" s="109"/>
      <c r="K1135" s="110"/>
      <c r="L1135" s="110"/>
      <c r="M1135" s="110"/>
      <c r="N1135" s="110"/>
      <c r="O1135" s="110"/>
      <c r="P1135" s="110"/>
      <c r="Q1135" s="110"/>
    </row>
    <row r="1136">
      <c r="I1136" s="109"/>
      <c r="K1136" s="110"/>
      <c r="L1136" s="110"/>
      <c r="M1136" s="110"/>
      <c r="N1136" s="110"/>
      <c r="O1136" s="110"/>
      <c r="P1136" s="110"/>
      <c r="Q1136" s="110"/>
    </row>
    <row r="1137">
      <c r="I1137" s="109"/>
      <c r="K1137" s="110"/>
      <c r="L1137" s="110"/>
      <c r="M1137" s="110"/>
      <c r="N1137" s="110"/>
      <c r="O1137" s="110"/>
      <c r="P1137" s="110"/>
      <c r="Q1137" s="110"/>
    </row>
    <row r="1138">
      <c r="I1138" s="109"/>
      <c r="K1138" s="110"/>
      <c r="L1138" s="110"/>
      <c r="M1138" s="110"/>
      <c r="N1138" s="110"/>
      <c r="O1138" s="110"/>
      <c r="P1138" s="110"/>
      <c r="Q1138" s="110"/>
    </row>
    <row r="1139">
      <c r="I1139" s="109"/>
      <c r="K1139" s="110"/>
      <c r="L1139" s="110"/>
      <c r="M1139" s="110"/>
      <c r="N1139" s="110"/>
      <c r="O1139" s="110"/>
      <c r="P1139" s="110"/>
      <c r="Q1139" s="110"/>
    </row>
    <row r="1140">
      <c r="I1140" s="109"/>
      <c r="K1140" s="110"/>
      <c r="L1140" s="110"/>
      <c r="M1140" s="110"/>
      <c r="N1140" s="110"/>
      <c r="O1140" s="110"/>
      <c r="P1140" s="110"/>
      <c r="Q1140" s="110"/>
    </row>
    <row r="1141">
      <c r="I1141" s="109"/>
      <c r="K1141" s="110"/>
      <c r="L1141" s="110"/>
      <c r="M1141" s="110"/>
      <c r="N1141" s="110"/>
      <c r="O1141" s="110"/>
      <c r="P1141" s="110"/>
      <c r="Q1141" s="110"/>
    </row>
    <row r="1142">
      <c r="I1142" s="109"/>
      <c r="K1142" s="110"/>
      <c r="L1142" s="110"/>
      <c r="M1142" s="110"/>
      <c r="N1142" s="110"/>
      <c r="O1142" s="110"/>
      <c r="P1142" s="110"/>
      <c r="Q1142" s="110"/>
    </row>
    <row r="1143">
      <c r="I1143" s="109"/>
      <c r="K1143" s="110"/>
      <c r="L1143" s="110"/>
      <c r="M1143" s="110"/>
      <c r="N1143" s="110"/>
      <c r="O1143" s="110"/>
      <c r="P1143" s="110"/>
      <c r="Q1143" s="110"/>
    </row>
    <row r="1144">
      <c r="I1144" s="109"/>
      <c r="K1144" s="110"/>
      <c r="L1144" s="110"/>
      <c r="M1144" s="110"/>
      <c r="N1144" s="110"/>
      <c r="O1144" s="110"/>
      <c r="P1144" s="110"/>
      <c r="Q1144" s="110"/>
    </row>
    <row r="1145">
      <c r="I1145" s="109"/>
      <c r="K1145" s="110"/>
      <c r="L1145" s="110"/>
      <c r="M1145" s="110"/>
      <c r="N1145" s="110"/>
      <c r="O1145" s="110"/>
      <c r="P1145" s="110"/>
      <c r="Q1145" s="110"/>
    </row>
    <row r="1146">
      <c r="I1146" s="109"/>
      <c r="K1146" s="110"/>
      <c r="L1146" s="110"/>
      <c r="M1146" s="110"/>
      <c r="N1146" s="110"/>
      <c r="O1146" s="110"/>
      <c r="P1146" s="110"/>
      <c r="Q1146" s="110"/>
    </row>
    <row r="1147">
      <c r="I1147" s="109"/>
      <c r="K1147" s="110"/>
      <c r="L1147" s="110"/>
      <c r="M1147" s="110"/>
      <c r="N1147" s="110"/>
      <c r="O1147" s="110"/>
      <c r="P1147" s="110"/>
      <c r="Q1147" s="110"/>
    </row>
    <row r="1148">
      <c r="I1148" s="109"/>
      <c r="K1148" s="110"/>
      <c r="L1148" s="110"/>
      <c r="M1148" s="110"/>
      <c r="N1148" s="110"/>
      <c r="O1148" s="110"/>
      <c r="P1148" s="110"/>
      <c r="Q1148" s="110"/>
    </row>
    <row r="1149">
      <c r="I1149" s="109"/>
      <c r="K1149" s="110"/>
      <c r="L1149" s="110"/>
      <c r="M1149" s="110"/>
      <c r="N1149" s="110"/>
      <c r="O1149" s="110"/>
      <c r="P1149" s="110"/>
      <c r="Q1149" s="110"/>
    </row>
    <row r="1150">
      <c r="I1150" s="109"/>
      <c r="K1150" s="110"/>
      <c r="L1150" s="110"/>
      <c r="M1150" s="110"/>
      <c r="N1150" s="110"/>
      <c r="O1150" s="110"/>
      <c r="P1150" s="110"/>
      <c r="Q1150" s="110"/>
    </row>
    <row r="1151">
      <c r="I1151" s="109"/>
      <c r="K1151" s="110"/>
      <c r="L1151" s="110"/>
      <c r="M1151" s="110"/>
      <c r="N1151" s="110"/>
      <c r="O1151" s="110"/>
      <c r="P1151" s="110"/>
      <c r="Q1151" s="110"/>
    </row>
    <row r="1152">
      <c r="I1152" s="109"/>
      <c r="K1152" s="110"/>
      <c r="L1152" s="110"/>
      <c r="M1152" s="110"/>
      <c r="N1152" s="110"/>
      <c r="O1152" s="110"/>
      <c r="P1152" s="110"/>
      <c r="Q1152" s="110"/>
    </row>
    <row r="1153">
      <c r="I1153" s="109"/>
      <c r="K1153" s="110"/>
      <c r="L1153" s="110"/>
      <c r="M1153" s="110"/>
      <c r="N1153" s="110"/>
      <c r="O1153" s="110"/>
      <c r="P1153" s="110"/>
      <c r="Q1153" s="110"/>
    </row>
    <row r="1154">
      <c r="I1154" s="109"/>
      <c r="K1154" s="110"/>
      <c r="L1154" s="110"/>
      <c r="M1154" s="110"/>
      <c r="N1154" s="110"/>
      <c r="O1154" s="110"/>
      <c r="P1154" s="110"/>
      <c r="Q1154" s="110"/>
    </row>
    <row r="1155">
      <c r="I1155" s="109"/>
      <c r="K1155" s="110"/>
      <c r="L1155" s="110"/>
      <c r="M1155" s="110"/>
      <c r="N1155" s="110"/>
      <c r="O1155" s="110"/>
      <c r="P1155" s="110"/>
      <c r="Q1155" s="110"/>
    </row>
    <row r="1156">
      <c r="I1156" s="109"/>
      <c r="K1156" s="110"/>
      <c r="L1156" s="110"/>
      <c r="M1156" s="110"/>
      <c r="N1156" s="110"/>
      <c r="O1156" s="110"/>
      <c r="P1156" s="110"/>
      <c r="Q1156" s="110"/>
    </row>
    <row r="1157">
      <c r="I1157" s="109"/>
      <c r="K1157" s="110"/>
      <c r="L1157" s="110"/>
      <c r="M1157" s="110"/>
      <c r="N1157" s="110"/>
      <c r="O1157" s="110"/>
      <c r="P1157" s="110"/>
      <c r="Q1157" s="110"/>
    </row>
    <row r="1158">
      <c r="I1158" s="109"/>
      <c r="K1158" s="110"/>
      <c r="L1158" s="110"/>
      <c r="M1158" s="110"/>
      <c r="N1158" s="110"/>
      <c r="O1158" s="110"/>
      <c r="P1158" s="110"/>
      <c r="Q1158" s="110"/>
    </row>
    <row r="1159">
      <c r="I1159" s="109"/>
      <c r="K1159" s="110"/>
      <c r="L1159" s="110"/>
      <c r="M1159" s="110"/>
      <c r="N1159" s="110"/>
      <c r="O1159" s="110"/>
      <c r="P1159" s="110"/>
      <c r="Q1159" s="110"/>
    </row>
    <row r="1160">
      <c r="I1160" s="109"/>
      <c r="K1160" s="110"/>
      <c r="L1160" s="110"/>
      <c r="M1160" s="110"/>
      <c r="N1160" s="110"/>
      <c r="O1160" s="110"/>
      <c r="P1160" s="110"/>
      <c r="Q1160" s="110"/>
    </row>
    <row r="1161">
      <c r="I1161" s="109"/>
      <c r="K1161" s="110"/>
      <c r="L1161" s="110"/>
      <c r="M1161" s="110"/>
      <c r="N1161" s="110"/>
      <c r="O1161" s="110"/>
      <c r="P1161" s="110"/>
      <c r="Q1161" s="110"/>
    </row>
    <row r="1162">
      <c r="I1162" s="109"/>
      <c r="K1162" s="110"/>
      <c r="L1162" s="110"/>
      <c r="M1162" s="110"/>
      <c r="N1162" s="110"/>
      <c r="O1162" s="110"/>
      <c r="P1162" s="110"/>
      <c r="Q1162" s="110"/>
    </row>
    <row r="1163">
      <c r="I1163" s="109"/>
      <c r="K1163" s="110"/>
      <c r="L1163" s="110"/>
      <c r="M1163" s="110"/>
      <c r="N1163" s="110"/>
      <c r="O1163" s="110"/>
      <c r="P1163" s="110"/>
      <c r="Q1163" s="110"/>
    </row>
    <row r="1164">
      <c r="I1164" s="109"/>
      <c r="K1164" s="110"/>
      <c r="L1164" s="110"/>
      <c r="M1164" s="110"/>
      <c r="N1164" s="110"/>
      <c r="O1164" s="110"/>
      <c r="P1164" s="110"/>
      <c r="Q1164" s="110"/>
    </row>
    <row r="1165">
      <c r="I1165" s="109"/>
      <c r="K1165" s="110"/>
      <c r="L1165" s="110"/>
      <c r="M1165" s="110"/>
      <c r="N1165" s="110"/>
      <c r="O1165" s="110"/>
      <c r="P1165" s="110"/>
      <c r="Q1165" s="110"/>
    </row>
    <row r="1166">
      <c r="I1166" s="109"/>
      <c r="K1166" s="110"/>
      <c r="L1166" s="110"/>
      <c r="M1166" s="110"/>
      <c r="N1166" s="110"/>
      <c r="O1166" s="110"/>
      <c r="P1166" s="110"/>
      <c r="Q1166" s="110"/>
    </row>
    <row r="1167">
      <c r="I1167" s="109"/>
      <c r="K1167" s="110"/>
      <c r="L1167" s="110"/>
      <c r="M1167" s="110"/>
      <c r="N1167" s="110"/>
      <c r="O1167" s="110"/>
      <c r="P1167" s="110"/>
      <c r="Q1167" s="110"/>
    </row>
    <row r="1168">
      <c r="I1168" s="109"/>
      <c r="K1168" s="110"/>
      <c r="L1168" s="110"/>
      <c r="M1168" s="110"/>
      <c r="N1168" s="110"/>
      <c r="O1168" s="110"/>
      <c r="P1168" s="110"/>
      <c r="Q1168" s="110"/>
    </row>
    <row r="1169">
      <c r="I1169" s="109"/>
      <c r="K1169" s="110"/>
      <c r="L1169" s="110"/>
      <c r="M1169" s="110"/>
      <c r="N1169" s="110"/>
      <c r="O1169" s="110"/>
      <c r="P1169" s="110"/>
      <c r="Q1169" s="110"/>
    </row>
    <row r="1170">
      <c r="I1170" s="109"/>
      <c r="K1170" s="110"/>
      <c r="L1170" s="110"/>
      <c r="M1170" s="110"/>
      <c r="N1170" s="110"/>
      <c r="O1170" s="110"/>
      <c r="P1170" s="110"/>
      <c r="Q1170" s="110"/>
    </row>
    <row r="1171">
      <c r="I1171" s="109"/>
      <c r="K1171" s="110"/>
      <c r="L1171" s="110"/>
      <c r="M1171" s="110"/>
      <c r="N1171" s="110"/>
      <c r="O1171" s="110"/>
      <c r="P1171" s="110"/>
      <c r="Q1171" s="110"/>
    </row>
    <row r="1172">
      <c r="I1172" s="109"/>
      <c r="K1172" s="110"/>
      <c r="L1172" s="110"/>
      <c r="M1172" s="110"/>
      <c r="N1172" s="110"/>
      <c r="O1172" s="110"/>
      <c r="P1172" s="110"/>
      <c r="Q1172" s="110"/>
    </row>
    <row r="1173">
      <c r="I1173" s="109"/>
      <c r="K1173" s="110"/>
      <c r="L1173" s="110"/>
      <c r="M1173" s="110"/>
      <c r="N1173" s="110"/>
      <c r="O1173" s="110"/>
      <c r="P1173" s="110"/>
      <c r="Q1173" s="110"/>
    </row>
    <row r="1174">
      <c r="I1174" s="109"/>
      <c r="K1174" s="110"/>
      <c r="L1174" s="110"/>
      <c r="M1174" s="110"/>
      <c r="N1174" s="110"/>
      <c r="O1174" s="110"/>
      <c r="P1174" s="110"/>
      <c r="Q1174" s="110"/>
    </row>
    <row r="1175">
      <c r="I1175" s="109"/>
      <c r="K1175" s="110"/>
      <c r="L1175" s="110"/>
      <c r="M1175" s="110"/>
      <c r="N1175" s="110"/>
      <c r="O1175" s="110"/>
      <c r="P1175" s="110"/>
      <c r="Q1175" s="110"/>
    </row>
    <row r="1176">
      <c r="I1176" s="109"/>
      <c r="K1176" s="110"/>
      <c r="L1176" s="110"/>
      <c r="M1176" s="110"/>
      <c r="N1176" s="110"/>
      <c r="O1176" s="110"/>
      <c r="P1176" s="110"/>
      <c r="Q1176" s="110"/>
    </row>
    <row r="1177">
      <c r="I1177" s="109"/>
      <c r="K1177" s="110"/>
      <c r="L1177" s="110"/>
      <c r="M1177" s="110"/>
      <c r="N1177" s="110"/>
      <c r="O1177" s="110"/>
      <c r="P1177" s="110"/>
      <c r="Q1177" s="110"/>
    </row>
    <row r="1178">
      <c r="I1178" s="109"/>
      <c r="K1178" s="110"/>
      <c r="L1178" s="110"/>
      <c r="M1178" s="110"/>
      <c r="N1178" s="110"/>
      <c r="O1178" s="110"/>
      <c r="P1178" s="110"/>
      <c r="Q1178" s="110"/>
    </row>
    <row r="1179">
      <c r="I1179" s="109"/>
      <c r="K1179" s="110"/>
      <c r="L1179" s="110"/>
      <c r="M1179" s="110"/>
      <c r="N1179" s="110"/>
      <c r="O1179" s="110"/>
      <c r="P1179" s="110"/>
      <c r="Q1179" s="110"/>
    </row>
    <row r="1180">
      <c r="I1180" s="109"/>
      <c r="K1180" s="110"/>
      <c r="L1180" s="110"/>
      <c r="M1180" s="110"/>
      <c r="N1180" s="110"/>
      <c r="O1180" s="110"/>
      <c r="P1180" s="110"/>
      <c r="Q1180" s="110"/>
    </row>
    <row r="1181">
      <c r="I1181" s="109"/>
      <c r="K1181" s="110"/>
      <c r="L1181" s="110"/>
      <c r="M1181" s="110"/>
      <c r="N1181" s="110"/>
      <c r="O1181" s="110"/>
      <c r="P1181" s="110"/>
      <c r="Q1181" s="110"/>
    </row>
    <row r="1182">
      <c r="I1182" s="109"/>
      <c r="K1182" s="110"/>
      <c r="L1182" s="110"/>
      <c r="M1182" s="110"/>
      <c r="N1182" s="110"/>
      <c r="O1182" s="110"/>
      <c r="P1182" s="110"/>
      <c r="Q1182" s="110"/>
    </row>
    <row r="1183">
      <c r="I1183" s="109"/>
      <c r="K1183" s="110"/>
      <c r="L1183" s="110"/>
      <c r="M1183" s="110"/>
      <c r="N1183" s="110"/>
      <c r="O1183" s="110"/>
      <c r="P1183" s="110"/>
      <c r="Q1183" s="110"/>
    </row>
    <row r="1184">
      <c r="I1184" s="109"/>
      <c r="K1184" s="110"/>
      <c r="L1184" s="110"/>
      <c r="M1184" s="110"/>
      <c r="N1184" s="110"/>
      <c r="O1184" s="110"/>
      <c r="P1184" s="110"/>
      <c r="Q1184" s="110"/>
    </row>
    <row r="1185">
      <c r="I1185" s="109"/>
      <c r="K1185" s="110"/>
      <c r="L1185" s="110"/>
      <c r="M1185" s="110"/>
      <c r="N1185" s="110"/>
      <c r="O1185" s="110"/>
      <c r="P1185" s="110"/>
      <c r="Q1185" s="110"/>
    </row>
    <row r="1186">
      <c r="I1186" s="109"/>
      <c r="K1186" s="110"/>
      <c r="L1186" s="110"/>
      <c r="M1186" s="110"/>
      <c r="N1186" s="110"/>
      <c r="O1186" s="110"/>
      <c r="P1186" s="110"/>
      <c r="Q1186" s="110"/>
    </row>
    <row r="1187">
      <c r="I1187" s="109"/>
      <c r="K1187" s="110"/>
      <c r="L1187" s="110"/>
      <c r="M1187" s="110"/>
      <c r="N1187" s="110"/>
      <c r="O1187" s="110"/>
      <c r="P1187" s="110"/>
      <c r="Q1187" s="110"/>
    </row>
    <row r="1188">
      <c r="I1188" s="109"/>
      <c r="K1188" s="110"/>
      <c r="L1188" s="110"/>
      <c r="M1188" s="110"/>
      <c r="N1188" s="110"/>
      <c r="O1188" s="110"/>
      <c r="P1188" s="110"/>
      <c r="Q1188" s="110"/>
    </row>
    <row r="1189">
      <c r="I1189" s="109"/>
      <c r="K1189" s="110"/>
      <c r="L1189" s="110"/>
      <c r="M1189" s="110"/>
      <c r="N1189" s="110"/>
      <c r="O1189" s="110"/>
      <c r="P1189" s="110"/>
      <c r="Q1189" s="110"/>
    </row>
    <row r="1190">
      <c r="I1190" s="109"/>
      <c r="K1190" s="110"/>
      <c r="L1190" s="110"/>
      <c r="M1190" s="110"/>
      <c r="N1190" s="110"/>
      <c r="O1190" s="110"/>
      <c r="P1190" s="110"/>
      <c r="Q1190" s="110"/>
    </row>
    <row r="1191">
      <c r="I1191" s="109"/>
      <c r="K1191" s="110"/>
      <c r="L1191" s="110"/>
      <c r="M1191" s="110"/>
      <c r="N1191" s="110"/>
      <c r="O1191" s="110"/>
      <c r="P1191" s="110"/>
      <c r="Q1191" s="110"/>
    </row>
    <row r="1192">
      <c r="I1192" s="109"/>
      <c r="K1192" s="110"/>
      <c r="L1192" s="110"/>
      <c r="M1192" s="110"/>
      <c r="N1192" s="110"/>
      <c r="O1192" s="110"/>
      <c r="P1192" s="110"/>
      <c r="Q1192" s="110"/>
    </row>
    <row r="1193">
      <c r="I1193" s="109"/>
      <c r="K1193" s="110"/>
      <c r="L1193" s="110"/>
      <c r="M1193" s="110"/>
      <c r="N1193" s="110"/>
      <c r="O1193" s="110"/>
      <c r="P1193" s="110"/>
      <c r="Q1193" s="110"/>
    </row>
    <row r="1194">
      <c r="I1194" s="109"/>
      <c r="K1194" s="110"/>
      <c r="L1194" s="110"/>
      <c r="M1194" s="110"/>
      <c r="N1194" s="110"/>
      <c r="O1194" s="110"/>
      <c r="P1194" s="110"/>
      <c r="Q1194" s="110"/>
    </row>
    <row r="1195">
      <c r="I1195" s="109"/>
      <c r="K1195" s="110"/>
      <c r="L1195" s="110"/>
      <c r="M1195" s="110"/>
      <c r="N1195" s="110"/>
      <c r="O1195" s="110"/>
      <c r="P1195" s="110"/>
      <c r="Q1195" s="110"/>
    </row>
    <row r="1196">
      <c r="I1196" s="109"/>
      <c r="K1196" s="110"/>
      <c r="L1196" s="110"/>
      <c r="M1196" s="110"/>
      <c r="N1196" s="110"/>
      <c r="O1196" s="110"/>
      <c r="P1196" s="110"/>
      <c r="Q1196" s="110"/>
    </row>
    <row r="1197">
      <c r="I1197" s="109"/>
      <c r="K1197" s="110"/>
      <c r="L1197" s="110"/>
      <c r="M1197" s="110"/>
      <c r="N1197" s="110"/>
      <c r="O1197" s="110"/>
      <c r="P1197" s="110"/>
      <c r="Q1197" s="110"/>
    </row>
    <row r="1198">
      <c r="I1198" s="109"/>
      <c r="K1198" s="110"/>
      <c r="L1198" s="110"/>
      <c r="M1198" s="110"/>
      <c r="N1198" s="110"/>
      <c r="O1198" s="110"/>
      <c r="P1198" s="110"/>
      <c r="Q1198" s="110"/>
    </row>
    <row r="1199">
      <c r="I1199" s="109"/>
      <c r="K1199" s="110"/>
      <c r="L1199" s="110"/>
      <c r="M1199" s="110"/>
      <c r="N1199" s="110"/>
      <c r="O1199" s="110"/>
      <c r="P1199" s="110"/>
      <c r="Q1199" s="110"/>
    </row>
    <row r="1200">
      <c r="I1200" s="109"/>
      <c r="K1200" s="110"/>
      <c r="L1200" s="110"/>
      <c r="M1200" s="110"/>
      <c r="N1200" s="110"/>
      <c r="O1200" s="110"/>
      <c r="P1200" s="110"/>
      <c r="Q1200" s="110"/>
    </row>
    <row r="1201">
      <c r="I1201" s="109"/>
      <c r="K1201" s="110"/>
      <c r="L1201" s="110"/>
      <c r="M1201" s="110"/>
      <c r="N1201" s="110"/>
      <c r="O1201" s="110"/>
      <c r="P1201" s="110"/>
      <c r="Q1201" s="110"/>
    </row>
    <row r="1202">
      <c r="I1202" s="109"/>
      <c r="K1202" s="110"/>
      <c r="L1202" s="110"/>
      <c r="M1202" s="110"/>
      <c r="N1202" s="110"/>
      <c r="O1202" s="110"/>
      <c r="P1202" s="110"/>
      <c r="Q1202" s="110"/>
    </row>
    <row r="1203">
      <c r="I1203" s="109"/>
      <c r="K1203" s="110"/>
      <c r="L1203" s="110"/>
      <c r="M1203" s="110"/>
      <c r="N1203" s="110"/>
      <c r="O1203" s="110"/>
      <c r="P1203" s="110"/>
      <c r="Q1203" s="110"/>
    </row>
    <row r="1204">
      <c r="I1204" s="109"/>
      <c r="K1204" s="110"/>
      <c r="L1204" s="110"/>
      <c r="M1204" s="110"/>
      <c r="N1204" s="110"/>
      <c r="O1204" s="110"/>
      <c r="P1204" s="110"/>
      <c r="Q1204" s="110"/>
    </row>
    <row r="1205">
      <c r="I1205" s="109"/>
      <c r="K1205" s="110"/>
      <c r="L1205" s="110"/>
      <c r="M1205" s="110"/>
      <c r="N1205" s="110"/>
      <c r="O1205" s="110"/>
      <c r="P1205" s="110"/>
      <c r="Q1205" s="110"/>
    </row>
    <row r="1206">
      <c r="I1206" s="109"/>
      <c r="K1206" s="110"/>
      <c r="L1206" s="110"/>
      <c r="M1206" s="110"/>
      <c r="N1206" s="110"/>
      <c r="O1206" s="110"/>
      <c r="P1206" s="110"/>
      <c r="Q1206" s="110"/>
    </row>
    <row r="1207">
      <c r="I1207" s="109"/>
      <c r="K1207" s="110"/>
      <c r="L1207" s="110"/>
      <c r="M1207" s="110"/>
      <c r="N1207" s="110"/>
      <c r="O1207" s="110"/>
      <c r="P1207" s="110"/>
      <c r="Q1207" s="110"/>
    </row>
    <row r="1208">
      <c r="I1208" s="109"/>
      <c r="K1208" s="110"/>
      <c r="L1208" s="110"/>
      <c r="M1208" s="110"/>
      <c r="N1208" s="110"/>
      <c r="O1208" s="110"/>
      <c r="P1208" s="110"/>
      <c r="Q1208" s="110"/>
    </row>
    <row r="1209">
      <c r="I1209" s="109"/>
      <c r="K1209" s="110"/>
      <c r="L1209" s="110"/>
      <c r="M1209" s="110"/>
      <c r="N1209" s="110"/>
      <c r="O1209" s="110"/>
      <c r="P1209" s="110"/>
      <c r="Q1209" s="110"/>
    </row>
    <row r="1210">
      <c r="I1210" s="109"/>
      <c r="K1210" s="110"/>
      <c r="L1210" s="110"/>
      <c r="M1210" s="110"/>
      <c r="N1210" s="110"/>
      <c r="O1210" s="110"/>
      <c r="P1210" s="110"/>
      <c r="Q1210" s="110"/>
    </row>
    <row r="1211">
      <c r="I1211" s="109"/>
      <c r="K1211" s="110"/>
      <c r="L1211" s="110"/>
      <c r="M1211" s="110"/>
      <c r="N1211" s="110"/>
      <c r="O1211" s="110"/>
      <c r="P1211" s="110"/>
      <c r="Q1211" s="110"/>
    </row>
    <row r="1212">
      <c r="I1212" s="109"/>
      <c r="K1212" s="110"/>
      <c r="L1212" s="110"/>
      <c r="M1212" s="110"/>
      <c r="N1212" s="110"/>
      <c r="O1212" s="110"/>
      <c r="P1212" s="110"/>
      <c r="Q1212" s="110"/>
    </row>
    <row r="1213">
      <c r="I1213" s="109"/>
      <c r="K1213" s="110"/>
      <c r="L1213" s="110"/>
      <c r="M1213" s="110"/>
      <c r="N1213" s="110"/>
      <c r="O1213" s="110"/>
      <c r="P1213" s="110"/>
      <c r="Q1213" s="110"/>
    </row>
    <row r="1214">
      <c r="I1214" s="109"/>
      <c r="K1214" s="110"/>
      <c r="L1214" s="110"/>
      <c r="M1214" s="110"/>
      <c r="N1214" s="110"/>
      <c r="O1214" s="110"/>
      <c r="P1214" s="110"/>
      <c r="Q1214" s="110"/>
    </row>
    <row r="1215">
      <c r="I1215" s="109"/>
      <c r="K1215" s="110"/>
      <c r="L1215" s="110"/>
      <c r="M1215" s="110"/>
      <c r="N1215" s="110"/>
      <c r="O1215" s="110"/>
      <c r="P1215" s="110"/>
      <c r="Q1215" s="110"/>
    </row>
    <row r="1216">
      <c r="I1216" s="109"/>
      <c r="K1216" s="110"/>
      <c r="L1216" s="110"/>
      <c r="M1216" s="110"/>
      <c r="N1216" s="110"/>
      <c r="O1216" s="110"/>
      <c r="P1216" s="110"/>
      <c r="Q1216" s="110"/>
    </row>
    <row r="1217">
      <c r="I1217" s="109"/>
      <c r="K1217" s="110"/>
      <c r="L1217" s="110"/>
      <c r="M1217" s="110"/>
      <c r="N1217" s="110"/>
      <c r="O1217" s="110"/>
      <c r="P1217" s="110"/>
      <c r="Q1217" s="110"/>
    </row>
    <row r="1218">
      <c r="I1218" s="109"/>
      <c r="K1218" s="110"/>
      <c r="L1218" s="110"/>
      <c r="M1218" s="110"/>
      <c r="N1218" s="110"/>
      <c r="O1218" s="110"/>
      <c r="P1218" s="110"/>
      <c r="Q1218" s="110"/>
    </row>
    <row r="1219">
      <c r="I1219" s="109"/>
      <c r="K1219" s="110"/>
      <c r="L1219" s="110"/>
      <c r="M1219" s="110"/>
      <c r="N1219" s="110"/>
      <c r="O1219" s="110"/>
      <c r="P1219" s="110"/>
      <c r="Q1219" s="110"/>
    </row>
    <row r="1220">
      <c r="I1220" s="109"/>
      <c r="K1220" s="110"/>
      <c r="L1220" s="110"/>
      <c r="M1220" s="110"/>
      <c r="N1220" s="110"/>
      <c r="O1220" s="110"/>
      <c r="P1220" s="110"/>
      <c r="Q1220" s="110"/>
    </row>
    <row r="1221">
      <c r="I1221" s="109"/>
      <c r="K1221" s="110"/>
      <c r="L1221" s="110"/>
      <c r="M1221" s="110"/>
      <c r="N1221" s="110"/>
      <c r="O1221" s="110"/>
      <c r="P1221" s="110"/>
      <c r="Q1221" s="110"/>
    </row>
    <row r="1222">
      <c r="I1222" s="109"/>
      <c r="K1222" s="110"/>
      <c r="L1222" s="110"/>
      <c r="M1222" s="110"/>
      <c r="N1222" s="110"/>
      <c r="O1222" s="110"/>
      <c r="P1222" s="110"/>
      <c r="Q1222" s="110"/>
    </row>
    <row r="1223">
      <c r="I1223" s="109"/>
      <c r="K1223" s="110"/>
      <c r="L1223" s="110"/>
      <c r="M1223" s="110"/>
      <c r="N1223" s="110"/>
      <c r="O1223" s="110"/>
      <c r="P1223" s="110"/>
      <c r="Q1223" s="110"/>
    </row>
    <row r="1224">
      <c r="I1224" s="109"/>
      <c r="K1224" s="110"/>
      <c r="L1224" s="110"/>
      <c r="M1224" s="110"/>
      <c r="N1224" s="110"/>
      <c r="O1224" s="110"/>
      <c r="P1224" s="110"/>
      <c r="Q1224" s="110"/>
    </row>
    <row r="1225">
      <c r="I1225" s="109"/>
      <c r="K1225" s="110"/>
      <c r="L1225" s="110"/>
      <c r="M1225" s="110"/>
      <c r="N1225" s="110"/>
      <c r="O1225" s="110"/>
      <c r="P1225" s="110"/>
      <c r="Q1225" s="110"/>
    </row>
    <row r="1226">
      <c r="I1226" s="109"/>
      <c r="K1226" s="110"/>
      <c r="L1226" s="110"/>
      <c r="M1226" s="110"/>
      <c r="N1226" s="110"/>
      <c r="O1226" s="110"/>
      <c r="P1226" s="110"/>
      <c r="Q1226" s="110"/>
    </row>
    <row r="1227">
      <c r="I1227" s="109"/>
      <c r="K1227" s="110"/>
      <c r="L1227" s="110"/>
      <c r="M1227" s="110"/>
      <c r="N1227" s="110"/>
      <c r="O1227" s="110"/>
      <c r="P1227" s="110"/>
      <c r="Q1227" s="110"/>
    </row>
    <row r="1228">
      <c r="I1228" s="109"/>
      <c r="K1228" s="110"/>
      <c r="L1228" s="110"/>
      <c r="M1228" s="110"/>
      <c r="N1228" s="110"/>
      <c r="O1228" s="110"/>
      <c r="P1228" s="110"/>
      <c r="Q1228" s="110"/>
    </row>
    <row r="1229">
      <c r="I1229" s="109"/>
      <c r="K1229" s="110"/>
      <c r="L1229" s="110"/>
      <c r="M1229" s="110"/>
      <c r="N1229" s="110"/>
      <c r="O1229" s="110"/>
      <c r="P1229" s="110"/>
      <c r="Q1229" s="110"/>
    </row>
    <row r="1230">
      <c r="I1230" s="109"/>
      <c r="K1230" s="110"/>
      <c r="L1230" s="110"/>
      <c r="M1230" s="110"/>
      <c r="N1230" s="110"/>
      <c r="O1230" s="110"/>
      <c r="P1230" s="110"/>
      <c r="Q1230" s="110"/>
    </row>
    <row r="1231">
      <c r="I1231" s="109"/>
      <c r="K1231" s="110"/>
      <c r="L1231" s="110"/>
      <c r="M1231" s="110"/>
      <c r="N1231" s="110"/>
      <c r="O1231" s="110"/>
      <c r="P1231" s="110"/>
      <c r="Q1231" s="110"/>
    </row>
    <row r="1232">
      <c r="I1232" s="109"/>
      <c r="K1232" s="110"/>
      <c r="L1232" s="110"/>
      <c r="M1232" s="110"/>
      <c r="N1232" s="110"/>
      <c r="O1232" s="110"/>
      <c r="P1232" s="110"/>
      <c r="Q1232" s="110"/>
    </row>
    <row r="1233">
      <c r="I1233" s="109"/>
      <c r="K1233" s="110"/>
      <c r="L1233" s="110"/>
      <c r="M1233" s="110"/>
      <c r="N1233" s="110"/>
      <c r="O1233" s="110"/>
      <c r="P1233" s="110"/>
      <c r="Q1233" s="110"/>
    </row>
    <row r="1234">
      <c r="I1234" s="109"/>
      <c r="K1234" s="110"/>
      <c r="L1234" s="110"/>
      <c r="M1234" s="110"/>
      <c r="N1234" s="110"/>
      <c r="O1234" s="110"/>
      <c r="P1234" s="110"/>
      <c r="Q1234" s="110"/>
    </row>
    <row r="1235">
      <c r="I1235" s="109"/>
      <c r="K1235" s="110"/>
      <c r="L1235" s="110"/>
      <c r="M1235" s="110"/>
      <c r="N1235" s="110"/>
      <c r="O1235" s="110"/>
      <c r="P1235" s="110"/>
      <c r="Q1235" s="110"/>
    </row>
    <row r="1236">
      <c r="I1236" s="109"/>
      <c r="K1236" s="110"/>
      <c r="L1236" s="110"/>
      <c r="M1236" s="110"/>
      <c r="N1236" s="110"/>
      <c r="O1236" s="110"/>
      <c r="P1236" s="110"/>
      <c r="Q1236" s="110"/>
    </row>
    <row r="1237">
      <c r="I1237" s="109"/>
      <c r="K1237" s="110"/>
      <c r="L1237" s="110"/>
      <c r="M1237" s="110"/>
      <c r="N1237" s="110"/>
      <c r="O1237" s="110"/>
      <c r="P1237" s="110"/>
      <c r="Q1237" s="110"/>
    </row>
    <row r="1238">
      <c r="I1238" s="109"/>
      <c r="K1238" s="110"/>
      <c r="L1238" s="110"/>
      <c r="M1238" s="110"/>
      <c r="N1238" s="110"/>
      <c r="O1238" s="110"/>
      <c r="P1238" s="110"/>
      <c r="Q1238" s="110"/>
    </row>
    <row r="1239">
      <c r="I1239" s="109"/>
      <c r="K1239" s="110"/>
      <c r="L1239" s="110"/>
      <c r="M1239" s="110"/>
      <c r="N1239" s="110"/>
      <c r="O1239" s="110"/>
      <c r="P1239" s="110"/>
      <c r="Q1239" s="110"/>
    </row>
    <row r="1240">
      <c r="I1240" s="109"/>
      <c r="K1240" s="110"/>
      <c r="L1240" s="110"/>
      <c r="M1240" s="110"/>
      <c r="N1240" s="110"/>
      <c r="O1240" s="110"/>
      <c r="P1240" s="110"/>
      <c r="Q1240" s="110"/>
    </row>
    <row r="1241">
      <c r="I1241" s="109"/>
      <c r="K1241" s="110"/>
      <c r="L1241" s="110"/>
      <c r="M1241" s="110"/>
      <c r="N1241" s="110"/>
      <c r="O1241" s="110"/>
      <c r="P1241" s="110"/>
      <c r="Q1241" s="110"/>
    </row>
    <row r="1242">
      <c r="I1242" s="109"/>
      <c r="K1242" s="110"/>
      <c r="L1242" s="110"/>
      <c r="M1242" s="110"/>
      <c r="N1242" s="110"/>
      <c r="O1242" s="110"/>
      <c r="P1242" s="110"/>
      <c r="Q1242" s="110"/>
    </row>
    <row r="1243">
      <c r="I1243" s="109"/>
      <c r="K1243" s="110"/>
      <c r="L1243" s="110"/>
      <c r="M1243" s="110"/>
      <c r="N1243" s="110"/>
      <c r="O1243" s="110"/>
      <c r="P1243" s="110"/>
      <c r="Q1243" s="110"/>
    </row>
    <row r="1244">
      <c r="I1244" s="109"/>
      <c r="K1244" s="110"/>
      <c r="L1244" s="110"/>
      <c r="M1244" s="110"/>
      <c r="N1244" s="110"/>
      <c r="O1244" s="110"/>
      <c r="P1244" s="110"/>
      <c r="Q1244" s="110"/>
    </row>
    <row r="1245">
      <c r="I1245" s="109"/>
      <c r="K1245" s="110"/>
      <c r="L1245" s="110"/>
      <c r="M1245" s="110"/>
      <c r="N1245" s="110"/>
      <c r="O1245" s="110"/>
      <c r="P1245" s="110"/>
      <c r="Q1245" s="110"/>
    </row>
    <row r="1246">
      <c r="I1246" s="109"/>
      <c r="K1246" s="110"/>
      <c r="L1246" s="110"/>
      <c r="M1246" s="110"/>
      <c r="N1246" s="110"/>
      <c r="O1246" s="110"/>
      <c r="P1246" s="110"/>
      <c r="Q1246" s="110"/>
    </row>
    <row r="1247">
      <c r="I1247" s="109"/>
      <c r="K1247" s="110"/>
      <c r="L1247" s="110"/>
      <c r="M1247" s="110"/>
      <c r="N1247" s="110"/>
      <c r="O1247" s="110"/>
      <c r="P1247" s="110"/>
      <c r="Q1247" s="110"/>
    </row>
    <row r="1248">
      <c r="I1248" s="109"/>
      <c r="K1248" s="110"/>
      <c r="L1248" s="110"/>
      <c r="M1248" s="110"/>
      <c r="N1248" s="110"/>
      <c r="O1248" s="110"/>
      <c r="P1248" s="110"/>
      <c r="Q1248" s="110"/>
    </row>
    <row r="1249">
      <c r="I1249" s="109"/>
      <c r="K1249" s="110"/>
      <c r="L1249" s="110"/>
      <c r="M1249" s="110"/>
      <c r="N1249" s="110"/>
      <c r="O1249" s="110"/>
      <c r="P1249" s="110"/>
      <c r="Q1249" s="110"/>
    </row>
    <row r="1250">
      <c r="I1250" s="109"/>
      <c r="K1250" s="110"/>
      <c r="L1250" s="110"/>
      <c r="M1250" s="110"/>
      <c r="N1250" s="110"/>
      <c r="O1250" s="110"/>
      <c r="P1250" s="110"/>
      <c r="Q1250" s="110"/>
    </row>
    <row r="1251">
      <c r="I1251" s="109"/>
      <c r="K1251" s="110"/>
      <c r="L1251" s="110"/>
      <c r="M1251" s="110"/>
      <c r="N1251" s="110"/>
      <c r="O1251" s="110"/>
      <c r="P1251" s="110"/>
      <c r="Q1251" s="110"/>
    </row>
    <row r="1252">
      <c r="I1252" s="109"/>
      <c r="K1252" s="110"/>
      <c r="L1252" s="110"/>
      <c r="M1252" s="110"/>
      <c r="N1252" s="110"/>
      <c r="O1252" s="110"/>
      <c r="P1252" s="110"/>
      <c r="Q1252" s="110"/>
    </row>
    <row r="1253">
      <c r="I1253" s="109"/>
      <c r="K1253" s="110"/>
      <c r="L1253" s="110"/>
      <c r="M1253" s="110"/>
      <c r="N1253" s="110"/>
      <c r="O1253" s="110"/>
      <c r="P1253" s="110"/>
      <c r="Q1253" s="110"/>
    </row>
    <row r="1254">
      <c r="I1254" s="109"/>
      <c r="K1254" s="110"/>
      <c r="L1254" s="110"/>
      <c r="M1254" s="110"/>
      <c r="N1254" s="110"/>
      <c r="O1254" s="110"/>
      <c r="P1254" s="110"/>
      <c r="Q1254" s="110"/>
    </row>
    <row r="1255">
      <c r="I1255" s="109"/>
      <c r="K1255" s="110"/>
      <c r="L1255" s="110"/>
      <c r="M1255" s="110"/>
      <c r="N1255" s="110"/>
      <c r="O1255" s="110"/>
      <c r="P1255" s="110"/>
      <c r="Q1255" s="110"/>
    </row>
    <row r="1256">
      <c r="I1256" s="109"/>
      <c r="K1256" s="110"/>
      <c r="L1256" s="110"/>
      <c r="M1256" s="110"/>
      <c r="N1256" s="110"/>
      <c r="O1256" s="110"/>
      <c r="P1256" s="110"/>
      <c r="Q1256" s="110"/>
    </row>
    <row r="1257">
      <c r="I1257" s="109"/>
      <c r="K1257" s="110"/>
      <c r="L1257" s="110"/>
      <c r="M1257" s="110"/>
      <c r="N1257" s="110"/>
      <c r="O1257" s="110"/>
      <c r="P1257" s="110"/>
      <c r="Q1257" s="110"/>
    </row>
    <row r="1258">
      <c r="I1258" s="109"/>
      <c r="K1258" s="110"/>
      <c r="L1258" s="110"/>
      <c r="M1258" s="110"/>
      <c r="N1258" s="110"/>
      <c r="O1258" s="110"/>
      <c r="P1258" s="110"/>
      <c r="Q1258" s="110"/>
    </row>
    <row r="1259">
      <c r="I1259" s="109"/>
      <c r="K1259" s="110"/>
      <c r="L1259" s="110"/>
      <c r="M1259" s="110"/>
      <c r="N1259" s="110"/>
      <c r="O1259" s="110"/>
      <c r="P1259" s="110"/>
      <c r="Q1259" s="110"/>
    </row>
    <row r="1260">
      <c r="I1260" s="109"/>
      <c r="K1260" s="110"/>
      <c r="L1260" s="110"/>
      <c r="M1260" s="110"/>
      <c r="N1260" s="110"/>
      <c r="O1260" s="110"/>
      <c r="P1260" s="110"/>
      <c r="Q1260" s="110"/>
    </row>
    <row r="1261">
      <c r="I1261" s="109"/>
      <c r="K1261" s="110"/>
      <c r="L1261" s="110"/>
      <c r="M1261" s="110"/>
      <c r="N1261" s="110"/>
      <c r="O1261" s="110"/>
      <c r="P1261" s="110"/>
      <c r="Q1261" s="110"/>
    </row>
    <row r="1262">
      <c r="I1262" s="109"/>
      <c r="K1262" s="110"/>
      <c r="L1262" s="110"/>
      <c r="M1262" s="110"/>
      <c r="N1262" s="110"/>
      <c r="O1262" s="110"/>
      <c r="P1262" s="110"/>
      <c r="Q1262" s="110"/>
    </row>
    <row r="1263">
      <c r="I1263" s="109"/>
      <c r="K1263" s="110"/>
      <c r="L1263" s="110"/>
      <c r="M1263" s="110"/>
      <c r="N1263" s="110"/>
      <c r="O1263" s="110"/>
      <c r="P1263" s="110"/>
      <c r="Q1263" s="110"/>
    </row>
    <row r="1264">
      <c r="I1264" s="109"/>
      <c r="K1264" s="110"/>
      <c r="L1264" s="110"/>
      <c r="M1264" s="110"/>
      <c r="N1264" s="110"/>
      <c r="O1264" s="110"/>
      <c r="P1264" s="110"/>
      <c r="Q1264" s="110"/>
    </row>
    <row r="1265">
      <c r="I1265" s="109"/>
      <c r="K1265" s="110"/>
      <c r="L1265" s="110"/>
      <c r="M1265" s="110"/>
      <c r="N1265" s="110"/>
      <c r="O1265" s="110"/>
      <c r="P1265" s="110"/>
      <c r="Q1265" s="110"/>
    </row>
    <row r="1266">
      <c r="I1266" s="109"/>
      <c r="K1266" s="110"/>
      <c r="L1266" s="110"/>
      <c r="M1266" s="110"/>
      <c r="N1266" s="110"/>
      <c r="O1266" s="110"/>
      <c r="P1266" s="110"/>
      <c r="Q1266" s="110"/>
    </row>
    <row r="1267">
      <c r="I1267" s="109"/>
      <c r="K1267" s="110"/>
      <c r="L1267" s="110"/>
      <c r="M1267" s="110"/>
      <c r="N1267" s="110"/>
      <c r="O1267" s="110"/>
      <c r="P1267" s="110"/>
      <c r="Q1267" s="110"/>
    </row>
    <row r="1268">
      <c r="I1268" s="109"/>
      <c r="K1268" s="110"/>
      <c r="L1268" s="110"/>
      <c r="M1268" s="110"/>
      <c r="N1268" s="110"/>
      <c r="O1268" s="110"/>
      <c r="P1268" s="110"/>
      <c r="Q1268" s="110"/>
    </row>
    <row r="1269">
      <c r="I1269" s="109"/>
      <c r="K1269" s="110"/>
      <c r="L1269" s="110"/>
      <c r="M1269" s="110"/>
      <c r="N1269" s="110"/>
      <c r="O1269" s="110"/>
      <c r="P1269" s="110"/>
      <c r="Q1269" s="110"/>
    </row>
    <row r="1270">
      <c r="I1270" s="109"/>
      <c r="K1270" s="110"/>
      <c r="L1270" s="110"/>
      <c r="M1270" s="110"/>
      <c r="N1270" s="110"/>
      <c r="O1270" s="110"/>
      <c r="P1270" s="110"/>
      <c r="Q1270" s="110"/>
    </row>
    <row r="1271">
      <c r="I1271" s="109"/>
      <c r="K1271" s="110"/>
      <c r="L1271" s="110"/>
      <c r="M1271" s="110"/>
      <c r="N1271" s="110"/>
      <c r="O1271" s="110"/>
      <c r="P1271" s="110"/>
      <c r="Q1271" s="110"/>
    </row>
    <row r="1272">
      <c r="I1272" s="109"/>
      <c r="K1272" s="110"/>
      <c r="L1272" s="110"/>
      <c r="M1272" s="110"/>
      <c r="N1272" s="110"/>
      <c r="O1272" s="110"/>
      <c r="P1272" s="110"/>
      <c r="Q1272" s="110"/>
    </row>
    <row r="1273">
      <c r="I1273" s="109"/>
      <c r="K1273" s="110"/>
      <c r="L1273" s="110"/>
      <c r="M1273" s="110"/>
      <c r="N1273" s="110"/>
      <c r="O1273" s="110"/>
      <c r="P1273" s="110"/>
      <c r="Q1273" s="110"/>
    </row>
    <row r="1274">
      <c r="I1274" s="109"/>
      <c r="K1274" s="110"/>
      <c r="L1274" s="110"/>
      <c r="M1274" s="110"/>
      <c r="N1274" s="110"/>
      <c r="O1274" s="110"/>
      <c r="P1274" s="110"/>
      <c r="Q1274" s="110"/>
    </row>
    <row r="1275">
      <c r="I1275" s="109"/>
      <c r="K1275" s="110"/>
      <c r="L1275" s="110"/>
      <c r="M1275" s="110"/>
      <c r="N1275" s="110"/>
      <c r="O1275" s="110"/>
      <c r="P1275" s="110"/>
      <c r="Q1275" s="110"/>
    </row>
    <row r="1276">
      <c r="I1276" s="109"/>
      <c r="K1276" s="110"/>
      <c r="L1276" s="110"/>
      <c r="M1276" s="110"/>
      <c r="N1276" s="110"/>
      <c r="O1276" s="110"/>
      <c r="P1276" s="110"/>
      <c r="Q1276" s="110"/>
    </row>
    <row r="1277">
      <c r="I1277" s="109"/>
      <c r="K1277" s="110"/>
      <c r="L1277" s="110"/>
      <c r="M1277" s="110"/>
      <c r="N1277" s="110"/>
      <c r="O1277" s="110"/>
      <c r="P1277" s="110"/>
      <c r="Q1277" s="110"/>
    </row>
    <row r="1278">
      <c r="I1278" s="109"/>
      <c r="K1278" s="110"/>
      <c r="L1278" s="110"/>
      <c r="M1278" s="110"/>
      <c r="N1278" s="110"/>
      <c r="O1278" s="110"/>
      <c r="P1278" s="110"/>
      <c r="Q1278" s="110"/>
    </row>
    <row r="1279">
      <c r="I1279" s="109"/>
      <c r="K1279" s="110"/>
      <c r="L1279" s="110"/>
      <c r="M1279" s="110"/>
      <c r="N1279" s="110"/>
      <c r="O1279" s="110"/>
      <c r="P1279" s="110"/>
      <c r="Q1279" s="110"/>
    </row>
    <row r="1280">
      <c r="I1280" s="109"/>
      <c r="K1280" s="110"/>
      <c r="L1280" s="110"/>
      <c r="M1280" s="110"/>
      <c r="N1280" s="110"/>
      <c r="O1280" s="110"/>
      <c r="P1280" s="110"/>
      <c r="Q1280" s="110"/>
    </row>
    <row r="1281">
      <c r="I1281" s="109"/>
      <c r="K1281" s="110"/>
      <c r="L1281" s="110"/>
      <c r="M1281" s="110"/>
      <c r="N1281" s="110"/>
      <c r="O1281" s="110"/>
      <c r="P1281" s="110"/>
      <c r="Q1281" s="110"/>
    </row>
    <row r="1282">
      <c r="I1282" s="109"/>
      <c r="K1282" s="110"/>
      <c r="L1282" s="110"/>
      <c r="M1282" s="110"/>
      <c r="N1282" s="110"/>
      <c r="O1282" s="110"/>
      <c r="P1282" s="110"/>
      <c r="Q1282" s="110"/>
    </row>
    <row r="1283">
      <c r="I1283" s="109"/>
      <c r="K1283" s="110"/>
      <c r="L1283" s="110"/>
      <c r="M1283" s="110"/>
      <c r="N1283" s="110"/>
      <c r="O1283" s="110"/>
      <c r="P1283" s="110"/>
      <c r="Q1283" s="110"/>
    </row>
    <row r="1284">
      <c r="I1284" s="109"/>
      <c r="K1284" s="110"/>
      <c r="L1284" s="110"/>
      <c r="M1284" s="110"/>
      <c r="N1284" s="110"/>
      <c r="O1284" s="110"/>
      <c r="P1284" s="110"/>
      <c r="Q1284" s="110"/>
    </row>
    <row r="1285">
      <c r="I1285" s="109"/>
      <c r="K1285" s="110"/>
      <c r="L1285" s="110"/>
      <c r="M1285" s="110"/>
      <c r="N1285" s="110"/>
      <c r="O1285" s="110"/>
      <c r="P1285" s="110"/>
      <c r="Q1285" s="110"/>
    </row>
    <row r="1286">
      <c r="I1286" s="109"/>
      <c r="K1286" s="110"/>
      <c r="L1286" s="110"/>
      <c r="M1286" s="110"/>
      <c r="N1286" s="110"/>
      <c r="O1286" s="110"/>
      <c r="P1286" s="110"/>
      <c r="Q1286" s="110"/>
    </row>
    <row r="1287">
      <c r="I1287" s="109"/>
      <c r="K1287" s="110"/>
      <c r="L1287" s="110"/>
      <c r="M1287" s="110"/>
      <c r="N1287" s="110"/>
      <c r="O1287" s="110"/>
      <c r="P1287" s="110"/>
      <c r="Q1287" s="110"/>
    </row>
    <row r="1288">
      <c r="I1288" s="109"/>
      <c r="K1288" s="110"/>
      <c r="L1288" s="110"/>
      <c r="M1288" s="110"/>
      <c r="N1288" s="110"/>
      <c r="O1288" s="110"/>
      <c r="P1288" s="110"/>
      <c r="Q1288" s="110"/>
    </row>
    <row r="1289">
      <c r="I1289" s="109"/>
      <c r="K1289" s="110"/>
      <c r="L1289" s="110"/>
      <c r="M1289" s="110"/>
      <c r="N1289" s="110"/>
      <c r="O1289" s="110"/>
      <c r="P1289" s="110"/>
      <c r="Q1289" s="110"/>
    </row>
    <row r="1290">
      <c r="I1290" s="109"/>
      <c r="K1290" s="110"/>
      <c r="L1290" s="110"/>
      <c r="M1290" s="110"/>
      <c r="N1290" s="110"/>
      <c r="O1290" s="110"/>
      <c r="P1290" s="110"/>
      <c r="Q1290" s="110"/>
    </row>
    <row r="1291">
      <c r="I1291" s="109"/>
      <c r="K1291" s="110"/>
      <c r="L1291" s="110"/>
      <c r="M1291" s="110"/>
      <c r="N1291" s="110"/>
      <c r="O1291" s="110"/>
      <c r="P1291" s="110"/>
      <c r="Q1291" s="110"/>
    </row>
    <row r="1292">
      <c r="I1292" s="109"/>
      <c r="K1292" s="110"/>
      <c r="L1292" s="110"/>
      <c r="M1292" s="110"/>
      <c r="N1292" s="110"/>
      <c r="O1292" s="110"/>
      <c r="P1292" s="110"/>
      <c r="Q1292" s="110"/>
    </row>
    <row r="1293">
      <c r="I1293" s="109"/>
      <c r="K1293" s="110"/>
      <c r="L1293" s="110"/>
      <c r="M1293" s="110"/>
      <c r="N1293" s="110"/>
      <c r="O1293" s="110"/>
      <c r="P1293" s="110"/>
      <c r="Q1293" s="110"/>
    </row>
    <row r="1294">
      <c r="I1294" s="109"/>
      <c r="K1294" s="110"/>
      <c r="L1294" s="110"/>
      <c r="M1294" s="110"/>
      <c r="N1294" s="110"/>
      <c r="O1294" s="110"/>
      <c r="P1294" s="110"/>
      <c r="Q1294" s="110"/>
    </row>
    <row r="1295">
      <c r="I1295" s="109"/>
      <c r="K1295" s="110"/>
      <c r="L1295" s="110"/>
      <c r="M1295" s="110"/>
      <c r="N1295" s="110"/>
      <c r="O1295" s="110"/>
      <c r="P1295" s="110"/>
      <c r="Q1295" s="110"/>
    </row>
    <row r="1296">
      <c r="I1296" s="109"/>
      <c r="K1296" s="110"/>
      <c r="L1296" s="110"/>
      <c r="M1296" s="110"/>
      <c r="N1296" s="110"/>
      <c r="O1296" s="110"/>
      <c r="P1296" s="110"/>
      <c r="Q1296" s="110"/>
    </row>
    <row r="1297">
      <c r="I1297" s="109"/>
      <c r="K1297" s="110"/>
      <c r="L1297" s="110"/>
      <c r="M1297" s="110"/>
      <c r="N1297" s="110"/>
      <c r="O1297" s="110"/>
      <c r="P1297" s="110"/>
      <c r="Q1297" s="110"/>
    </row>
    <row r="1298">
      <c r="I1298" s="109"/>
      <c r="K1298" s="110"/>
      <c r="L1298" s="110"/>
      <c r="M1298" s="110"/>
      <c r="N1298" s="110"/>
      <c r="O1298" s="110"/>
      <c r="P1298" s="110"/>
      <c r="Q1298" s="110"/>
    </row>
    <row r="1299">
      <c r="I1299" s="109"/>
      <c r="K1299" s="110"/>
      <c r="L1299" s="110"/>
      <c r="M1299" s="110"/>
      <c r="N1299" s="110"/>
      <c r="O1299" s="110"/>
      <c r="P1299" s="110"/>
      <c r="Q1299" s="110"/>
    </row>
    <row r="1300">
      <c r="I1300" s="109"/>
      <c r="K1300" s="110"/>
      <c r="L1300" s="110"/>
      <c r="M1300" s="110"/>
      <c r="N1300" s="110"/>
      <c r="O1300" s="110"/>
      <c r="P1300" s="110"/>
      <c r="Q1300" s="110"/>
    </row>
    <row r="1301">
      <c r="I1301" s="109"/>
      <c r="K1301" s="110"/>
      <c r="L1301" s="110"/>
      <c r="M1301" s="110"/>
      <c r="N1301" s="110"/>
      <c r="O1301" s="110"/>
      <c r="P1301" s="110"/>
      <c r="Q1301" s="110"/>
    </row>
    <row r="1302">
      <c r="I1302" s="109"/>
      <c r="K1302" s="110"/>
      <c r="L1302" s="110"/>
      <c r="M1302" s="110"/>
      <c r="N1302" s="110"/>
      <c r="O1302" s="110"/>
      <c r="P1302" s="110"/>
      <c r="Q1302" s="110"/>
    </row>
    <row r="1303">
      <c r="I1303" s="109"/>
      <c r="K1303" s="110"/>
      <c r="L1303" s="110"/>
      <c r="M1303" s="110"/>
      <c r="N1303" s="110"/>
      <c r="O1303" s="110"/>
      <c r="P1303" s="110"/>
      <c r="Q1303" s="110"/>
    </row>
    <row r="1304">
      <c r="I1304" s="109"/>
      <c r="K1304" s="110"/>
      <c r="L1304" s="110"/>
      <c r="M1304" s="110"/>
      <c r="N1304" s="110"/>
      <c r="O1304" s="110"/>
      <c r="P1304" s="110"/>
      <c r="Q1304" s="110"/>
    </row>
    <row r="1305">
      <c r="I1305" s="109"/>
      <c r="K1305" s="110"/>
      <c r="L1305" s="110"/>
      <c r="M1305" s="110"/>
      <c r="N1305" s="110"/>
      <c r="O1305" s="110"/>
      <c r="P1305" s="110"/>
      <c r="Q1305" s="110"/>
    </row>
    <row r="1306">
      <c r="I1306" s="109"/>
      <c r="K1306" s="110"/>
      <c r="L1306" s="110"/>
      <c r="M1306" s="110"/>
      <c r="N1306" s="110"/>
      <c r="O1306" s="110"/>
      <c r="P1306" s="110"/>
      <c r="Q1306" s="110"/>
    </row>
    <row r="1307">
      <c r="I1307" s="109"/>
      <c r="K1307" s="110"/>
      <c r="L1307" s="110"/>
      <c r="M1307" s="110"/>
      <c r="N1307" s="110"/>
      <c r="O1307" s="110"/>
      <c r="P1307" s="110"/>
      <c r="Q1307" s="110"/>
    </row>
    <row r="1308">
      <c r="I1308" s="109"/>
      <c r="K1308" s="110"/>
      <c r="L1308" s="110"/>
      <c r="M1308" s="110"/>
      <c r="N1308" s="110"/>
      <c r="O1308" s="110"/>
      <c r="P1308" s="110"/>
      <c r="Q1308" s="110"/>
    </row>
    <row r="1309">
      <c r="I1309" s="109"/>
      <c r="K1309" s="110"/>
      <c r="L1309" s="110"/>
      <c r="M1309" s="110"/>
      <c r="N1309" s="110"/>
      <c r="O1309" s="110"/>
      <c r="P1309" s="110"/>
      <c r="Q1309" s="110"/>
    </row>
    <row r="1310">
      <c r="I1310" s="109"/>
      <c r="K1310" s="110"/>
      <c r="L1310" s="110"/>
      <c r="M1310" s="110"/>
      <c r="N1310" s="110"/>
      <c r="O1310" s="110"/>
      <c r="P1310" s="110"/>
      <c r="Q1310" s="110"/>
    </row>
    <row r="1311">
      <c r="I1311" s="109"/>
      <c r="K1311" s="110"/>
      <c r="L1311" s="110"/>
      <c r="M1311" s="110"/>
      <c r="N1311" s="110"/>
      <c r="O1311" s="110"/>
      <c r="P1311" s="110"/>
      <c r="Q1311" s="110"/>
    </row>
    <row r="1312">
      <c r="I1312" s="109"/>
      <c r="K1312" s="110"/>
      <c r="L1312" s="110"/>
      <c r="M1312" s="110"/>
      <c r="N1312" s="110"/>
      <c r="O1312" s="110"/>
      <c r="P1312" s="110"/>
      <c r="Q1312" s="110"/>
    </row>
    <row r="1313">
      <c r="I1313" s="109"/>
      <c r="K1313" s="110"/>
      <c r="L1313" s="110"/>
      <c r="M1313" s="110"/>
      <c r="N1313" s="110"/>
      <c r="O1313" s="110"/>
      <c r="P1313" s="110"/>
      <c r="Q1313" s="110"/>
    </row>
    <row r="1314">
      <c r="I1314" s="109"/>
      <c r="K1314" s="110"/>
      <c r="L1314" s="110"/>
      <c r="M1314" s="110"/>
      <c r="N1314" s="110"/>
      <c r="O1314" s="110"/>
      <c r="P1314" s="110"/>
      <c r="Q1314" s="110"/>
    </row>
    <row r="1315">
      <c r="I1315" s="109"/>
      <c r="K1315" s="110"/>
      <c r="L1315" s="110"/>
      <c r="M1315" s="110"/>
      <c r="N1315" s="110"/>
      <c r="O1315" s="110"/>
      <c r="P1315" s="110"/>
      <c r="Q1315" s="110"/>
    </row>
    <row r="1316">
      <c r="I1316" s="109"/>
      <c r="K1316" s="110"/>
      <c r="L1316" s="110"/>
      <c r="M1316" s="110"/>
      <c r="N1316" s="110"/>
      <c r="O1316" s="110"/>
      <c r="P1316" s="110"/>
      <c r="Q1316" s="110"/>
    </row>
    <row r="1317">
      <c r="I1317" s="109"/>
      <c r="K1317" s="110"/>
      <c r="L1317" s="110"/>
      <c r="M1317" s="110"/>
      <c r="N1317" s="110"/>
      <c r="O1317" s="110"/>
      <c r="P1317" s="110"/>
      <c r="Q1317" s="110"/>
    </row>
    <row r="1318">
      <c r="I1318" s="109"/>
      <c r="K1318" s="110"/>
      <c r="L1318" s="110"/>
      <c r="M1318" s="110"/>
      <c r="N1318" s="110"/>
      <c r="O1318" s="110"/>
      <c r="P1318" s="110"/>
      <c r="Q1318" s="110"/>
    </row>
    <row r="1319">
      <c r="I1319" s="109"/>
      <c r="K1319" s="110"/>
      <c r="L1319" s="110"/>
      <c r="M1319" s="110"/>
      <c r="N1319" s="110"/>
      <c r="O1319" s="110"/>
      <c r="P1319" s="110"/>
      <c r="Q1319" s="110"/>
    </row>
    <row r="1320">
      <c r="I1320" s="109"/>
      <c r="K1320" s="110"/>
      <c r="L1320" s="110"/>
      <c r="M1320" s="110"/>
      <c r="N1320" s="110"/>
      <c r="O1320" s="110"/>
      <c r="P1320" s="110"/>
      <c r="Q1320" s="110"/>
    </row>
    <row r="1321">
      <c r="I1321" s="109"/>
      <c r="K1321" s="110"/>
      <c r="L1321" s="110"/>
      <c r="M1321" s="110"/>
      <c r="N1321" s="110"/>
      <c r="O1321" s="110"/>
      <c r="P1321" s="110"/>
      <c r="Q1321" s="110"/>
    </row>
    <row r="1322">
      <c r="I1322" s="109"/>
      <c r="K1322" s="110"/>
      <c r="L1322" s="110"/>
      <c r="M1322" s="110"/>
      <c r="N1322" s="110"/>
      <c r="O1322" s="110"/>
      <c r="P1322" s="110"/>
      <c r="Q1322" s="110"/>
    </row>
    <row r="1323">
      <c r="I1323" s="109"/>
      <c r="K1323" s="110"/>
      <c r="L1323" s="110"/>
      <c r="M1323" s="110"/>
      <c r="N1323" s="110"/>
      <c r="O1323" s="110"/>
      <c r="P1323" s="110"/>
      <c r="Q1323" s="110"/>
    </row>
    <row r="1324">
      <c r="I1324" s="109"/>
      <c r="K1324" s="110"/>
      <c r="L1324" s="110"/>
      <c r="M1324" s="110"/>
      <c r="N1324" s="110"/>
      <c r="O1324" s="110"/>
      <c r="P1324" s="110"/>
      <c r="Q1324" s="110"/>
    </row>
    <row r="1325">
      <c r="I1325" s="109"/>
      <c r="K1325" s="110"/>
      <c r="L1325" s="110"/>
      <c r="M1325" s="110"/>
      <c r="N1325" s="110"/>
      <c r="O1325" s="110"/>
      <c r="P1325" s="110"/>
      <c r="Q1325" s="110"/>
    </row>
    <row r="1326">
      <c r="I1326" s="109"/>
      <c r="K1326" s="110"/>
      <c r="L1326" s="110"/>
      <c r="M1326" s="110"/>
      <c r="N1326" s="110"/>
      <c r="O1326" s="110"/>
      <c r="P1326" s="110"/>
      <c r="Q1326" s="110"/>
    </row>
    <row r="1327">
      <c r="I1327" s="109"/>
      <c r="K1327" s="110"/>
      <c r="L1327" s="110"/>
      <c r="M1327" s="110"/>
      <c r="N1327" s="110"/>
      <c r="O1327" s="110"/>
      <c r="P1327" s="110"/>
      <c r="Q1327" s="110"/>
    </row>
    <row r="1328">
      <c r="I1328" s="109"/>
      <c r="K1328" s="110"/>
      <c r="L1328" s="110"/>
      <c r="M1328" s="110"/>
      <c r="N1328" s="110"/>
      <c r="O1328" s="110"/>
      <c r="P1328" s="110"/>
      <c r="Q1328" s="110"/>
    </row>
    <row r="1329">
      <c r="I1329" s="109"/>
      <c r="K1329" s="110"/>
      <c r="L1329" s="110"/>
      <c r="M1329" s="110"/>
      <c r="N1329" s="110"/>
      <c r="O1329" s="110"/>
      <c r="P1329" s="110"/>
      <c r="Q1329" s="110"/>
    </row>
    <row r="1330">
      <c r="I1330" s="109"/>
      <c r="K1330" s="110"/>
      <c r="L1330" s="110"/>
      <c r="M1330" s="110"/>
      <c r="N1330" s="110"/>
      <c r="O1330" s="110"/>
      <c r="P1330" s="110"/>
      <c r="Q1330" s="110"/>
    </row>
    <row r="1331">
      <c r="I1331" s="109"/>
      <c r="K1331" s="110"/>
      <c r="L1331" s="110"/>
      <c r="M1331" s="110"/>
      <c r="N1331" s="110"/>
      <c r="O1331" s="110"/>
      <c r="P1331" s="110"/>
      <c r="Q1331" s="110"/>
    </row>
    <row r="1332">
      <c r="I1332" s="109"/>
      <c r="K1332" s="110"/>
      <c r="L1332" s="110"/>
      <c r="M1332" s="110"/>
      <c r="N1332" s="110"/>
      <c r="O1332" s="110"/>
      <c r="P1332" s="110"/>
      <c r="Q1332" s="110"/>
    </row>
    <row r="1333">
      <c r="I1333" s="109"/>
      <c r="K1333" s="110"/>
      <c r="L1333" s="110"/>
      <c r="M1333" s="110"/>
      <c r="N1333" s="110"/>
      <c r="O1333" s="110"/>
      <c r="P1333" s="110"/>
      <c r="Q1333" s="110"/>
    </row>
    <row r="1334">
      <c r="I1334" s="109"/>
      <c r="K1334" s="110"/>
      <c r="L1334" s="110"/>
      <c r="M1334" s="110"/>
      <c r="N1334" s="110"/>
      <c r="O1334" s="110"/>
      <c r="P1334" s="110"/>
      <c r="Q1334" s="110"/>
    </row>
    <row r="1335">
      <c r="I1335" s="109"/>
      <c r="K1335" s="110"/>
      <c r="L1335" s="110"/>
      <c r="M1335" s="110"/>
      <c r="N1335" s="110"/>
      <c r="O1335" s="110"/>
      <c r="P1335" s="110"/>
      <c r="Q1335" s="110"/>
    </row>
    <row r="1336">
      <c r="I1336" s="109"/>
      <c r="K1336" s="110"/>
      <c r="L1336" s="110"/>
      <c r="M1336" s="110"/>
      <c r="N1336" s="110"/>
      <c r="O1336" s="110"/>
      <c r="P1336" s="110"/>
      <c r="Q1336" s="110"/>
    </row>
    <row r="1337">
      <c r="I1337" s="109"/>
      <c r="K1337" s="110"/>
      <c r="L1337" s="110"/>
      <c r="M1337" s="110"/>
      <c r="N1337" s="110"/>
      <c r="O1337" s="110"/>
      <c r="P1337" s="110"/>
      <c r="Q1337" s="110"/>
    </row>
    <row r="1338">
      <c r="I1338" s="109"/>
      <c r="K1338" s="110"/>
      <c r="L1338" s="110"/>
      <c r="M1338" s="110"/>
      <c r="N1338" s="110"/>
      <c r="O1338" s="110"/>
      <c r="P1338" s="110"/>
      <c r="Q1338" s="110"/>
    </row>
    <row r="1339">
      <c r="I1339" s="109"/>
      <c r="K1339" s="110"/>
      <c r="L1339" s="110"/>
      <c r="M1339" s="110"/>
      <c r="N1339" s="110"/>
      <c r="O1339" s="110"/>
      <c r="P1339" s="110"/>
      <c r="Q1339" s="110"/>
    </row>
    <row r="1340">
      <c r="I1340" s="109"/>
      <c r="K1340" s="110"/>
      <c r="L1340" s="110"/>
      <c r="M1340" s="110"/>
      <c r="N1340" s="110"/>
      <c r="O1340" s="110"/>
      <c r="P1340" s="110"/>
      <c r="Q1340" s="110"/>
    </row>
    <row r="1341">
      <c r="I1341" s="109"/>
      <c r="K1341" s="110"/>
      <c r="L1341" s="110"/>
      <c r="M1341" s="110"/>
      <c r="N1341" s="110"/>
      <c r="O1341" s="110"/>
      <c r="P1341" s="110"/>
      <c r="Q1341" s="110"/>
    </row>
    <row r="1342">
      <c r="I1342" s="109"/>
      <c r="K1342" s="110"/>
      <c r="L1342" s="110"/>
      <c r="M1342" s="110"/>
      <c r="N1342" s="110"/>
      <c r="O1342" s="110"/>
      <c r="P1342" s="110"/>
      <c r="Q1342" s="110"/>
    </row>
    <row r="1343">
      <c r="I1343" s="109"/>
      <c r="K1343" s="110"/>
      <c r="L1343" s="110"/>
      <c r="M1343" s="110"/>
      <c r="N1343" s="110"/>
      <c r="O1343" s="110"/>
      <c r="P1343" s="110"/>
      <c r="Q1343" s="110"/>
    </row>
    <row r="1344">
      <c r="I1344" s="109"/>
      <c r="K1344" s="110"/>
      <c r="L1344" s="110"/>
      <c r="M1344" s="110"/>
      <c r="N1344" s="110"/>
      <c r="O1344" s="110"/>
      <c r="P1344" s="110"/>
      <c r="Q1344" s="110"/>
    </row>
    <row r="1345">
      <c r="I1345" s="109"/>
      <c r="K1345" s="110"/>
      <c r="L1345" s="110"/>
      <c r="M1345" s="110"/>
      <c r="N1345" s="110"/>
      <c r="O1345" s="110"/>
      <c r="P1345" s="110"/>
      <c r="Q1345" s="110"/>
    </row>
    <row r="1346">
      <c r="I1346" s="109"/>
      <c r="K1346" s="110"/>
      <c r="L1346" s="110"/>
      <c r="M1346" s="110"/>
      <c r="N1346" s="110"/>
      <c r="O1346" s="110"/>
      <c r="P1346" s="110"/>
      <c r="Q1346" s="110"/>
    </row>
    <row r="1347">
      <c r="I1347" s="109"/>
      <c r="K1347" s="110"/>
      <c r="L1347" s="110"/>
      <c r="M1347" s="110"/>
      <c r="N1347" s="110"/>
      <c r="O1347" s="110"/>
      <c r="P1347" s="110"/>
      <c r="Q1347" s="110"/>
    </row>
    <row r="1348">
      <c r="I1348" s="109"/>
      <c r="K1348" s="110"/>
      <c r="L1348" s="110"/>
      <c r="M1348" s="110"/>
      <c r="N1348" s="110"/>
      <c r="O1348" s="110"/>
      <c r="P1348" s="110"/>
      <c r="Q1348" s="110"/>
    </row>
    <row r="1349">
      <c r="I1349" s="109"/>
      <c r="K1349" s="110"/>
      <c r="L1349" s="110"/>
      <c r="M1349" s="110"/>
      <c r="N1349" s="110"/>
      <c r="O1349" s="110"/>
      <c r="P1349" s="110"/>
      <c r="Q1349" s="110"/>
    </row>
    <row r="1350">
      <c r="I1350" s="109"/>
      <c r="K1350" s="110"/>
      <c r="L1350" s="110"/>
      <c r="M1350" s="110"/>
      <c r="N1350" s="110"/>
      <c r="O1350" s="110"/>
      <c r="P1350" s="110"/>
      <c r="Q1350" s="110"/>
    </row>
    <row r="1351">
      <c r="I1351" s="109"/>
      <c r="K1351" s="110"/>
      <c r="L1351" s="110"/>
      <c r="M1351" s="110"/>
      <c r="N1351" s="110"/>
      <c r="O1351" s="110"/>
      <c r="P1351" s="110"/>
      <c r="Q1351" s="110"/>
    </row>
    <row r="1352">
      <c r="I1352" s="109"/>
      <c r="K1352" s="110"/>
      <c r="L1352" s="110"/>
      <c r="M1352" s="110"/>
      <c r="N1352" s="110"/>
      <c r="O1352" s="110"/>
      <c r="P1352" s="110"/>
      <c r="Q1352" s="110"/>
    </row>
    <row r="1353">
      <c r="I1353" s="109"/>
      <c r="K1353" s="110"/>
      <c r="L1353" s="110"/>
      <c r="M1353" s="110"/>
      <c r="N1353" s="110"/>
      <c r="O1353" s="110"/>
      <c r="P1353" s="110"/>
      <c r="Q1353" s="110"/>
    </row>
    <row r="1354">
      <c r="I1354" s="109"/>
      <c r="K1354" s="110"/>
      <c r="L1354" s="110"/>
      <c r="M1354" s="110"/>
      <c r="N1354" s="110"/>
      <c r="O1354" s="110"/>
      <c r="P1354" s="110"/>
      <c r="Q1354" s="110"/>
    </row>
    <row r="1355">
      <c r="I1355" s="109"/>
      <c r="K1355" s="110"/>
      <c r="L1355" s="110"/>
      <c r="M1355" s="110"/>
      <c r="N1355" s="110"/>
      <c r="O1355" s="110"/>
      <c r="P1355" s="110"/>
      <c r="Q1355" s="110"/>
    </row>
    <row r="1356">
      <c r="I1356" s="109"/>
      <c r="K1356" s="110"/>
      <c r="L1356" s="110"/>
      <c r="M1356" s="110"/>
      <c r="N1356" s="110"/>
      <c r="O1356" s="110"/>
      <c r="P1356" s="110"/>
      <c r="Q1356" s="110"/>
    </row>
    <row r="1357">
      <c r="I1357" s="109"/>
      <c r="K1357" s="110"/>
      <c r="L1357" s="110"/>
      <c r="M1357" s="110"/>
      <c r="N1357" s="110"/>
      <c r="O1357" s="110"/>
      <c r="P1357" s="110"/>
      <c r="Q1357" s="110"/>
    </row>
    <row r="1358">
      <c r="I1358" s="109"/>
      <c r="K1358" s="110"/>
      <c r="L1358" s="110"/>
      <c r="M1358" s="110"/>
      <c r="N1358" s="110"/>
      <c r="O1358" s="110"/>
      <c r="P1358" s="110"/>
      <c r="Q1358" s="110"/>
    </row>
    <row r="1359">
      <c r="I1359" s="109"/>
      <c r="K1359" s="110"/>
      <c r="L1359" s="110"/>
      <c r="M1359" s="110"/>
      <c r="N1359" s="110"/>
      <c r="O1359" s="110"/>
      <c r="P1359" s="110"/>
      <c r="Q1359" s="110"/>
    </row>
    <row r="1360">
      <c r="I1360" s="109"/>
      <c r="K1360" s="110"/>
      <c r="L1360" s="110"/>
      <c r="M1360" s="110"/>
      <c r="N1360" s="110"/>
      <c r="O1360" s="110"/>
      <c r="P1360" s="110"/>
      <c r="Q1360" s="110"/>
    </row>
    <row r="1361">
      <c r="I1361" s="109"/>
      <c r="K1361" s="110"/>
      <c r="L1361" s="110"/>
      <c r="M1361" s="110"/>
      <c r="N1361" s="110"/>
      <c r="O1361" s="110"/>
      <c r="P1361" s="110"/>
      <c r="Q1361" s="110"/>
    </row>
    <row r="1362">
      <c r="I1362" s="109"/>
      <c r="K1362" s="110"/>
      <c r="L1362" s="110"/>
      <c r="M1362" s="110"/>
      <c r="N1362" s="110"/>
      <c r="O1362" s="110"/>
      <c r="P1362" s="110"/>
      <c r="Q1362" s="110"/>
    </row>
    <row r="1363">
      <c r="I1363" s="109"/>
      <c r="K1363" s="110"/>
      <c r="L1363" s="110"/>
      <c r="M1363" s="110"/>
      <c r="N1363" s="110"/>
      <c r="O1363" s="110"/>
      <c r="P1363" s="110"/>
      <c r="Q1363" s="110"/>
    </row>
    <row r="1364">
      <c r="I1364" s="109"/>
      <c r="K1364" s="110"/>
      <c r="L1364" s="110"/>
      <c r="M1364" s="110"/>
      <c r="N1364" s="110"/>
      <c r="O1364" s="110"/>
      <c r="P1364" s="110"/>
      <c r="Q1364" s="110"/>
    </row>
    <row r="1365">
      <c r="I1365" s="109"/>
      <c r="K1365" s="110"/>
      <c r="L1365" s="110"/>
      <c r="M1365" s="110"/>
      <c r="N1365" s="110"/>
      <c r="O1365" s="110"/>
      <c r="P1365" s="110"/>
      <c r="Q1365" s="110"/>
    </row>
    <row r="1366">
      <c r="I1366" s="109"/>
      <c r="K1366" s="110"/>
      <c r="L1366" s="110"/>
      <c r="M1366" s="110"/>
      <c r="N1366" s="110"/>
      <c r="O1366" s="110"/>
      <c r="P1366" s="110"/>
      <c r="Q1366" s="110"/>
    </row>
    <row r="1367">
      <c r="I1367" s="109"/>
      <c r="K1367" s="110"/>
      <c r="L1367" s="110"/>
      <c r="M1367" s="110"/>
      <c r="N1367" s="110"/>
      <c r="O1367" s="110"/>
      <c r="P1367" s="110"/>
      <c r="Q1367" s="110"/>
    </row>
    <row r="1368">
      <c r="I1368" s="109"/>
      <c r="K1368" s="110"/>
      <c r="L1368" s="110"/>
      <c r="M1368" s="110"/>
      <c r="N1368" s="110"/>
      <c r="O1368" s="110"/>
      <c r="P1368" s="110"/>
      <c r="Q1368" s="110"/>
    </row>
    <row r="1369">
      <c r="I1369" s="109"/>
      <c r="K1369" s="110"/>
      <c r="L1369" s="110"/>
      <c r="M1369" s="110"/>
      <c r="N1369" s="110"/>
      <c r="O1369" s="110"/>
      <c r="P1369" s="110"/>
      <c r="Q1369" s="110"/>
    </row>
    <row r="1370">
      <c r="I1370" s="109"/>
      <c r="K1370" s="110"/>
      <c r="L1370" s="110"/>
      <c r="M1370" s="110"/>
      <c r="N1370" s="110"/>
      <c r="O1370" s="110"/>
      <c r="P1370" s="110"/>
      <c r="Q1370" s="110"/>
    </row>
    <row r="1371">
      <c r="I1371" s="109"/>
      <c r="K1371" s="110"/>
      <c r="L1371" s="110"/>
      <c r="M1371" s="110"/>
      <c r="N1371" s="110"/>
      <c r="O1371" s="110"/>
      <c r="P1371" s="110"/>
      <c r="Q1371" s="110"/>
    </row>
    <row r="1372">
      <c r="I1372" s="109"/>
      <c r="K1372" s="110"/>
      <c r="L1372" s="110"/>
      <c r="M1372" s="110"/>
      <c r="N1372" s="110"/>
      <c r="O1372" s="110"/>
      <c r="P1372" s="110"/>
      <c r="Q1372" s="110"/>
    </row>
    <row r="1373">
      <c r="I1373" s="109"/>
      <c r="K1373" s="110"/>
      <c r="L1373" s="110"/>
      <c r="M1373" s="110"/>
      <c r="N1373" s="110"/>
      <c r="O1373" s="110"/>
      <c r="P1373" s="110"/>
      <c r="Q1373" s="110"/>
    </row>
    <row r="1374">
      <c r="I1374" s="109"/>
      <c r="K1374" s="110"/>
      <c r="L1374" s="110"/>
      <c r="M1374" s="110"/>
      <c r="N1374" s="110"/>
      <c r="O1374" s="110"/>
      <c r="P1374" s="110"/>
      <c r="Q1374" s="110"/>
    </row>
    <row r="1375">
      <c r="I1375" s="109"/>
      <c r="K1375" s="110"/>
      <c r="L1375" s="110"/>
      <c r="M1375" s="110"/>
      <c r="N1375" s="110"/>
      <c r="O1375" s="110"/>
      <c r="P1375" s="110"/>
      <c r="Q1375" s="110"/>
    </row>
    <row r="1376">
      <c r="I1376" s="109"/>
      <c r="K1376" s="110"/>
      <c r="L1376" s="110"/>
      <c r="M1376" s="110"/>
      <c r="N1376" s="110"/>
      <c r="O1376" s="110"/>
      <c r="P1376" s="110"/>
      <c r="Q1376" s="110"/>
    </row>
    <row r="1377">
      <c r="I1377" s="109"/>
      <c r="K1377" s="110"/>
      <c r="L1377" s="110"/>
      <c r="M1377" s="110"/>
      <c r="N1377" s="110"/>
      <c r="O1377" s="110"/>
      <c r="P1377" s="110"/>
      <c r="Q1377" s="110"/>
    </row>
    <row r="1378">
      <c r="I1378" s="109"/>
      <c r="K1378" s="110"/>
      <c r="L1378" s="110"/>
      <c r="M1378" s="110"/>
      <c r="N1378" s="110"/>
      <c r="O1378" s="110"/>
      <c r="P1378" s="110"/>
      <c r="Q1378" s="110"/>
    </row>
    <row r="1379">
      <c r="I1379" s="109"/>
      <c r="K1379" s="110"/>
      <c r="L1379" s="110"/>
      <c r="M1379" s="110"/>
      <c r="N1379" s="110"/>
      <c r="O1379" s="110"/>
      <c r="P1379" s="110"/>
      <c r="Q1379" s="110"/>
    </row>
    <row r="1380">
      <c r="I1380" s="109"/>
      <c r="K1380" s="110"/>
      <c r="L1380" s="110"/>
      <c r="M1380" s="110"/>
      <c r="N1380" s="110"/>
      <c r="O1380" s="110"/>
      <c r="P1380" s="110"/>
      <c r="Q1380" s="110"/>
    </row>
    <row r="1381">
      <c r="I1381" s="109"/>
      <c r="K1381" s="110"/>
      <c r="L1381" s="110"/>
      <c r="M1381" s="110"/>
      <c r="N1381" s="110"/>
      <c r="O1381" s="110"/>
      <c r="P1381" s="110"/>
      <c r="Q1381" s="110"/>
    </row>
    <row r="1382">
      <c r="I1382" s="109"/>
      <c r="K1382" s="110"/>
      <c r="L1382" s="110"/>
      <c r="M1382" s="110"/>
      <c r="N1382" s="110"/>
      <c r="O1382" s="110"/>
      <c r="P1382" s="110"/>
      <c r="Q1382" s="110"/>
    </row>
    <row r="1383">
      <c r="I1383" s="109"/>
      <c r="K1383" s="110"/>
      <c r="L1383" s="110"/>
      <c r="M1383" s="110"/>
      <c r="N1383" s="110"/>
      <c r="O1383" s="110"/>
      <c r="P1383" s="110"/>
      <c r="Q1383" s="110"/>
    </row>
    <row r="1384">
      <c r="I1384" s="109"/>
      <c r="K1384" s="110"/>
      <c r="L1384" s="110"/>
      <c r="M1384" s="110"/>
      <c r="N1384" s="110"/>
      <c r="O1384" s="110"/>
      <c r="P1384" s="110"/>
      <c r="Q1384" s="110"/>
    </row>
    <row r="1385">
      <c r="I1385" s="109"/>
      <c r="K1385" s="110"/>
      <c r="L1385" s="110"/>
      <c r="M1385" s="110"/>
      <c r="N1385" s="110"/>
      <c r="O1385" s="110"/>
      <c r="P1385" s="110"/>
      <c r="Q1385" s="110"/>
    </row>
    <row r="1386">
      <c r="I1386" s="109"/>
      <c r="K1386" s="110"/>
      <c r="L1386" s="110"/>
      <c r="M1386" s="110"/>
      <c r="N1386" s="110"/>
      <c r="O1386" s="110"/>
      <c r="P1386" s="110"/>
      <c r="Q1386" s="110"/>
    </row>
    <row r="1387">
      <c r="I1387" s="109"/>
      <c r="K1387" s="110"/>
      <c r="L1387" s="110"/>
      <c r="M1387" s="110"/>
      <c r="N1387" s="110"/>
      <c r="O1387" s="110"/>
      <c r="P1387" s="110"/>
      <c r="Q1387" s="110"/>
    </row>
    <row r="1388">
      <c r="I1388" s="109"/>
      <c r="K1388" s="110"/>
      <c r="L1388" s="110"/>
      <c r="M1388" s="110"/>
      <c r="N1388" s="110"/>
      <c r="O1388" s="110"/>
      <c r="P1388" s="110"/>
      <c r="Q1388" s="110"/>
    </row>
    <row r="1389">
      <c r="I1389" s="109"/>
      <c r="K1389" s="110"/>
      <c r="L1389" s="110"/>
      <c r="M1389" s="110"/>
      <c r="N1389" s="110"/>
      <c r="O1389" s="110"/>
      <c r="P1389" s="110"/>
      <c r="Q1389" s="110"/>
    </row>
    <row r="1390">
      <c r="I1390" s="109"/>
      <c r="K1390" s="110"/>
      <c r="L1390" s="110"/>
      <c r="M1390" s="110"/>
      <c r="N1390" s="110"/>
      <c r="O1390" s="110"/>
      <c r="P1390" s="110"/>
      <c r="Q1390" s="110"/>
    </row>
    <row r="1391">
      <c r="I1391" s="109"/>
      <c r="K1391" s="110"/>
      <c r="L1391" s="110"/>
      <c r="M1391" s="110"/>
      <c r="N1391" s="110"/>
      <c r="O1391" s="110"/>
      <c r="P1391" s="110"/>
      <c r="Q1391" s="110"/>
    </row>
    <row r="1392">
      <c r="I1392" s="109"/>
      <c r="K1392" s="110"/>
      <c r="L1392" s="110"/>
      <c r="M1392" s="110"/>
      <c r="N1392" s="110"/>
      <c r="O1392" s="110"/>
      <c r="P1392" s="110"/>
      <c r="Q1392" s="110"/>
    </row>
    <row r="1393">
      <c r="I1393" s="109"/>
      <c r="K1393" s="110"/>
      <c r="L1393" s="110"/>
      <c r="M1393" s="110"/>
      <c r="N1393" s="110"/>
      <c r="O1393" s="110"/>
      <c r="P1393" s="110"/>
      <c r="Q1393" s="110"/>
    </row>
    <row r="1394">
      <c r="I1394" s="109"/>
      <c r="K1394" s="110"/>
      <c r="L1394" s="110"/>
      <c r="M1394" s="110"/>
      <c r="N1394" s="110"/>
      <c r="O1394" s="110"/>
      <c r="P1394" s="110"/>
      <c r="Q1394" s="110"/>
    </row>
    <row r="1395">
      <c r="I1395" s="109"/>
      <c r="K1395" s="110"/>
      <c r="L1395" s="110"/>
      <c r="M1395" s="110"/>
      <c r="N1395" s="110"/>
      <c r="O1395" s="110"/>
      <c r="P1395" s="110"/>
      <c r="Q1395" s="110"/>
    </row>
    <row r="1396">
      <c r="I1396" s="109"/>
      <c r="K1396" s="110"/>
      <c r="L1396" s="110"/>
      <c r="M1396" s="110"/>
      <c r="N1396" s="110"/>
      <c r="O1396" s="110"/>
      <c r="P1396" s="110"/>
      <c r="Q1396" s="110"/>
    </row>
    <row r="1397">
      <c r="I1397" s="109"/>
      <c r="K1397" s="110"/>
      <c r="L1397" s="110"/>
      <c r="M1397" s="110"/>
      <c r="N1397" s="110"/>
      <c r="O1397" s="110"/>
      <c r="P1397" s="110"/>
      <c r="Q1397" s="110"/>
    </row>
    <row r="1398">
      <c r="I1398" s="109"/>
      <c r="K1398" s="110"/>
      <c r="L1398" s="110"/>
      <c r="M1398" s="110"/>
      <c r="N1398" s="110"/>
      <c r="O1398" s="110"/>
      <c r="P1398" s="110"/>
      <c r="Q1398" s="110"/>
    </row>
    <row r="1399">
      <c r="I1399" s="109"/>
      <c r="K1399" s="110"/>
      <c r="L1399" s="110"/>
      <c r="M1399" s="110"/>
      <c r="N1399" s="110"/>
      <c r="O1399" s="110"/>
      <c r="P1399" s="110"/>
      <c r="Q1399" s="110"/>
    </row>
    <row r="1400">
      <c r="I1400" s="109"/>
      <c r="K1400" s="110"/>
      <c r="L1400" s="110"/>
      <c r="M1400" s="110"/>
      <c r="N1400" s="110"/>
      <c r="O1400" s="110"/>
      <c r="P1400" s="110"/>
      <c r="Q1400" s="110"/>
    </row>
    <row r="1401">
      <c r="I1401" s="109"/>
      <c r="K1401" s="110"/>
      <c r="L1401" s="110"/>
      <c r="M1401" s="110"/>
      <c r="N1401" s="110"/>
      <c r="O1401" s="110"/>
      <c r="P1401" s="110"/>
      <c r="Q1401" s="110"/>
    </row>
    <row r="1402">
      <c r="I1402" s="109"/>
      <c r="K1402" s="110"/>
      <c r="L1402" s="110"/>
      <c r="M1402" s="110"/>
      <c r="N1402" s="110"/>
      <c r="O1402" s="110"/>
      <c r="P1402" s="110"/>
      <c r="Q1402" s="110"/>
    </row>
    <row r="1403">
      <c r="I1403" s="109"/>
      <c r="K1403" s="110"/>
      <c r="L1403" s="110"/>
      <c r="M1403" s="110"/>
      <c r="N1403" s="110"/>
      <c r="O1403" s="110"/>
      <c r="P1403" s="110"/>
      <c r="Q1403" s="110"/>
    </row>
    <row r="1404">
      <c r="I1404" s="109"/>
      <c r="K1404" s="110"/>
      <c r="L1404" s="110"/>
      <c r="M1404" s="110"/>
      <c r="N1404" s="110"/>
      <c r="O1404" s="110"/>
      <c r="P1404" s="110"/>
      <c r="Q1404" s="110"/>
    </row>
    <row r="1405">
      <c r="I1405" s="109"/>
      <c r="K1405" s="110"/>
      <c r="L1405" s="110"/>
      <c r="M1405" s="110"/>
      <c r="N1405" s="110"/>
      <c r="O1405" s="110"/>
      <c r="P1405" s="110"/>
      <c r="Q1405" s="110"/>
    </row>
    <row r="1406">
      <c r="I1406" s="109"/>
      <c r="K1406" s="110"/>
      <c r="L1406" s="110"/>
      <c r="M1406" s="110"/>
      <c r="N1406" s="110"/>
      <c r="O1406" s="110"/>
      <c r="P1406" s="110"/>
      <c r="Q1406" s="110"/>
    </row>
    <row r="1407">
      <c r="I1407" s="109"/>
      <c r="K1407" s="110"/>
      <c r="L1407" s="110"/>
      <c r="M1407" s="110"/>
      <c r="N1407" s="110"/>
      <c r="O1407" s="110"/>
      <c r="P1407" s="110"/>
      <c r="Q1407" s="110"/>
    </row>
    <row r="1408">
      <c r="I1408" s="109"/>
      <c r="K1408" s="110"/>
      <c r="L1408" s="110"/>
      <c r="M1408" s="110"/>
      <c r="N1408" s="110"/>
      <c r="O1408" s="110"/>
      <c r="P1408" s="110"/>
      <c r="Q1408" s="110"/>
    </row>
    <row r="1409">
      <c r="I1409" s="109"/>
      <c r="K1409" s="110"/>
      <c r="L1409" s="110"/>
      <c r="M1409" s="110"/>
      <c r="N1409" s="110"/>
      <c r="O1409" s="110"/>
      <c r="P1409" s="110"/>
      <c r="Q1409" s="110"/>
    </row>
    <row r="1410">
      <c r="I1410" s="109"/>
      <c r="K1410" s="110"/>
      <c r="L1410" s="110"/>
      <c r="M1410" s="110"/>
      <c r="N1410" s="110"/>
      <c r="O1410" s="110"/>
      <c r="P1410" s="110"/>
      <c r="Q1410" s="110"/>
    </row>
    <row r="1411">
      <c r="I1411" s="109"/>
      <c r="K1411" s="110"/>
      <c r="L1411" s="110"/>
      <c r="M1411" s="110"/>
      <c r="N1411" s="110"/>
      <c r="O1411" s="110"/>
      <c r="P1411" s="110"/>
      <c r="Q1411" s="110"/>
    </row>
    <row r="1412">
      <c r="I1412" s="109"/>
      <c r="K1412" s="110"/>
      <c r="L1412" s="110"/>
      <c r="M1412" s="110"/>
      <c r="N1412" s="110"/>
      <c r="O1412" s="110"/>
      <c r="P1412" s="110"/>
      <c r="Q1412" s="110"/>
    </row>
    <row r="1413">
      <c r="I1413" s="109"/>
      <c r="K1413" s="110"/>
      <c r="L1413" s="110"/>
      <c r="M1413" s="110"/>
      <c r="N1413" s="110"/>
      <c r="O1413" s="110"/>
      <c r="P1413" s="110"/>
      <c r="Q1413" s="110"/>
    </row>
    <row r="1414">
      <c r="I1414" s="109"/>
      <c r="K1414" s="110"/>
      <c r="L1414" s="110"/>
      <c r="M1414" s="110"/>
      <c r="N1414" s="110"/>
      <c r="O1414" s="110"/>
      <c r="P1414" s="110"/>
      <c r="Q1414" s="110"/>
    </row>
    <row r="1415">
      <c r="I1415" s="109"/>
      <c r="K1415" s="110"/>
      <c r="L1415" s="110"/>
      <c r="M1415" s="110"/>
      <c r="N1415" s="110"/>
      <c r="O1415" s="110"/>
      <c r="P1415" s="110"/>
      <c r="Q1415" s="110"/>
    </row>
    <row r="1416">
      <c r="I1416" s="109"/>
      <c r="K1416" s="110"/>
      <c r="L1416" s="110"/>
      <c r="M1416" s="110"/>
      <c r="N1416" s="110"/>
      <c r="O1416" s="110"/>
      <c r="P1416" s="110"/>
      <c r="Q1416" s="110"/>
    </row>
    <row r="1417">
      <c r="I1417" s="109"/>
      <c r="K1417" s="110"/>
      <c r="L1417" s="110"/>
      <c r="M1417" s="110"/>
      <c r="N1417" s="110"/>
      <c r="O1417" s="110"/>
      <c r="P1417" s="110"/>
      <c r="Q1417" s="110"/>
    </row>
    <row r="1418">
      <c r="I1418" s="109"/>
      <c r="K1418" s="110"/>
      <c r="L1418" s="110"/>
      <c r="M1418" s="110"/>
      <c r="N1418" s="110"/>
      <c r="O1418" s="110"/>
      <c r="P1418" s="110"/>
      <c r="Q1418" s="110"/>
    </row>
    <row r="1419">
      <c r="I1419" s="109"/>
      <c r="K1419" s="110"/>
      <c r="L1419" s="110"/>
      <c r="M1419" s="110"/>
      <c r="N1419" s="110"/>
      <c r="O1419" s="110"/>
      <c r="P1419" s="110"/>
      <c r="Q1419" s="110"/>
    </row>
    <row r="1420">
      <c r="I1420" s="109"/>
      <c r="K1420" s="110"/>
      <c r="L1420" s="110"/>
      <c r="M1420" s="110"/>
      <c r="N1420" s="110"/>
      <c r="O1420" s="110"/>
      <c r="P1420" s="110"/>
      <c r="Q1420" s="110"/>
    </row>
    <row r="1421">
      <c r="I1421" s="109"/>
      <c r="K1421" s="110"/>
      <c r="L1421" s="110"/>
      <c r="M1421" s="110"/>
      <c r="N1421" s="110"/>
      <c r="O1421" s="110"/>
      <c r="P1421" s="110"/>
      <c r="Q1421" s="110"/>
    </row>
    <row r="1422">
      <c r="I1422" s="109"/>
      <c r="K1422" s="110"/>
      <c r="L1422" s="110"/>
      <c r="M1422" s="110"/>
      <c r="N1422" s="110"/>
      <c r="O1422" s="110"/>
      <c r="P1422" s="110"/>
      <c r="Q1422" s="110"/>
    </row>
    <row r="1423">
      <c r="I1423" s="109"/>
      <c r="K1423" s="110"/>
      <c r="L1423" s="110"/>
      <c r="M1423" s="110"/>
      <c r="N1423" s="110"/>
      <c r="O1423" s="110"/>
      <c r="P1423" s="110"/>
      <c r="Q1423" s="110"/>
    </row>
    <row r="1424">
      <c r="I1424" s="109"/>
      <c r="K1424" s="110"/>
      <c r="L1424" s="110"/>
      <c r="M1424" s="110"/>
      <c r="N1424" s="110"/>
      <c r="O1424" s="110"/>
      <c r="P1424" s="110"/>
      <c r="Q1424" s="110"/>
    </row>
    <row r="1425">
      <c r="I1425" s="109"/>
      <c r="K1425" s="110"/>
      <c r="L1425" s="110"/>
      <c r="M1425" s="110"/>
      <c r="N1425" s="110"/>
      <c r="O1425" s="110"/>
      <c r="P1425" s="110"/>
      <c r="Q1425" s="110"/>
    </row>
    <row r="1426">
      <c r="I1426" s="109"/>
      <c r="K1426" s="110"/>
      <c r="L1426" s="110"/>
      <c r="M1426" s="110"/>
      <c r="N1426" s="110"/>
      <c r="O1426" s="110"/>
      <c r="P1426" s="110"/>
      <c r="Q1426" s="110"/>
    </row>
    <row r="1427">
      <c r="I1427" s="109"/>
      <c r="K1427" s="110"/>
      <c r="L1427" s="110"/>
      <c r="M1427" s="110"/>
      <c r="N1427" s="110"/>
      <c r="O1427" s="110"/>
      <c r="P1427" s="110"/>
      <c r="Q1427" s="110"/>
    </row>
    <row r="1428">
      <c r="I1428" s="109"/>
      <c r="K1428" s="110"/>
      <c r="L1428" s="110"/>
      <c r="M1428" s="110"/>
      <c r="N1428" s="110"/>
      <c r="O1428" s="110"/>
      <c r="P1428" s="110"/>
      <c r="Q1428" s="110"/>
    </row>
    <row r="1429">
      <c r="I1429" s="109"/>
      <c r="K1429" s="110"/>
      <c r="L1429" s="110"/>
      <c r="M1429" s="110"/>
      <c r="N1429" s="110"/>
      <c r="O1429" s="110"/>
      <c r="P1429" s="110"/>
      <c r="Q1429" s="110"/>
    </row>
    <row r="1430">
      <c r="I1430" s="109"/>
      <c r="K1430" s="110"/>
      <c r="L1430" s="110"/>
      <c r="M1430" s="110"/>
      <c r="N1430" s="110"/>
      <c r="O1430" s="110"/>
      <c r="P1430" s="110"/>
      <c r="Q1430" s="110"/>
    </row>
    <row r="1431">
      <c r="I1431" s="109"/>
      <c r="K1431" s="110"/>
      <c r="L1431" s="110"/>
      <c r="M1431" s="110"/>
      <c r="N1431" s="110"/>
      <c r="O1431" s="110"/>
      <c r="P1431" s="110"/>
      <c r="Q1431" s="110"/>
    </row>
    <row r="1432">
      <c r="I1432" s="109"/>
      <c r="K1432" s="110"/>
      <c r="L1432" s="110"/>
      <c r="M1432" s="110"/>
      <c r="N1432" s="110"/>
      <c r="O1432" s="110"/>
      <c r="P1432" s="110"/>
      <c r="Q1432" s="110"/>
    </row>
    <row r="1433">
      <c r="I1433" s="109"/>
      <c r="K1433" s="110"/>
      <c r="L1433" s="110"/>
      <c r="M1433" s="110"/>
      <c r="N1433" s="110"/>
      <c r="O1433" s="110"/>
      <c r="P1433" s="110"/>
      <c r="Q1433" s="110"/>
    </row>
    <row r="1434">
      <c r="I1434" s="109"/>
      <c r="K1434" s="110"/>
      <c r="L1434" s="110"/>
      <c r="M1434" s="110"/>
      <c r="N1434" s="110"/>
      <c r="O1434" s="110"/>
      <c r="P1434" s="110"/>
      <c r="Q1434" s="110"/>
    </row>
    <row r="1435">
      <c r="I1435" s="109"/>
      <c r="K1435" s="110"/>
      <c r="L1435" s="110"/>
      <c r="M1435" s="110"/>
      <c r="N1435" s="110"/>
      <c r="O1435" s="110"/>
      <c r="P1435" s="110"/>
      <c r="Q1435" s="110"/>
    </row>
    <row r="1436">
      <c r="I1436" s="109"/>
      <c r="K1436" s="110"/>
      <c r="L1436" s="110"/>
      <c r="M1436" s="110"/>
      <c r="N1436" s="110"/>
      <c r="O1436" s="110"/>
      <c r="P1436" s="110"/>
      <c r="Q1436" s="110"/>
    </row>
    <row r="1437">
      <c r="I1437" s="109"/>
      <c r="K1437" s="110"/>
      <c r="L1437" s="110"/>
      <c r="M1437" s="110"/>
      <c r="N1437" s="110"/>
      <c r="O1437" s="110"/>
      <c r="P1437" s="110"/>
      <c r="Q1437" s="110"/>
    </row>
    <row r="1438">
      <c r="I1438" s="109"/>
      <c r="K1438" s="110"/>
      <c r="L1438" s="110"/>
      <c r="M1438" s="110"/>
      <c r="N1438" s="110"/>
      <c r="O1438" s="110"/>
      <c r="P1438" s="110"/>
      <c r="Q1438" s="110"/>
    </row>
    <row r="1439">
      <c r="I1439" s="109"/>
      <c r="K1439" s="110"/>
      <c r="L1439" s="110"/>
      <c r="M1439" s="110"/>
      <c r="N1439" s="110"/>
      <c r="O1439" s="110"/>
      <c r="P1439" s="110"/>
      <c r="Q1439" s="110"/>
    </row>
    <row r="1440">
      <c r="I1440" s="109"/>
      <c r="K1440" s="110"/>
      <c r="L1440" s="110"/>
      <c r="M1440" s="110"/>
      <c r="N1440" s="110"/>
      <c r="O1440" s="110"/>
      <c r="P1440" s="110"/>
      <c r="Q1440" s="110"/>
    </row>
    <row r="1441">
      <c r="I1441" s="109"/>
      <c r="K1441" s="110"/>
      <c r="L1441" s="110"/>
      <c r="M1441" s="110"/>
      <c r="N1441" s="110"/>
      <c r="O1441" s="110"/>
      <c r="P1441" s="110"/>
      <c r="Q1441" s="110"/>
    </row>
    <row r="1442">
      <c r="I1442" s="109"/>
      <c r="K1442" s="110"/>
      <c r="L1442" s="110"/>
      <c r="M1442" s="110"/>
      <c r="N1442" s="110"/>
      <c r="O1442" s="110"/>
      <c r="P1442" s="110"/>
      <c r="Q1442" s="110"/>
    </row>
    <row r="1443">
      <c r="I1443" s="109"/>
      <c r="K1443" s="110"/>
      <c r="L1443" s="110"/>
      <c r="M1443" s="110"/>
      <c r="N1443" s="110"/>
      <c r="O1443" s="110"/>
      <c r="P1443" s="110"/>
      <c r="Q1443" s="110"/>
    </row>
    <row r="1444">
      <c r="I1444" s="109"/>
      <c r="K1444" s="110"/>
      <c r="L1444" s="110"/>
      <c r="M1444" s="110"/>
      <c r="N1444" s="110"/>
      <c r="O1444" s="110"/>
      <c r="P1444" s="110"/>
      <c r="Q1444" s="110"/>
    </row>
    <row r="1445">
      <c r="I1445" s="109"/>
      <c r="K1445" s="110"/>
      <c r="L1445" s="110"/>
      <c r="M1445" s="110"/>
      <c r="N1445" s="110"/>
      <c r="O1445" s="110"/>
      <c r="P1445" s="110"/>
      <c r="Q1445" s="110"/>
    </row>
    <row r="1446">
      <c r="I1446" s="109"/>
      <c r="K1446" s="110"/>
      <c r="L1446" s="110"/>
      <c r="M1446" s="110"/>
      <c r="N1446" s="110"/>
      <c r="O1446" s="110"/>
      <c r="P1446" s="110"/>
      <c r="Q1446" s="110"/>
    </row>
    <row r="1447">
      <c r="I1447" s="109"/>
      <c r="K1447" s="110"/>
      <c r="L1447" s="110"/>
      <c r="M1447" s="110"/>
      <c r="N1447" s="110"/>
      <c r="O1447" s="110"/>
      <c r="P1447" s="110"/>
      <c r="Q1447" s="110"/>
    </row>
    <row r="1448">
      <c r="I1448" s="109"/>
      <c r="K1448" s="110"/>
      <c r="L1448" s="110"/>
      <c r="M1448" s="110"/>
      <c r="N1448" s="110"/>
      <c r="O1448" s="110"/>
      <c r="P1448" s="110"/>
      <c r="Q1448" s="110"/>
    </row>
    <row r="1449">
      <c r="I1449" s="109"/>
      <c r="K1449" s="110"/>
      <c r="L1449" s="110"/>
      <c r="M1449" s="110"/>
      <c r="N1449" s="110"/>
      <c r="O1449" s="110"/>
      <c r="P1449" s="110"/>
      <c r="Q1449" s="110"/>
    </row>
    <row r="1450">
      <c r="I1450" s="109"/>
      <c r="K1450" s="110"/>
      <c r="L1450" s="110"/>
      <c r="M1450" s="110"/>
      <c r="N1450" s="110"/>
      <c r="O1450" s="110"/>
      <c r="P1450" s="110"/>
      <c r="Q1450" s="110"/>
    </row>
    <row r="1451">
      <c r="I1451" s="109"/>
      <c r="K1451" s="110"/>
      <c r="L1451" s="110"/>
      <c r="M1451" s="110"/>
      <c r="N1451" s="110"/>
      <c r="O1451" s="110"/>
      <c r="P1451" s="110"/>
      <c r="Q1451" s="110"/>
    </row>
    <row r="1452">
      <c r="I1452" s="109"/>
      <c r="K1452" s="110"/>
      <c r="L1452" s="110"/>
      <c r="M1452" s="110"/>
      <c r="N1452" s="110"/>
      <c r="O1452" s="110"/>
      <c r="P1452" s="110"/>
      <c r="Q1452" s="110"/>
    </row>
    <row r="1453">
      <c r="I1453" s="109"/>
      <c r="K1453" s="110"/>
      <c r="L1453" s="110"/>
      <c r="M1453" s="110"/>
      <c r="N1453" s="110"/>
      <c r="O1453" s="110"/>
      <c r="P1453" s="110"/>
      <c r="Q1453" s="110"/>
    </row>
    <row r="1454">
      <c r="I1454" s="109"/>
      <c r="K1454" s="110"/>
      <c r="L1454" s="110"/>
      <c r="M1454" s="110"/>
      <c r="N1454" s="110"/>
      <c r="O1454" s="110"/>
      <c r="P1454" s="110"/>
      <c r="Q1454" s="110"/>
    </row>
    <row r="1455">
      <c r="I1455" s="109"/>
      <c r="K1455" s="110"/>
      <c r="L1455" s="110"/>
      <c r="M1455" s="110"/>
      <c r="N1455" s="110"/>
      <c r="O1455" s="110"/>
      <c r="P1455" s="110"/>
      <c r="Q1455" s="110"/>
    </row>
    <row r="1456">
      <c r="I1456" s="109"/>
      <c r="K1456" s="110"/>
      <c r="L1456" s="110"/>
      <c r="M1456" s="110"/>
      <c r="N1456" s="110"/>
      <c r="O1456" s="110"/>
      <c r="P1456" s="110"/>
      <c r="Q1456" s="110"/>
    </row>
    <row r="1457">
      <c r="I1457" s="109"/>
      <c r="K1457" s="110"/>
      <c r="L1457" s="110"/>
      <c r="M1457" s="110"/>
      <c r="N1457" s="110"/>
      <c r="O1457" s="110"/>
      <c r="P1457" s="110"/>
      <c r="Q1457" s="110"/>
    </row>
    <row r="1458">
      <c r="I1458" s="109"/>
      <c r="K1458" s="110"/>
      <c r="L1458" s="110"/>
      <c r="M1458" s="110"/>
      <c r="N1458" s="110"/>
      <c r="O1458" s="110"/>
      <c r="P1458" s="110"/>
      <c r="Q1458" s="110"/>
    </row>
    <row r="1459">
      <c r="I1459" s="109"/>
      <c r="K1459" s="110"/>
      <c r="L1459" s="110"/>
      <c r="M1459" s="110"/>
      <c r="N1459" s="110"/>
      <c r="O1459" s="110"/>
      <c r="P1459" s="110"/>
      <c r="Q1459" s="110"/>
    </row>
    <row r="1460">
      <c r="I1460" s="109"/>
      <c r="K1460" s="110"/>
      <c r="L1460" s="110"/>
      <c r="M1460" s="110"/>
      <c r="N1460" s="110"/>
      <c r="O1460" s="110"/>
      <c r="P1460" s="110"/>
      <c r="Q1460" s="110"/>
    </row>
    <row r="1461">
      <c r="I1461" s="109"/>
      <c r="K1461" s="110"/>
      <c r="L1461" s="110"/>
      <c r="M1461" s="110"/>
      <c r="N1461" s="110"/>
      <c r="O1461" s="110"/>
      <c r="P1461" s="110"/>
      <c r="Q1461" s="110"/>
    </row>
    <row r="1462">
      <c r="I1462" s="109"/>
      <c r="K1462" s="110"/>
      <c r="L1462" s="110"/>
      <c r="M1462" s="110"/>
      <c r="N1462" s="110"/>
      <c r="O1462" s="110"/>
      <c r="P1462" s="110"/>
      <c r="Q1462" s="110"/>
    </row>
    <row r="1463">
      <c r="I1463" s="109"/>
      <c r="K1463" s="110"/>
      <c r="L1463" s="110"/>
      <c r="M1463" s="110"/>
      <c r="N1463" s="110"/>
      <c r="O1463" s="110"/>
      <c r="P1463" s="110"/>
      <c r="Q1463" s="110"/>
    </row>
    <row r="1464">
      <c r="I1464" s="109"/>
      <c r="K1464" s="110"/>
      <c r="L1464" s="110"/>
      <c r="M1464" s="110"/>
      <c r="N1464" s="110"/>
      <c r="O1464" s="110"/>
      <c r="P1464" s="110"/>
      <c r="Q1464" s="110"/>
    </row>
    <row r="1465">
      <c r="I1465" s="109"/>
      <c r="K1465" s="110"/>
      <c r="L1465" s="110"/>
      <c r="M1465" s="110"/>
      <c r="N1465" s="110"/>
      <c r="O1465" s="110"/>
      <c r="P1465" s="110"/>
      <c r="Q1465" s="110"/>
    </row>
    <row r="1466">
      <c r="I1466" s="109"/>
      <c r="K1466" s="110"/>
      <c r="L1466" s="110"/>
      <c r="M1466" s="110"/>
      <c r="N1466" s="110"/>
      <c r="O1466" s="110"/>
      <c r="P1466" s="110"/>
      <c r="Q1466" s="110"/>
    </row>
    <row r="1467">
      <c r="I1467" s="109"/>
      <c r="K1467" s="110"/>
      <c r="L1467" s="110"/>
      <c r="M1467" s="110"/>
      <c r="N1467" s="110"/>
      <c r="O1467" s="110"/>
      <c r="P1467" s="110"/>
      <c r="Q1467" s="110"/>
    </row>
    <row r="1468">
      <c r="I1468" s="109"/>
      <c r="K1468" s="110"/>
      <c r="L1468" s="110"/>
      <c r="M1468" s="110"/>
      <c r="N1468" s="110"/>
      <c r="O1468" s="110"/>
      <c r="P1468" s="110"/>
      <c r="Q1468" s="110"/>
    </row>
    <row r="1469">
      <c r="I1469" s="109"/>
      <c r="K1469" s="110"/>
      <c r="L1469" s="110"/>
      <c r="M1469" s="110"/>
      <c r="N1469" s="110"/>
      <c r="O1469" s="110"/>
      <c r="P1469" s="110"/>
      <c r="Q1469" s="110"/>
    </row>
    <row r="1470">
      <c r="I1470" s="109"/>
      <c r="K1470" s="110"/>
      <c r="L1470" s="110"/>
      <c r="M1470" s="110"/>
      <c r="N1470" s="110"/>
      <c r="O1470" s="110"/>
      <c r="P1470" s="110"/>
      <c r="Q1470" s="110"/>
    </row>
    <row r="1471">
      <c r="I1471" s="109"/>
      <c r="K1471" s="110"/>
      <c r="L1471" s="110"/>
      <c r="M1471" s="110"/>
      <c r="N1471" s="110"/>
      <c r="O1471" s="110"/>
      <c r="P1471" s="110"/>
      <c r="Q1471" s="110"/>
    </row>
    <row r="1472">
      <c r="I1472" s="109"/>
      <c r="K1472" s="110"/>
      <c r="L1472" s="110"/>
      <c r="M1472" s="110"/>
      <c r="N1472" s="110"/>
      <c r="O1472" s="110"/>
      <c r="P1472" s="110"/>
      <c r="Q1472" s="110"/>
    </row>
    <row r="1473">
      <c r="I1473" s="109"/>
      <c r="K1473" s="110"/>
      <c r="L1473" s="110"/>
      <c r="M1473" s="110"/>
      <c r="N1473" s="110"/>
      <c r="O1473" s="110"/>
      <c r="P1473" s="110"/>
      <c r="Q1473" s="110"/>
    </row>
    <row r="1474">
      <c r="I1474" s="109"/>
      <c r="K1474" s="110"/>
      <c r="L1474" s="110"/>
      <c r="M1474" s="110"/>
      <c r="N1474" s="110"/>
      <c r="O1474" s="110"/>
      <c r="P1474" s="110"/>
      <c r="Q1474" s="110"/>
    </row>
    <row r="1475">
      <c r="I1475" s="109"/>
      <c r="K1475" s="110"/>
      <c r="L1475" s="110"/>
      <c r="M1475" s="110"/>
      <c r="N1475" s="110"/>
      <c r="O1475" s="110"/>
      <c r="P1475" s="110"/>
      <c r="Q1475" s="110"/>
    </row>
    <row r="1476">
      <c r="I1476" s="109"/>
      <c r="K1476" s="110"/>
      <c r="L1476" s="110"/>
      <c r="M1476" s="110"/>
      <c r="N1476" s="110"/>
      <c r="O1476" s="110"/>
      <c r="P1476" s="110"/>
      <c r="Q1476" s="110"/>
    </row>
    <row r="1477">
      <c r="I1477" s="109"/>
      <c r="K1477" s="110"/>
      <c r="L1477" s="110"/>
      <c r="M1477" s="110"/>
      <c r="N1477" s="110"/>
      <c r="O1477" s="110"/>
      <c r="P1477" s="110"/>
      <c r="Q1477" s="110"/>
    </row>
    <row r="1478">
      <c r="I1478" s="109"/>
      <c r="K1478" s="110"/>
      <c r="L1478" s="110"/>
      <c r="M1478" s="110"/>
      <c r="N1478" s="110"/>
      <c r="O1478" s="110"/>
      <c r="P1478" s="110"/>
      <c r="Q1478" s="110"/>
    </row>
    <row r="1479">
      <c r="I1479" s="109"/>
      <c r="K1479" s="110"/>
      <c r="L1479" s="110"/>
      <c r="M1479" s="110"/>
      <c r="N1479" s="110"/>
      <c r="O1479" s="110"/>
      <c r="P1479" s="110"/>
      <c r="Q1479" s="110"/>
    </row>
    <row r="1480">
      <c r="I1480" s="109"/>
      <c r="K1480" s="110"/>
      <c r="L1480" s="110"/>
      <c r="M1480" s="110"/>
      <c r="N1480" s="110"/>
      <c r="O1480" s="110"/>
      <c r="P1480" s="110"/>
      <c r="Q1480" s="110"/>
    </row>
    <row r="1481">
      <c r="I1481" s="109"/>
      <c r="K1481" s="110"/>
      <c r="L1481" s="110"/>
      <c r="M1481" s="110"/>
      <c r="N1481" s="110"/>
      <c r="O1481" s="110"/>
      <c r="P1481" s="110"/>
      <c r="Q1481" s="110"/>
    </row>
    <row r="1482">
      <c r="I1482" s="109"/>
      <c r="K1482" s="110"/>
      <c r="L1482" s="110"/>
      <c r="M1482" s="110"/>
      <c r="N1482" s="110"/>
      <c r="O1482" s="110"/>
      <c r="P1482" s="110"/>
      <c r="Q1482" s="110"/>
    </row>
    <row r="1483">
      <c r="I1483" s="109"/>
      <c r="K1483" s="110"/>
      <c r="L1483" s="110"/>
      <c r="M1483" s="110"/>
      <c r="N1483" s="110"/>
      <c r="O1483" s="110"/>
      <c r="P1483" s="110"/>
      <c r="Q1483" s="110"/>
    </row>
    <row r="1484">
      <c r="I1484" s="109"/>
      <c r="K1484" s="110"/>
      <c r="L1484" s="110"/>
      <c r="M1484" s="110"/>
      <c r="N1484" s="110"/>
      <c r="O1484" s="110"/>
      <c r="P1484" s="110"/>
      <c r="Q1484" s="110"/>
    </row>
    <row r="1485">
      <c r="I1485" s="109"/>
      <c r="K1485" s="110"/>
      <c r="L1485" s="110"/>
      <c r="M1485" s="110"/>
      <c r="N1485" s="110"/>
      <c r="O1485" s="110"/>
      <c r="P1485" s="110"/>
      <c r="Q1485" s="110"/>
    </row>
    <row r="1486">
      <c r="I1486" s="109"/>
      <c r="K1486" s="110"/>
      <c r="L1486" s="110"/>
      <c r="M1486" s="110"/>
      <c r="N1486" s="110"/>
      <c r="O1486" s="110"/>
      <c r="P1486" s="110"/>
      <c r="Q1486" s="110"/>
    </row>
    <row r="1487">
      <c r="I1487" s="109"/>
      <c r="K1487" s="110"/>
      <c r="L1487" s="110"/>
      <c r="M1487" s="110"/>
      <c r="N1487" s="110"/>
      <c r="O1487" s="110"/>
      <c r="P1487" s="110"/>
      <c r="Q1487" s="110"/>
    </row>
    <row r="1488">
      <c r="I1488" s="109"/>
      <c r="K1488" s="110"/>
      <c r="L1488" s="110"/>
      <c r="M1488" s="110"/>
      <c r="N1488" s="110"/>
      <c r="O1488" s="110"/>
      <c r="P1488" s="110"/>
      <c r="Q1488" s="110"/>
    </row>
    <row r="1489">
      <c r="I1489" s="109"/>
      <c r="K1489" s="110"/>
      <c r="L1489" s="110"/>
      <c r="M1489" s="110"/>
      <c r="N1489" s="110"/>
      <c r="O1489" s="110"/>
      <c r="P1489" s="110"/>
      <c r="Q1489" s="110"/>
    </row>
    <row r="1490">
      <c r="I1490" s="109"/>
      <c r="K1490" s="110"/>
      <c r="L1490" s="110"/>
      <c r="M1490" s="110"/>
      <c r="N1490" s="110"/>
      <c r="O1490" s="110"/>
      <c r="P1490" s="110"/>
      <c r="Q1490" s="110"/>
    </row>
    <row r="1491">
      <c r="I1491" s="109"/>
      <c r="K1491" s="110"/>
      <c r="L1491" s="110"/>
      <c r="M1491" s="110"/>
      <c r="N1491" s="110"/>
      <c r="O1491" s="110"/>
      <c r="P1491" s="110"/>
      <c r="Q1491" s="110"/>
    </row>
    <row r="1492">
      <c r="I1492" s="109"/>
      <c r="K1492" s="110"/>
      <c r="L1492" s="110"/>
      <c r="M1492" s="110"/>
      <c r="N1492" s="110"/>
      <c r="O1492" s="110"/>
      <c r="P1492" s="110"/>
      <c r="Q1492" s="110"/>
    </row>
    <row r="1493">
      <c r="I1493" s="109"/>
      <c r="K1493" s="110"/>
      <c r="L1493" s="110"/>
      <c r="M1493" s="110"/>
      <c r="N1493" s="110"/>
      <c r="O1493" s="110"/>
      <c r="P1493" s="110"/>
      <c r="Q1493" s="110"/>
    </row>
    <row r="1494">
      <c r="I1494" s="109"/>
      <c r="K1494" s="110"/>
      <c r="L1494" s="110"/>
      <c r="M1494" s="110"/>
      <c r="N1494" s="110"/>
      <c r="O1494" s="110"/>
      <c r="P1494" s="110"/>
      <c r="Q1494" s="110"/>
    </row>
    <row r="1495">
      <c r="I1495" s="109"/>
      <c r="K1495" s="110"/>
      <c r="L1495" s="110"/>
      <c r="M1495" s="110"/>
      <c r="N1495" s="110"/>
      <c r="O1495" s="110"/>
      <c r="P1495" s="110"/>
      <c r="Q1495" s="110"/>
    </row>
    <row r="1496">
      <c r="I1496" s="109"/>
      <c r="K1496" s="110"/>
      <c r="L1496" s="110"/>
      <c r="M1496" s="110"/>
      <c r="N1496" s="110"/>
      <c r="O1496" s="110"/>
      <c r="P1496" s="110"/>
      <c r="Q1496" s="110"/>
    </row>
    <row r="1497">
      <c r="I1497" s="109"/>
      <c r="K1497" s="110"/>
      <c r="L1497" s="110"/>
      <c r="M1497" s="110"/>
      <c r="N1497" s="110"/>
      <c r="O1497" s="110"/>
      <c r="P1497" s="110"/>
      <c r="Q1497" s="110"/>
    </row>
    <row r="1498">
      <c r="I1498" s="109"/>
      <c r="K1498" s="110"/>
      <c r="L1498" s="110"/>
      <c r="M1498" s="110"/>
      <c r="N1498" s="110"/>
      <c r="O1498" s="110"/>
      <c r="P1498" s="110"/>
      <c r="Q1498" s="110"/>
    </row>
    <row r="1499">
      <c r="I1499" s="109"/>
      <c r="K1499" s="110"/>
      <c r="L1499" s="110"/>
      <c r="M1499" s="110"/>
      <c r="N1499" s="110"/>
      <c r="O1499" s="110"/>
      <c r="P1499" s="110"/>
      <c r="Q1499" s="110"/>
    </row>
    <row r="1500">
      <c r="I1500" s="109"/>
      <c r="K1500" s="110"/>
      <c r="L1500" s="110"/>
      <c r="M1500" s="110"/>
      <c r="N1500" s="110"/>
      <c r="O1500" s="110"/>
      <c r="P1500" s="110"/>
      <c r="Q1500" s="110"/>
    </row>
    <row r="1501">
      <c r="I1501" s="109"/>
      <c r="K1501" s="110"/>
      <c r="L1501" s="110"/>
      <c r="M1501" s="110"/>
      <c r="N1501" s="110"/>
      <c r="O1501" s="110"/>
      <c r="P1501" s="110"/>
      <c r="Q1501" s="110"/>
    </row>
    <row r="1502">
      <c r="I1502" s="109"/>
      <c r="K1502" s="110"/>
      <c r="L1502" s="110"/>
      <c r="M1502" s="110"/>
      <c r="N1502" s="110"/>
      <c r="O1502" s="110"/>
      <c r="P1502" s="110"/>
      <c r="Q1502" s="110"/>
    </row>
    <row r="1503">
      <c r="I1503" s="109"/>
      <c r="K1503" s="110"/>
      <c r="L1503" s="110"/>
      <c r="M1503" s="110"/>
      <c r="N1503" s="110"/>
      <c r="O1503" s="110"/>
      <c r="P1503" s="110"/>
      <c r="Q1503" s="110"/>
    </row>
    <row r="1504">
      <c r="I1504" s="109"/>
      <c r="K1504" s="110"/>
      <c r="L1504" s="110"/>
      <c r="M1504" s="110"/>
      <c r="N1504" s="110"/>
      <c r="O1504" s="110"/>
      <c r="P1504" s="110"/>
      <c r="Q1504" s="110"/>
    </row>
    <row r="1505">
      <c r="I1505" s="109"/>
      <c r="K1505" s="110"/>
      <c r="L1505" s="110"/>
      <c r="M1505" s="110"/>
      <c r="N1505" s="110"/>
      <c r="O1505" s="110"/>
      <c r="P1505" s="110"/>
      <c r="Q1505" s="110"/>
    </row>
    <row r="1506">
      <c r="I1506" s="109"/>
      <c r="K1506" s="110"/>
      <c r="L1506" s="110"/>
      <c r="M1506" s="110"/>
      <c r="N1506" s="110"/>
      <c r="O1506" s="110"/>
      <c r="P1506" s="110"/>
      <c r="Q1506" s="110"/>
    </row>
    <row r="1507">
      <c r="I1507" s="109"/>
      <c r="K1507" s="110"/>
      <c r="L1507" s="110"/>
      <c r="M1507" s="110"/>
      <c r="N1507" s="110"/>
      <c r="O1507" s="110"/>
      <c r="P1507" s="110"/>
      <c r="Q1507" s="110"/>
    </row>
    <row r="1508">
      <c r="I1508" s="109"/>
      <c r="K1508" s="110"/>
      <c r="L1508" s="110"/>
      <c r="M1508" s="110"/>
      <c r="N1508" s="110"/>
      <c r="O1508" s="110"/>
      <c r="P1508" s="110"/>
      <c r="Q1508" s="110"/>
    </row>
    <row r="1509">
      <c r="I1509" s="109"/>
      <c r="K1509" s="110"/>
      <c r="L1509" s="110"/>
      <c r="M1509" s="110"/>
      <c r="N1509" s="110"/>
      <c r="O1509" s="110"/>
      <c r="P1509" s="110"/>
      <c r="Q1509" s="110"/>
    </row>
    <row r="1510">
      <c r="I1510" s="109"/>
      <c r="K1510" s="110"/>
      <c r="L1510" s="110"/>
      <c r="M1510" s="110"/>
      <c r="N1510" s="110"/>
      <c r="O1510" s="110"/>
      <c r="P1510" s="110"/>
      <c r="Q1510" s="110"/>
    </row>
    <row r="1511">
      <c r="I1511" s="109"/>
      <c r="K1511" s="110"/>
      <c r="L1511" s="110"/>
      <c r="M1511" s="110"/>
      <c r="N1511" s="110"/>
      <c r="O1511" s="110"/>
      <c r="P1511" s="110"/>
      <c r="Q1511" s="110"/>
    </row>
    <row r="1512">
      <c r="I1512" s="109"/>
      <c r="K1512" s="110"/>
      <c r="L1512" s="110"/>
      <c r="M1512" s="110"/>
      <c r="N1512" s="110"/>
      <c r="O1512" s="110"/>
      <c r="P1512" s="110"/>
      <c r="Q1512" s="110"/>
    </row>
    <row r="1513">
      <c r="I1513" s="109"/>
      <c r="K1513" s="110"/>
      <c r="L1513" s="110"/>
      <c r="M1513" s="110"/>
      <c r="N1513" s="110"/>
      <c r="O1513" s="110"/>
      <c r="P1513" s="110"/>
      <c r="Q1513" s="110"/>
    </row>
    <row r="1514">
      <c r="I1514" s="109"/>
      <c r="K1514" s="110"/>
      <c r="L1514" s="110"/>
      <c r="M1514" s="110"/>
      <c r="N1514" s="110"/>
      <c r="O1514" s="110"/>
      <c r="P1514" s="110"/>
      <c r="Q1514" s="110"/>
    </row>
    <row r="1515">
      <c r="I1515" s="109"/>
      <c r="K1515" s="110"/>
      <c r="L1515" s="110"/>
      <c r="M1515" s="110"/>
      <c r="N1515" s="110"/>
      <c r="O1515" s="110"/>
      <c r="P1515" s="110"/>
      <c r="Q1515" s="110"/>
    </row>
    <row r="1516">
      <c r="I1516" s="109"/>
      <c r="K1516" s="110"/>
      <c r="L1516" s="110"/>
      <c r="M1516" s="110"/>
      <c r="N1516" s="110"/>
      <c r="O1516" s="110"/>
      <c r="P1516" s="110"/>
      <c r="Q1516" s="110"/>
    </row>
    <row r="1517">
      <c r="I1517" s="109"/>
      <c r="K1517" s="110"/>
      <c r="L1517" s="110"/>
      <c r="M1517" s="110"/>
      <c r="N1517" s="110"/>
      <c r="O1517" s="110"/>
      <c r="P1517" s="110"/>
      <c r="Q1517" s="110"/>
    </row>
    <row r="1518">
      <c r="I1518" s="109"/>
      <c r="K1518" s="110"/>
      <c r="L1518" s="110"/>
      <c r="M1518" s="110"/>
      <c r="N1518" s="110"/>
      <c r="O1518" s="110"/>
      <c r="P1518" s="110"/>
      <c r="Q1518" s="110"/>
    </row>
    <row r="1519">
      <c r="I1519" s="109"/>
      <c r="K1519" s="110"/>
      <c r="L1519" s="110"/>
      <c r="M1519" s="110"/>
      <c r="N1519" s="110"/>
      <c r="O1519" s="110"/>
      <c r="P1519" s="110"/>
      <c r="Q1519" s="110"/>
    </row>
    <row r="1520">
      <c r="I1520" s="109"/>
      <c r="K1520" s="110"/>
      <c r="L1520" s="110"/>
      <c r="M1520" s="110"/>
      <c r="N1520" s="110"/>
      <c r="O1520" s="110"/>
      <c r="P1520" s="110"/>
      <c r="Q1520" s="110"/>
    </row>
    <row r="1521">
      <c r="I1521" s="109"/>
      <c r="K1521" s="110"/>
      <c r="L1521" s="110"/>
      <c r="M1521" s="110"/>
      <c r="N1521" s="110"/>
      <c r="O1521" s="110"/>
      <c r="P1521" s="110"/>
      <c r="Q1521" s="110"/>
    </row>
    <row r="1522">
      <c r="I1522" s="109"/>
      <c r="K1522" s="110"/>
      <c r="L1522" s="110"/>
      <c r="M1522" s="110"/>
      <c r="N1522" s="110"/>
      <c r="O1522" s="110"/>
      <c r="P1522" s="110"/>
      <c r="Q1522" s="110"/>
    </row>
    <row r="1523">
      <c r="I1523" s="109"/>
      <c r="K1523" s="110"/>
      <c r="L1523" s="110"/>
      <c r="M1523" s="110"/>
      <c r="N1523" s="110"/>
      <c r="O1523" s="110"/>
      <c r="P1523" s="110"/>
      <c r="Q1523" s="110"/>
    </row>
    <row r="1524">
      <c r="I1524" s="109"/>
      <c r="K1524" s="110"/>
      <c r="L1524" s="110"/>
      <c r="M1524" s="110"/>
      <c r="N1524" s="110"/>
      <c r="O1524" s="110"/>
      <c r="P1524" s="110"/>
      <c r="Q1524" s="110"/>
    </row>
    <row r="1525">
      <c r="I1525" s="109"/>
      <c r="K1525" s="110"/>
      <c r="L1525" s="110"/>
      <c r="M1525" s="110"/>
      <c r="N1525" s="110"/>
      <c r="O1525" s="110"/>
      <c r="P1525" s="110"/>
      <c r="Q1525" s="110"/>
    </row>
    <row r="1526">
      <c r="I1526" s="109"/>
      <c r="K1526" s="110"/>
      <c r="L1526" s="110"/>
      <c r="M1526" s="110"/>
      <c r="N1526" s="110"/>
      <c r="O1526" s="110"/>
      <c r="P1526" s="110"/>
      <c r="Q1526" s="110"/>
    </row>
    <row r="1527">
      <c r="I1527" s="109"/>
      <c r="K1527" s="110"/>
      <c r="L1527" s="110"/>
      <c r="M1527" s="110"/>
      <c r="N1527" s="110"/>
      <c r="O1527" s="110"/>
      <c r="P1527" s="110"/>
      <c r="Q1527" s="110"/>
    </row>
    <row r="1528">
      <c r="I1528" s="109"/>
      <c r="K1528" s="110"/>
      <c r="L1528" s="110"/>
      <c r="M1528" s="110"/>
      <c r="N1528" s="110"/>
      <c r="O1528" s="110"/>
      <c r="P1528" s="110"/>
      <c r="Q1528" s="110"/>
    </row>
    <row r="1529">
      <c r="I1529" s="109"/>
      <c r="K1529" s="110"/>
      <c r="L1529" s="110"/>
      <c r="M1529" s="110"/>
      <c r="N1529" s="110"/>
      <c r="O1529" s="110"/>
      <c r="P1529" s="110"/>
      <c r="Q1529" s="110"/>
    </row>
    <row r="1530">
      <c r="I1530" s="109"/>
      <c r="K1530" s="110"/>
      <c r="L1530" s="110"/>
      <c r="M1530" s="110"/>
      <c r="N1530" s="110"/>
      <c r="O1530" s="110"/>
      <c r="P1530" s="110"/>
      <c r="Q1530" s="110"/>
    </row>
    <row r="1531">
      <c r="I1531" s="109"/>
      <c r="K1531" s="110"/>
      <c r="L1531" s="110"/>
      <c r="M1531" s="110"/>
      <c r="N1531" s="110"/>
      <c r="O1531" s="110"/>
      <c r="P1531" s="110"/>
      <c r="Q1531" s="110"/>
    </row>
    <row r="1532">
      <c r="I1532" s="109"/>
      <c r="K1532" s="110"/>
      <c r="L1532" s="110"/>
      <c r="M1532" s="110"/>
      <c r="N1532" s="110"/>
      <c r="O1532" s="110"/>
      <c r="P1532" s="110"/>
      <c r="Q1532" s="110"/>
    </row>
    <row r="1533">
      <c r="I1533" s="109"/>
      <c r="K1533" s="110"/>
      <c r="L1533" s="110"/>
      <c r="M1533" s="110"/>
      <c r="N1533" s="110"/>
      <c r="O1533" s="110"/>
      <c r="P1533" s="110"/>
      <c r="Q1533" s="110"/>
    </row>
    <row r="1534">
      <c r="I1534" s="109"/>
      <c r="K1534" s="110"/>
      <c r="L1534" s="110"/>
      <c r="M1534" s="110"/>
      <c r="N1534" s="110"/>
      <c r="O1534" s="110"/>
      <c r="P1534" s="110"/>
      <c r="Q1534" s="110"/>
    </row>
    <row r="1535">
      <c r="I1535" s="109"/>
      <c r="K1535" s="110"/>
      <c r="L1535" s="110"/>
      <c r="M1535" s="110"/>
      <c r="N1535" s="110"/>
      <c r="O1535" s="110"/>
      <c r="P1535" s="110"/>
      <c r="Q1535" s="110"/>
    </row>
    <row r="1536">
      <c r="I1536" s="109"/>
      <c r="K1536" s="110"/>
      <c r="L1536" s="110"/>
      <c r="M1536" s="110"/>
      <c r="N1536" s="110"/>
      <c r="O1536" s="110"/>
      <c r="P1536" s="110"/>
      <c r="Q1536" s="110"/>
    </row>
    <row r="1537">
      <c r="I1537" s="109"/>
      <c r="K1537" s="110"/>
      <c r="L1537" s="110"/>
      <c r="M1537" s="110"/>
      <c r="N1537" s="110"/>
      <c r="O1537" s="110"/>
      <c r="P1537" s="110"/>
      <c r="Q1537" s="110"/>
    </row>
    <row r="1538">
      <c r="I1538" s="109"/>
      <c r="K1538" s="110"/>
      <c r="L1538" s="110"/>
      <c r="M1538" s="110"/>
      <c r="N1538" s="110"/>
      <c r="O1538" s="110"/>
      <c r="P1538" s="110"/>
      <c r="Q1538" s="110"/>
    </row>
    <row r="1539">
      <c r="I1539" s="109"/>
      <c r="K1539" s="110"/>
      <c r="L1539" s="110"/>
      <c r="M1539" s="110"/>
      <c r="N1539" s="110"/>
      <c r="O1539" s="110"/>
      <c r="P1539" s="110"/>
      <c r="Q1539" s="110"/>
    </row>
    <row r="1540">
      <c r="I1540" s="109"/>
      <c r="K1540" s="110"/>
      <c r="L1540" s="110"/>
      <c r="M1540" s="110"/>
      <c r="N1540" s="110"/>
      <c r="O1540" s="110"/>
      <c r="P1540" s="110"/>
      <c r="Q1540" s="110"/>
    </row>
    <row r="1541">
      <c r="I1541" s="109"/>
      <c r="K1541" s="110"/>
      <c r="L1541" s="110"/>
      <c r="M1541" s="110"/>
      <c r="N1541" s="110"/>
      <c r="O1541" s="110"/>
      <c r="P1541" s="110"/>
      <c r="Q1541" s="110"/>
    </row>
    <row r="1542">
      <c r="I1542" s="109"/>
      <c r="K1542" s="110"/>
      <c r="L1542" s="110"/>
      <c r="M1542" s="110"/>
      <c r="N1542" s="110"/>
      <c r="O1542" s="110"/>
      <c r="P1542" s="110"/>
      <c r="Q1542" s="110"/>
    </row>
    <row r="1543">
      <c r="I1543" s="109"/>
      <c r="K1543" s="110"/>
      <c r="L1543" s="110"/>
      <c r="M1543" s="110"/>
      <c r="N1543" s="110"/>
      <c r="O1543" s="110"/>
      <c r="P1543" s="110"/>
      <c r="Q1543" s="110"/>
    </row>
    <row r="1544">
      <c r="I1544" s="109"/>
      <c r="K1544" s="110"/>
      <c r="L1544" s="110"/>
      <c r="M1544" s="110"/>
      <c r="N1544" s="110"/>
      <c r="O1544" s="110"/>
      <c r="P1544" s="110"/>
      <c r="Q1544" s="110"/>
    </row>
    <row r="1545">
      <c r="I1545" s="109"/>
      <c r="K1545" s="110"/>
      <c r="L1545" s="110"/>
      <c r="M1545" s="110"/>
      <c r="N1545" s="110"/>
      <c r="O1545" s="110"/>
      <c r="P1545" s="110"/>
      <c r="Q1545" s="110"/>
    </row>
    <row r="1546">
      <c r="I1546" s="109"/>
      <c r="K1546" s="110"/>
      <c r="L1546" s="110"/>
      <c r="M1546" s="110"/>
      <c r="N1546" s="110"/>
      <c r="O1546" s="110"/>
      <c r="P1546" s="110"/>
      <c r="Q1546" s="110"/>
    </row>
    <row r="1547">
      <c r="I1547" s="109"/>
      <c r="K1547" s="110"/>
      <c r="L1547" s="110"/>
      <c r="M1547" s="110"/>
      <c r="N1547" s="110"/>
      <c r="O1547" s="110"/>
      <c r="P1547" s="110"/>
      <c r="Q1547" s="110"/>
    </row>
    <row r="1548">
      <c r="I1548" s="109"/>
      <c r="K1548" s="110"/>
      <c r="L1548" s="110"/>
      <c r="M1548" s="110"/>
      <c r="N1548" s="110"/>
      <c r="O1548" s="110"/>
      <c r="P1548" s="110"/>
      <c r="Q1548" s="110"/>
    </row>
    <row r="1549">
      <c r="I1549" s="109"/>
      <c r="K1549" s="110"/>
      <c r="L1549" s="110"/>
      <c r="M1549" s="110"/>
      <c r="N1549" s="110"/>
      <c r="O1549" s="110"/>
      <c r="P1549" s="110"/>
      <c r="Q1549" s="110"/>
    </row>
    <row r="1550">
      <c r="I1550" s="109"/>
      <c r="K1550" s="110"/>
      <c r="L1550" s="110"/>
      <c r="M1550" s="110"/>
      <c r="N1550" s="110"/>
      <c r="O1550" s="110"/>
      <c r="P1550" s="110"/>
      <c r="Q1550" s="110"/>
    </row>
    <row r="1551">
      <c r="I1551" s="109"/>
      <c r="K1551" s="110"/>
      <c r="L1551" s="110"/>
      <c r="M1551" s="110"/>
      <c r="N1551" s="110"/>
      <c r="O1551" s="110"/>
      <c r="P1551" s="110"/>
      <c r="Q1551" s="110"/>
    </row>
    <row r="1552">
      <c r="I1552" s="109"/>
      <c r="K1552" s="110"/>
      <c r="L1552" s="110"/>
      <c r="M1552" s="110"/>
      <c r="N1552" s="110"/>
      <c r="O1552" s="110"/>
      <c r="P1552" s="110"/>
      <c r="Q1552" s="110"/>
    </row>
    <row r="1553">
      <c r="I1553" s="109"/>
      <c r="K1553" s="110"/>
      <c r="L1553" s="110"/>
      <c r="M1553" s="110"/>
      <c r="N1553" s="110"/>
      <c r="O1553" s="110"/>
      <c r="P1553" s="110"/>
      <c r="Q1553" s="110"/>
    </row>
    <row r="1554">
      <c r="I1554" s="109"/>
      <c r="K1554" s="110"/>
      <c r="L1554" s="110"/>
      <c r="M1554" s="110"/>
      <c r="N1554" s="110"/>
      <c r="O1554" s="110"/>
      <c r="P1554" s="110"/>
      <c r="Q1554" s="110"/>
    </row>
    <row r="1555">
      <c r="I1555" s="109"/>
      <c r="K1555" s="110"/>
      <c r="L1555" s="110"/>
      <c r="M1555" s="110"/>
      <c r="N1555" s="110"/>
      <c r="O1555" s="110"/>
      <c r="P1555" s="110"/>
      <c r="Q1555" s="110"/>
    </row>
    <row r="1556">
      <c r="I1556" s="109"/>
      <c r="K1556" s="110"/>
      <c r="L1556" s="110"/>
      <c r="M1556" s="110"/>
      <c r="N1556" s="110"/>
      <c r="O1556" s="110"/>
      <c r="P1556" s="110"/>
      <c r="Q1556" s="110"/>
    </row>
    <row r="1557">
      <c r="I1557" s="109"/>
      <c r="K1557" s="110"/>
      <c r="L1557" s="110"/>
      <c r="M1557" s="110"/>
      <c r="N1557" s="110"/>
      <c r="O1557" s="110"/>
      <c r="P1557" s="110"/>
      <c r="Q1557" s="110"/>
    </row>
    <row r="1558">
      <c r="I1558" s="109"/>
      <c r="K1558" s="110"/>
      <c r="L1558" s="110"/>
      <c r="M1558" s="110"/>
      <c r="N1558" s="110"/>
      <c r="O1558" s="110"/>
      <c r="P1558" s="110"/>
      <c r="Q1558" s="110"/>
    </row>
    <row r="1559">
      <c r="I1559" s="109"/>
      <c r="K1559" s="110"/>
      <c r="L1559" s="110"/>
      <c r="M1559" s="110"/>
      <c r="N1559" s="110"/>
      <c r="O1559" s="110"/>
      <c r="P1559" s="110"/>
      <c r="Q1559" s="110"/>
    </row>
    <row r="1560">
      <c r="I1560" s="109"/>
      <c r="K1560" s="110"/>
      <c r="L1560" s="110"/>
      <c r="M1560" s="110"/>
      <c r="N1560" s="110"/>
      <c r="O1560" s="110"/>
      <c r="P1560" s="110"/>
      <c r="Q1560" s="110"/>
    </row>
    <row r="1561">
      <c r="I1561" s="109"/>
      <c r="K1561" s="110"/>
      <c r="L1561" s="110"/>
      <c r="M1561" s="110"/>
      <c r="N1561" s="110"/>
      <c r="O1561" s="110"/>
      <c r="P1561" s="110"/>
      <c r="Q1561" s="110"/>
    </row>
    <row r="1562">
      <c r="I1562" s="109"/>
      <c r="K1562" s="110"/>
      <c r="L1562" s="110"/>
      <c r="M1562" s="110"/>
      <c r="N1562" s="110"/>
      <c r="O1562" s="110"/>
      <c r="P1562" s="110"/>
      <c r="Q1562" s="110"/>
    </row>
    <row r="1563">
      <c r="I1563" s="109"/>
      <c r="K1563" s="110"/>
      <c r="L1563" s="110"/>
      <c r="M1563" s="110"/>
      <c r="N1563" s="110"/>
      <c r="O1563" s="110"/>
      <c r="P1563" s="110"/>
      <c r="Q1563" s="110"/>
    </row>
    <row r="1564">
      <c r="I1564" s="109"/>
      <c r="K1564" s="110"/>
      <c r="L1564" s="110"/>
      <c r="M1564" s="110"/>
      <c r="N1564" s="110"/>
      <c r="O1564" s="110"/>
      <c r="P1564" s="110"/>
      <c r="Q1564" s="110"/>
    </row>
    <row r="1565">
      <c r="I1565" s="109"/>
      <c r="K1565" s="110"/>
      <c r="L1565" s="110"/>
      <c r="M1565" s="110"/>
      <c r="N1565" s="110"/>
      <c r="O1565" s="110"/>
      <c r="P1565" s="110"/>
      <c r="Q1565" s="110"/>
    </row>
    <row r="1566">
      <c r="I1566" s="109"/>
      <c r="K1566" s="110"/>
      <c r="L1566" s="110"/>
      <c r="M1566" s="110"/>
      <c r="N1566" s="110"/>
      <c r="O1566" s="110"/>
      <c r="P1566" s="110"/>
      <c r="Q1566" s="110"/>
    </row>
    <row r="1567">
      <c r="I1567" s="109"/>
      <c r="K1567" s="110"/>
      <c r="L1567" s="110"/>
      <c r="M1567" s="110"/>
      <c r="N1567" s="110"/>
      <c r="O1567" s="110"/>
      <c r="P1567" s="110"/>
      <c r="Q1567" s="110"/>
    </row>
    <row r="1568">
      <c r="I1568" s="109"/>
      <c r="K1568" s="110"/>
      <c r="L1568" s="110"/>
      <c r="M1568" s="110"/>
      <c r="N1568" s="110"/>
      <c r="O1568" s="110"/>
      <c r="P1568" s="110"/>
      <c r="Q1568" s="110"/>
    </row>
    <row r="1569">
      <c r="I1569" s="109"/>
      <c r="K1569" s="110"/>
      <c r="L1569" s="110"/>
      <c r="M1569" s="110"/>
      <c r="N1569" s="110"/>
      <c r="O1569" s="110"/>
      <c r="P1569" s="110"/>
      <c r="Q1569" s="110"/>
    </row>
    <row r="1570">
      <c r="I1570" s="109"/>
      <c r="K1570" s="110"/>
      <c r="L1570" s="110"/>
      <c r="M1570" s="110"/>
      <c r="N1570" s="110"/>
      <c r="O1570" s="110"/>
      <c r="P1570" s="110"/>
      <c r="Q1570" s="110"/>
    </row>
    <row r="1571">
      <c r="I1571" s="109"/>
      <c r="K1571" s="110"/>
      <c r="L1571" s="110"/>
      <c r="M1571" s="110"/>
      <c r="N1571" s="110"/>
      <c r="O1571" s="110"/>
      <c r="P1571" s="110"/>
      <c r="Q1571" s="110"/>
    </row>
    <row r="1572">
      <c r="I1572" s="109"/>
      <c r="K1572" s="110"/>
      <c r="L1572" s="110"/>
      <c r="M1572" s="110"/>
      <c r="N1572" s="110"/>
      <c r="O1572" s="110"/>
      <c r="P1572" s="110"/>
      <c r="Q1572" s="110"/>
    </row>
    <row r="1573">
      <c r="I1573" s="109"/>
      <c r="K1573" s="110"/>
      <c r="L1573" s="110"/>
      <c r="M1573" s="110"/>
      <c r="N1573" s="110"/>
      <c r="O1573" s="110"/>
      <c r="P1573" s="110"/>
      <c r="Q1573" s="110"/>
    </row>
    <row r="1574">
      <c r="I1574" s="109"/>
      <c r="K1574" s="110"/>
      <c r="L1574" s="110"/>
      <c r="M1574" s="110"/>
      <c r="N1574" s="110"/>
      <c r="O1574" s="110"/>
      <c r="P1574" s="110"/>
      <c r="Q1574" s="110"/>
    </row>
    <row r="1575">
      <c r="I1575" s="109"/>
      <c r="K1575" s="110"/>
      <c r="L1575" s="110"/>
      <c r="M1575" s="110"/>
      <c r="N1575" s="110"/>
      <c r="O1575" s="110"/>
      <c r="P1575" s="110"/>
      <c r="Q1575" s="110"/>
    </row>
    <row r="1576">
      <c r="I1576" s="109"/>
      <c r="K1576" s="110"/>
      <c r="L1576" s="110"/>
      <c r="M1576" s="110"/>
      <c r="N1576" s="110"/>
      <c r="O1576" s="110"/>
      <c r="P1576" s="110"/>
      <c r="Q1576" s="110"/>
    </row>
    <row r="1577">
      <c r="I1577" s="109"/>
      <c r="K1577" s="110"/>
      <c r="L1577" s="110"/>
      <c r="M1577" s="110"/>
      <c r="N1577" s="110"/>
      <c r="O1577" s="110"/>
      <c r="P1577" s="110"/>
      <c r="Q1577" s="110"/>
    </row>
    <row r="1578">
      <c r="I1578" s="109"/>
      <c r="K1578" s="110"/>
      <c r="L1578" s="110"/>
      <c r="M1578" s="110"/>
      <c r="N1578" s="110"/>
      <c r="O1578" s="110"/>
      <c r="P1578" s="110"/>
      <c r="Q1578" s="110"/>
    </row>
    <row r="1579">
      <c r="I1579" s="109"/>
      <c r="K1579" s="110"/>
      <c r="L1579" s="110"/>
      <c r="M1579" s="110"/>
      <c r="N1579" s="110"/>
      <c r="O1579" s="110"/>
      <c r="P1579" s="110"/>
      <c r="Q1579" s="110"/>
    </row>
    <row r="1580">
      <c r="I1580" s="109"/>
      <c r="K1580" s="110"/>
      <c r="L1580" s="110"/>
      <c r="M1580" s="110"/>
      <c r="N1580" s="110"/>
      <c r="O1580" s="110"/>
      <c r="P1580" s="110"/>
      <c r="Q1580" s="110"/>
    </row>
    <row r="1581">
      <c r="I1581" s="109"/>
      <c r="K1581" s="110"/>
      <c r="L1581" s="110"/>
      <c r="M1581" s="110"/>
      <c r="N1581" s="110"/>
      <c r="O1581" s="110"/>
      <c r="P1581" s="110"/>
      <c r="Q1581" s="110"/>
    </row>
    <row r="1582">
      <c r="I1582" s="109"/>
      <c r="K1582" s="110"/>
      <c r="L1582" s="110"/>
      <c r="M1582" s="110"/>
      <c r="N1582" s="110"/>
      <c r="O1582" s="110"/>
      <c r="P1582" s="110"/>
      <c r="Q1582" s="110"/>
    </row>
    <row r="1583">
      <c r="I1583" s="109"/>
      <c r="K1583" s="110"/>
      <c r="L1583" s="110"/>
      <c r="M1583" s="110"/>
      <c r="N1583" s="110"/>
      <c r="O1583" s="110"/>
      <c r="P1583" s="110"/>
      <c r="Q1583" s="110"/>
    </row>
    <row r="1584">
      <c r="I1584" s="109"/>
      <c r="K1584" s="110"/>
      <c r="L1584" s="110"/>
      <c r="M1584" s="110"/>
      <c r="N1584" s="110"/>
      <c r="O1584" s="110"/>
      <c r="P1584" s="110"/>
      <c r="Q1584" s="110"/>
    </row>
    <row r="1585">
      <c r="I1585" s="109"/>
      <c r="K1585" s="110"/>
      <c r="L1585" s="110"/>
      <c r="M1585" s="110"/>
      <c r="N1585" s="110"/>
      <c r="O1585" s="110"/>
      <c r="P1585" s="110"/>
      <c r="Q1585" s="110"/>
    </row>
    <row r="1586">
      <c r="I1586" s="109"/>
      <c r="K1586" s="110"/>
      <c r="L1586" s="110"/>
      <c r="M1586" s="110"/>
      <c r="N1586" s="110"/>
      <c r="O1586" s="110"/>
      <c r="P1586" s="110"/>
      <c r="Q1586" s="110"/>
    </row>
    <row r="1587">
      <c r="I1587" s="109"/>
      <c r="K1587" s="110"/>
      <c r="L1587" s="110"/>
      <c r="M1587" s="110"/>
      <c r="N1587" s="110"/>
      <c r="O1587" s="110"/>
      <c r="P1587" s="110"/>
      <c r="Q1587" s="110"/>
    </row>
    <row r="1588">
      <c r="I1588" s="109"/>
      <c r="K1588" s="110"/>
      <c r="L1588" s="110"/>
      <c r="M1588" s="110"/>
      <c r="N1588" s="110"/>
      <c r="O1588" s="110"/>
      <c r="P1588" s="110"/>
      <c r="Q1588" s="110"/>
    </row>
    <row r="1589">
      <c r="I1589" s="109"/>
      <c r="K1589" s="110"/>
      <c r="L1589" s="110"/>
      <c r="M1589" s="110"/>
      <c r="N1589" s="110"/>
      <c r="O1589" s="110"/>
      <c r="P1589" s="110"/>
      <c r="Q1589" s="110"/>
    </row>
    <row r="1590">
      <c r="I1590" s="109"/>
      <c r="K1590" s="110"/>
      <c r="L1590" s="110"/>
      <c r="M1590" s="110"/>
      <c r="N1590" s="110"/>
      <c r="O1590" s="110"/>
      <c r="P1590" s="110"/>
      <c r="Q1590" s="110"/>
    </row>
    <row r="1591">
      <c r="I1591" s="109"/>
      <c r="K1591" s="110"/>
      <c r="L1591" s="110"/>
      <c r="M1591" s="110"/>
      <c r="N1591" s="110"/>
      <c r="O1591" s="110"/>
      <c r="P1591" s="110"/>
      <c r="Q1591" s="110"/>
    </row>
    <row r="1592">
      <c r="I1592" s="109"/>
      <c r="K1592" s="110"/>
      <c r="L1592" s="110"/>
      <c r="M1592" s="110"/>
      <c r="N1592" s="110"/>
      <c r="O1592" s="110"/>
      <c r="P1592" s="110"/>
      <c r="Q1592" s="110"/>
    </row>
    <row r="1593">
      <c r="I1593" s="109"/>
      <c r="K1593" s="110"/>
      <c r="L1593" s="110"/>
      <c r="M1593" s="110"/>
      <c r="N1593" s="110"/>
      <c r="O1593" s="110"/>
      <c r="P1593" s="110"/>
      <c r="Q1593" s="110"/>
    </row>
    <row r="1594">
      <c r="I1594" s="109"/>
      <c r="K1594" s="110"/>
      <c r="L1594" s="110"/>
      <c r="M1594" s="110"/>
      <c r="N1594" s="110"/>
      <c r="O1594" s="110"/>
      <c r="P1594" s="110"/>
      <c r="Q1594" s="110"/>
    </row>
    <row r="1595">
      <c r="I1595" s="109"/>
      <c r="K1595" s="110"/>
      <c r="L1595" s="110"/>
      <c r="M1595" s="110"/>
      <c r="N1595" s="110"/>
      <c r="O1595" s="110"/>
      <c r="P1595" s="110"/>
      <c r="Q1595" s="110"/>
    </row>
    <row r="1596">
      <c r="I1596" s="109"/>
      <c r="K1596" s="110"/>
      <c r="L1596" s="110"/>
      <c r="M1596" s="110"/>
      <c r="N1596" s="110"/>
      <c r="O1596" s="110"/>
      <c r="P1596" s="110"/>
      <c r="Q1596" s="110"/>
    </row>
    <row r="1597">
      <c r="I1597" s="109"/>
      <c r="K1597" s="110"/>
      <c r="L1597" s="110"/>
      <c r="M1597" s="110"/>
      <c r="N1597" s="110"/>
      <c r="O1597" s="110"/>
      <c r="P1597" s="110"/>
      <c r="Q1597" s="110"/>
    </row>
    <row r="1598">
      <c r="I1598" s="109"/>
      <c r="K1598" s="110"/>
      <c r="L1598" s="110"/>
      <c r="M1598" s="110"/>
      <c r="N1598" s="110"/>
      <c r="O1598" s="110"/>
      <c r="P1598" s="110"/>
      <c r="Q1598" s="110"/>
    </row>
    <row r="1599">
      <c r="I1599" s="109"/>
      <c r="K1599" s="110"/>
      <c r="L1599" s="110"/>
      <c r="M1599" s="110"/>
      <c r="N1599" s="110"/>
      <c r="O1599" s="110"/>
      <c r="P1599" s="110"/>
      <c r="Q1599" s="110"/>
    </row>
    <row r="1600">
      <c r="I1600" s="109"/>
      <c r="K1600" s="110"/>
      <c r="L1600" s="110"/>
      <c r="M1600" s="110"/>
      <c r="N1600" s="110"/>
      <c r="O1600" s="110"/>
      <c r="P1600" s="110"/>
      <c r="Q1600" s="110"/>
    </row>
    <row r="1601">
      <c r="I1601" s="109"/>
      <c r="K1601" s="110"/>
      <c r="L1601" s="110"/>
      <c r="M1601" s="110"/>
      <c r="N1601" s="110"/>
      <c r="O1601" s="110"/>
      <c r="P1601" s="110"/>
      <c r="Q1601" s="110"/>
    </row>
    <row r="1602">
      <c r="I1602" s="109"/>
      <c r="K1602" s="110"/>
      <c r="L1602" s="110"/>
      <c r="M1602" s="110"/>
      <c r="N1602" s="110"/>
      <c r="O1602" s="110"/>
      <c r="P1602" s="110"/>
      <c r="Q1602" s="110"/>
    </row>
    <row r="1603">
      <c r="I1603" s="109"/>
      <c r="K1603" s="110"/>
      <c r="L1603" s="110"/>
      <c r="M1603" s="110"/>
      <c r="N1603" s="110"/>
      <c r="O1603" s="110"/>
      <c r="P1603" s="110"/>
      <c r="Q1603" s="110"/>
    </row>
    <row r="1604">
      <c r="I1604" s="109"/>
      <c r="K1604" s="110"/>
      <c r="L1604" s="110"/>
      <c r="M1604" s="110"/>
      <c r="N1604" s="110"/>
      <c r="O1604" s="110"/>
      <c r="P1604" s="110"/>
      <c r="Q1604" s="110"/>
    </row>
    <row r="1605">
      <c r="I1605" s="109"/>
      <c r="K1605" s="110"/>
      <c r="L1605" s="110"/>
      <c r="M1605" s="110"/>
      <c r="N1605" s="110"/>
      <c r="O1605" s="110"/>
      <c r="P1605" s="110"/>
      <c r="Q1605" s="110"/>
    </row>
    <row r="1606">
      <c r="I1606" s="109"/>
      <c r="K1606" s="110"/>
      <c r="L1606" s="110"/>
      <c r="M1606" s="110"/>
      <c r="N1606" s="110"/>
      <c r="O1606" s="110"/>
      <c r="P1606" s="110"/>
      <c r="Q1606" s="110"/>
    </row>
    <row r="1607">
      <c r="I1607" s="109"/>
      <c r="K1607" s="110"/>
      <c r="L1607" s="110"/>
      <c r="M1607" s="110"/>
      <c r="N1607" s="110"/>
      <c r="O1607" s="110"/>
      <c r="P1607" s="110"/>
      <c r="Q1607" s="110"/>
    </row>
    <row r="1608">
      <c r="I1608" s="109"/>
      <c r="K1608" s="110"/>
      <c r="L1608" s="110"/>
      <c r="M1608" s="110"/>
      <c r="N1608" s="110"/>
      <c r="O1608" s="110"/>
      <c r="P1608" s="110"/>
      <c r="Q1608" s="110"/>
    </row>
    <row r="1609">
      <c r="I1609" s="109"/>
      <c r="K1609" s="110"/>
      <c r="L1609" s="110"/>
      <c r="M1609" s="110"/>
      <c r="N1609" s="110"/>
      <c r="O1609" s="110"/>
      <c r="P1609" s="110"/>
      <c r="Q1609" s="110"/>
    </row>
    <row r="1610">
      <c r="I1610" s="109"/>
      <c r="K1610" s="110"/>
      <c r="L1610" s="110"/>
      <c r="M1610" s="110"/>
      <c r="N1610" s="110"/>
      <c r="O1610" s="110"/>
      <c r="P1610" s="110"/>
      <c r="Q1610" s="110"/>
    </row>
    <row r="1611">
      <c r="I1611" s="109"/>
      <c r="K1611" s="110"/>
      <c r="L1611" s="110"/>
      <c r="M1611" s="110"/>
      <c r="N1611" s="110"/>
      <c r="O1611" s="110"/>
      <c r="P1611" s="110"/>
      <c r="Q1611" s="110"/>
    </row>
    <row r="1612">
      <c r="I1612" s="109"/>
      <c r="K1612" s="110"/>
      <c r="L1612" s="110"/>
      <c r="M1612" s="110"/>
      <c r="N1612" s="110"/>
      <c r="O1612" s="110"/>
      <c r="P1612" s="110"/>
      <c r="Q1612" s="110"/>
    </row>
    <row r="1613">
      <c r="I1613" s="109"/>
      <c r="K1613" s="110"/>
      <c r="L1613" s="110"/>
      <c r="M1613" s="110"/>
      <c r="N1613" s="110"/>
      <c r="O1613" s="110"/>
      <c r="P1613" s="110"/>
      <c r="Q1613" s="110"/>
    </row>
    <row r="1614">
      <c r="I1614" s="109"/>
      <c r="K1614" s="110"/>
      <c r="L1614" s="110"/>
      <c r="M1614" s="110"/>
      <c r="N1614" s="110"/>
      <c r="O1614" s="110"/>
      <c r="P1614" s="110"/>
      <c r="Q1614" s="110"/>
    </row>
    <row r="1615">
      <c r="I1615" s="109"/>
      <c r="K1615" s="110"/>
      <c r="L1615" s="110"/>
      <c r="M1615" s="110"/>
      <c r="N1615" s="110"/>
      <c r="O1615" s="110"/>
      <c r="P1615" s="110"/>
      <c r="Q1615" s="110"/>
    </row>
    <row r="1616">
      <c r="I1616" s="109"/>
      <c r="K1616" s="110"/>
      <c r="L1616" s="110"/>
      <c r="M1616" s="110"/>
      <c r="N1616" s="110"/>
      <c r="O1616" s="110"/>
      <c r="P1616" s="110"/>
      <c r="Q1616" s="110"/>
    </row>
    <row r="1617">
      <c r="I1617" s="109"/>
      <c r="K1617" s="110"/>
      <c r="L1617" s="110"/>
      <c r="M1617" s="110"/>
      <c r="N1617" s="110"/>
      <c r="O1617" s="110"/>
      <c r="P1617" s="110"/>
      <c r="Q1617" s="110"/>
    </row>
    <row r="1618">
      <c r="I1618" s="109"/>
      <c r="K1618" s="110"/>
      <c r="L1618" s="110"/>
      <c r="M1618" s="110"/>
      <c r="N1618" s="110"/>
      <c r="O1618" s="110"/>
      <c r="P1618" s="110"/>
      <c r="Q1618" s="110"/>
    </row>
    <row r="1619">
      <c r="I1619" s="109"/>
      <c r="K1619" s="110"/>
      <c r="L1619" s="110"/>
      <c r="M1619" s="110"/>
      <c r="N1619" s="110"/>
      <c r="O1619" s="110"/>
      <c r="P1619" s="110"/>
      <c r="Q1619" s="110"/>
    </row>
    <row r="1620">
      <c r="I1620" s="109"/>
      <c r="K1620" s="110"/>
      <c r="L1620" s="110"/>
      <c r="M1620" s="110"/>
      <c r="N1620" s="110"/>
      <c r="O1620" s="110"/>
      <c r="P1620" s="110"/>
      <c r="Q1620" s="110"/>
    </row>
    <row r="1621">
      <c r="I1621" s="109"/>
      <c r="K1621" s="110"/>
      <c r="L1621" s="110"/>
      <c r="M1621" s="110"/>
      <c r="N1621" s="110"/>
      <c r="O1621" s="110"/>
      <c r="P1621" s="110"/>
      <c r="Q1621" s="110"/>
    </row>
    <row r="1622">
      <c r="I1622" s="109"/>
      <c r="K1622" s="110"/>
      <c r="L1622" s="110"/>
      <c r="M1622" s="110"/>
      <c r="N1622" s="110"/>
      <c r="O1622" s="110"/>
      <c r="P1622" s="110"/>
      <c r="Q1622" s="110"/>
    </row>
    <row r="1623">
      <c r="I1623" s="109"/>
      <c r="K1623" s="110"/>
      <c r="L1623" s="110"/>
      <c r="M1623" s="110"/>
      <c r="N1623" s="110"/>
      <c r="O1623" s="110"/>
      <c r="P1623" s="110"/>
      <c r="Q1623" s="110"/>
    </row>
    <row r="1624">
      <c r="I1624" s="109"/>
      <c r="K1624" s="110"/>
      <c r="L1624" s="110"/>
      <c r="M1624" s="110"/>
      <c r="N1624" s="110"/>
      <c r="O1624" s="110"/>
      <c r="P1624" s="110"/>
      <c r="Q1624" s="110"/>
    </row>
    <row r="1625">
      <c r="I1625" s="109"/>
      <c r="K1625" s="110"/>
      <c r="L1625" s="110"/>
      <c r="M1625" s="110"/>
      <c r="N1625" s="110"/>
      <c r="O1625" s="110"/>
      <c r="P1625" s="110"/>
      <c r="Q1625" s="110"/>
    </row>
    <row r="1626">
      <c r="I1626" s="109"/>
      <c r="K1626" s="110"/>
      <c r="L1626" s="110"/>
      <c r="M1626" s="110"/>
      <c r="N1626" s="110"/>
      <c r="O1626" s="110"/>
      <c r="P1626" s="110"/>
      <c r="Q1626" s="110"/>
    </row>
    <row r="1627">
      <c r="I1627" s="109"/>
      <c r="K1627" s="110"/>
      <c r="L1627" s="110"/>
      <c r="M1627" s="110"/>
      <c r="N1627" s="110"/>
      <c r="O1627" s="110"/>
      <c r="P1627" s="110"/>
      <c r="Q1627" s="110"/>
    </row>
    <row r="1628">
      <c r="I1628" s="109"/>
      <c r="K1628" s="110"/>
      <c r="L1628" s="110"/>
      <c r="M1628" s="110"/>
      <c r="N1628" s="110"/>
      <c r="O1628" s="110"/>
      <c r="P1628" s="110"/>
      <c r="Q1628" s="110"/>
    </row>
    <row r="1629">
      <c r="I1629" s="109"/>
      <c r="K1629" s="110"/>
      <c r="L1629" s="110"/>
      <c r="M1629" s="110"/>
      <c r="N1629" s="110"/>
      <c r="O1629" s="110"/>
      <c r="P1629" s="110"/>
      <c r="Q1629" s="110"/>
    </row>
    <row r="1630">
      <c r="I1630" s="109"/>
      <c r="K1630" s="110"/>
      <c r="L1630" s="110"/>
      <c r="M1630" s="110"/>
      <c r="N1630" s="110"/>
      <c r="O1630" s="110"/>
      <c r="P1630" s="110"/>
      <c r="Q1630" s="110"/>
    </row>
    <row r="1631">
      <c r="I1631" s="109"/>
      <c r="K1631" s="110"/>
      <c r="L1631" s="110"/>
      <c r="M1631" s="110"/>
      <c r="N1631" s="110"/>
      <c r="O1631" s="110"/>
      <c r="P1631" s="110"/>
      <c r="Q1631" s="110"/>
    </row>
    <row r="1632">
      <c r="I1632" s="109"/>
      <c r="K1632" s="110"/>
      <c r="L1632" s="110"/>
      <c r="M1632" s="110"/>
      <c r="N1632" s="110"/>
      <c r="O1632" s="110"/>
      <c r="P1632" s="110"/>
      <c r="Q1632" s="110"/>
    </row>
    <row r="1633">
      <c r="I1633" s="109"/>
      <c r="K1633" s="110"/>
      <c r="L1633" s="110"/>
      <c r="M1633" s="110"/>
      <c r="N1633" s="110"/>
      <c r="O1633" s="110"/>
      <c r="P1633" s="110"/>
      <c r="Q1633" s="110"/>
    </row>
    <row r="1634">
      <c r="I1634" s="109"/>
      <c r="K1634" s="110"/>
      <c r="L1634" s="110"/>
      <c r="M1634" s="110"/>
      <c r="N1634" s="110"/>
      <c r="O1634" s="110"/>
      <c r="P1634" s="110"/>
      <c r="Q1634" s="110"/>
    </row>
    <row r="1635">
      <c r="I1635" s="109"/>
      <c r="K1635" s="110"/>
      <c r="L1635" s="110"/>
      <c r="M1635" s="110"/>
      <c r="N1635" s="110"/>
      <c r="O1635" s="110"/>
      <c r="P1635" s="110"/>
      <c r="Q1635" s="110"/>
    </row>
    <row r="1636">
      <c r="I1636" s="109"/>
      <c r="K1636" s="110"/>
      <c r="L1636" s="110"/>
      <c r="M1636" s="110"/>
      <c r="N1636" s="110"/>
      <c r="O1636" s="110"/>
      <c r="P1636" s="110"/>
      <c r="Q1636" s="110"/>
    </row>
    <row r="1637">
      <c r="I1637" s="109"/>
      <c r="K1637" s="110"/>
      <c r="L1637" s="110"/>
      <c r="M1637" s="110"/>
      <c r="N1637" s="110"/>
      <c r="O1637" s="110"/>
      <c r="P1637" s="110"/>
      <c r="Q1637" s="110"/>
    </row>
    <row r="1638">
      <c r="I1638" s="109"/>
      <c r="K1638" s="110"/>
      <c r="L1638" s="110"/>
      <c r="M1638" s="110"/>
      <c r="N1638" s="110"/>
      <c r="O1638" s="110"/>
      <c r="P1638" s="110"/>
      <c r="Q1638" s="110"/>
    </row>
    <row r="1639">
      <c r="I1639" s="109"/>
      <c r="K1639" s="110"/>
      <c r="L1639" s="110"/>
      <c r="M1639" s="110"/>
      <c r="N1639" s="110"/>
      <c r="O1639" s="110"/>
      <c r="P1639" s="110"/>
      <c r="Q1639" s="110"/>
    </row>
    <row r="1640">
      <c r="I1640" s="109"/>
      <c r="K1640" s="110"/>
      <c r="L1640" s="110"/>
      <c r="M1640" s="110"/>
      <c r="N1640" s="110"/>
      <c r="O1640" s="110"/>
      <c r="P1640" s="110"/>
      <c r="Q1640" s="110"/>
    </row>
    <row r="1641">
      <c r="I1641" s="109"/>
      <c r="K1641" s="110"/>
      <c r="L1641" s="110"/>
      <c r="M1641" s="110"/>
      <c r="N1641" s="110"/>
      <c r="O1641" s="110"/>
      <c r="P1641" s="110"/>
      <c r="Q1641" s="110"/>
    </row>
    <row r="1642">
      <c r="I1642" s="109"/>
      <c r="K1642" s="110"/>
      <c r="L1642" s="110"/>
      <c r="M1642" s="110"/>
      <c r="N1642" s="110"/>
      <c r="O1642" s="110"/>
      <c r="P1642" s="110"/>
      <c r="Q1642" s="110"/>
    </row>
    <row r="1643">
      <c r="I1643" s="109"/>
      <c r="K1643" s="110"/>
      <c r="L1643" s="110"/>
      <c r="M1643" s="110"/>
      <c r="N1643" s="110"/>
      <c r="O1643" s="110"/>
      <c r="P1643" s="110"/>
      <c r="Q1643" s="110"/>
    </row>
    <row r="1644">
      <c r="I1644" s="109"/>
      <c r="K1644" s="110"/>
      <c r="L1644" s="110"/>
      <c r="M1644" s="110"/>
      <c r="N1644" s="110"/>
      <c r="O1644" s="110"/>
      <c r="P1644" s="110"/>
      <c r="Q1644" s="110"/>
    </row>
    <row r="1645">
      <c r="I1645" s="109"/>
      <c r="K1645" s="110"/>
      <c r="L1645" s="110"/>
      <c r="M1645" s="110"/>
      <c r="N1645" s="110"/>
      <c r="O1645" s="110"/>
      <c r="P1645" s="110"/>
      <c r="Q1645" s="110"/>
    </row>
    <row r="1646">
      <c r="I1646" s="109"/>
      <c r="K1646" s="110"/>
      <c r="L1646" s="110"/>
      <c r="M1646" s="110"/>
      <c r="N1646" s="110"/>
      <c r="O1646" s="110"/>
      <c r="P1646" s="110"/>
      <c r="Q1646" s="110"/>
    </row>
    <row r="1647">
      <c r="I1647" s="109"/>
      <c r="K1647" s="110"/>
      <c r="L1647" s="110"/>
      <c r="M1647" s="110"/>
      <c r="N1647" s="110"/>
      <c r="O1647" s="110"/>
      <c r="P1647" s="110"/>
      <c r="Q1647" s="110"/>
    </row>
    <row r="1648">
      <c r="I1648" s="109"/>
      <c r="K1648" s="110"/>
      <c r="L1648" s="110"/>
      <c r="M1648" s="110"/>
      <c r="N1648" s="110"/>
      <c r="O1648" s="110"/>
      <c r="P1648" s="110"/>
      <c r="Q1648" s="110"/>
    </row>
    <row r="1649">
      <c r="I1649" s="109"/>
      <c r="K1649" s="110"/>
      <c r="L1649" s="110"/>
      <c r="M1649" s="110"/>
      <c r="N1649" s="110"/>
      <c r="O1649" s="110"/>
      <c r="P1649" s="110"/>
      <c r="Q1649" s="110"/>
    </row>
    <row r="1650">
      <c r="I1650" s="109"/>
      <c r="K1650" s="110"/>
      <c r="L1650" s="110"/>
      <c r="M1650" s="110"/>
      <c r="N1650" s="110"/>
      <c r="O1650" s="110"/>
      <c r="P1650" s="110"/>
      <c r="Q1650" s="110"/>
    </row>
    <row r="1651">
      <c r="I1651" s="109"/>
      <c r="K1651" s="110"/>
      <c r="L1651" s="110"/>
      <c r="M1651" s="110"/>
      <c r="N1651" s="110"/>
      <c r="O1651" s="110"/>
      <c r="P1651" s="110"/>
      <c r="Q1651" s="110"/>
    </row>
    <row r="1652">
      <c r="I1652" s="109"/>
      <c r="K1652" s="110"/>
      <c r="L1652" s="110"/>
      <c r="M1652" s="110"/>
      <c r="N1652" s="110"/>
      <c r="O1652" s="110"/>
      <c r="P1652" s="110"/>
      <c r="Q1652" s="110"/>
    </row>
    <row r="1653">
      <c r="I1653" s="109"/>
      <c r="K1653" s="110"/>
      <c r="L1653" s="110"/>
      <c r="M1653" s="110"/>
      <c r="N1653" s="110"/>
      <c r="O1653" s="110"/>
      <c r="P1653" s="110"/>
      <c r="Q1653" s="110"/>
    </row>
    <row r="1654">
      <c r="I1654" s="109"/>
      <c r="K1654" s="110"/>
      <c r="L1654" s="110"/>
      <c r="M1654" s="110"/>
      <c r="N1654" s="110"/>
      <c r="O1654" s="110"/>
      <c r="P1654" s="110"/>
      <c r="Q1654" s="110"/>
    </row>
    <row r="1655">
      <c r="I1655" s="109"/>
      <c r="K1655" s="110"/>
      <c r="L1655" s="110"/>
      <c r="M1655" s="110"/>
      <c r="N1655" s="110"/>
      <c r="O1655" s="110"/>
      <c r="P1655" s="110"/>
      <c r="Q1655" s="110"/>
    </row>
    <row r="1656">
      <c r="I1656" s="109"/>
      <c r="K1656" s="110"/>
      <c r="L1656" s="110"/>
      <c r="M1656" s="110"/>
      <c r="N1656" s="110"/>
      <c r="O1656" s="110"/>
      <c r="P1656" s="110"/>
      <c r="Q1656" s="110"/>
    </row>
    <row r="1657">
      <c r="I1657" s="109"/>
      <c r="K1657" s="110"/>
      <c r="L1657" s="110"/>
      <c r="M1657" s="110"/>
      <c r="N1657" s="110"/>
      <c r="O1657" s="110"/>
      <c r="P1657" s="110"/>
      <c r="Q1657" s="110"/>
    </row>
    <row r="1658">
      <c r="I1658" s="109"/>
      <c r="K1658" s="110"/>
      <c r="L1658" s="110"/>
      <c r="M1658" s="110"/>
      <c r="N1658" s="110"/>
      <c r="O1658" s="110"/>
      <c r="P1658" s="110"/>
      <c r="Q1658" s="110"/>
    </row>
    <row r="1659">
      <c r="I1659" s="109"/>
      <c r="K1659" s="110"/>
      <c r="L1659" s="110"/>
      <c r="M1659" s="110"/>
      <c r="N1659" s="110"/>
      <c r="O1659" s="110"/>
      <c r="P1659" s="110"/>
      <c r="Q1659" s="110"/>
    </row>
    <row r="1660">
      <c r="I1660" s="109"/>
      <c r="K1660" s="110"/>
      <c r="L1660" s="110"/>
      <c r="M1660" s="110"/>
      <c r="N1660" s="110"/>
      <c r="O1660" s="110"/>
      <c r="P1660" s="110"/>
      <c r="Q1660" s="110"/>
    </row>
    <row r="1661">
      <c r="I1661" s="109"/>
      <c r="K1661" s="110"/>
      <c r="L1661" s="110"/>
      <c r="M1661" s="110"/>
      <c r="N1661" s="110"/>
      <c r="O1661" s="110"/>
      <c r="P1661" s="110"/>
      <c r="Q1661" s="110"/>
    </row>
    <row r="1662">
      <c r="I1662" s="109"/>
      <c r="K1662" s="110"/>
      <c r="L1662" s="110"/>
      <c r="M1662" s="110"/>
      <c r="N1662" s="110"/>
      <c r="O1662" s="110"/>
      <c r="P1662" s="110"/>
      <c r="Q1662" s="110"/>
    </row>
    <row r="1663">
      <c r="I1663" s="109"/>
      <c r="K1663" s="110"/>
      <c r="L1663" s="110"/>
      <c r="M1663" s="110"/>
      <c r="N1663" s="110"/>
      <c r="O1663" s="110"/>
      <c r="P1663" s="110"/>
      <c r="Q1663" s="110"/>
    </row>
    <row r="1664">
      <c r="I1664" s="109"/>
      <c r="K1664" s="110"/>
      <c r="L1664" s="110"/>
      <c r="M1664" s="110"/>
      <c r="N1664" s="110"/>
      <c r="O1664" s="110"/>
      <c r="P1664" s="110"/>
      <c r="Q1664" s="110"/>
    </row>
    <row r="1665">
      <c r="I1665" s="109"/>
      <c r="K1665" s="110"/>
      <c r="L1665" s="110"/>
      <c r="M1665" s="110"/>
      <c r="N1665" s="110"/>
      <c r="O1665" s="110"/>
      <c r="P1665" s="110"/>
      <c r="Q1665" s="110"/>
    </row>
    <row r="1666">
      <c r="I1666" s="109"/>
      <c r="K1666" s="110"/>
      <c r="L1666" s="110"/>
      <c r="M1666" s="110"/>
      <c r="N1666" s="110"/>
      <c r="O1666" s="110"/>
      <c r="P1666" s="110"/>
      <c r="Q1666" s="110"/>
    </row>
    <row r="1667">
      <c r="I1667" s="109"/>
      <c r="K1667" s="110"/>
      <c r="L1667" s="110"/>
      <c r="M1667" s="110"/>
      <c r="N1667" s="110"/>
      <c r="O1667" s="110"/>
      <c r="P1667" s="110"/>
      <c r="Q1667" s="110"/>
    </row>
    <row r="1668">
      <c r="I1668" s="109"/>
      <c r="K1668" s="110"/>
      <c r="L1668" s="110"/>
      <c r="M1668" s="110"/>
      <c r="N1668" s="110"/>
      <c r="O1668" s="110"/>
      <c r="P1668" s="110"/>
      <c r="Q1668" s="110"/>
    </row>
    <row r="1669">
      <c r="I1669" s="109"/>
      <c r="K1669" s="110"/>
      <c r="L1669" s="110"/>
      <c r="M1669" s="110"/>
      <c r="N1669" s="110"/>
      <c r="O1669" s="110"/>
      <c r="P1669" s="110"/>
      <c r="Q1669" s="110"/>
    </row>
    <row r="1670">
      <c r="I1670" s="109"/>
      <c r="K1670" s="110"/>
      <c r="L1670" s="110"/>
      <c r="M1670" s="110"/>
      <c r="N1670" s="110"/>
      <c r="O1670" s="110"/>
      <c r="P1670" s="110"/>
      <c r="Q1670" s="110"/>
    </row>
    <row r="1671">
      <c r="I1671" s="109"/>
      <c r="K1671" s="110"/>
      <c r="L1671" s="110"/>
      <c r="M1671" s="110"/>
      <c r="N1671" s="110"/>
      <c r="O1671" s="110"/>
      <c r="P1671" s="110"/>
      <c r="Q1671" s="110"/>
    </row>
    <row r="1672">
      <c r="I1672" s="109"/>
      <c r="K1672" s="110"/>
      <c r="L1672" s="110"/>
      <c r="M1672" s="110"/>
      <c r="N1672" s="110"/>
      <c r="O1672" s="110"/>
      <c r="P1672" s="110"/>
      <c r="Q1672" s="110"/>
    </row>
    <row r="1673">
      <c r="I1673" s="109"/>
      <c r="K1673" s="110"/>
      <c r="L1673" s="110"/>
      <c r="M1673" s="110"/>
      <c r="N1673" s="110"/>
      <c r="O1673" s="110"/>
      <c r="P1673" s="110"/>
      <c r="Q1673" s="110"/>
    </row>
    <row r="1674">
      <c r="I1674" s="109"/>
      <c r="K1674" s="110"/>
      <c r="L1674" s="110"/>
      <c r="M1674" s="110"/>
      <c r="N1674" s="110"/>
      <c r="O1674" s="110"/>
      <c r="P1674" s="110"/>
      <c r="Q1674" s="110"/>
    </row>
    <row r="1675">
      <c r="I1675" s="109"/>
      <c r="K1675" s="110"/>
      <c r="L1675" s="110"/>
      <c r="M1675" s="110"/>
      <c r="N1675" s="110"/>
      <c r="O1675" s="110"/>
      <c r="P1675" s="110"/>
      <c r="Q1675" s="110"/>
    </row>
    <row r="1676">
      <c r="I1676" s="109"/>
      <c r="K1676" s="110"/>
      <c r="L1676" s="110"/>
      <c r="M1676" s="110"/>
      <c r="N1676" s="110"/>
      <c r="O1676" s="110"/>
      <c r="P1676" s="110"/>
      <c r="Q1676" s="110"/>
    </row>
    <row r="1677">
      <c r="I1677" s="109"/>
      <c r="K1677" s="110"/>
      <c r="L1677" s="110"/>
      <c r="M1677" s="110"/>
      <c r="N1677" s="110"/>
      <c r="O1677" s="110"/>
      <c r="P1677" s="110"/>
      <c r="Q1677" s="110"/>
    </row>
    <row r="1678">
      <c r="I1678" s="109"/>
      <c r="K1678" s="110"/>
      <c r="L1678" s="110"/>
      <c r="M1678" s="110"/>
      <c r="N1678" s="110"/>
      <c r="O1678" s="110"/>
      <c r="P1678" s="110"/>
      <c r="Q1678" s="110"/>
    </row>
    <row r="1679">
      <c r="I1679" s="109"/>
      <c r="K1679" s="110"/>
      <c r="L1679" s="110"/>
      <c r="M1679" s="110"/>
      <c r="N1679" s="110"/>
      <c r="O1679" s="110"/>
      <c r="P1679" s="110"/>
      <c r="Q1679" s="110"/>
    </row>
    <row r="1680">
      <c r="I1680" s="109"/>
      <c r="K1680" s="110"/>
      <c r="L1680" s="110"/>
      <c r="M1680" s="110"/>
      <c r="N1680" s="110"/>
      <c r="O1680" s="110"/>
      <c r="P1680" s="110"/>
      <c r="Q1680" s="110"/>
    </row>
    <row r="1681">
      <c r="I1681" s="109"/>
      <c r="K1681" s="110"/>
      <c r="L1681" s="110"/>
      <c r="M1681" s="110"/>
      <c r="N1681" s="110"/>
      <c r="O1681" s="110"/>
      <c r="P1681" s="110"/>
      <c r="Q1681" s="110"/>
    </row>
    <row r="1682">
      <c r="I1682" s="109"/>
      <c r="K1682" s="110"/>
      <c r="L1682" s="110"/>
      <c r="M1682" s="110"/>
      <c r="N1682" s="110"/>
      <c r="O1682" s="110"/>
      <c r="P1682" s="110"/>
      <c r="Q1682" s="110"/>
    </row>
    <row r="1683">
      <c r="I1683" s="109"/>
      <c r="K1683" s="110"/>
      <c r="L1683" s="110"/>
      <c r="M1683" s="110"/>
      <c r="N1683" s="110"/>
      <c r="O1683" s="110"/>
      <c r="P1683" s="110"/>
      <c r="Q1683" s="110"/>
    </row>
    <row r="1684">
      <c r="I1684" s="109"/>
      <c r="K1684" s="110"/>
      <c r="L1684" s="110"/>
      <c r="M1684" s="110"/>
      <c r="N1684" s="110"/>
      <c r="O1684" s="110"/>
      <c r="P1684" s="110"/>
      <c r="Q1684" s="110"/>
    </row>
    <row r="1685">
      <c r="I1685" s="109"/>
      <c r="K1685" s="110"/>
      <c r="L1685" s="110"/>
      <c r="M1685" s="110"/>
      <c r="N1685" s="110"/>
      <c r="O1685" s="110"/>
      <c r="P1685" s="110"/>
      <c r="Q1685" s="110"/>
    </row>
    <row r="1686">
      <c r="I1686" s="109"/>
      <c r="K1686" s="110"/>
      <c r="L1686" s="110"/>
      <c r="M1686" s="110"/>
      <c r="N1686" s="110"/>
      <c r="O1686" s="110"/>
      <c r="P1686" s="110"/>
      <c r="Q1686" s="110"/>
    </row>
    <row r="1687">
      <c r="I1687" s="109"/>
      <c r="K1687" s="110"/>
      <c r="L1687" s="110"/>
      <c r="M1687" s="110"/>
      <c r="N1687" s="110"/>
      <c r="O1687" s="110"/>
      <c r="P1687" s="110"/>
      <c r="Q1687" s="110"/>
    </row>
    <row r="1688">
      <c r="I1688" s="109"/>
      <c r="K1688" s="110"/>
      <c r="L1688" s="110"/>
      <c r="M1688" s="110"/>
      <c r="N1688" s="110"/>
      <c r="O1688" s="110"/>
      <c r="P1688" s="110"/>
      <c r="Q1688" s="110"/>
    </row>
    <row r="1689">
      <c r="I1689" s="109"/>
      <c r="K1689" s="110"/>
      <c r="L1689" s="110"/>
      <c r="M1689" s="110"/>
      <c r="N1689" s="110"/>
      <c r="O1689" s="110"/>
      <c r="P1689" s="110"/>
      <c r="Q1689" s="110"/>
    </row>
    <row r="1690">
      <c r="I1690" s="109"/>
      <c r="K1690" s="110"/>
      <c r="L1690" s="110"/>
      <c r="M1690" s="110"/>
      <c r="N1690" s="110"/>
      <c r="O1690" s="110"/>
      <c r="P1690" s="110"/>
      <c r="Q1690" s="110"/>
    </row>
    <row r="1691">
      <c r="I1691" s="109"/>
      <c r="K1691" s="110"/>
      <c r="L1691" s="110"/>
      <c r="M1691" s="110"/>
      <c r="N1691" s="110"/>
      <c r="O1691" s="110"/>
      <c r="P1691" s="110"/>
      <c r="Q1691" s="110"/>
    </row>
    <row r="1692">
      <c r="I1692" s="109"/>
      <c r="K1692" s="110"/>
      <c r="L1692" s="110"/>
      <c r="M1692" s="110"/>
      <c r="N1692" s="110"/>
      <c r="O1692" s="110"/>
      <c r="P1692" s="110"/>
      <c r="Q1692" s="110"/>
    </row>
    <row r="1693">
      <c r="I1693" s="109"/>
      <c r="K1693" s="110"/>
      <c r="L1693" s="110"/>
      <c r="M1693" s="110"/>
      <c r="N1693" s="110"/>
      <c r="O1693" s="110"/>
      <c r="P1693" s="110"/>
      <c r="Q1693" s="110"/>
    </row>
    <row r="1694">
      <c r="I1694" s="109"/>
      <c r="K1694" s="110"/>
      <c r="L1694" s="110"/>
      <c r="M1694" s="110"/>
      <c r="N1694" s="110"/>
      <c r="O1694" s="110"/>
      <c r="P1694" s="110"/>
      <c r="Q1694" s="110"/>
    </row>
    <row r="1695">
      <c r="I1695" s="109"/>
      <c r="K1695" s="110"/>
      <c r="L1695" s="110"/>
      <c r="M1695" s="110"/>
      <c r="N1695" s="110"/>
      <c r="O1695" s="110"/>
      <c r="P1695" s="110"/>
      <c r="Q1695" s="110"/>
    </row>
    <row r="1696">
      <c r="I1696" s="109"/>
      <c r="K1696" s="110"/>
      <c r="L1696" s="110"/>
      <c r="M1696" s="110"/>
      <c r="N1696" s="110"/>
      <c r="O1696" s="110"/>
      <c r="P1696" s="110"/>
      <c r="Q1696" s="110"/>
    </row>
    <row r="1697">
      <c r="I1697" s="109"/>
      <c r="K1697" s="110"/>
      <c r="L1697" s="110"/>
      <c r="M1697" s="110"/>
      <c r="N1697" s="110"/>
      <c r="O1697" s="110"/>
      <c r="P1697" s="110"/>
      <c r="Q1697" s="110"/>
    </row>
    <row r="1698">
      <c r="I1698" s="109"/>
      <c r="K1698" s="110"/>
      <c r="L1698" s="110"/>
      <c r="M1698" s="110"/>
      <c r="N1698" s="110"/>
      <c r="O1698" s="110"/>
      <c r="P1698" s="110"/>
      <c r="Q1698" s="110"/>
    </row>
  </sheetData>
  <mergeCells count="19">
    <mergeCell ref="I61:J61"/>
    <mergeCell ref="I96:J96"/>
    <mergeCell ref="I97:J97"/>
    <mergeCell ref="J6:K6"/>
    <mergeCell ref="A19:B19"/>
    <mergeCell ref="A41:B41"/>
    <mergeCell ref="A47:B47"/>
    <mergeCell ref="A48:B48"/>
    <mergeCell ref="I60:J60"/>
    <mergeCell ref="A77:B77"/>
    <mergeCell ref="A357:B357"/>
    <mergeCell ref="A358:B358"/>
    <mergeCell ref="A121:B121"/>
    <mergeCell ref="A135:B135"/>
    <mergeCell ref="A197:B197"/>
    <mergeCell ref="A253:B253"/>
    <mergeCell ref="A308:B308"/>
    <mergeCell ref="A328:B328"/>
    <mergeCell ref="A349:B349"/>
  </mergeCells>
  <conditionalFormatting sqref="C2:C18 L2:L5 C24:C40 L24:L26 C44:C46 C54:C76 K54:K59 C90:C120 K90:K95 C331:C348 C351:C356">
    <cfRule type="expression" dxfId="1" priority="1">
      <formula>s</formula>
    </cfRule>
  </conditionalFormatting>
  <dataValidations>
    <dataValidation type="list" allowBlank="1" showErrorMessage="1" sqref="B257:B307">
      <formula1>"SS,BOS Ogi,AMR ,NIA,BOS Andris"</formula1>
    </dataValidation>
    <dataValidation type="list" allowBlank="1" showErrorMessage="1" sqref="B49:B52 J54 J56:J59 B54:B76 J95 B115:B120 B171:B196 J172:J199 B201:B248 J253 J299 J308 J328 J349 J357:J358">
      <formula1>"SS,BOS Ogi,AMR 1,AMR 2,BOS Andris"</formula1>
    </dataValidation>
    <dataValidation type="list" allowBlank="1" showErrorMessage="1" sqref="K2:K5 B2:B18 B24:B40 B44:B46 J55 J90:J94 B90:B114">
      <formula1>"SS,BOS Ogi,AMR ,NIA"</formula1>
    </dataValidation>
    <dataValidation type="list" allowBlank="1" showErrorMessage="1" sqref="B311:B327 B331:B348 B351:B356">
      <formula1>"SS,BOS Ogi,AMR ,AMR 2,NIA,BOS Andris"</formula1>
    </dataValidation>
    <dataValidation type="list" allowBlank="1" showErrorMessage="1" sqref="B78:B88 B122:B134 B139:B170 J139:J171 L201:L223 B249:B252">
      <formula1>"SS,BOS Ogi,AMR ,AMR 2,BOS Andris"</formula1>
    </dataValidation>
  </dataValidation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0.25" customHeight="1">
      <c r="A1" s="105" t="s">
        <v>1</v>
      </c>
      <c r="B1" s="105" t="s">
        <v>2</v>
      </c>
      <c r="C1" s="105" t="s">
        <v>3</v>
      </c>
      <c r="D1" s="106" t="s">
        <v>4</v>
      </c>
      <c r="E1" s="107" t="s">
        <v>5</v>
      </c>
      <c r="F1" s="108" t="s">
        <v>6</v>
      </c>
      <c r="G1" s="105" t="s">
        <v>84</v>
      </c>
      <c r="I1" s="105" t="s">
        <v>1</v>
      </c>
      <c r="J1" s="105" t="s">
        <v>2</v>
      </c>
      <c r="K1" s="105" t="s">
        <v>3</v>
      </c>
      <c r="L1" s="106" t="s">
        <v>4</v>
      </c>
      <c r="M1" s="107" t="s">
        <v>5</v>
      </c>
      <c r="N1" s="108" t="s">
        <v>6</v>
      </c>
      <c r="O1" s="105" t="s">
        <v>84</v>
      </c>
      <c r="P1" s="21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28">
        <v>46181.0</v>
      </c>
      <c r="B2" s="18" t="s">
        <v>36</v>
      </c>
      <c r="C2" s="111" t="s">
        <v>223</v>
      </c>
      <c r="D2" s="111">
        <v>1.0</v>
      </c>
      <c r="E2" s="20">
        <v>25000.0</v>
      </c>
      <c r="F2" s="20">
        <f t="shared" ref="F2:F13" si="1">D2*E2</f>
        <v>25000</v>
      </c>
      <c r="G2" s="21" t="s">
        <v>10</v>
      </c>
      <c r="I2" s="113">
        <v>46185.0</v>
      </c>
      <c r="J2" s="12" t="s">
        <v>36</v>
      </c>
      <c r="K2" s="114" t="s">
        <v>16</v>
      </c>
      <c r="L2" s="114">
        <v>0.15</v>
      </c>
      <c r="M2" s="14">
        <v>25000.0</v>
      </c>
      <c r="N2" s="14">
        <f t="shared" ref="N2:N3" si="2">L2*M2</f>
        <v>3750</v>
      </c>
      <c r="O2" s="15" t="s">
        <v>10</v>
      </c>
      <c r="P2" s="134"/>
    </row>
    <row r="3">
      <c r="A3" s="113">
        <v>46181.0</v>
      </c>
      <c r="B3" s="12" t="s">
        <v>36</v>
      </c>
      <c r="C3" s="114" t="s">
        <v>140</v>
      </c>
      <c r="D3" s="114">
        <v>1.0</v>
      </c>
      <c r="E3" s="14">
        <v>25000.0</v>
      </c>
      <c r="F3" s="14">
        <f t="shared" si="1"/>
        <v>25000</v>
      </c>
      <c r="G3" s="15" t="s">
        <v>10</v>
      </c>
      <c r="I3" s="112">
        <v>46186.0</v>
      </c>
      <c r="J3" s="18" t="s">
        <v>36</v>
      </c>
      <c r="K3" s="111" t="s">
        <v>16</v>
      </c>
      <c r="L3" s="111">
        <v>0.1</v>
      </c>
      <c r="M3" s="20">
        <v>25000.0</v>
      </c>
      <c r="N3" s="20">
        <f t="shared" si="2"/>
        <v>2500</v>
      </c>
      <c r="O3" s="21" t="s">
        <v>10</v>
      </c>
      <c r="P3" s="16"/>
    </row>
    <row r="4">
      <c r="A4" s="28">
        <v>46182.0</v>
      </c>
      <c r="B4" s="18" t="s">
        <v>36</v>
      </c>
      <c r="C4" s="111" t="s">
        <v>29</v>
      </c>
      <c r="D4" s="111">
        <v>1.0</v>
      </c>
      <c r="E4" s="20">
        <v>25000.0</v>
      </c>
      <c r="F4" s="20">
        <f t="shared" si="1"/>
        <v>25000</v>
      </c>
      <c r="G4" s="21" t="s">
        <v>10</v>
      </c>
      <c r="H4" s="159"/>
      <c r="I4" s="115" t="s">
        <v>142</v>
      </c>
      <c r="K4" s="116"/>
      <c r="L4" s="117">
        <f>SUM(L2:L3)</f>
        <v>0.25</v>
      </c>
      <c r="M4" s="116"/>
      <c r="N4" s="118">
        <f>SUM(N2:N3)</f>
        <v>6250</v>
      </c>
      <c r="O4" s="119"/>
      <c r="P4" s="120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13">
        <v>46182.0</v>
      </c>
      <c r="B5" s="12" t="s">
        <v>36</v>
      </c>
      <c r="C5" s="114" t="s">
        <v>75</v>
      </c>
      <c r="D5" s="114">
        <v>3.0</v>
      </c>
      <c r="E5" s="14">
        <v>25000.0</v>
      </c>
      <c r="F5" s="14">
        <f t="shared" si="1"/>
        <v>75000</v>
      </c>
      <c r="G5" s="15" t="s">
        <v>10</v>
      </c>
      <c r="J5" s="133"/>
      <c r="K5" s="160"/>
      <c r="L5" s="133"/>
      <c r="M5" s="160"/>
      <c r="N5" s="123">
        <f>SUM(F14,N4)</f>
        <v>481250</v>
      </c>
      <c r="O5" s="133"/>
      <c r="P5" s="133"/>
    </row>
    <row r="6">
      <c r="A6" s="28">
        <v>46184.0</v>
      </c>
      <c r="B6" s="18" t="s">
        <v>36</v>
      </c>
      <c r="C6" s="111" t="s">
        <v>224</v>
      </c>
      <c r="D6" s="111">
        <v>4.0</v>
      </c>
      <c r="E6" s="20">
        <v>25000.0</v>
      </c>
      <c r="F6" s="20">
        <f t="shared" si="1"/>
        <v>100000</v>
      </c>
      <c r="G6" s="21" t="s">
        <v>10</v>
      </c>
    </row>
    <row r="7">
      <c r="A7" s="113">
        <v>46184.0</v>
      </c>
      <c r="B7" s="12" t="s">
        <v>36</v>
      </c>
      <c r="C7" s="114" t="s">
        <v>225</v>
      </c>
      <c r="D7" s="114">
        <v>1.0</v>
      </c>
      <c r="E7" s="14">
        <v>25000.0</v>
      </c>
      <c r="F7" s="14">
        <f t="shared" si="1"/>
        <v>25000</v>
      </c>
      <c r="G7" s="15" t="s">
        <v>10</v>
      </c>
    </row>
    <row r="8">
      <c r="A8" s="28">
        <v>46185.0</v>
      </c>
      <c r="B8" s="18" t="s">
        <v>36</v>
      </c>
      <c r="C8" s="111" t="s">
        <v>75</v>
      </c>
      <c r="D8" s="111">
        <v>2.0</v>
      </c>
      <c r="E8" s="20">
        <v>25000.0</v>
      </c>
      <c r="F8" s="20">
        <f t="shared" si="1"/>
        <v>50000</v>
      </c>
      <c r="G8" s="21" t="s">
        <v>10</v>
      </c>
    </row>
    <row r="9">
      <c r="A9" s="113">
        <v>46185.0</v>
      </c>
      <c r="B9" s="12" t="s">
        <v>36</v>
      </c>
      <c r="C9" s="114" t="s">
        <v>226</v>
      </c>
      <c r="D9" s="114">
        <v>1.0</v>
      </c>
      <c r="E9" s="14">
        <v>25000.0</v>
      </c>
      <c r="F9" s="14">
        <f t="shared" si="1"/>
        <v>25000</v>
      </c>
      <c r="G9" s="15" t="s">
        <v>10</v>
      </c>
    </row>
    <row r="10">
      <c r="A10" s="28">
        <v>46186.0</v>
      </c>
      <c r="B10" s="18" t="s">
        <v>36</v>
      </c>
      <c r="C10" s="111" t="s">
        <v>75</v>
      </c>
      <c r="D10" s="111">
        <v>2.0</v>
      </c>
      <c r="E10" s="20">
        <v>25000.0</v>
      </c>
      <c r="F10" s="20">
        <f t="shared" si="1"/>
        <v>50000</v>
      </c>
      <c r="G10" s="21" t="s">
        <v>10</v>
      </c>
    </row>
    <row r="11">
      <c r="A11" s="113">
        <v>46186.0</v>
      </c>
      <c r="B11" s="12" t="s">
        <v>36</v>
      </c>
      <c r="C11" s="114" t="s">
        <v>227</v>
      </c>
      <c r="D11" s="114">
        <v>1.0</v>
      </c>
      <c r="E11" s="14">
        <v>25000.0</v>
      </c>
      <c r="F11" s="14">
        <f t="shared" si="1"/>
        <v>25000</v>
      </c>
      <c r="G11" s="15" t="s">
        <v>10</v>
      </c>
    </row>
    <row r="12">
      <c r="A12" s="28">
        <v>46186.0</v>
      </c>
      <c r="B12" s="18" t="s">
        <v>36</v>
      </c>
      <c r="C12" s="111" t="s">
        <v>29</v>
      </c>
      <c r="D12" s="111">
        <v>1.0</v>
      </c>
      <c r="E12" s="20">
        <v>25000.0</v>
      </c>
      <c r="F12" s="20">
        <f t="shared" si="1"/>
        <v>25000</v>
      </c>
      <c r="G12" s="21" t="s">
        <v>10</v>
      </c>
    </row>
    <row r="13">
      <c r="A13" s="113">
        <v>46186.0</v>
      </c>
      <c r="B13" s="12" t="s">
        <v>36</v>
      </c>
      <c r="C13" s="114" t="s">
        <v>62</v>
      </c>
      <c r="D13" s="114">
        <v>1.0</v>
      </c>
      <c r="E13" s="14">
        <v>25000.0</v>
      </c>
      <c r="F13" s="14">
        <f t="shared" si="1"/>
        <v>25000</v>
      </c>
      <c r="G13" s="15" t="s">
        <v>10</v>
      </c>
    </row>
    <row r="14">
      <c r="A14" s="115" t="s">
        <v>142</v>
      </c>
      <c r="C14" s="116"/>
      <c r="D14" s="117">
        <f>SUM(D2:D13)</f>
        <v>19</v>
      </c>
      <c r="E14" s="116"/>
      <c r="F14" s="118">
        <f>SUM(F2:F13)</f>
        <v>475000</v>
      </c>
      <c r="G14" s="119"/>
    </row>
    <row r="16">
      <c r="A16" s="112"/>
      <c r="B16" s="29"/>
      <c r="C16" s="73"/>
      <c r="D16" s="73"/>
      <c r="E16" s="32"/>
      <c r="F16" s="32"/>
      <c r="G16" s="33"/>
    </row>
    <row r="18" ht="21.0" customHeight="1">
      <c r="A18" s="105" t="s">
        <v>1</v>
      </c>
      <c r="B18" s="105" t="s">
        <v>2</v>
      </c>
      <c r="C18" s="105" t="s">
        <v>3</v>
      </c>
      <c r="D18" s="106" t="s">
        <v>4</v>
      </c>
      <c r="E18" s="107" t="s">
        <v>5</v>
      </c>
      <c r="F18" s="108" t="s">
        <v>6</v>
      </c>
      <c r="G18" s="105" t="s">
        <v>84</v>
      </c>
      <c r="H18" s="161"/>
      <c r="I18" s="162"/>
      <c r="J18" s="162"/>
      <c r="K18" s="162"/>
      <c r="L18" s="163"/>
      <c r="M18" s="164"/>
      <c r="N18" s="165"/>
      <c r="O18" s="162"/>
    </row>
    <row r="19">
      <c r="A19" s="28">
        <v>46188.0</v>
      </c>
      <c r="B19" s="18" t="s">
        <v>36</v>
      </c>
      <c r="C19" s="111" t="s">
        <v>67</v>
      </c>
      <c r="D19" s="111">
        <v>2.0</v>
      </c>
      <c r="E19" s="20">
        <v>25000.0</v>
      </c>
      <c r="F19" s="20">
        <f t="shared" ref="F19:F34" si="3">D19*E19</f>
        <v>50000</v>
      </c>
      <c r="G19" s="21" t="s">
        <v>10</v>
      </c>
      <c r="H19" s="16"/>
      <c r="I19" s="28"/>
      <c r="J19" s="18"/>
      <c r="K19" s="111"/>
      <c r="L19" s="111"/>
      <c r="M19" s="20"/>
      <c r="N19" s="20"/>
      <c r="O19" s="21"/>
    </row>
    <row r="20">
      <c r="A20" s="113">
        <v>46188.0</v>
      </c>
      <c r="B20" s="12" t="s">
        <v>36</v>
      </c>
      <c r="C20" s="114" t="s">
        <v>55</v>
      </c>
      <c r="D20" s="114">
        <v>2.0</v>
      </c>
      <c r="E20" s="14">
        <v>25000.0</v>
      </c>
      <c r="F20" s="14">
        <f t="shared" si="3"/>
        <v>50000</v>
      </c>
      <c r="G20" s="15" t="s">
        <v>10</v>
      </c>
      <c r="H20" s="16"/>
      <c r="I20" s="28"/>
      <c r="J20" s="18"/>
      <c r="K20" s="111"/>
      <c r="L20" s="111"/>
      <c r="M20" s="20"/>
      <c r="N20" s="20"/>
      <c r="O20" s="21"/>
    </row>
    <row r="21">
      <c r="A21" s="28">
        <v>46188.0</v>
      </c>
      <c r="B21" s="18" t="s">
        <v>36</v>
      </c>
      <c r="C21" s="111" t="s">
        <v>29</v>
      </c>
      <c r="D21" s="111">
        <v>2.0</v>
      </c>
      <c r="E21" s="20">
        <v>25000.0</v>
      </c>
      <c r="F21" s="20">
        <f t="shared" si="3"/>
        <v>50000</v>
      </c>
      <c r="G21" s="21" t="s">
        <v>10</v>
      </c>
      <c r="H21" s="16"/>
      <c r="I21" s="28"/>
      <c r="J21" s="18"/>
      <c r="K21" s="111"/>
      <c r="L21" s="111"/>
      <c r="M21" s="20"/>
      <c r="N21" s="20"/>
      <c r="O21" s="21"/>
    </row>
    <row r="22">
      <c r="A22" s="113">
        <v>46188.0</v>
      </c>
      <c r="B22" s="12" t="s">
        <v>36</v>
      </c>
      <c r="C22" s="114" t="s">
        <v>150</v>
      </c>
      <c r="D22" s="114">
        <v>1.0</v>
      </c>
      <c r="E22" s="14">
        <v>25000.0</v>
      </c>
      <c r="F22" s="14">
        <f t="shared" si="3"/>
        <v>25000</v>
      </c>
      <c r="G22" s="15" t="s">
        <v>10</v>
      </c>
      <c r="H22" s="16"/>
      <c r="I22" s="28"/>
      <c r="J22" s="18"/>
      <c r="K22" s="111"/>
      <c r="L22" s="111"/>
      <c r="M22" s="20"/>
      <c r="N22" s="20"/>
      <c r="O22" s="21"/>
    </row>
    <row r="23">
      <c r="A23" s="28">
        <v>46189.0</v>
      </c>
      <c r="B23" s="18" t="s">
        <v>36</v>
      </c>
      <c r="C23" s="111" t="s">
        <v>62</v>
      </c>
      <c r="D23" s="111">
        <v>2.0</v>
      </c>
      <c r="E23" s="20">
        <v>25000.0</v>
      </c>
      <c r="F23" s="20">
        <f t="shared" si="3"/>
        <v>50000</v>
      </c>
      <c r="G23" s="21" t="s">
        <v>10</v>
      </c>
      <c r="H23" s="16"/>
      <c r="I23" s="28"/>
      <c r="J23" s="18"/>
      <c r="K23" s="111"/>
      <c r="L23" s="111"/>
      <c r="M23" s="20"/>
      <c r="N23" s="20"/>
      <c r="O23" s="21"/>
    </row>
    <row r="24">
      <c r="A24" s="113">
        <v>46189.0</v>
      </c>
      <c r="B24" s="12" t="s">
        <v>36</v>
      </c>
      <c r="C24" s="114" t="s">
        <v>55</v>
      </c>
      <c r="D24" s="114">
        <v>2.0</v>
      </c>
      <c r="E24" s="14">
        <v>25000.0</v>
      </c>
      <c r="F24" s="14">
        <f t="shared" si="3"/>
        <v>50000</v>
      </c>
      <c r="G24" s="15" t="s">
        <v>10</v>
      </c>
      <c r="H24" s="16"/>
      <c r="I24" s="28"/>
      <c r="J24" s="18"/>
      <c r="K24" s="111"/>
      <c r="L24" s="111"/>
      <c r="M24" s="20"/>
      <c r="N24" s="20"/>
      <c r="O24" s="21"/>
    </row>
    <row r="25">
      <c r="A25" s="28">
        <v>46189.0</v>
      </c>
      <c r="B25" s="18" t="s">
        <v>36</v>
      </c>
      <c r="C25" s="111" t="s">
        <v>67</v>
      </c>
      <c r="D25" s="111">
        <v>2.0</v>
      </c>
      <c r="E25" s="20">
        <v>25000.0</v>
      </c>
      <c r="F25" s="20">
        <f t="shared" si="3"/>
        <v>50000</v>
      </c>
      <c r="G25" s="21" t="s">
        <v>10</v>
      </c>
      <c r="H25" s="16"/>
      <c r="I25" s="124"/>
      <c r="K25" s="125"/>
      <c r="L25" s="126"/>
      <c r="M25" s="125"/>
      <c r="N25" s="126"/>
      <c r="O25" s="127"/>
    </row>
    <row r="26">
      <c r="A26" s="113">
        <v>46190.0</v>
      </c>
      <c r="B26" s="12" t="s">
        <v>36</v>
      </c>
      <c r="C26" s="114" t="s">
        <v>67</v>
      </c>
      <c r="D26" s="114">
        <v>2.0</v>
      </c>
      <c r="E26" s="14">
        <v>25000.0</v>
      </c>
      <c r="F26" s="14">
        <f t="shared" si="3"/>
        <v>50000</v>
      </c>
      <c r="G26" s="15" t="s">
        <v>10</v>
      </c>
      <c r="H26" s="16"/>
    </row>
    <row r="27">
      <c r="A27" s="28">
        <v>46190.0</v>
      </c>
      <c r="B27" s="18" t="s">
        <v>36</v>
      </c>
      <c r="C27" s="111" t="s">
        <v>151</v>
      </c>
      <c r="D27" s="111">
        <v>1.0</v>
      </c>
      <c r="E27" s="20">
        <v>25000.0</v>
      </c>
      <c r="F27" s="20">
        <f t="shared" si="3"/>
        <v>25000</v>
      </c>
      <c r="G27" s="21" t="s">
        <v>10</v>
      </c>
      <c r="H27" s="16"/>
    </row>
    <row r="28">
      <c r="A28" s="113">
        <v>46191.0</v>
      </c>
      <c r="B28" s="12" t="s">
        <v>36</v>
      </c>
      <c r="C28" s="114" t="s">
        <v>228</v>
      </c>
      <c r="D28" s="114">
        <v>4.0</v>
      </c>
      <c r="E28" s="14">
        <v>25000.0</v>
      </c>
      <c r="F28" s="14">
        <f t="shared" si="3"/>
        <v>100000</v>
      </c>
      <c r="G28" s="15" t="s">
        <v>10</v>
      </c>
      <c r="H28" s="16"/>
    </row>
    <row r="29">
      <c r="A29" s="28">
        <v>46191.0</v>
      </c>
      <c r="B29" s="18" t="s">
        <v>36</v>
      </c>
      <c r="C29" s="111" t="s">
        <v>29</v>
      </c>
      <c r="D29" s="111">
        <v>2.0</v>
      </c>
      <c r="E29" s="20">
        <v>25000.0</v>
      </c>
      <c r="F29" s="20">
        <f t="shared" si="3"/>
        <v>50000</v>
      </c>
      <c r="G29" s="21" t="s">
        <v>10</v>
      </c>
      <c r="H29" s="16"/>
    </row>
    <row r="30">
      <c r="A30" s="113">
        <v>46192.0</v>
      </c>
      <c r="B30" s="12" t="s">
        <v>36</v>
      </c>
      <c r="C30" s="114" t="s">
        <v>75</v>
      </c>
      <c r="D30" s="114">
        <v>2.0</v>
      </c>
      <c r="E30" s="14">
        <v>25000.0</v>
      </c>
      <c r="F30" s="14">
        <f t="shared" si="3"/>
        <v>50000</v>
      </c>
      <c r="G30" s="15" t="s">
        <v>10</v>
      </c>
      <c r="H30" s="16"/>
    </row>
    <row r="31">
      <c r="A31" s="28">
        <v>46192.0</v>
      </c>
      <c r="B31" s="18" t="s">
        <v>36</v>
      </c>
      <c r="C31" s="111" t="s">
        <v>225</v>
      </c>
      <c r="D31" s="111">
        <v>1.0</v>
      </c>
      <c r="E31" s="20">
        <v>25000.0</v>
      </c>
      <c r="F31" s="20">
        <f t="shared" si="3"/>
        <v>25000</v>
      </c>
      <c r="G31" s="21" t="s">
        <v>10</v>
      </c>
      <c r="H31" s="16"/>
    </row>
    <row r="32">
      <c r="A32" s="113">
        <v>46192.0</v>
      </c>
      <c r="B32" s="12" t="s">
        <v>36</v>
      </c>
      <c r="C32" s="114" t="s">
        <v>67</v>
      </c>
      <c r="D32" s="114">
        <v>2.0</v>
      </c>
      <c r="E32" s="14">
        <v>25000.0</v>
      </c>
      <c r="F32" s="14">
        <f t="shared" si="3"/>
        <v>50000</v>
      </c>
      <c r="G32" s="15" t="s">
        <v>10</v>
      </c>
      <c r="H32" s="16"/>
    </row>
    <row r="33">
      <c r="A33" s="28">
        <v>46193.0</v>
      </c>
      <c r="B33" s="18" t="s">
        <v>36</v>
      </c>
      <c r="C33" s="111" t="s">
        <v>67</v>
      </c>
      <c r="D33" s="111">
        <v>3.0</v>
      </c>
      <c r="E33" s="20">
        <v>25000.0</v>
      </c>
      <c r="F33" s="20">
        <f t="shared" si="3"/>
        <v>75000</v>
      </c>
      <c r="G33" s="21" t="s">
        <v>10</v>
      </c>
      <c r="H33" s="16"/>
    </row>
    <row r="34">
      <c r="A34" s="113">
        <v>46193.0</v>
      </c>
      <c r="B34" s="12" t="s">
        <v>36</v>
      </c>
      <c r="C34" s="114" t="s">
        <v>150</v>
      </c>
      <c r="D34" s="114">
        <v>1.0</v>
      </c>
      <c r="E34" s="14">
        <v>25000.0</v>
      </c>
      <c r="F34" s="14">
        <f t="shared" si="3"/>
        <v>25000</v>
      </c>
      <c r="G34" s="15" t="s">
        <v>10</v>
      </c>
      <c r="H34" s="16"/>
    </row>
    <row r="35">
      <c r="A35" s="115" t="s">
        <v>142</v>
      </c>
      <c r="C35" s="116"/>
      <c r="D35" s="117">
        <f>SUM(D19:D34)</f>
        <v>31</v>
      </c>
      <c r="E35" s="116"/>
      <c r="F35" s="118">
        <f>SUM(F19:F34)</f>
        <v>775000</v>
      </c>
      <c r="G35" s="119"/>
      <c r="H35" s="133"/>
    </row>
    <row r="36">
      <c r="H36" s="110"/>
    </row>
    <row r="37">
      <c r="A37" s="105" t="s">
        <v>1</v>
      </c>
      <c r="B37" s="105" t="s">
        <v>2</v>
      </c>
      <c r="C37" s="105" t="s">
        <v>3</v>
      </c>
      <c r="D37" s="106" t="s">
        <v>4</v>
      </c>
      <c r="E37" s="107" t="s">
        <v>5</v>
      </c>
      <c r="F37" s="108" t="s">
        <v>6</v>
      </c>
      <c r="G37" s="105" t="s">
        <v>84</v>
      </c>
      <c r="H37" s="16"/>
    </row>
    <row r="38">
      <c r="A38" s="113">
        <v>46188.0</v>
      </c>
      <c r="B38" s="12" t="s">
        <v>36</v>
      </c>
      <c r="C38" s="114" t="s">
        <v>16</v>
      </c>
      <c r="D38" s="114">
        <v>0.29</v>
      </c>
      <c r="E38" s="14">
        <v>25000.0</v>
      </c>
      <c r="F38" s="14">
        <f t="shared" ref="F38:F43" si="4">D38*E38</f>
        <v>7250</v>
      </c>
      <c r="G38" s="15" t="s">
        <v>10</v>
      </c>
      <c r="H38" s="16"/>
    </row>
    <row r="39">
      <c r="A39" s="166">
        <v>46189.0</v>
      </c>
      <c r="B39" s="167" t="s">
        <v>36</v>
      </c>
      <c r="C39" s="168" t="s">
        <v>16</v>
      </c>
      <c r="D39" s="168">
        <v>0.2</v>
      </c>
      <c r="E39" s="169">
        <v>25000.0</v>
      </c>
      <c r="F39" s="169">
        <f t="shared" si="4"/>
        <v>5000</v>
      </c>
      <c r="G39" s="170" t="s">
        <v>10</v>
      </c>
      <c r="H39" s="16"/>
    </row>
    <row r="40">
      <c r="A40" s="113">
        <v>46190.0</v>
      </c>
      <c r="B40" s="12" t="s">
        <v>36</v>
      </c>
      <c r="C40" s="114" t="s">
        <v>16</v>
      </c>
      <c r="D40" s="114">
        <v>0.18</v>
      </c>
      <c r="E40" s="14">
        <v>25000.0</v>
      </c>
      <c r="F40" s="14">
        <f t="shared" si="4"/>
        <v>4500</v>
      </c>
      <c r="G40" s="15" t="s">
        <v>10</v>
      </c>
      <c r="H40" s="16"/>
    </row>
    <row r="41">
      <c r="A41" s="166">
        <v>46191.0</v>
      </c>
      <c r="B41" s="167" t="s">
        <v>36</v>
      </c>
      <c r="C41" s="168" t="s">
        <v>16</v>
      </c>
      <c r="D41" s="168">
        <v>0.2</v>
      </c>
      <c r="E41" s="169">
        <v>25000.0</v>
      </c>
      <c r="F41" s="169">
        <f t="shared" si="4"/>
        <v>5000</v>
      </c>
      <c r="G41" s="170" t="s">
        <v>10</v>
      </c>
      <c r="H41" s="16"/>
    </row>
    <row r="42">
      <c r="A42" s="113">
        <v>46192.0</v>
      </c>
      <c r="B42" s="12" t="s">
        <v>36</v>
      </c>
      <c r="C42" s="114" t="s">
        <v>16</v>
      </c>
      <c r="D42" s="114">
        <v>0.17</v>
      </c>
      <c r="E42" s="14">
        <v>25000.0</v>
      </c>
      <c r="F42" s="14">
        <f t="shared" si="4"/>
        <v>4250</v>
      </c>
      <c r="G42" s="15" t="s">
        <v>10</v>
      </c>
      <c r="H42" s="16"/>
    </row>
    <row r="43">
      <c r="A43" s="166">
        <v>46193.0</v>
      </c>
      <c r="B43" s="167" t="s">
        <v>36</v>
      </c>
      <c r="C43" s="168" t="s">
        <v>16</v>
      </c>
      <c r="D43" s="168">
        <v>0.39</v>
      </c>
      <c r="E43" s="169">
        <v>25000.0</v>
      </c>
      <c r="F43" s="169">
        <f t="shared" si="4"/>
        <v>9750</v>
      </c>
      <c r="G43" s="170" t="s">
        <v>10</v>
      </c>
      <c r="H43" s="16"/>
    </row>
    <row r="44">
      <c r="A44" s="115" t="s">
        <v>142</v>
      </c>
      <c r="C44" s="116"/>
      <c r="D44" s="117">
        <f>SUM(D38:D43)</f>
        <v>1.43</v>
      </c>
      <c r="E44" s="116"/>
      <c r="F44" s="118">
        <f>SUM(F38:F43)</f>
        <v>35750</v>
      </c>
      <c r="G44" s="119"/>
      <c r="H44" s="16"/>
    </row>
    <row r="45" ht="24.0" customHeight="1">
      <c r="A45" s="129"/>
      <c r="C45" s="130"/>
      <c r="D45" s="131">
        <f>SUM(D35,D44)</f>
        <v>32.43</v>
      </c>
      <c r="E45" s="130"/>
      <c r="F45" s="123">
        <f>SUM(F35,F44)</f>
        <v>810750</v>
      </c>
      <c r="G45" s="132"/>
      <c r="H45" s="16"/>
    </row>
    <row r="46">
      <c r="H46" s="110"/>
    </row>
    <row r="47">
      <c r="H47" s="110"/>
    </row>
    <row r="48">
      <c r="H48" s="110"/>
    </row>
    <row r="49" ht="28.5" customHeight="1">
      <c r="A49" s="105" t="s">
        <v>1</v>
      </c>
      <c r="B49" s="105" t="s">
        <v>2</v>
      </c>
      <c r="C49" s="105" t="s">
        <v>3</v>
      </c>
      <c r="D49" s="106" t="s">
        <v>4</v>
      </c>
      <c r="E49" s="107" t="s">
        <v>5</v>
      </c>
      <c r="F49" s="108" t="s">
        <v>6</v>
      </c>
      <c r="G49" s="105" t="s">
        <v>84</v>
      </c>
      <c r="H49" s="110"/>
    </row>
    <row r="50">
      <c r="A50" s="135">
        <v>46195.0</v>
      </c>
      <c r="B50" s="12" t="s">
        <v>36</v>
      </c>
      <c r="C50" s="114" t="s">
        <v>67</v>
      </c>
      <c r="D50" s="114">
        <v>5.0</v>
      </c>
      <c r="E50" s="14">
        <v>25000.0</v>
      </c>
      <c r="F50" s="14">
        <f t="shared" ref="F50:F64" si="5">D50*E50</f>
        <v>125000</v>
      </c>
      <c r="G50" s="15" t="s">
        <v>10</v>
      </c>
      <c r="H50" s="110"/>
      <c r="I50" s="138">
        <v>46195.0</v>
      </c>
      <c r="J50" s="29" t="s">
        <v>36</v>
      </c>
      <c r="K50" s="73" t="s">
        <v>16</v>
      </c>
      <c r="L50" s="73">
        <v>0.38</v>
      </c>
      <c r="M50" s="32">
        <v>25000.0</v>
      </c>
      <c r="N50" s="32">
        <f t="shared" ref="N50:N55" si="6">L50*M50</f>
        <v>9500</v>
      </c>
      <c r="O50" s="33" t="s">
        <v>10</v>
      </c>
    </row>
    <row r="51">
      <c r="A51" s="136">
        <v>46195.0</v>
      </c>
      <c r="B51" s="18" t="s">
        <v>36</v>
      </c>
      <c r="C51" s="111" t="s">
        <v>55</v>
      </c>
      <c r="D51" s="111">
        <v>3.0</v>
      </c>
      <c r="E51" s="20">
        <v>25000.0</v>
      </c>
      <c r="F51" s="20">
        <f t="shared" si="5"/>
        <v>75000</v>
      </c>
      <c r="G51" s="21" t="s">
        <v>10</v>
      </c>
      <c r="H51" s="110"/>
      <c r="I51" s="138">
        <v>46196.0</v>
      </c>
      <c r="J51" s="29" t="s">
        <v>36</v>
      </c>
      <c r="K51" s="73" t="s">
        <v>16</v>
      </c>
      <c r="L51" s="73">
        <v>0.39</v>
      </c>
      <c r="M51" s="32">
        <v>25000.0</v>
      </c>
      <c r="N51" s="32">
        <f t="shared" si="6"/>
        <v>9750</v>
      </c>
      <c r="O51" s="33" t="s">
        <v>10</v>
      </c>
    </row>
    <row r="52">
      <c r="A52" s="135">
        <v>46195.0</v>
      </c>
      <c r="B52" s="12" t="s">
        <v>36</v>
      </c>
      <c r="C52" s="114" t="s">
        <v>151</v>
      </c>
      <c r="D52" s="114">
        <v>2.0</v>
      </c>
      <c r="E52" s="14">
        <v>25000.0</v>
      </c>
      <c r="F52" s="14">
        <f t="shared" si="5"/>
        <v>50000</v>
      </c>
      <c r="G52" s="15" t="s">
        <v>10</v>
      </c>
      <c r="H52" s="110"/>
      <c r="I52" s="138">
        <v>46197.0</v>
      </c>
      <c r="J52" s="29" t="s">
        <v>36</v>
      </c>
      <c r="K52" s="73" t="s">
        <v>16</v>
      </c>
      <c r="L52" s="73">
        <v>0.15</v>
      </c>
      <c r="M52" s="32">
        <v>25000.0</v>
      </c>
      <c r="N52" s="32">
        <f t="shared" si="6"/>
        <v>3750</v>
      </c>
      <c r="O52" s="33" t="s">
        <v>10</v>
      </c>
    </row>
    <row r="53">
      <c r="A53" s="136">
        <v>46196.0</v>
      </c>
      <c r="B53" s="18" t="s">
        <v>36</v>
      </c>
      <c r="C53" s="111" t="s">
        <v>228</v>
      </c>
      <c r="D53" s="111">
        <v>3.0</v>
      </c>
      <c r="E53" s="20">
        <v>25000.0</v>
      </c>
      <c r="F53" s="20">
        <f t="shared" si="5"/>
        <v>75000</v>
      </c>
      <c r="G53" s="21" t="s">
        <v>10</v>
      </c>
      <c r="H53" s="110"/>
      <c r="I53" s="138">
        <v>46198.0</v>
      </c>
      <c r="J53" s="29" t="s">
        <v>36</v>
      </c>
      <c r="K53" s="73" t="s">
        <v>16</v>
      </c>
      <c r="L53" s="73">
        <v>0.3</v>
      </c>
      <c r="M53" s="32">
        <v>25000.0</v>
      </c>
      <c r="N53" s="32">
        <f t="shared" si="6"/>
        <v>7500</v>
      </c>
      <c r="O53" s="33" t="s">
        <v>10</v>
      </c>
    </row>
    <row r="54">
      <c r="A54" s="135">
        <v>46196.0</v>
      </c>
      <c r="B54" s="12" t="s">
        <v>36</v>
      </c>
      <c r="C54" s="114" t="s">
        <v>55</v>
      </c>
      <c r="D54" s="114">
        <v>2.0</v>
      </c>
      <c r="E54" s="14">
        <v>25000.0</v>
      </c>
      <c r="F54" s="14">
        <f t="shared" si="5"/>
        <v>50000</v>
      </c>
      <c r="G54" s="15" t="s">
        <v>10</v>
      </c>
      <c r="H54" s="110"/>
      <c r="I54" s="135">
        <v>46199.0</v>
      </c>
      <c r="J54" s="12" t="s">
        <v>36</v>
      </c>
      <c r="K54" s="114" t="s">
        <v>16</v>
      </c>
      <c r="L54" s="114">
        <v>0.3</v>
      </c>
      <c r="M54" s="14">
        <v>25000.0</v>
      </c>
      <c r="N54" s="14">
        <f t="shared" si="6"/>
        <v>7500</v>
      </c>
      <c r="O54" s="15" t="s">
        <v>10</v>
      </c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34"/>
      <c r="EC54" s="134"/>
      <c r="ED54" s="134"/>
      <c r="EE54" s="134"/>
      <c r="EF54" s="134"/>
      <c r="EG54" s="134"/>
      <c r="EH54" s="134"/>
      <c r="EI54" s="134"/>
      <c r="EJ54" s="134"/>
      <c r="EK54" s="134"/>
      <c r="EL54" s="134"/>
      <c r="EM54" s="134"/>
      <c r="EN54" s="134"/>
      <c r="EO54" s="134"/>
      <c r="EP54" s="134"/>
      <c r="EQ54" s="134"/>
      <c r="ER54" s="134"/>
      <c r="ES54" s="134"/>
      <c r="ET54" s="134"/>
      <c r="EU54" s="134"/>
      <c r="EV54" s="134"/>
      <c r="EW54" s="134"/>
      <c r="EX54" s="134"/>
      <c r="EY54" s="134"/>
      <c r="EZ54" s="134"/>
      <c r="FA54" s="134"/>
      <c r="FB54" s="134"/>
      <c r="FC54" s="134"/>
      <c r="FD54" s="134"/>
      <c r="FE54" s="134"/>
      <c r="FF54" s="134"/>
      <c r="FG54" s="134"/>
      <c r="FH54" s="134"/>
      <c r="FI54" s="134"/>
      <c r="FJ54" s="134"/>
      <c r="FK54" s="134"/>
      <c r="FL54" s="134"/>
      <c r="FM54" s="134"/>
      <c r="FN54" s="134"/>
      <c r="FO54" s="134"/>
      <c r="FP54" s="134"/>
      <c r="FQ54" s="134"/>
      <c r="FR54" s="134"/>
      <c r="FS54" s="134"/>
      <c r="FT54" s="134"/>
      <c r="FU54" s="134"/>
      <c r="FV54" s="134"/>
      <c r="FW54" s="134"/>
      <c r="FX54" s="134"/>
      <c r="FY54" s="134"/>
      <c r="FZ54" s="134"/>
      <c r="GA54" s="134"/>
      <c r="GB54" s="134"/>
      <c r="GC54" s="134"/>
      <c r="GD54" s="134"/>
      <c r="GE54" s="134"/>
      <c r="GF54" s="134"/>
      <c r="GG54" s="134"/>
      <c r="GH54" s="134"/>
      <c r="GI54" s="134"/>
      <c r="GJ54" s="134"/>
      <c r="GK54" s="134"/>
      <c r="GL54" s="134"/>
      <c r="GM54" s="134"/>
      <c r="GN54" s="134"/>
    </row>
    <row r="55">
      <c r="A55" s="136">
        <v>46196.0</v>
      </c>
      <c r="B55" s="18" t="s">
        <v>36</v>
      </c>
      <c r="C55" s="111" t="s">
        <v>62</v>
      </c>
      <c r="D55" s="111">
        <v>1.0</v>
      </c>
      <c r="E55" s="20">
        <v>25000.0</v>
      </c>
      <c r="F55" s="20">
        <f t="shared" si="5"/>
        <v>25000</v>
      </c>
      <c r="G55" s="21" t="s">
        <v>10</v>
      </c>
      <c r="H55" s="110"/>
      <c r="I55" s="136">
        <v>46200.0</v>
      </c>
      <c r="J55" s="18" t="s">
        <v>36</v>
      </c>
      <c r="K55" s="111" t="s">
        <v>16</v>
      </c>
      <c r="L55" s="111">
        <v>0.16</v>
      </c>
      <c r="M55" s="20">
        <v>25000.0</v>
      </c>
      <c r="N55" s="20">
        <f t="shared" si="6"/>
        <v>4000</v>
      </c>
      <c r="O55" s="21" t="s">
        <v>10</v>
      </c>
    </row>
    <row r="56">
      <c r="A56" s="135">
        <v>46197.0</v>
      </c>
      <c r="B56" s="12" t="s">
        <v>36</v>
      </c>
      <c r="C56" s="114" t="s">
        <v>29</v>
      </c>
      <c r="D56" s="114">
        <v>1.0</v>
      </c>
      <c r="E56" s="14">
        <v>25000.0</v>
      </c>
      <c r="F56" s="14">
        <f t="shared" si="5"/>
        <v>25000</v>
      </c>
      <c r="G56" s="15" t="s">
        <v>10</v>
      </c>
      <c r="H56" s="110"/>
      <c r="I56" s="115" t="s">
        <v>142</v>
      </c>
      <c r="K56" s="116"/>
      <c r="L56" s="117">
        <f>SUM(L41:L55)</f>
        <v>1.68</v>
      </c>
      <c r="M56" s="116"/>
      <c r="N56" s="118">
        <f>SUM(N50:N55)</f>
        <v>42000</v>
      </c>
      <c r="O56" s="119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7"/>
      <c r="DB56" s="137"/>
      <c r="DC56" s="137"/>
      <c r="DD56" s="137"/>
      <c r="DE56" s="137"/>
      <c r="DF56" s="137"/>
      <c r="DG56" s="137"/>
      <c r="DH56" s="137"/>
      <c r="DI56" s="137"/>
      <c r="DJ56" s="137"/>
      <c r="DK56" s="137"/>
      <c r="DL56" s="137"/>
      <c r="DM56" s="137"/>
      <c r="DN56" s="137"/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7"/>
      <c r="EB56" s="137"/>
      <c r="EC56" s="137"/>
      <c r="ED56" s="137"/>
      <c r="EE56" s="137"/>
      <c r="EF56" s="137"/>
      <c r="EG56" s="137"/>
      <c r="EH56" s="137"/>
      <c r="EI56" s="137"/>
      <c r="EJ56" s="137"/>
      <c r="EK56" s="137"/>
      <c r="EL56" s="137"/>
      <c r="EM56" s="137"/>
      <c r="EN56" s="137"/>
      <c r="EO56" s="137"/>
      <c r="EP56" s="137"/>
      <c r="EQ56" s="137"/>
      <c r="ER56" s="137"/>
      <c r="ES56" s="137"/>
      <c r="ET56" s="137"/>
      <c r="EU56" s="137"/>
      <c r="EV56" s="137"/>
      <c r="EW56" s="137"/>
      <c r="EX56" s="137"/>
      <c r="EY56" s="137"/>
      <c r="EZ56" s="137"/>
      <c r="FA56" s="137"/>
      <c r="FB56" s="137"/>
      <c r="FC56" s="137"/>
      <c r="FD56" s="137"/>
      <c r="FE56" s="137"/>
      <c r="FF56" s="137"/>
      <c r="FG56" s="137"/>
      <c r="FH56" s="137"/>
      <c r="FI56" s="137"/>
      <c r="FJ56" s="137"/>
      <c r="FK56" s="137"/>
      <c r="FL56" s="137"/>
      <c r="FM56" s="137"/>
      <c r="FN56" s="137"/>
      <c r="FO56" s="137"/>
      <c r="FP56" s="137"/>
      <c r="FQ56" s="137"/>
      <c r="FR56" s="137"/>
      <c r="FS56" s="137"/>
      <c r="FT56" s="137"/>
      <c r="FU56" s="137"/>
      <c r="FV56" s="137"/>
      <c r="FW56" s="137"/>
      <c r="FX56" s="137"/>
      <c r="FY56" s="137"/>
      <c r="FZ56" s="137"/>
      <c r="GA56" s="137"/>
      <c r="GB56" s="137"/>
      <c r="GC56" s="137"/>
      <c r="GD56" s="137"/>
      <c r="GE56" s="137"/>
      <c r="GF56" s="137"/>
      <c r="GG56" s="137"/>
      <c r="GH56" s="137"/>
      <c r="GI56" s="137"/>
      <c r="GJ56" s="137"/>
      <c r="GK56" s="137"/>
      <c r="GL56" s="137"/>
      <c r="GM56" s="137"/>
      <c r="GN56" s="137"/>
    </row>
    <row r="57">
      <c r="A57" s="136">
        <v>46198.0</v>
      </c>
      <c r="B57" s="18" t="s">
        <v>36</v>
      </c>
      <c r="C57" s="111" t="s">
        <v>67</v>
      </c>
      <c r="D57" s="111">
        <v>3.0</v>
      </c>
      <c r="E57" s="20">
        <v>25000.0</v>
      </c>
      <c r="F57" s="20">
        <f t="shared" si="5"/>
        <v>75000</v>
      </c>
      <c r="G57" s="21" t="s">
        <v>10</v>
      </c>
      <c r="H57" s="110"/>
      <c r="I57" s="115" t="s">
        <v>142</v>
      </c>
      <c r="K57" s="116"/>
      <c r="L57" s="117">
        <f>SUM(D65,L56)</f>
        <v>36.68</v>
      </c>
      <c r="M57" s="116"/>
      <c r="N57" s="123">
        <f>SUM(F65,N56)</f>
        <v>917000</v>
      </c>
      <c r="O57" s="119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110"/>
      <c r="ES57" s="110"/>
      <c r="ET57" s="110"/>
      <c r="EU57" s="110"/>
      <c r="EV57" s="110"/>
      <c r="EW57" s="110"/>
      <c r="EX57" s="110"/>
      <c r="EY57" s="110"/>
      <c r="EZ57" s="110"/>
      <c r="FA57" s="110"/>
      <c r="FB57" s="110"/>
      <c r="FC57" s="110"/>
      <c r="FD57" s="110"/>
      <c r="FE57" s="110"/>
      <c r="FF57" s="110"/>
      <c r="FG57" s="110"/>
      <c r="FH57" s="110"/>
      <c r="FI57" s="110"/>
      <c r="FJ57" s="110"/>
      <c r="FK57" s="110"/>
      <c r="FL57" s="110"/>
      <c r="FM57" s="110"/>
      <c r="FN57" s="110"/>
      <c r="FO57" s="110"/>
      <c r="FP57" s="110"/>
      <c r="FQ57" s="110"/>
      <c r="FR57" s="110"/>
      <c r="FS57" s="110"/>
      <c r="FT57" s="110"/>
      <c r="FU57" s="110"/>
      <c r="FV57" s="110"/>
      <c r="FW57" s="110"/>
      <c r="FX57" s="110"/>
      <c r="FY57" s="110"/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</row>
    <row r="58">
      <c r="A58" s="135">
        <v>46198.0</v>
      </c>
      <c r="B58" s="12" t="s">
        <v>36</v>
      </c>
      <c r="C58" s="114" t="s">
        <v>150</v>
      </c>
      <c r="D58" s="114">
        <v>2.0</v>
      </c>
      <c r="E58" s="14">
        <v>25000.0</v>
      </c>
      <c r="F58" s="14">
        <f t="shared" si="5"/>
        <v>50000</v>
      </c>
      <c r="G58" s="15" t="s">
        <v>10</v>
      </c>
      <c r="H58" s="110"/>
    </row>
    <row r="59">
      <c r="A59" s="136">
        <v>46198.0</v>
      </c>
      <c r="B59" s="18" t="s">
        <v>36</v>
      </c>
      <c r="C59" s="111" t="s">
        <v>55</v>
      </c>
      <c r="D59" s="111">
        <v>2.0</v>
      </c>
      <c r="E59" s="20">
        <v>25000.0</v>
      </c>
      <c r="F59" s="20">
        <f t="shared" si="5"/>
        <v>50000</v>
      </c>
      <c r="G59" s="21" t="s">
        <v>10</v>
      </c>
      <c r="H59" s="110"/>
    </row>
    <row r="60">
      <c r="A60" s="135">
        <v>46198.0</v>
      </c>
      <c r="B60" s="12" t="s">
        <v>36</v>
      </c>
      <c r="C60" s="114" t="s">
        <v>71</v>
      </c>
      <c r="D60" s="114">
        <v>1.0</v>
      </c>
      <c r="E60" s="14">
        <v>25000.0</v>
      </c>
      <c r="F60" s="14">
        <f t="shared" si="5"/>
        <v>25000</v>
      </c>
      <c r="G60" s="15" t="s">
        <v>10</v>
      </c>
      <c r="H60" s="110"/>
    </row>
    <row r="61">
      <c r="A61" s="136">
        <v>46199.0</v>
      </c>
      <c r="B61" s="18" t="s">
        <v>36</v>
      </c>
      <c r="C61" s="111" t="s">
        <v>67</v>
      </c>
      <c r="D61" s="111">
        <v>3.0</v>
      </c>
      <c r="E61" s="20">
        <v>25000.0</v>
      </c>
      <c r="F61" s="20">
        <f t="shared" si="5"/>
        <v>75000</v>
      </c>
      <c r="G61" s="21" t="s">
        <v>10</v>
      </c>
      <c r="H61" s="110"/>
    </row>
    <row r="62">
      <c r="A62" s="135">
        <v>46199.0</v>
      </c>
      <c r="B62" s="12" t="s">
        <v>36</v>
      </c>
      <c r="C62" s="114" t="s">
        <v>55</v>
      </c>
      <c r="D62" s="114">
        <v>2.0</v>
      </c>
      <c r="E62" s="14">
        <v>25000.0</v>
      </c>
      <c r="F62" s="14">
        <f t="shared" si="5"/>
        <v>50000</v>
      </c>
      <c r="G62" s="15" t="s">
        <v>10</v>
      </c>
      <c r="H62" s="110"/>
    </row>
    <row r="63">
      <c r="A63" s="136">
        <v>46199.0</v>
      </c>
      <c r="B63" s="18" t="s">
        <v>36</v>
      </c>
      <c r="C63" s="111" t="s">
        <v>29</v>
      </c>
      <c r="D63" s="111">
        <v>2.0</v>
      </c>
      <c r="E63" s="20">
        <v>25000.0</v>
      </c>
      <c r="F63" s="20">
        <f t="shared" si="5"/>
        <v>50000</v>
      </c>
      <c r="G63" s="21" t="s">
        <v>10</v>
      </c>
      <c r="H63" s="110"/>
    </row>
    <row r="64">
      <c r="A64" s="135">
        <v>46200.0</v>
      </c>
      <c r="B64" s="12" t="s">
        <v>36</v>
      </c>
      <c r="C64" s="114" t="s">
        <v>67</v>
      </c>
      <c r="D64" s="114">
        <v>3.0</v>
      </c>
      <c r="E64" s="14">
        <v>25000.0</v>
      </c>
      <c r="F64" s="14">
        <f t="shared" si="5"/>
        <v>75000</v>
      </c>
      <c r="G64" s="15" t="s">
        <v>10</v>
      </c>
      <c r="H64" s="110"/>
    </row>
    <row r="65">
      <c r="A65" s="115" t="s">
        <v>142</v>
      </c>
      <c r="C65" s="116"/>
      <c r="D65" s="117">
        <f>SUM(D50:D64)</f>
        <v>35</v>
      </c>
      <c r="E65" s="116"/>
      <c r="F65" s="118">
        <f>SUM(F50:F64)</f>
        <v>875000</v>
      </c>
      <c r="G65" s="119"/>
      <c r="H65" s="110"/>
    </row>
    <row r="66">
      <c r="A66" s="113"/>
      <c r="B66" s="12"/>
      <c r="C66" s="114"/>
      <c r="D66" s="114"/>
      <c r="E66" s="14"/>
      <c r="F66" s="14"/>
      <c r="G66" s="15"/>
      <c r="H66" s="110"/>
    </row>
    <row r="67">
      <c r="A67" s="28"/>
      <c r="B67" s="18"/>
      <c r="C67" s="111"/>
      <c r="D67" s="111"/>
      <c r="E67" s="20"/>
      <c r="F67" s="20"/>
      <c r="G67" s="21"/>
      <c r="H67" s="110"/>
    </row>
    <row r="68">
      <c r="A68" s="113"/>
      <c r="B68" s="12"/>
      <c r="C68" s="114"/>
      <c r="D68" s="114"/>
      <c r="E68" s="14"/>
      <c r="F68" s="14"/>
      <c r="G68" s="15"/>
      <c r="H68" s="110"/>
    </row>
    <row r="69">
      <c r="A69" s="28"/>
      <c r="B69" s="18"/>
      <c r="C69" s="111"/>
      <c r="D69" s="111"/>
      <c r="E69" s="20"/>
      <c r="F69" s="20"/>
      <c r="G69" s="21"/>
    </row>
    <row r="70" ht="32.25" customHeight="1">
      <c r="A70" s="105" t="s">
        <v>1</v>
      </c>
      <c r="B70" s="105" t="s">
        <v>2</v>
      </c>
      <c r="C70" s="105" t="s">
        <v>3</v>
      </c>
      <c r="D70" s="106" t="s">
        <v>4</v>
      </c>
      <c r="E70" s="107" t="s">
        <v>5</v>
      </c>
      <c r="F70" s="108" t="s">
        <v>6</v>
      </c>
      <c r="G70" s="105" t="s">
        <v>84</v>
      </c>
    </row>
    <row r="71">
      <c r="A71" s="136">
        <v>46202.0</v>
      </c>
      <c r="B71" s="18" t="s">
        <v>36</v>
      </c>
      <c r="C71" s="19" t="s">
        <v>67</v>
      </c>
      <c r="D71" s="19">
        <v>3.0</v>
      </c>
      <c r="E71" s="20">
        <v>25000.0</v>
      </c>
      <c r="F71" s="20">
        <f t="shared" ref="F71:F94" si="7">D71*E71</f>
        <v>75000</v>
      </c>
      <c r="G71" s="21" t="s">
        <v>10</v>
      </c>
      <c r="I71" s="138">
        <v>46202.0</v>
      </c>
      <c r="J71" s="29" t="s">
        <v>36</v>
      </c>
      <c r="K71" s="98" t="s">
        <v>16</v>
      </c>
      <c r="L71" s="98">
        <v>0.35</v>
      </c>
      <c r="M71" s="32">
        <v>25000.0</v>
      </c>
      <c r="N71" s="32">
        <f t="shared" ref="N71:N76" si="8">L71*M71</f>
        <v>8750</v>
      </c>
      <c r="O71" s="33" t="s">
        <v>10</v>
      </c>
    </row>
    <row r="72">
      <c r="A72" s="135">
        <v>46202.0</v>
      </c>
      <c r="B72" s="12" t="s">
        <v>36</v>
      </c>
      <c r="C72" s="13" t="s">
        <v>55</v>
      </c>
      <c r="D72" s="13">
        <v>3.0</v>
      </c>
      <c r="E72" s="14">
        <v>25000.0</v>
      </c>
      <c r="F72" s="14">
        <f t="shared" si="7"/>
        <v>75000</v>
      </c>
      <c r="G72" s="15" t="s">
        <v>10</v>
      </c>
      <c r="I72" s="97">
        <v>46203.0</v>
      </c>
      <c r="J72" s="29" t="s">
        <v>36</v>
      </c>
      <c r="K72" s="98" t="s">
        <v>16</v>
      </c>
      <c r="L72" s="98">
        <v>0.2</v>
      </c>
      <c r="M72" s="32">
        <v>25000.0</v>
      </c>
      <c r="N72" s="32">
        <f t="shared" si="8"/>
        <v>5000</v>
      </c>
      <c r="O72" s="33" t="s">
        <v>10</v>
      </c>
    </row>
    <row r="73">
      <c r="A73" s="136">
        <v>46202.0</v>
      </c>
      <c r="B73" s="18" t="s">
        <v>36</v>
      </c>
      <c r="C73" s="19" t="s">
        <v>29</v>
      </c>
      <c r="D73" s="19">
        <v>2.0</v>
      </c>
      <c r="E73" s="20">
        <v>25000.0</v>
      </c>
      <c r="F73" s="20">
        <f t="shared" si="7"/>
        <v>50000</v>
      </c>
      <c r="G73" s="21" t="s">
        <v>10</v>
      </c>
      <c r="I73" s="97">
        <v>46204.0</v>
      </c>
      <c r="J73" s="29" t="s">
        <v>36</v>
      </c>
      <c r="K73" s="98" t="s">
        <v>16</v>
      </c>
      <c r="L73" s="98">
        <v>0.16</v>
      </c>
      <c r="M73" s="32">
        <v>25000.0</v>
      </c>
      <c r="N73" s="32">
        <f t="shared" si="8"/>
        <v>4000</v>
      </c>
      <c r="O73" s="33" t="s">
        <v>10</v>
      </c>
    </row>
    <row r="74">
      <c r="A74" s="135">
        <v>46202.0</v>
      </c>
      <c r="B74" s="12" t="s">
        <v>36</v>
      </c>
      <c r="C74" s="13" t="s">
        <v>151</v>
      </c>
      <c r="D74" s="13">
        <v>2.0</v>
      </c>
      <c r="E74" s="14">
        <v>25000.0</v>
      </c>
      <c r="F74" s="14">
        <f t="shared" si="7"/>
        <v>50000</v>
      </c>
      <c r="G74" s="15" t="s">
        <v>10</v>
      </c>
      <c r="I74" s="97">
        <v>46205.0</v>
      </c>
      <c r="J74" s="29" t="s">
        <v>36</v>
      </c>
      <c r="K74" s="98" t="s">
        <v>16</v>
      </c>
      <c r="L74" s="98">
        <v>0.19</v>
      </c>
      <c r="M74" s="32">
        <v>25000.0</v>
      </c>
      <c r="N74" s="32">
        <f t="shared" si="8"/>
        <v>4750</v>
      </c>
      <c r="O74" s="33" t="s">
        <v>10</v>
      </c>
    </row>
    <row r="75">
      <c r="A75" s="136">
        <v>46202.0</v>
      </c>
      <c r="B75" s="18" t="s">
        <v>36</v>
      </c>
      <c r="C75" s="19" t="s">
        <v>37</v>
      </c>
      <c r="D75" s="19">
        <v>1.0</v>
      </c>
      <c r="E75" s="20">
        <v>25000.0</v>
      </c>
      <c r="F75" s="20">
        <f t="shared" si="7"/>
        <v>25000</v>
      </c>
      <c r="G75" s="21" t="s">
        <v>10</v>
      </c>
      <c r="I75" s="97">
        <v>46206.0</v>
      </c>
      <c r="J75" s="29" t="s">
        <v>36</v>
      </c>
      <c r="K75" s="98" t="s">
        <v>16</v>
      </c>
      <c r="L75" s="98">
        <v>0.16</v>
      </c>
      <c r="M75" s="32">
        <v>25000.0</v>
      </c>
      <c r="N75" s="32">
        <f t="shared" si="8"/>
        <v>4000</v>
      </c>
      <c r="O75" s="33" t="s">
        <v>10</v>
      </c>
    </row>
    <row r="76">
      <c r="A76" s="135">
        <v>46202.0</v>
      </c>
      <c r="B76" s="12" t="s">
        <v>36</v>
      </c>
      <c r="C76" s="13" t="s">
        <v>13</v>
      </c>
      <c r="D76" s="13">
        <v>1.0</v>
      </c>
      <c r="E76" s="14">
        <v>25000.0</v>
      </c>
      <c r="F76" s="14">
        <f t="shared" si="7"/>
        <v>25000</v>
      </c>
      <c r="G76" s="15" t="s">
        <v>10</v>
      </c>
      <c r="I76" s="97">
        <v>46207.0</v>
      </c>
      <c r="J76" s="29" t="s">
        <v>36</v>
      </c>
      <c r="K76" s="98" t="s">
        <v>16</v>
      </c>
      <c r="L76" s="98">
        <v>0.27</v>
      </c>
      <c r="M76" s="32">
        <v>25000.0</v>
      </c>
      <c r="N76" s="32">
        <f t="shared" si="8"/>
        <v>6750</v>
      </c>
      <c r="O76" s="33" t="s">
        <v>10</v>
      </c>
    </row>
    <row r="77">
      <c r="A77" s="136">
        <v>46202.0</v>
      </c>
      <c r="B77" s="18" t="s">
        <v>36</v>
      </c>
      <c r="C77" s="19" t="s">
        <v>229</v>
      </c>
      <c r="D77" s="19">
        <v>1.0</v>
      </c>
      <c r="E77" s="20">
        <v>25000.0</v>
      </c>
      <c r="F77" s="20">
        <f t="shared" si="7"/>
        <v>25000</v>
      </c>
      <c r="G77" s="21" t="s">
        <v>10</v>
      </c>
      <c r="I77" s="115" t="s">
        <v>142</v>
      </c>
      <c r="K77" s="116"/>
      <c r="L77" s="117">
        <f>SUM(L71:L76)</f>
        <v>1.33</v>
      </c>
      <c r="M77" s="116"/>
      <c r="N77" s="118">
        <f>SUM(N71:N76)</f>
        <v>33250</v>
      </c>
      <c r="O77" s="119"/>
    </row>
    <row r="78">
      <c r="A78" s="135">
        <v>46202.0</v>
      </c>
      <c r="B78" s="12" t="s">
        <v>36</v>
      </c>
      <c r="C78" s="13" t="s">
        <v>227</v>
      </c>
      <c r="D78" s="13">
        <v>1.0</v>
      </c>
      <c r="E78" s="14">
        <v>25000.0</v>
      </c>
      <c r="F78" s="14">
        <f t="shared" si="7"/>
        <v>25000</v>
      </c>
      <c r="G78" s="15" t="s">
        <v>10</v>
      </c>
      <c r="I78" s="115" t="s">
        <v>142</v>
      </c>
      <c r="K78" s="116"/>
      <c r="L78" s="117">
        <f>SUM(D95,L77)</f>
        <v>41.33</v>
      </c>
      <c r="M78" s="116"/>
      <c r="N78" s="123">
        <f>SUM(F95,N77)</f>
        <v>1033250</v>
      </c>
      <c r="O78" s="119"/>
    </row>
    <row r="79">
      <c r="A79" s="136">
        <v>46202.0</v>
      </c>
      <c r="B79" s="18" t="s">
        <v>36</v>
      </c>
      <c r="C79" s="19" t="s">
        <v>230</v>
      </c>
      <c r="D79" s="19">
        <v>1.0</v>
      </c>
      <c r="E79" s="20">
        <v>25000.0</v>
      </c>
      <c r="F79" s="20">
        <f t="shared" si="7"/>
        <v>25000</v>
      </c>
      <c r="G79" s="21" t="s">
        <v>10</v>
      </c>
    </row>
    <row r="80">
      <c r="A80" s="135">
        <v>46202.0</v>
      </c>
      <c r="B80" s="12" t="s">
        <v>36</v>
      </c>
      <c r="C80" s="13" t="s">
        <v>159</v>
      </c>
      <c r="D80" s="13">
        <v>1.0</v>
      </c>
      <c r="E80" s="14">
        <v>25000.0</v>
      </c>
      <c r="F80" s="14">
        <f t="shared" si="7"/>
        <v>25000</v>
      </c>
      <c r="G80" s="15" t="s">
        <v>10</v>
      </c>
    </row>
    <row r="81">
      <c r="A81" s="136">
        <v>46202.0</v>
      </c>
      <c r="B81" s="18" t="s">
        <v>36</v>
      </c>
      <c r="C81" s="19" t="s">
        <v>14</v>
      </c>
      <c r="D81" s="19">
        <v>1.0</v>
      </c>
      <c r="E81" s="20">
        <v>25000.0</v>
      </c>
      <c r="F81" s="20">
        <f t="shared" si="7"/>
        <v>25000</v>
      </c>
      <c r="G81" s="21" t="s">
        <v>10</v>
      </c>
    </row>
    <row r="82">
      <c r="A82" s="11">
        <v>46203.0</v>
      </c>
      <c r="B82" s="12" t="s">
        <v>36</v>
      </c>
      <c r="C82" s="13" t="s">
        <v>55</v>
      </c>
      <c r="D82" s="13">
        <v>3.0</v>
      </c>
      <c r="E82" s="14">
        <v>25000.0</v>
      </c>
      <c r="F82" s="14">
        <f t="shared" si="7"/>
        <v>75000</v>
      </c>
      <c r="G82" s="15" t="s">
        <v>10</v>
      </c>
    </row>
    <row r="83">
      <c r="A83" s="17">
        <v>46203.0</v>
      </c>
      <c r="B83" s="18" t="s">
        <v>36</v>
      </c>
      <c r="C83" s="19" t="s">
        <v>34</v>
      </c>
      <c r="D83" s="19">
        <v>1.0</v>
      </c>
      <c r="E83" s="20">
        <v>25000.0</v>
      </c>
      <c r="F83" s="20">
        <f t="shared" si="7"/>
        <v>25000</v>
      </c>
      <c r="G83" s="21" t="s">
        <v>10</v>
      </c>
    </row>
    <row r="84">
      <c r="A84" s="11">
        <v>46203.0</v>
      </c>
      <c r="B84" s="12" t="s">
        <v>36</v>
      </c>
      <c r="C84" s="13" t="s">
        <v>160</v>
      </c>
      <c r="D84" s="13">
        <v>1.0</v>
      </c>
      <c r="E84" s="14">
        <v>25000.0</v>
      </c>
      <c r="F84" s="14">
        <f t="shared" si="7"/>
        <v>25000</v>
      </c>
      <c r="G84" s="15" t="s">
        <v>10</v>
      </c>
    </row>
    <row r="85">
      <c r="A85" s="17">
        <v>46203.0</v>
      </c>
      <c r="B85" s="18" t="s">
        <v>36</v>
      </c>
      <c r="C85" s="19" t="s">
        <v>155</v>
      </c>
      <c r="D85" s="19">
        <v>1.0</v>
      </c>
      <c r="E85" s="20">
        <v>25000.0</v>
      </c>
      <c r="F85" s="20">
        <f t="shared" si="7"/>
        <v>25000</v>
      </c>
      <c r="G85" s="21" t="s">
        <v>10</v>
      </c>
    </row>
    <row r="86">
      <c r="A86" s="11">
        <v>46204.0</v>
      </c>
      <c r="B86" s="12" t="s">
        <v>36</v>
      </c>
      <c r="C86" s="13" t="s">
        <v>71</v>
      </c>
      <c r="D86" s="13">
        <v>1.0</v>
      </c>
      <c r="E86" s="14">
        <v>25000.0</v>
      </c>
      <c r="F86" s="14">
        <f t="shared" si="7"/>
        <v>25000</v>
      </c>
      <c r="G86" s="15" t="s">
        <v>10</v>
      </c>
    </row>
    <row r="87">
      <c r="A87" s="17">
        <v>46204.0</v>
      </c>
      <c r="B87" s="18" t="s">
        <v>36</v>
      </c>
      <c r="C87" s="19" t="s">
        <v>231</v>
      </c>
      <c r="D87" s="19">
        <v>1.0</v>
      </c>
      <c r="E87" s="20">
        <v>25000.0</v>
      </c>
      <c r="F87" s="20">
        <f t="shared" si="7"/>
        <v>25000</v>
      </c>
      <c r="G87" s="21" t="s">
        <v>10</v>
      </c>
    </row>
    <row r="88">
      <c r="A88" s="11">
        <v>46205.0</v>
      </c>
      <c r="B88" s="12" t="s">
        <v>36</v>
      </c>
      <c r="C88" s="13" t="s">
        <v>67</v>
      </c>
      <c r="D88" s="13">
        <v>2.0</v>
      </c>
      <c r="E88" s="14">
        <v>25000.0</v>
      </c>
      <c r="F88" s="14">
        <f t="shared" si="7"/>
        <v>50000</v>
      </c>
      <c r="G88" s="15" t="s">
        <v>10</v>
      </c>
    </row>
    <row r="89">
      <c r="A89" s="17">
        <v>46205.0</v>
      </c>
      <c r="B89" s="18" t="s">
        <v>36</v>
      </c>
      <c r="C89" s="19" t="s">
        <v>55</v>
      </c>
      <c r="D89" s="19">
        <v>2.0</v>
      </c>
      <c r="E89" s="20">
        <v>25000.0</v>
      </c>
      <c r="F89" s="20">
        <f t="shared" si="7"/>
        <v>50000</v>
      </c>
      <c r="G89" s="21" t="s">
        <v>10</v>
      </c>
    </row>
    <row r="90">
      <c r="A90" s="11">
        <v>46206.0</v>
      </c>
      <c r="B90" s="12" t="s">
        <v>36</v>
      </c>
      <c r="C90" s="13" t="s">
        <v>67</v>
      </c>
      <c r="D90" s="13">
        <v>3.0</v>
      </c>
      <c r="E90" s="14">
        <v>25000.0</v>
      </c>
      <c r="F90" s="14">
        <f t="shared" si="7"/>
        <v>75000</v>
      </c>
      <c r="G90" s="15" t="s">
        <v>10</v>
      </c>
    </row>
    <row r="91">
      <c r="A91" s="17">
        <v>46206.0</v>
      </c>
      <c r="B91" s="18" t="s">
        <v>36</v>
      </c>
      <c r="C91" s="19" t="s">
        <v>29</v>
      </c>
      <c r="D91" s="19">
        <v>2.0</v>
      </c>
      <c r="E91" s="20">
        <v>25000.0</v>
      </c>
      <c r="F91" s="20">
        <f t="shared" si="7"/>
        <v>50000</v>
      </c>
      <c r="G91" s="21" t="s">
        <v>10</v>
      </c>
    </row>
    <row r="92">
      <c r="A92" s="11">
        <v>46206.0</v>
      </c>
      <c r="B92" s="12" t="s">
        <v>36</v>
      </c>
      <c r="C92" s="13" t="s">
        <v>13</v>
      </c>
      <c r="D92" s="13">
        <v>1.0</v>
      </c>
      <c r="E92" s="14">
        <v>25000.0</v>
      </c>
      <c r="F92" s="14">
        <f t="shared" si="7"/>
        <v>25000</v>
      </c>
      <c r="G92" s="15" t="s">
        <v>10</v>
      </c>
    </row>
    <row r="93">
      <c r="A93" s="17">
        <v>46207.0</v>
      </c>
      <c r="B93" s="18" t="s">
        <v>36</v>
      </c>
      <c r="C93" s="19" t="s">
        <v>75</v>
      </c>
      <c r="D93" s="19">
        <v>4.0</v>
      </c>
      <c r="E93" s="20">
        <v>25000.0</v>
      </c>
      <c r="F93" s="20">
        <f t="shared" si="7"/>
        <v>100000</v>
      </c>
      <c r="G93" s="21" t="s">
        <v>10</v>
      </c>
    </row>
    <row r="94">
      <c r="A94" s="11">
        <v>46207.0</v>
      </c>
      <c r="B94" s="12" t="s">
        <v>36</v>
      </c>
      <c r="C94" s="13" t="s">
        <v>232</v>
      </c>
      <c r="D94" s="13">
        <v>1.0</v>
      </c>
      <c r="E94" s="14">
        <v>25000.0</v>
      </c>
      <c r="F94" s="14">
        <f t="shared" si="7"/>
        <v>25000</v>
      </c>
      <c r="G94" s="15" t="s">
        <v>10</v>
      </c>
    </row>
    <row r="95">
      <c r="A95" s="115" t="s">
        <v>142</v>
      </c>
      <c r="C95" s="116"/>
      <c r="D95" s="117">
        <f>SUM(D71:D94)</f>
        <v>40</v>
      </c>
      <c r="E95" s="116"/>
      <c r="F95" s="118">
        <f>SUM(F71:F94)</f>
        <v>1000000</v>
      </c>
      <c r="G95" s="119"/>
    </row>
    <row r="96">
      <c r="A96" s="113"/>
      <c r="B96" s="12"/>
      <c r="C96" s="114"/>
      <c r="D96" s="114"/>
      <c r="E96" s="14"/>
      <c r="F96" s="14"/>
      <c r="G96" s="15"/>
    </row>
    <row r="97">
      <c r="A97" s="28"/>
      <c r="B97" s="18"/>
      <c r="C97" s="111"/>
      <c r="D97" s="111"/>
      <c r="E97" s="20"/>
      <c r="F97" s="20"/>
      <c r="G97" s="21"/>
    </row>
    <row r="98">
      <c r="A98" s="113"/>
      <c r="B98" s="12"/>
      <c r="C98" s="114"/>
      <c r="D98" s="114"/>
      <c r="E98" s="14"/>
      <c r="F98" s="14"/>
      <c r="G98" s="15"/>
    </row>
    <row r="99">
      <c r="A99" s="28"/>
      <c r="B99" s="18"/>
      <c r="C99" s="111"/>
      <c r="D99" s="111"/>
      <c r="E99" s="20"/>
      <c r="F99" s="20"/>
      <c r="G99" s="21"/>
    </row>
    <row r="100">
      <c r="A100" s="113"/>
      <c r="B100" s="12"/>
      <c r="C100" s="114"/>
      <c r="D100" s="114"/>
      <c r="E100" s="14"/>
      <c r="F100" s="14"/>
      <c r="G100" s="15"/>
    </row>
    <row r="101">
      <c r="A101" s="28"/>
      <c r="B101" s="18"/>
      <c r="C101" s="111"/>
      <c r="D101" s="111"/>
      <c r="E101" s="20"/>
      <c r="F101" s="20"/>
      <c r="G101" s="21"/>
    </row>
    <row r="102">
      <c r="A102" s="113"/>
      <c r="B102" s="12"/>
      <c r="C102" s="114"/>
      <c r="D102" s="114"/>
      <c r="E102" s="14"/>
      <c r="F102" s="14"/>
      <c r="G102" s="15"/>
    </row>
    <row r="103">
      <c r="A103" s="28"/>
      <c r="B103" s="18"/>
      <c r="C103" s="111"/>
      <c r="D103" s="111"/>
      <c r="E103" s="20"/>
      <c r="F103" s="20"/>
      <c r="G103" s="21"/>
    </row>
    <row r="104">
      <c r="A104" s="113"/>
      <c r="B104" s="12"/>
      <c r="C104" s="114"/>
      <c r="D104" s="114"/>
      <c r="E104" s="14"/>
      <c r="F104" s="14"/>
      <c r="G104" s="15"/>
    </row>
    <row r="105">
      <c r="A105" s="28"/>
      <c r="B105" s="18"/>
      <c r="C105" s="111"/>
      <c r="D105" s="111"/>
      <c r="E105" s="20"/>
      <c r="F105" s="20"/>
      <c r="G105" s="21"/>
    </row>
    <row r="106">
      <c r="A106" s="113"/>
      <c r="B106" s="12"/>
      <c r="C106" s="114"/>
      <c r="D106" s="114"/>
      <c r="E106" s="14"/>
      <c r="F106" s="14"/>
      <c r="G106" s="15"/>
    </row>
    <row r="107">
      <c r="A107" s="28"/>
      <c r="B107" s="18"/>
      <c r="C107" s="111"/>
      <c r="D107" s="111"/>
      <c r="E107" s="20"/>
      <c r="F107" s="20"/>
      <c r="G107" s="21"/>
    </row>
    <row r="108">
      <c r="A108" s="113"/>
      <c r="B108" s="12"/>
      <c r="C108" s="114"/>
      <c r="D108" s="114"/>
      <c r="E108" s="14"/>
      <c r="F108" s="14"/>
      <c r="G108" s="15"/>
    </row>
    <row r="109">
      <c r="A109" s="28"/>
      <c r="B109" s="18"/>
      <c r="C109" s="111"/>
      <c r="D109" s="111"/>
      <c r="E109" s="20"/>
      <c r="F109" s="20"/>
      <c r="G109" s="21"/>
    </row>
    <row r="110">
      <c r="A110" s="113"/>
      <c r="B110" s="12"/>
      <c r="C110" s="114"/>
      <c r="D110" s="114"/>
      <c r="E110" s="14"/>
      <c r="F110" s="14"/>
      <c r="G110" s="15"/>
    </row>
    <row r="111">
      <c r="A111" s="28"/>
      <c r="B111" s="18"/>
      <c r="C111" s="111"/>
      <c r="D111" s="111"/>
      <c r="E111" s="20"/>
      <c r="F111" s="20"/>
      <c r="G111" s="21"/>
    </row>
    <row r="112">
      <c r="A112" s="113"/>
      <c r="B112" s="12"/>
      <c r="C112" s="114"/>
      <c r="D112" s="114"/>
      <c r="E112" s="14"/>
      <c r="F112" s="14"/>
      <c r="G112" s="15"/>
    </row>
    <row r="113">
      <c r="A113" s="28"/>
      <c r="B113" s="18"/>
      <c r="C113" s="111"/>
      <c r="D113" s="111"/>
      <c r="E113" s="20"/>
      <c r="F113" s="20"/>
      <c r="G113" s="21"/>
    </row>
    <row r="114">
      <c r="A114" s="113"/>
      <c r="B114" s="12"/>
      <c r="C114" s="114"/>
      <c r="D114" s="114"/>
      <c r="E114" s="14"/>
      <c r="F114" s="14"/>
      <c r="G114" s="15"/>
    </row>
    <row r="115">
      <c r="A115" s="28"/>
      <c r="B115" s="18"/>
      <c r="C115" s="111"/>
      <c r="D115" s="111"/>
      <c r="E115" s="20"/>
      <c r="F115" s="20"/>
      <c r="G115" s="21"/>
    </row>
    <row r="116">
      <c r="A116" s="113"/>
      <c r="B116" s="12"/>
      <c r="C116" s="114"/>
      <c r="D116" s="114"/>
      <c r="E116" s="14"/>
      <c r="F116" s="14"/>
      <c r="G116" s="15"/>
    </row>
    <row r="117">
      <c r="A117" s="28"/>
      <c r="B117" s="18"/>
      <c r="C117" s="111"/>
      <c r="D117" s="111"/>
      <c r="E117" s="20"/>
      <c r="F117" s="20"/>
      <c r="G117" s="21"/>
    </row>
    <row r="118">
      <c r="A118" s="113"/>
      <c r="B118" s="12"/>
      <c r="C118" s="114"/>
      <c r="D118" s="114"/>
      <c r="E118" s="14"/>
      <c r="F118" s="14"/>
      <c r="G118" s="15"/>
    </row>
    <row r="119">
      <c r="A119" s="28"/>
      <c r="B119" s="18"/>
      <c r="C119" s="111"/>
      <c r="D119" s="111"/>
      <c r="E119" s="20"/>
      <c r="F119" s="20"/>
      <c r="G119" s="21"/>
    </row>
    <row r="120">
      <c r="A120" s="113"/>
      <c r="B120" s="12"/>
      <c r="C120" s="114"/>
      <c r="D120" s="114"/>
      <c r="E120" s="14"/>
      <c r="F120" s="14"/>
      <c r="G120" s="15"/>
    </row>
    <row r="121">
      <c r="A121" s="28"/>
      <c r="B121" s="18"/>
      <c r="C121" s="111"/>
      <c r="D121" s="111"/>
      <c r="E121" s="20"/>
      <c r="F121" s="20"/>
      <c r="G121" s="21"/>
    </row>
    <row r="122">
      <c r="A122" s="113"/>
      <c r="B122" s="12"/>
      <c r="C122" s="114"/>
      <c r="D122" s="114"/>
      <c r="E122" s="14"/>
      <c r="F122" s="14"/>
      <c r="G122" s="15"/>
    </row>
    <row r="123">
      <c r="A123" s="28"/>
      <c r="B123" s="18"/>
      <c r="C123" s="111"/>
      <c r="D123" s="111"/>
      <c r="E123" s="20"/>
      <c r="F123" s="20"/>
      <c r="G123" s="21"/>
    </row>
    <row r="124">
      <c r="A124" s="113"/>
      <c r="B124" s="12"/>
      <c r="C124" s="114"/>
      <c r="D124" s="114"/>
      <c r="E124" s="14"/>
      <c r="F124" s="14"/>
      <c r="G124" s="15"/>
    </row>
    <row r="125">
      <c r="A125" s="28"/>
      <c r="B125" s="18"/>
      <c r="C125" s="111"/>
      <c r="D125" s="111"/>
      <c r="E125" s="20"/>
      <c r="F125" s="20"/>
      <c r="G125" s="21"/>
    </row>
    <row r="126">
      <c r="A126" s="113"/>
      <c r="B126" s="12"/>
      <c r="C126" s="114"/>
      <c r="D126" s="114"/>
      <c r="E126" s="14"/>
      <c r="F126" s="14"/>
      <c r="G126" s="15"/>
    </row>
    <row r="127">
      <c r="A127" s="28"/>
      <c r="B127" s="18"/>
      <c r="C127" s="111"/>
      <c r="D127" s="111"/>
      <c r="E127" s="20"/>
      <c r="F127" s="20"/>
      <c r="G127" s="21"/>
    </row>
    <row r="128">
      <c r="A128" s="113"/>
      <c r="B128" s="12"/>
      <c r="C128" s="114"/>
      <c r="D128" s="114"/>
      <c r="E128" s="14"/>
      <c r="F128" s="14"/>
      <c r="G128" s="15"/>
    </row>
    <row r="129">
      <c r="A129" s="28"/>
      <c r="B129" s="18"/>
      <c r="C129" s="111"/>
      <c r="D129" s="111"/>
      <c r="E129" s="20"/>
      <c r="F129" s="20"/>
      <c r="G129" s="21"/>
    </row>
    <row r="130">
      <c r="A130" s="113"/>
      <c r="B130" s="12"/>
      <c r="C130" s="114"/>
      <c r="D130" s="114"/>
      <c r="E130" s="14"/>
      <c r="F130" s="14"/>
      <c r="G130" s="15"/>
    </row>
    <row r="131">
      <c r="A131" s="28"/>
      <c r="B131" s="18"/>
      <c r="C131" s="111"/>
      <c r="D131" s="111"/>
      <c r="E131" s="20"/>
      <c r="F131" s="20"/>
      <c r="G131" s="21"/>
    </row>
    <row r="132">
      <c r="A132" s="113"/>
      <c r="B132" s="12"/>
      <c r="C132" s="114"/>
      <c r="D132" s="114"/>
      <c r="E132" s="14"/>
      <c r="F132" s="14"/>
      <c r="G132" s="15"/>
    </row>
    <row r="133">
      <c r="A133" s="28"/>
      <c r="B133" s="18"/>
      <c r="C133" s="111"/>
      <c r="D133" s="111"/>
      <c r="E133" s="20"/>
      <c r="F133" s="20"/>
      <c r="G133" s="21"/>
    </row>
    <row r="134">
      <c r="A134" s="113"/>
      <c r="B134" s="12"/>
      <c r="C134" s="114"/>
      <c r="D134" s="114"/>
      <c r="E134" s="14"/>
      <c r="F134" s="14"/>
      <c r="G134" s="15"/>
    </row>
    <row r="135">
      <c r="A135" s="28"/>
      <c r="B135" s="18"/>
      <c r="C135" s="111"/>
      <c r="D135" s="111"/>
      <c r="E135" s="20"/>
      <c r="F135" s="20"/>
      <c r="G135" s="21"/>
    </row>
    <row r="136">
      <c r="A136" s="113"/>
      <c r="B136" s="12"/>
      <c r="C136" s="114"/>
      <c r="D136" s="114"/>
      <c r="E136" s="14"/>
      <c r="F136" s="14"/>
      <c r="G136" s="15"/>
    </row>
    <row r="137">
      <c r="A137" s="28"/>
      <c r="B137" s="18"/>
      <c r="C137" s="111"/>
      <c r="D137" s="111"/>
      <c r="E137" s="20"/>
      <c r="F137" s="20"/>
      <c r="G137" s="21"/>
    </row>
    <row r="138">
      <c r="A138" s="113"/>
      <c r="B138" s="12"/>
      <c r="C138" s="114"/>
      <c r="D138" s="114"/>
      <c r="E138" s="14"/>
      <c r="F138" s="14"/>
      <c r="G138" s="15"/>
    </row>
    <row r="139">
      <c r="A139" s="28"/>
      <c r="B139" s="18"/>
      <c r="C139" s="111"/>
      <c r="D139" s="111"/>
      <c r="E139" s="20"/>
      <c r="F139" s="20"/>
      <c r="G139" s="21"/>
    </row>
    <row r="140">
      <c r="A140" s="113"/>
      <c r="B140" s="12"/>
      <c r="C140" s="114"/>
      <c r="D140" s="114"/>
      <c r="E140" s="14"/>
      <c r="F140" s="14"/>
      <c r="G140" s="15"/>
    </row>
    <row r="141">
      <c r="A141" s="28"/>
      <c r="B141" s="18"/>
      <c r="C141" s="111"/>
      <c r="D141" s="111"/>
      <c r="E141" s="20"/>
      <c r="F141" s="20"/>
      <c r="G141" s="21"/>
    </row>
    <row r="142">
      <c r="A142" s="113"/>
      <c r="B142" s="12"/>
      <c r="C142" s="114"/>
      <c r="D142" s="114"/>
      <c r="E142" s="14"/>
      <c r="F142" s="14"/>
      <c r="G142" s="15"/>
    </row>
    <row r="143">
      <c r="A143" s="28"/>
      <c r="B143" s="18"/>
      <c r="C143" s="111"/>
      <c r="D143" s="111"/>
      <c r="E143" s="20"/>
      <c r="F143" s="20"/>
      <c r="G143" s="21"/>
    </row>
    <row r="144">
      <c r="A144" s="113"/>
      <c r="B144" s="12"/>
      <c r="C144" s="114"/>
      <c r="D144" s="114"/>
      <c r="E144" s="14"/>
      <c r="F144" s="14"/>
      <c r="G144" s="15"/>
    </row>
    <row r="145">
      <c r="A145" s="28"/>
      <c r="B145" s="18"/>
      <c r="C145" s="111"/>
      <c r="D145" s="111"/>
      <c r="E145" s="20"/>
      <c r="F145" s="20"/>
      <c r="G145" s="21"/>
    </row>
    <row r="146">
      <c r="A146" s="113"/>
      <c r="B146" s="12"/>
      <c r="C146" s="114"/>
      <c r="D146" s="114"/>
      <c r="E146" s="14"/>
      <c r="F146" s="14"/>
      <c r="G146" s="15"/>
    </row>
    <row r="147">
      <c r="A147" s="28"/>
      <c r="B147" s="18"/>
      <c r="C147" s="111"/>
      <c r="D147" s="111"/>
      <c r="E147" s="20"/>
      <c r="F147" s="20"/>
      <c r="G147" s="21"/>
    </row>
    <row r="148">
      <c r="A148" s="113"/>
      <c r="B148" s="12"/>
      <c r="C148" s="114"/>
      <c r="D148" s="114"/>
      <c r="E148" s="14"/>
      <c r="F148" s="14"/>
      <c r="G148" s="15"/>
    </row>
    <row r="149">
      <c r="A149" s="28"/>
      <c r="B149" s="18"/>
      <c r="C149" s="111"/>
      <c r="D149" s="111"/>
      <c r="E149" s="20"/>
      <c r="F149" s="20"/>
      <c r="G149" s="21"/>
    </row>
    <row r="150">
      <c r="A150" s="113"/>
      <c r="B150" s="12"/>
      <c r="C150" s="114"/>
      <c r="D150" s="114"/>
      <c r="E150" s="14"/>
      <c r="F150" s="14"/>
      <c r="G150" s="15"/>
    </row>
    <row r="151">
      <c r="A151" s="28"/>
      <c r="B151" s="18"/>
      <c r="C151" s="111"/>
      <c r="D151" s="111"/>
      <c r="E151" s="20"/>
      <c r="F151" s="20"/>
      <c r="G151" s="21"/>
    </row>
    <row r="152">
      <c r="A152" s="113"/>
      <c r="B152" s="12"/>
      <c r="C152" s="114"/>
      <c r="D152" s="114"/>
      <c r="E152" s="14"/>
      <c r="F152" s="14"/>
      <c r="G152" s="15"/>
    </row>
    <row r="153">
      <c r="A153" s="28"/>
      <c r="B153" s="18"/>
      <c r="C153" s="111"/>
      <c r="D153" s="111"/>
      <c r="E153" s="20"/>
      <c r="F153" s="20"/>
      <c r="G153" s="21"/>
    </row>
    <row r="154">
      <c r="A154" s="113"/>
      <c r="B154" s="12"/>
      <c r="C154" s="114"/>
      <c r="D154" s="114"/>
      <c r="E154" s="14"/>
      <c r="F154" s="14"/>
      <c r="G154" s="15"/>
    </row>
    <row r="155">
      <c r="A155" s="28"/>
      <c r="B155" s="18"/>
      <c r="C155" s="111"/>
      <c r="D155" s="111"/>
      <c r="E155" s="20"/>
      <c r="F155" s="20"/>
      <c r="G155" s="21"/>
    </row>
    <row r="156">
      <c r="A156" s="113"/>
      <c r="B156" s="12"/>
      <c r="C156" s="114"/>
      <c r="D156" s="114"/>
      <c r="E156" s="14"/>
      <c r="F156" s="14"/>
      <c r="G156" s="15"/>
    </row>
    <row r="157">
      <c r="A157" s="28"/>
      <c r="B157" s="18"/>
      <c r="C157" s="111"/>
      <c r="D157" s="111"/>
      <c r="E157" s="20"/>
      <c r="F157" s="20"/>
      <c r="G157" s="21"/>
    </row>
    <row r="158">
      <c r="A158" s="113"/>
      <c r="B158" s="12"/>
      <c r="C158" s="114"/>
      <c r="D158" s="114"/>
      <c r="E158" s="14"/>
      <c r="F158" s="14"/>
      <c r="G158" s="15"/>
    </row>
    <row r="159">
      <c r="A159" s="28"/>
      <c r="B159" s="18"/>
      <c r="C159" s="111"/>
      <c r="D159" s="111"/>
      <c r="E159" s="20"/>
      <c r="F159" s="20"/>
      <c r="G159" s="21"/>
    </row>
    <row r="160">
      <c r="A160" s="113"/>
      <c r="B160" s="12"/>
      <c r="C160" s="114"/>
      <c r="D160" s="114"/>
      <c r="E160" s="14"/>
      <c r="F160" s="14"/>
      <c r="G160" s="15"/>
    </row>
    <row r="161">
      <c r="A161" s="28"/>
      <c r="B161" s="18"/>
      <c r="C161" s="111"/>
      <c r="D161" s="111"/>
      <c r="E161" s="20"/>
      <c r="F161" s="20"/>
      <c r="G161" s="21"/>
    </row>
    <row r="162">
      <c r="A162" s="113"/>
      <c r="B162" s="12"/>
      <c r="C162" s="114"/>
      <c r="D162" s="114"/>
      <c r="E162" s="14"/>
      <c r="F162" s="14"/>
      <c r="G162" s="15"/>
    </row>
    <row r="163">
      <c r="A163" s="28"/>
      <c r="B163" s="18"/>
      <c r="C163" s="111"/>
      <c r="D163" s="111"/>
      <c r="E163" s="20"/>
      <c r="F163" s="20"/>
      <c r="G163" s="21"/>
    </row>
    <row r="164">
      <c r="A164" s="113"/>
      <c r="B164" s="12"/>
      <c r="C164" s="114"/>
      <c r="D164" s="114"/>
      <c r="E164" s="14"/>
      <c r="F164" s="14"/>
      <c r="G164" s="15"/>
    </row>
    <row r="165">
      <c r="A165" s="28"/>
      <c r="B165" s="18"/>
      <c r="C165" s="111"/>
      <c r="D165" s="111"/>
      <c r="E165" s="20"/>
      <c r="F165" s="20"/>
      <c r="G165" s="21"/>
    </row>
    <row r="166">
      <c r="A166" s="113"/>
      <c r="B166" s="12"/>
      <c r="C166" s="114"/>
      <c r="D166" s="114"/>
      <c r="E166" s="14"/>
      <c r="F166" s="14"/>
      <c r="G166" s="15"/>
    </row>
    <row r="167">
      <c r="A167" s="28"/>
      <c r="B167" s="18"/>
      <c r="C167" s="111"/>
      <c r="D167" s="111"/>
      <c r="E167" s="20"/>
      <c r="F167" s="20"/>
      <c r="G167" s="21"/>
    </row>
    <row r="168">
      <c r="A168" s="113"/>
      <c r="B168" s="12"/>
      <c r="C168" s="114"/>
      <c r="D168" s="114"/>
      <c r="E168" s="14"/>
      <c r="F168" s="14"/>
      <c r="G168" s="15"/>
    </row>
    <row r="169">
      <c r="A169" s="28"/>
      <c r="B169" s="18"/>
      <c r="C169" s="111"/>
      <c r="D169" s="111"/>
      <c r="E169" s="20"/>
      <c r="F169" s="20"/>
      <c r="G169" s="21"/>
    </row>
    <row r="170">
      <c r="A170" s="113"/>
      <c r="B170" s="12"/>
      <c r="C170" s="114"/>
      <c r="D170" s="114"/>
      <c r="E170" s="14"/>
      <c r="F170" s="14"/>
      <c r="G170" s="15"/>
    </row>
    <row r="171">
      <c r="A171" s="28"/>
      <c r="B171" s="18"/>
      <c r="C171" s="111"/>
      <c r="D171" s="111"/>
      <c r="E171" s="20"/>
      <c r="F171" s="20"/>
      <c r="G171" s="21"/>
    </row>
    <row r="172">
      <c r="A172" s="113"/>
      <c r="B172" s="12"/>
      <c r="C172" s="114"/>
      <c r="D172" s="114"/>
      <c r="E172" s="14"/>
      <c r="F172" s="14"/>
      <c r="G172" s="15"/>
    </row>
    <row r="173">
      <c r="A173" s="28"/>
      <c r="B173" s="18"/>
      <c r="C173" s="111"/>
      <c r="D173" s="111"/>
      <c r="E173" s="20"/>
      <c r="F173" s="20"/>
      <c r="G173" s="21"/>
    </row>
    <row r="174">
      <c r="A174" s="113"/>
      <c r="B174" s="12"/>
      <c r="C174" s="114"/>
      <c r="D174" s="114"/>
      <c r="E174" s="14"/>
      <c r="F174" s="14"/>
      <c r="G174" s="15"/>
    </row>
    <row r="175">
      <c r="A175" s="28"/>
      <c r="B175" s="18"/>
      <c r="C175" s="111"/>
      <c r="D175" s="111"/>
      <c r="E175" s="20"/>
      <c r="F175" s="20"/>
      <c r="G175" s="21"/>
    </row>
    <row r="176">
      <c r="A176" s="113"/>
      <c r="B176" s="12"/>
      <c r="C176" s="114"/>
      <c r="D176" s="114"/>
      <c r="E176" s="14"/>
      <c r="F176" s="14"/>
      <c r="G176" s="15"/>
    </row>
    <row r="177">
      <c r="A177" s="28"/>
      <c r="B177" s="18"/>
      <c r="C177" s="111"/>
      <c r="D177" s="111"/>
      <c r="E177" s="20"/>
      <c r="F177" s="20"/>
      <c r="G177" s="21"/>
    </row>
    <row r="178">
      <c r="A178" s="113"/>
      <c r="B178" s="12"/>
      <c r="C178" s="114"/>
      <c r="D178" s="114"/>
      <c r="E178" s="14"/>
      <c r="F178" s="14"/>
      <c r="G178" s="15"/>
    </row>
    <row r="179">
      <c r="A179" s="28"/>
      <c r="B179" s="18"/>
      <c r="C179" s="111"/>
      <c r="D179" s="111"/>
      <c r="E179" s="20"/>
      <c r="F179" s="20"/>
      <c r="G179" s="21"/>
    </row>
    <row r="180">
      <c r="A180" s="113"/>
      <c r="B180" s="12"/>
      <c r="C180" s="114"/>
      <c r="D180" s="114"/>
      <c r="E180" s="14"/>
      <c r="F180" s="14"/>
      <c r="G180" s="15"/>
    </row>
    <row r="181">
      <c r="A181" s="28"/>
      <c r="B181" s="18"/>
      <c r="C181" s="111"/>
      <c r="D181" s="111"/>
      <c r="E181" s="20"/>
      <c r="F181" s="20"/>
      <c r="G181" s="21"/>
    </row>
    <row r="182">
      <c r="A182" s="113"/>
      <c r="B182" s="12"/>
      <c r="C182" s="114"/>
      <c r="D182" s="114"/>
      <c r="E182" s="14"/>
      <c r="F182" s="14"/>
      <c r="G182" s="15"/>
    </row>
    <row r="183">
      <c r="A183" s="28"/>
      <c r="B183" s="18"/>
      <c r="C183" s="111"/>
      <c r="D183" s="111"/>
      <c r="E183" s="20"/>
      <c r="F183" s="20"/>
      <c r="G183" s="21"/>
    </row>
    <row r="184">
      <c r="A184" s="113"/>
      <c r="B184" s="12"/>
      <c r="C184" s="114"/>
      <c r="D184" s="114"/>
      <c r="E184" s="14"/>
      <c r="F184" s="14"/>
      <c r="G184" s="15"/>
    </row>
  </sheetData>
  <mergeCells count="12">
    <mergeCell ref="A45:B45"/>
    <mergeCell ref="A65:B65"/>
    <mergeCell ref="A95:B95"/>
    <mergeCell ref="I77:J77"/>
    <mergeCell ref="I78:J78"/>
    <mergeCell ref="I4:J4"/>
    <mergeCell ref="A14:B14"/>
    <mergeCell ref="I25:J25"/>
    <mergeCell ref="A35:B35"/>
    <mergeCell ref="A44:B44"/>
    <mergeCell ref="I56:J56"/>
    <mergeCell ref="I57:J57"/>
  </mergeCells>
  <conditionalFormatting sqref="C2:C13 K2:K3 C16 C19:C34 K19:K24 C37:C43 C49:C64 K50:K55 C70:C94 K71:K76">
    <cfRule type="expression" dxfId="1" priority="1">
      <formula>s</formula>
    </cfRule>
  </conditionalFormatting>
  <conditionalFormatting sqref="I13:O17 Q19:W21 I26:O27">
    <cfRule type="notContainsBlanks" dxfId="1" priority="2">
      <formula>LEN(TRIM(I13))&gt;0</formula>
    </cfRule>
  </conditionalFormatting>
  <dataValidations>
    <dataValidation type="list" allowBlank="1" showErrorMessage="1" sqref="J2:J3 B2:B13 B16 J19:J24 B19:B34 B38:B43 J50:J55 B50:B64 J71:J76 B71:B94">
      <formula1>"SS,BOS Ogi,AMR ,NIA"</formula1>
    </dataValidation>
    <dataValidation type="list" allowBlank="1" showErrorMessage="1" sqref="B66:B69 B96:B184">
      <formula1>"SS,BOS Ogi,AMR ,AMR 2,BOS Andris"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43"/>
    <col customWidth="1" min="3" max="3" width="22.29"/>
  </cols>
  <sheetData>
    <row r="1" ht="20.25" customHeight="1">
      <c r="A1" s="105" t="s">
        <v>1</v>
      </c>
      <c r="B1" s="105" t="s">
        <v>2</v>
      </c>
      <c r="C1" s="105" t="s">
        <v>3</v>
      </c>
      <c r="D1" s="106" t="s">
        <v>4</v>
      </c>
      <c r="E1" s="107" t="s">
        <v>5</v>
      </c>
      <c r="F1" s="108" t="s">
        <v>6</v>
      </c>
      <c r="G1" s="105" t="s">
        <v>84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2">
        <v>46181.0</v>
      </c>
      <c r="B2" s="29" t="s">
        <v>27</v>
      </c>
      <c r="C2" s="73" t="s">
        <v>75</v>
      </c>
      <c r="D2" s="73">
        <v>30.0</v>
      </c>
      <c r="E2" s="32">
        <v>25000.0</v>
      </c>
      <c r="F2" s="32">
        <f t="shared" ref="F2:F22" si="1">D2*E2</f>
        <v>750000</v>
      </c>
      <c r="G2" s="33" t="s">
        <v>10</v>
      </c>
      <c r="J2" s="110"/>
      <c r="K2" s="110"/>
      <c r="L2" s="110"/>
      <c r="M2" s="110"/>
      <c r="N2" s="110"/>
      <c r="O2" s="110"/>
      <c r="P2" s="21"/>
      <c r="Q2" s="16"/>
      <c r="R2" s="16"/>
      <c r="S2" s="16"/>
      <c r="T2" s="110"/>
      <c r="U2" s="110"/>
      <c r="V2" s="110"/>
      <c r="W2" s="110"/>
      <c r="X2" s="110"/>
      <c r="Y2" s="110"/>
      <c r="Z2" s="110"/>
    </row>
    <row r="3">
      <c r="A3" s="112">
        <v>46181.0</v>
      </c>
      <c r="B3" s="29" t="s">
        <v>27</v>
      </c>
      <c r="C3" s="73" t="s">
        <v>57</v>
      </c>
      <c r="D3" s="73">
        <v>20.0</v>
      </c>
      <c r="E3" s="32">
        <v>25000.0</v>
      </c>
      <c r="F3" s="32">
        <f t="shared" si="1"/>
        <v>500000</v>
      </c>
      <c r="G3" s="33" t="s">
        <v>10</v>
      </c>
      <c r="J3" s="110"/>
      <c r="K3" s="110"/>
      <c r="L3" s="110"/>
      <c r="M3" s="110"/>
      <c r="N3" s="110"/>
      <c r="O3" s="110"/>
      <c r="P3" s="21"/>
      <c r="Q3" s="134"/>
      <c r="R3" s="134"/>
      <c r="S3" s="134"/>
      <c r="T3" s="110"/>
      <c r="U3" s="110"/>
      <c r="V3" s="110"/>
      <c r="W3" s="110"/>
      <c r="X3" s="110"/>
      <c r="Y3" s="110"/>
      <c r="Z3" s="110"/>
    </row>
    <row r="4">
      <c r="A4" s="112">
        <v>46181.0</v>
      </c>
      <c r="B4" s="29" t="s">
        <v>27</v>
      </c>
      <c r="C4" s="73" t="s">
        <v>35</v>
      </c>
      <c r="D4" s="73">
        <v>1.0</v>
      </c>
      <c r="E4" s="32">
        <v>25000.0</v>
      </c>
      <c r="F4" s="32">
        <f t="shared" si="1"/>
        <v>25000</v>
      </c>
      <c r="G4" s="33" t="s">
        <v>10</v>
      </c>
      <c r="J4" s="110"/>
      <c r="K4" s="110"/>
      <c r="L4" s="110"/>
      <c r="M4" s="110"/>
      <c r="N4" s="110"/>
      <c r="O4" s="110"/>
      <c r="P4" s="21"/>
      <c r="Q4" s="16"/>
      <c r="R4" s="16"/>
      <c r="S4" s="16"/>
      <c r="T4" s="110"/>
      <c r="U4" s="110"/>
      <c r="V4" s="110"/>
      <c r="W4" s="110"/>
      <c r="X4" s="110"/>
      <c r="Y4" s="110"/>
      <c r="Z4" s="110"/>
    </row>
    <row r="5">
      <c r="A5" s="112">
        <v>46182.0</v>
      </c>
      <c r="B5" s="29" t="s">
        <v>27</v>
      </c>
      <c r="C5" s="73" t="s">
        <v>139</v>
      </c>
      <c r="D5" s="73">
        <v>1.0</v>
      </c>
      <c r="E5" s="32">
        <v>25000.0</v>
      </c>
      <c r="F5" s="32">
        <f t="shared" si="1"/>
        <v>25000</v>
      </c>
      <c r="G5" s="33" t="s">
        <v>10</v>
      </c>
      <c r="J5" s="110"/>
      <c r="K5" s="110"/>
      <c r="L5" s="110"/>
      <c r="M5" s="110"/>
      <c r="N5" s="110"/>
      <c r="O5" s="110"/>
      <c r="P5" s="21"/>
      <c r="Q5" s="134"/>
      <c r="R5" s="134"/>
      <c r="S5" s="134"/>
      <c r="T5" s="110"/>
      <c r="U5" s="110"/>
      <c r="V5" s="110"/>
      <c r="W5" s="110"/>
      <c r="X5" s="110"/>
      <c r="Y5" s="110"/>
      <c r="Z5" s="110"/>
    </row>
    <row r="6">
      <c r="A6" s="112">
        <v>46182.0</v>
      </c>
      <c r="B6" s="29" t="s">
        <v>27</v>
      </c>
      <c r="C6" s="73" t="s">
        <v>75</v>
      </c>
      <c r="D6" s="73">
        <v>21.0</v>
      </c>
      <c r="E6" s="32">
        <v>25000.0</v>
      </c>
      <c r="F6" s="32">
        <f t="shared" si="1"/>
        <v>525000</v>
      </c>
      <c r="G6" s="33" t="s">
        <v>10</v>
      </c>
      <c r="J6" s="110"/>
      <c r="K6" s="110"/>
      <c r="L6" s="110"/>
      <c r="M6" s="110"/>
      <c r="N6" s="110"/>
      <c r="O6" s="110"/>
      <c r="P6" s="21"/>
      <c r="Q6" s="16"/>
      <c r="R6" s="16"/>
      <c r="S6" s="16"/>
      <c r="T6" s="110"/>
      <c r="U6" s="110"/>
      <c r="V6" s="110"/>
      <c r="W6" s="110"/>
      <c r="X6" s="110"/>
      <c r="Y6" s="110"/>
      <c r="Z6" s="110"/>
    </row>
    <row r="7">
      <c r="A7" s="112">
        <v>46182.0</v>
      </c>
      <c r="B7" s="29" t="s">
        <v>27</v>
      </c>
      <c r="C7" s="73" t="s">
        <v>225</v>
      </c>
      <c r="D7" s="73">
        <v>1.0</v>
      </c>
      <c r="E7" s="32">
        <v>25000.0</v>
      </c>
      <c r="F7" s="32">
        <f t="shared" si="1"/>
        <v>25000</v>
      </c>
      <c r="G7" s="33" t="s">
        <v>10</v>
      </c>
      <c r="J7" s="110"/>
      <c r="K7" s="110"/>
      <c r="L7" s="110"/>
      <c r="M7" s="110"/>
      <c r="N7" s="110"/>
      <c r="O7" s="110"/>
      <c r="P7" s="21"/>
      <c r="Q7" s="134"/>
      <c r="R7" s="134"/>
      <c r="S7" s="134"/>
      <c r="T7" s="110"/>
      <c r="U7" s="110"/>
      <c r="V7" s="110"/>
      <c r="W7" s="110"/>
      <c r="X7" s="110"/>
      <c r="Y7" s="110"/>
      <c r="Z7" s="110"/>
    </row>
    <row r="8">
      <c r="A8" s="112">
        <v>46183.0</v>
      </c>
      <c r="B8" s="29" t="s">
        <v>27</v>
      </c>
      <c r="C8" s="73" t="s">
        <v>57</v>
      </c>
      <c r="D8" s="73">
        <v>5.0</v>
      </c>
      <c r="E8" s="32">
        <v>25000.0</v>
      </c>
      <c r="F8" s="32">
        <f t="shared" si="1"/>
        <v>125000</v>
      </c>
      <c r="G8" s="33" t="s">
        <v>10</v>
      </c>
      <c r="J8" s="110"/>
      <c r="K8" s="110"/>
      <c r="L8" s="110"/>
      <c r="M8" s="110"/>
      <c r="N8" s="110"/>
      <c r="O8" s="110"/>
      <c r="P8" s="21"/>
      <c r="Q8" s="16"/>
      <c r="R8" s="16"/>
      <c r="S8" s="16"/>
      <c r="T8" s="110"/>
      <c r="U8" s="110"/>
      <c r="V8" s="110"/>
      <c r="W8" s="110"/>
      <c r="X8" s="110"/>
      <c r="Y8" s="110"/>
      <c r="Z8" s="110"/>
    </row>
    <row r="9">
      <c r="A9" s="112">
        <v>46183.0</v>
      </c>
      <c r="B9" s="29" t="s">
        <v>27</v>
      </c>
      <c r="C9" s="73" t="s">
        <v>75</v>
      </c>
      <c r="D9" s="73">
        <v>20.0</v>
      </c>
      <c r="E9" s="32">
        <v>25000.0</v>
      </c>
      <c r="F9" s="32">
        <f t="shared" si="1"/>
        <v>500000</v>
      </c>
      <c r="G9" s="33" t="s">
        <v>10</v>
      </c>
      <c r="H9" s="28"/>
      <c r="I9" s="28"/>
      <c r="J9" s="28"/>
      <c r="K9" s="110"/>
      <c r="L9" s="111"/>
      <c r="M9" s="111"/>
      <c r="N9" s="20"/>
      <c r="O9" s="20"/>
      <c r="P9" s="21"/>
      <c r="Q9" s="134"/>
      <c r="R9" s="134"/>
      <c r="S9" s="134"/>
      <c r="T9" s="110"/>
      <c r="U9" s="110"/>
      <c r="V9" s="110"/>
      <c r="W9" s="110"/>
      <c r="X9" s="110"/>
      <c r="Y9" s="110"/>
      <c r="Z9" s="110"/>
    </row>
    <row r="10">
      <c r="A10" s="112">
        <v>46183.0</v>
      </c>
      <c r="B10" s="29" t="s">
        <v>27</v>
      </c>
      <c r="C10" s="73" t="s">
        <v>67</v>
      </c>
      <c r="D10" s="73">
        <v>1.0</v>
      </c>
      <c r="E10" s="32">
        <v>25000.0</v>
      </c>
      <c r="F10" s="32">
        <f t="shared" si="1"/>
        <v>25000</v>
      </c>
      <c r="G10" s="33" t="s">
        <v>10</v>
      </c>
      <c r="I10" s="110"/>
      <c r="J10" s="28"/>
      <c r="K10" s="110"/>
      <c r="L10" s="111"/>
      <c r="M10" s="111"/>
      <c r="N10" s="20"/>
      <c r="O10" s="20"/>
      <c r="P10" s="21"/>
      <c r="Q10" s="16"/>
      <c r="R10" s="16"/>
      <c r="S10" s="16"/>
      <c r="T10" s="110"/>
      <c r="U10" s="110"/>
      <c r="V10" s="110"/>
      <c r="W10" s="110"/>
      <c r="X10" s="110"/>
      <c r="Y10" s="110"/>
      <c r="Z10" s="110"/>
    </row>
    <row r="11">
      <c r="A11" s="112">
        <v>46183.0</v>
      </c>
      <c r="B11" s="29" t="s">
        <v>27</v>
      </c>
      <c r="C11" s="73" t="s">
        <v>233</v>
      </c>
      <c r="D11" s="73">
        <v>1.0</v>
      </c>
      <c r="E11" s="32">
        <v>25000.0</v>
      </c>
      <c r="F11" s="32">
        <f t="shared" si="1"/>
        <v>25000</v>
      </c>
      <c r="G11" s="33" t="s">
        <v>10</v>
      </c>
      <c r="I11" s="110"/>
      <c r="J11" s="28"/>
      <c r="K11" s="110"/>
      <c r="L11" s="111"/>
      <c r="M11" s="111"/>
      <c r="N11" s="20"/>
      <c r="O11" s="20"/>
      <c r="P11" s="21"/>
      <c r="Q11" s="134"/>
      <c r="R11" s="134"/>
      <c r="S11" s="134"/>
      <c r="T11" s="110"/>
      <c r="U11" s="110"/>
      <c r="V11" s="110"/>
      <c r="W11" s="110"/>
      <c r="X11" s="110"/>
      <c r="Y11" s="110"/>
      <c r="Z11" s="110"/>
    </row>
    <row r="12">
      <c r="A12" s="112">
        <v>46184.0</v>
      </c>
      <c r="B12" s="29" t="s">
        <v>27</v>
      </c>
      <c r="C12" s="73" t="s">
        <v>75</v>
      </c>
      <c r="D12" s="73">
        <v>20.0</v>
      </c>
      <c r="E12" s="32">
        <v>25000.0</v>
      </c>
      <c r="F12" s="32">
        <f t="shared" si="1"/>
        <v>500000</v>
      </c>
      <c r="G12" s="33" t="s">
        <v>10</v>
      </c>
      <c r="H12" s="133"/>
      <c r="I12" s="133"/>
      <c r="J12" s="28"/>
      <c r="K12" s="110"/>
      <c r="L12" s="111"/>
      <c r="M12" s="111"/>
      <c r="N12" s="20"/>
      <c r="O12" s="20"/>
      <c r="P12" s="21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12">
        <v>46184.0</v>
      </c>
      <c r="B13" s="29" t="s">
        <v>27</v>
      </c>
      <c r="C13" s="73" t="s">
        <v>234</v>
      </c>
      <c r="D13" s="73">
        <v>1.0</v>
      </c>
      <c r="E13" s="32">
        <v>25000.0</v>
      </c>
      <c r="F13" s="32">
        <f t="shared" si="1"/>
        <v>25000</v>
      </c>
      <c r="G13" s="33" t="s">
        <v>10</v>
      </c>
      <c r="I13" s="110"/>
      <c r="J13" s="28"/>
      <c r="K13" s="110"/>
      <c r="L13" s="111"/>
      <c r="M13" s="111"/>
      <c r="N13" s="20"/>
      <c r="O13" s="20"/>
      <c r="P13" s="21"/>
      <c r="Q13" s="134"/>
      <c r="R13" s="134"/>
      <c r="S13" s="134"/>
      <c r="T13" s="110"/>
      <c r="U13" s="110"/>
      <c r="V13" s="110"/>
      <c r="W13" s="110"/>
      <c r="X13" s="110"/>
      <c r="Y13" s="110"/>
      <c r="Z13" s="110"/>
    </row>
    <row r="14">
      <c r="A14" s="112">
        <v>46184.0</v>
      </c>
      <c r="B14" s="29" t="s">
        <v>27</v>
      </c>
      <c r="C14" s="73" t="s">
        <v>235</v>
      </c>
      <c r="D14" s="73">
        <v>1.0</v>
      </c>
      <c r="E14" s="32">
        <v>25000.0</v>
      </c>
      <c r="F14" s="32">
        <f t="shared" si="1"/>
        <v>25000</v>
      </c>
      <c r="G14" s="33" t="s">
        <v>10</v>
      </c>
      <c r="I14" s="110"/>
      <c r="L14" s="111"/>
      <c r="M14" s="111"/>
      <c r="N14" s="20"/>
      <c r="O14" s="20"/>
      <c r="P14" s="21"/>
      <c r="Q14" s="16"/>
      <c r="R14" s="16"/>
      <c r="S14" s="16"/>
      <c r="T14" s="110"/>
      <c r="U14" s="110"/>
      <c r="V14" s="110"/>
      <c r="W14" s="110"/>
      <c r="X14" s="110"/>
      <c r="Y14" s="110"/>
      <c r="Z14" s="110"/>
    </row>
    <row r="15">
      <c r="A15" s="112">
        <v>46184.0</v>
      </c>
      <c r="B15" s="29" t="s">
        <v>27</v>
      </c>
      <c r="C15" s="73" t="s">
        <v>236</v>
      </c>
      <c r="D15" s="73">
        <v>1.0</v>
      </c>
      <c r="E15" s="32">
        <v>25000.0</v>
      </c>
      <c r="F15" s="32">
        <f t="shared" si="1"/>
        <v>25000</v>
      </c>
      <c r="G15" s="33" t="s">
        <v>10</v>
      </c>
      <c r="I15" s="110"/>
      <c r="J15" s="28"/>
      <c r="K15" s="110"/>
      <c r="L15" s="111"/>
      <c r="M15" s="111"/>
      <c r="N15" s="20"/>
      <c r="O15" s="20"/>
      <c r="P15" s="21"/>
      <c r="Q15" s="134"/>
      <c r="R15" s="134"/>
      <c r="S15" s="134"/>
      <c r="T15" s="110"/>
      <c r="U15" s="110"/>
      <c r="V15" s="110"/>
      <c r="W15" s="110"/>
      <c r="X15" s="110"/>
      <c r="Y15" s="110"/>
      <c r="Z15" s="110"/>
    </row>
    <row r="16">
      <c r="A16" s="112">
        <v>46185.0</v>
      </c>
      <c r="B16" s="29" t="s">
        <v>27</v>
      </c>
      <c r="C16" s="73" t="s">
        <v>75</v>
      </c>
      <c r="D16" s="73">
        <v>10.0</v>
      </c>
      <c r="E16" s="32">
        <v>25000.0</v>
      </c>
      <c r="F16" s="32">
        <f t="shared" si="1"/>
        <v>250000</v>
      </c>
      <c r="G16" s="33" t="s">
        <v>10</v>
      </c>
      <c r="I16" s="110"/>
      <c r="J16" s="28"/>
      <c r="K16" s="110"/>
      <c r="L16" s="111"/>
      <c r="M16" s="111"/>
      <c r="N16" s="20"/>
      <c r="O16" s="20"/>
      <c r="P16" s="21"/>
      <c r="Q16" s="16"/>
      <c r="R16" s="16"/>
      <c r="S16" s="16"/>
      <c r="T16" s="110"/>
      <c r="U16" s="110"/>
      <c r="V16" s="110"/>
      <c r="W16" s="110"/>
      <c r="X16" s="110"/>
      <c r="Y16" s="110"/>
      <c r="Z16" s="110"/>
    </row>
    <row r="17">
      <c r="A17" s="112">
        <v>46186.0</v>
      </c>
      <c r="B17" s="29" t="s">
        <v>27</v>
      </c>
      <c r="C17" s="73" t="s">
        <v>75</v>
      </c>
      <c r="D17" s="73">
        <v>11.0</v>
      </c>
      <c r="E17" s="32">
        <v>25000.0</v>
      </c>
      <c r="F17" s="32">
        <f t="shared" si="1"/>
        <v>275000</v>
      </c>
      <c r="G17" s="33" t="s">
        <v>10</v>
      </c>
      <c r="I17" s="110"/>
      <c r="J17" s="28"/>
      <c r="K17" s="110"/>
      <c r="L17" s="111"/>
      <c r="M17" s="111"/>
      <c r="N17" s="20"/>
      <c r="O17" s="20"/>
      <c r="P17" s="21"/>
      <c r="Q17" s="134"/>
      <c r="R17" s="134"/>
      <c r="S17" s="134"/>
      <c r="T17" s="110"/>
      <c r="U17" s="110"/>
      <c r="V17" s="110"/>
      <c r="W17" s="110"/>
      <c r="X17" s="110"/>
      <c r="Y17" s="110"/>
      <c r="Z17" s="110"/>
    </row>
    <row r="18">
      <c r="A18" s="112">
        <v>46186.0</v>
      </c>
      <c r="B18" s="29" t="s">
        <v>27</v>
      </c>
      <c r="C18" s="73" t="s">
        <v>237</v>
      </c>
      <c r="D18" s="73">
        <v>1.0</v>
      </c>
      <c r="E18" s="32">
        <v>25000.0</v>
      </c>
      <c r="F18" s="32">
        <f t="shared" si="1"/>
        <v>25000</v>
      </c>
      <c r="G18" s="33" t="s">
        <v>10</v>
      </c>
      <c r="I18" s="110"/>
      <c r="J18" s="28"/>
      <c r="K18" s="110"/>
      <c r="L18" s="111"/>
      <c r="M18" s="111"/>
      <c r="N18" s="20"/>
      <c r="O18" s="20"/>
      <c r="P18" s="21"/>
      <c r="Q18" s="16"/>
      <c r="R18" s="16"/>
      <c r="S18" s="16"/>
      <c r="T18" s="110"/>
      <c r="U18" s="110"/>
      <c r="V18" s="110"/>
      <c r="W18" s="110"/>
      <c r="X18" s="110"/>
      <c r="Y18" s="110"/>
      <c r="Z18" s="110"/>
    </row>
    <row r="19">
      <c r="A19" s="112">
        <v>46186.0</v>
      </c>
      <c r="B19" s="29" t="s">
        <v>27</v>
      </c>
      <c r="C19" s="73" t="s">
        <v>195</v>
      </c>
      <c r="D19" s="73">
        <v>1.0</v>
      </c>
      <c r="E19" s="32">
        <v>25000.0</v>
      </c>
      <c r="F19" s="32">
        <f t="shared" si="1"/>
        <v>25000</v>
      </c>
      <c r="G19" s="33" t="s">
        <v>10</v>
      </c>
      <c r="I19" s="110"/>
      <c r="J19" s="28"/>
      <c r="K19" s="110"/>
      <c r="L19" s="111"/>
      <c r="M19" s="111"/>
      <c r="N19" s="20"/>
      <c r="O19" s="20"/>
      <c r="P19" s="21"/>
      <c r="Q19" s="134"/>
      <c r="R19" s="134"/>
      <c r="S19" s="134"/>
      <c r="T19" s="110"/>
      <c r="U19" s="110"/>
      <c r="V19" s="110"/>
      <c r="W19" s="110"/>
      <c r="X19" s="110"/>
      <c r="Y19" s="110"/>
      <c r="Z19" s="110"/>
    </row>
    <row r="20" ht="15.75" customHeight="1">
      <c r="A20" s="112">
        <v>46186.0</v>
      </c>
      <c r="B20" s="29" t="s">
        <v>27</v>
      </c>
      <c r="C20" s="73" t="s">
        <v>67</v>
      </c>
      <c r="D20" s="73">
        <v>1.0</v>
      </c>
      <c r="E20" s="32">
        <v>25000.0</v>
      </c>
      <c r="F20" s="32">
        <f t="shared" si="1"/>
        <v>25000</v>
      </c>
      <c r="G20" s="33" t="s">
        <v>10</v>
      </c>
      <c r="I20" s="110"/>
      <c r="J20" s="28"/>
      <c r="K20" s="110"/>
      <c r="L20" s="111"/>
      <c r="M20" s="111"/>
      <c r="N20" s="20"/>
      <c r="O20" s="20"/>
      <c r="P20" s="21"/>
      <c r="Q20" s="16"/>
      <c r="R20" s="16"/>
      <c r="S20" s="16"/>
      <c r="T20" s="110"/>
      <c r="U20" s="110"/>
      <c r="V20" s="110"/>
      <c r="W20" s="110"/>
      <c r="X20" s="110"/>
      <c r="Y20" s="110"/>
      <c r="Z20" s="110"/>
    </row>
    <row r="21">
      <c r="A21" s="171" t="s">
        <v>238</v>
      </c>
      <c r="B21" s="172" t="s">
        <v>27</v>
      </c>
      <c r="C21" s="173" t="s">
        <v>225</v>
      </c>
      <c r="D21" s="173" t="s">
        <v>239</v>
      </c>
      <c r="E21" s="174" t="s">
        <v>240</v>
      </c>
      <c r="F21" s="174">
        <f t="shared" si="1"/>
        <v>25000</v>
      </c>
      <c r="G21" s="175" t="s">
        <v>10</v>
      </c>
      <c r="I21" s="110"/>
      <c r="J21" s="28"/>
      <c r="K21" s="110"/>
      <c r="L21" s="111"/>
      <c r="M21" s="111"/>
      <c r="N21" s="20"/>
      <c r="O21" s="20"/>
      <c r="P21" s="21"/>
      <c r="Q21" s="134"/>
      <c r="R21" s="134"/>
      <c r="S21" s="134"/>
      <c r="T21" s="110"/>
      <c r="U21" s="110"/>
      <c r="V21" s="110"/>
      <c r="W21" s="110"/>
      <c r="X21" s="110"/>
      <c r="Y21" s="110"/>
      <c r="Z21" s="110"/>
    </row>
    <row r="22">
      <c r="A22" s="28">
        <v>46186.0</v>
      </c>
      <c r="B22" s="18" t="s">
        <v>27</v>
      </c>
      <c r="C22" s="111" t="s">
        <v>62</v>
      </c>
      <c r="D22" s="111">
        <v>5.0</v>
      </c>
      <c r="E22" s="20">
        <v>25000.0</v>
      </c>
      <c r="F22" s="20">
        <f t="shared" si="1"/>
        <v>125000</v>
      </c>
      <c r="G22" s="21" t="s">
        <v>10</v>
      </c>
      <c r="I22" s="110"/>
      <c r="J22" s="28"/>
      <c r="K22" s="110"/>
      <c r="L22" s="111"/>
      <c r="M22" s="111"/>
      <c r="N22" s="20"/>
      <c r="O22" s="20"/>
      <c r="P22" s="21"/>
      <c r="Q22" s="16"/>
      <c r="R22" s="16"/>
      <c r="S22" s="16"/>
      <c r="T22" s="110"/>
      <c r="U22" s="110"/>
      <c r="V22" s="110"/>
      <c r="W22" s="110"/>
      <c r="X22" s="110"/>
      <c r="Y22" s="110"/>
      <c r="Z22" s="110"/>
    </row>
    <row r="23">
      <c r="A23" s="115" t="s">
        <v>142</v>
      </c>
      <c r="C23" s="116"/>
      <c r="D23" s="117">
        <f>SUM(D2:D22)</f>
        <v>154</v>
      </c>
      <c r="E23" s="116"/>
      <c r="F23" s="118">
        <f>SUM(F2:F22)</f>
        <v>3850000</v>
      </c>
      <c r="G23" s="119"/>
      <c r="J23" s="110"/>
      <c r="K23" s="110"/>
      <c r="L23" s="110"/>
      <c r="M23" s="110"/>
      <c r="N23" s="110"/>
      <c r="O23" s="110"/>
      <c r="P23" s="21"/>
      <c r="Q23" s="134"/>
      <c r="R23" s="134"/>
      <c r="S23" s="134"/>
      <c r="T23" s="110"/>
      <c r="U23" s="110"/>
      <c r="V23" s="110"/>
      <c r="W23" s="110"/>
      <c r="X23" s="110"/>
      <c r="Y23" s="110"/>
      <c r="Z23" s="110"/>
    </row>
    <row r="24">
      <c r="A24" s="28"/>
      <c r="B24" s="18"/>
      <c r="C24" s="111"/>
      <c r="D24" s="111"/>
      <c r="E24" s="20"/>
      <c r="F24" s="20"/>
      <c r="G24" s="21"/>
      <c r="I24" s="110"/>
      <c r="J24" s="28"/>
      <c r="K24" s="110"/>
      <c r="L24" s="111"/>
      <c r="M24" s="111"/>
      <c r="N24" s="20"/>
      <c r="O24" s="20"/>
      <c r="P24" s="21"/>
      <c r="Q24" s="16"/>
      <c r="R24" s="16"/>
      <c r="S24" s="16"/>
      <c r="T24" s="110"/>
      <c r="U24" s="110"/>
      <c r="V24" s="110"/>
      <c r="W24" s="110"/>
      <c r="X24" s="110"/>
      <c r="Y24" s="110"/>
      <c r="Z24" s="110"/>
    </row>
    <row r="25">
      <c r="A25" s="176">
        <v>46181.0</v>
      </c>
      <c r="B25" s="177" t="s">
        <v>27</v>
      </c>
      <c r="C25" s="12" t="s">
        <v>241</v>
      </c>
      <c r="D25" s="178">
        <v>2.72</v>
      </c>
      <c r="E25" s="174">
        <v>25000.0</v>
      </c>
      <c r="F25" s="174">
        <f t="shared" ref="F25:F30" si="2">D25*E25</f>
        <v>68000</v>
      </c>
      <c r="G25" s="179" t="s">
        <v>10</v>
      </c>
      <c r="I25" s="110"/>
      <c r="J25" s="28"/>
      <c r="K25" s="110"/>
      <c r="L25" s="111"/>
      <c r="M25" s="111"/>
      <c r="N25" s="20"/>
      <c r="O25" s="20"/>
      <c r="P25" s="21"/>
      <c r="Q25" s="134"/>
      <c r="R25" s="134"/>
      <c r="S25" s="134"/>
      <c r="T25" s="110"/>
      <c r="U25" s="110"/>
      <c r="V25" s="110"/>
      <c r="W25" s="110"/>
      <c r="X25" s="110"/>
      <c r="Y25" s="110"/>
      <c r="Z25" s="110"/>
    </row>
    <row r="26">
      <c r="A26" s="176">
        <v>46182.0</v>
      </c>
      <c r="B26" s="176" t="s">
        <v>27</v>
      </c>
      <c r="C26" s="18" t="s">
        <v>241</v>
      </c>
      <c r="D26" s="178">
        <v>1.68</v>
      </c>
      <c r="E26" s="174">
        <v>25000.0</v>
      </c>
      <c r="F26" s="174">
        <f t="shared" si="2"/>
        <v>42000</v>
      </c>
      <c r="G26" s="179" t="s">
        <v>10</v>
      </c>
      <c r="I26" s="110"/>
      <c r="J26" s="28"/>
      <c r="K26" s="110"/>
      <c r="L26" s="111"/>
      <c r="M26" s="111"/>
      <c r="N26" s="20"/>
      <c r="O26" s="20"/>
      <c r="P26" s="21"/>
      <c r="Q26" s="16"/>
      <c r="R26" s="16"/>
      <c r="S26" s="16"/>
      <c r="T26" s="110"/>
      <c r="U26" s="110"/>
      <c r="V26" s="110"/>
      <c r="W26" s="110"/>
      <c r="X26" s="110"/>
      <c r="Y26" s="110"/>
      <c r="Z26" s="110"/>
    </row>
    <row r="27">
      <c r="A27" s="140">
        <v>46183.0</v>
      </c>
      <c r="B27" s="140" t="s">
        <v>27</v>
      </c>
      <c r="C27" s="12" t="s">
        <v>241</v>
      </c>
      <c r="D27" s="141">
        <v>1.56</v>
      </c>
      <c r="E27" s="20">
        <v>25000.0</v>
      </c>
      <c r="F27" s="20">
        <f t="shared" si="2"/>
        <v>39000</v>
      </c>
      <c r="G27" s="180" t="s">
        <v>10</v>
      </c>
      <c r="I27" s="110"/>
      <c r="J27" s="28"/>
      <c r="K27" s="110"/>
      <c r="L27" s="111"/>
      <c r="M27" s="111"/>
      <c r="N27" s="20"/>
      <c r="O27" s="20"/>
      <c r="P27" s="21"/>
      <c r="Q27" s="134"/>
      <c r="R27" s="134"/>
      <c r="S27" s="134"/>
      <c r="T27" s="110"/>
      <c r="U27" s="110"/>
      <c r="V27" s="110"/>
      <c r="W27" s="110"/>
      <c r="X27" s="110"/>
      <c r="Y27" s="110"/>
      <c r="Z27" s="110"/>
    </row>
    <row r="28">
      <c r="A28" s="176">
        <v>46184.0</v>
      </c>
      <c r="B28" s="176" t="s">
        <v>27</v>
      </c>
      <c r="C28" s="18" t="s">
        <v>241</v>
      </c>
      <c r="D28" s="178">
        <v>0.86</v>
      </c>
      <c r="E28" s="174">
        <v>25000.0</v>
      </c>
      <c r="F28" s="174">
        <f t="shared" si="2"/>
        <v>21500</v>
      </c>
      <c r="G28" s="179" t="s">
        <v>10</v>
      </c>
      <c r="I28" s="110"/>
      <c r="J28" s="28"/>
      <c r="K28" s="110"/>
      <c r="L28" s="111"/>
      <c r="M28" s="111"/>
      <c r="N28" s="20"/>
      <c r="O28" s="20"/>
      <c r="P28" s="21"/>
      <c r="Q28" s="16"/>
      <c r="R28" s="16"/>
      <c r="S28" s="16"/>
      <c r="T28" s="110"/>
      <c r="U28" s="110"/>
      <c r="V28" s="110"/>
      <c r="W28" s="110"/>
      <c r="X28" s="110"/>
      <c r="Y28" s="110"/>
      <c r="Z28" s="110"/>
    </row>
    <row r="29">
      <c r="A29" s="140">
        <v>46185.0</v>
      </c>
      <c r="B29" s="153" t="s">
        <v>27</v>
      </c>
      <c r="C29" s="12" t="s">
        <v>241</v>
      </c>
      <c r="D29" s="141">
        <v>0.89</v>
      </c>
      <c r="E29" s="20">
        <v>25000.0</v>
      </c>
      <c r="F29" s="20">
        <f t="shared" si="2"/>
        <v>22250</v>
      </c>
      <c r="G29" s="180" t="s">
        <v>10</v>
      </c>
      <c r="J29" s="110"/>
      <c r="K29" s="110"/>
      <c r="L29" s="110"/>
      <c r="M29" s="110"/>
      <c r="N29" s="110"/>
      <c r="O29" s="110"/>
      <c r="P29" s="21"/>
      <c r="Q29" s="134"/>
      <c r="R29" s="134"/>
      <c r="S29" s="134"/>
      <c r="T29" s="110"/>
      <c r="U29" s="110"/>
      <c r="V29" s="110"/>
      <c r="W29" s="110"/>
      <c r="X29" s="110"/>
      <c r="Y29" s="110"/>
      <c r="Z29" s="110"/>
    </row>
    <row r="30">
      <c r="A30" s="142">
        <v>46186.0</v>
      </c>
      <c r="B30" s="181" t="s">
        <v>27</v>
      </c>
      <c r="C30" s="18" t="s">
        <v>241</v>
      </c>
      <c r="D30" s="143">
        <v>1.13</v>
      </c>
      <c r="E30" s="14">
        <v>25000.0</v>
      </c>
      <c r="F30" s="14">
        <f t="shared" si="2"/>
        <v>28250</v>
      </c>
      <c r="G30" s="182" t="s">
        <v>10</v>
      </c>
      <c r="I30" s="110"/>
      <c r="J30" s="28"/>
      <c r="K30" s="110"/>
      <c r="L30" s="111"/>
      <c r="M30" s="110"/>
      <c r="N30" s="110"/>
      <c r="O30" s="110"/>
      <c r="T30" s="110"/>
      <c r="U30" s="110"/>
      <c r="V30" s="110"/>
      <c r="W30" s="110"/>
      <c r="X30" s="110"/>
      <c r="Y30" s="110"/>
      <c r="Z30" s="110"/>
    </row>
    <row r="31">
      <c r="A31" s="115" t="s">
        <v>142</v>
      </c>
      <c r="C31" s="116"/>
      <c r="D31" s="117">
        <f>SUM(D25:D30)</f>
        <v>8.84</v>
      </c>
      <c r="E31" s="116"/>
      <c r="F31" s="118">
        <f>SUM(F25:F30)</f>
        <v>221000</v>
      </c>
      <c r="G31" s="119"/>
      <c r="I31" s="110"/>
      <c r="J31" s="28"/>
      <c r="K31" s="110"/>
      <c r="L31" s="111"/>
      <c r="M31" s="110"/>
      <c r="N31" s="110"/>
      <c r="O31" s="110"/>
      <c r="T31" s="110"/>
      <c r="U31" s="110"/>
      <c r="V31" s="110"/>
      <c r="W31" s="110"/>
      <c r="X31" s="110"/>
      <c r="Y31" s="110"/>
      <c r="Z31" s="110"/>
    </row>
    <row r="32">
      <c r="A32" s="115"/>
      <c r="C32" s="116"/>
      <c r="D32" s="117">
        <f>SUM(D23,D31)</f>
        <v>162.84</v>
      </c>
      <c r="E32" s="116"/>
      <c r="F32" s="123">
        <f>SUM(F23,F31)</f>
        <v>4071000</v>
      </c>
      <c r="G32" s="115"/>
      <c r="H32" s="133"/>
      <c r="I32" s="133"/>
      <c r="J32" s="28"/>
      <c r="K32" s="110"/>
      <c r="L32" s="111"/>
      <c r="M32" s="110"/>
      <c r="N32" s="110"/>
      <c r="O32" s="110"/>
      <c r="T32" s="133"/>
      <c r="U32" s="133"/>
      <c r="V32" s="133"/>
      <c r="W32" s="133"/>
      <c r="X32" s="133"/>
      <c r="Y32" s="133"/>
      <c r="Z32" s="133"/>
    </row>
    <row r="33">
      <c r="A33" s="183"/>
      <c r="B33" s="15"/>
      <c r="C33" s="15"/>
      <c r="D33" s="184"/>
      <c r="E33" s="185"/>
      <c r="F33" s="186"/>
      <c r="G33" s="134"/>
      <c r="I33" s="110"/>
      <c r="J33" s="28"/>
      <c r="K33" s="110"/>
      <c r="L33" s="111"/>
      <c r="M33" s="110"/>
      <c r="N33" s="110"/>
      <c r="O33" s="110"/>
      <c r="T33" s="110"/>
      <c r="U33" s="110"/>
      <c r="V33" s="110"/>
      <c r="W33" s="110"/>
      <c r="X33" s="110"/>
      <c r="Y33" s="110"/>
      <c r="Z33" s="110"/>
    </row>
    <row r="34" ht="15.0" customHeight="1">
      <c r="A34" s="110"/>
      <c r="B34" s="28"/>
      <c r="C34" s="110"/>
      <c r="D34" s="111"/>
      <c r="E34" s="111"/>
      <c r="F34" s="110"/>
      <c r="G34" s="110"/>
      <c r="I34" s="110"/>
      <c r="J34" s="28"/>
      <c r="K34" s="110"/>
      <c r="L34" s="111"/>
      <c r="M34" s="110"/>
      <c r="N34" s="110"/>
      <c r="O34" s="110"/>
      <c r="T34" s="110"/>
      <c r="U34" s="110"/>
      <c r="V34" s="110"/>
      <c r="W34" s="110"/>
      <c r="X34" s="110"/>
      <c r="Y34" s="110"/>
      <c r="Z34" s="110"/>
    </row>
    <row r="35">
      <c r="A35" s="110"/>
      <c r="B35" s="110"/>
      <c r="C35" s="28"/>
      <c r="D35" s="110"/>
      <c r="E35" s="111"/>
      <c r="F35" s="111"/>
      <c r="G35" s="20"/>
      <c r="I35" s="110"/>
      <c r="J35" s="28"/>
      <c r="K35" s="110"/>
      <c r="L35" s="111"/>
      <c r="M35" s="110"/>
      <c r="N35" s="110"/>
      <c r="O35" s="110"/>
      <c r="T35" s="110"/>
      <c r="U35" s="110"/>
      <c r="V35" s="110"/>
      <c r="W35" s="110"/>
      <c r="X35" s="110"/>
      <c r="Y35" s="110"/>
      <c r="Z35" s="110"/>
    </row>
    <row r="36">
      <c r="B36" s="110"/>
      <c r="C36" s="28"/>
      <c r="D36" s="110"/>
      <c r="E36" s="111"/>
      <c r="F36" s="111"/>
      <c r="G36" s="20"/>
      <c r="I36" s="110"/>
      <c r="J36" s="110"/>
      <c r="K36" s="110"/>
      <c r="L36" s="111"/>
      <c r="M36" s="111"/>
      <c r="N36" s="20"/>
      <c r="O36" s="20"/>
      <c r="P36" s="21"/>
      <c r="Q36" s="16"/>
      <c r="R36" s="16"/>
      <c r="S36" s="16"/>
      <c r="T36" s="110"/>
      <c r="U36" s="110"/>
      <c r="V36" s="110"/>
      <c r="W36" s="110"/>
      <c r="X36" s="110"/>
      <c r="Y36" s="110"/>
      <c r="Z36" s="110"/>
    </row>
    <row r="37">
      <c r="A37" s="110"/>
      <c r="B37" s="110"/>
      <c r="C37" s="28"/>
      <c r="D37" s="110"/>
      <c r="E37" s="111"/>
      <c r="F37" s="111"/>
      <c r="G37" s="20"/>
      <c r="J37" s="28"/>
      <c r="K37" s="110"/>
      <c r="L37" s="111"/>
      <c r="M37" s="111"/>
      <c r="N37" s="20"/>
      <c r="O37" s="20"/>
      <c r="P37" s="21"/>
      <c r="Q37" s="134"/>
      <c r="R37" s="134"/>
      <c r="S37" s="134"/>
      <c r="T37" s="110"/>
      <c r="U37" s="110"/>
      <c r="V37" s="110"/>
      <c r="W37" s="110"/>
      <c r="X37" s="110"/>
      <c r="Y37" s="110"/>
      <c r="Z37" s="110"/>
    </row>
    <row r="38" ht="28.5" customHeight="1">
      <c r="A38" s="105" t="s">
        <v>1</v>
      </c>
      <c r="B38" s="105" t="s">
        <v>2</v>
      </c>
      <c r="C38" s="105" t="s">
        <v>3</v>
      </c>
      <c r="D38" s="106" t="s">
        <v>4</v>
      </c>
      <c r="E38" s="107" t="s">
        <v>5</v>
      </c>
      <c r="F38" s="108" t="s">
        <v>6</v>
      </c>
      <c r="G38" s="105" t="s">
        <v>84</v>
      </c>
      <c r="I38" s="105" t="s">
        <v>1</v>
      </c>
      <c r="J38" s="105" t="s">
        <v>2</v>
      </c>
      <c r="K38" s="105" t="s">
        <v>3</v>
      </c>
      <c r="L38" s="106" t="s">
        <v>4</v>
      </c>
      <c r="M38" s="107" t="s">
        <v>5</v>
      </c>
      <c r="N38" s="108" t="s">
        <v>6</v>
      </c>
      <c r="O38" s="105" t="s">
        <v>84</v>
      </c>
      <c r="P38" s="21"/>
      <c r="Q38" s="16"/>
      <c r="R38" s="16"/>
      <c r="S38" s="16"/>
      <c r="T38" s="110"/>
      <c r="U38" s="110"/>
      <c r="V38" s="110"/>
      <c r="W38" s="110"/>
      <c r="X38" s="110"/>
      <c r="Y38" s="110"/>
      <c r="Z38" s="110"/>
    </row>
    <row r="39">
      <c r="A39" s="113">
        <v>46188.0</v>
      </c>
      <c r="B39" s="12" t="s">
        <v>27</v>
      </c>
      <c r="C39" s="114" t="s">
        <v>55</v>
      </c>
      <c r="D39" s="114">
        <v>30.0</v>
      </c>
      <c r="E39" s="14">
        <v>25000.0</v>
      </c>
      <c r="F39" s="14">
        <f t="shared" ref="F39:F67" si="3">D39*E39</f>
        <v>750000</v>
      </c>
      <c r="G39" s="15" t="s">
        <v>10</v>
      </c>
      <c r="I39" s="113">
        <v>46188.0</v>
      </c>
      <c r="J39" s="12" t="s">
        <v>27</v>
      </c>
      <c r="K39" s="114" t="s">
        <v>16</v>
      </c>
      <c r="L39" s="114">
        <v>1.41</v>
      </c>
      <c r="M39" s="14">
        <v>25000.0</v>
      </c>
      <c r="N39" s="14">
        <f t="shared" ref="N39:N44" si="4">L39*M39</f>
        <v>35250</v>
      </c>
      <c r="O39" s="15" t="s">
        <v>10</v>
      </c>
      <c r="Q39" s="113"/>
      <c r="R39" s="12"/>
      <c r="S39" s="114"/>
      <c r="T39" s="114"/>
      <c r="U39" s="14"/>
      <c r="V39" s="187"/>
      <c r="W39" s="15"/>
      <c r="X39" s="21"/>
      <c r="Y39" s="188"/>
      <c r="Z39" s="188"/>
      <c r="AA39" s="188"/>
      <c r="AB39" s="110"/>
      <c r="AC39" s="110"/>
      <c r="AD39" s="110"/>
      <c r="AE39" s="110"/>
      <c r="AF39" s="110"/>
      <c r="AG39" s="110"/>
      <c r="AH39" s="110"/>
    </row>
    <row r="40">
      <c r="A40" s="28">
        <v>46188.0</v>
      </c>
      <c r="B40" s="18" t="s">
        <v>27</v>
      </c>
      <c r="C40" s="111" t="s">
        <v>230</v>
      </c>
      <c r="D40" s="111">
        <v>5.0</v>
      </c>
      <c r="E40" s="20">
        <v>25000.0</v>
      </c>
      <c r="F40" s="20">
        <f t="shared" si="3"/>
        <v>125000</v>
      </c>
      <c r="G40" s="21" t="s">
        <v>10</v>
      </c>
      <c r="I40" s="112">
        <v>46189.0</v>
      </c>
      <c r="J40" s="18" t="s">
        <v>27</v>
      </c>
      <c r="K40" s="111" t="s">
        <v>16</v>
      </c>
      <c r="L40" s="111">
        <v>0.84</v>
      </c>
      <c r="M40" s="20">
        <v>25000.0</v>
      </c>
      <c r="N40" s="20">
        <f t="shared" si="4"/>
        <v>21000</v>
      </c>
      <c r="O40" s="21" t="s">
        <v>10</v>
      </c>
      <c r="Q40" s="110"/>
      <c r="R40" s="28"/>
      <c r="S40" s="110"/>
      <c r="T40" s="111"/>
      <c r="U40" s="111"/>
      <c r="V40" s="20"/>
      <c r="W40" s="20"/>
      <c r="X40" s="21"/>
      <c r="Y40" s="188"/>
      <c r="Z40" s="188"/>
      <c r="AA40" s="188"/>
      <c r="AB40" s="110"/>
      <c r="AC40" s="110"/>
      <c r="AD40" s="110"/>
      <c r="AE40" s="110"/>
      <c r="AF40" s="110"/>
      <c r="AG40" s="110"/>
      <c r="AH40" s="110"/>
    </row>
    <row r="41" ht="16.5" customHeight="1">
      <c r="A41" s="113">
        <v>46188.0</v>
      </c>
      <c r="B41" s="12" t="s">
        <v>27</v>
      </c>
      <c r="C41" s="114" t="s">
        <v>139</v>
      </c>
      <c r="D41" s="114">
        <v>1.0</v>
      </c>
      <c r="E41" s="14">
        <v>25000.0</v>
      </c>
      <c r="F41" s="14">
        <f t="shared" si="3"/>
        <v>25000</v>
      </c>
      <c r="G41" s="15" t="s">
        <v>10</v>
      </c>
      <c r="I41" s="113">
        <v>46190.0</v>
      </c>
      <c r="J41" s="12" t="s">
        <v>27</v>
      </c>
      <c r="K41" s="114" t="s">
        <v>16</v>
      </c>
      <c r="L41" s="114">
        <v>0.98</v>
      </c>
      <c r="M41" s="14">
        <v>25000.0</v>
      </c>
      <c r="N41" s="14">
        <f t="shared" si="4"/>
        <v>24500</v>
      </c>
      <c r="O41" s="15" t="s">
        <v>10</v>
      </c>
      <c r="Q41" s="110"/>
      <c r="R41" s="28"/>
      <c r="S41" s="110"/>
      <c r="T41" s="111"/>
      <c r="U41" s="111"/>
      <c r="V41" s="20"/>
      <c r="W41" s="20"/>
      <c r="X41" s="21"/>
      <c r="Y41" s="188"/>
      <c r="Z41" s="188"/>
      <c r="AA41" s="188"/>
      <c r="AB41" s="110"/>
      <c r="AC41" s="110"/>
      <c r="AD41" s="110"/>
      <c r="AE41" s="110"/>
      <c r="AF41" s="110"/>
      <c r="AG41" s="110"/>
      <c r="AH41" s="110"/>
    </row>
    <row r="42">
      <c r="A42" s="28">
        <v>46188.0</v>
      </c>
      <c r="B42" s="18" t="s">
        <v>27</v>
      </c>
      <c r="C42" s="111" t="s">
        <v>225</v>
      </c>
      <c r="D42" s="111">
        <v>1.0</v>
      </c>
      <c r="E42" s="20">
        <v>25000.0</v>
      </c>
      <c r="F42" s="20">
        <f t="shared" si="3"/>
        <v>25000</v>
      </c>
      <c r="G42" s="21" t="s">
        <v>10</v>
      </c>
      <c r="I42" s="112">
        <v>46191.0</v>
      </c>
      <c r="J42" s="18" t="s">
        <v>27</v>
      </c>
      <c r="K42" s="111" t="s">
        <v>16</v>
      </c>
      <c r="L42" s="111">
        <v>0.61</v>
      </c>
      <c r="M42" s="20">
        <v>25000.0</v>
      </c>
      <c r="N42" s="20">
        <f t="shared" si="4"/>
        <v>15250</v>
      </c>
      <c r="O42" s="21" t="s">
        <v>10</v>
      </c>
      <c r="Q42" s="110"/>
      <c r="R42" s="28"/>
      <c r="S42" s="110"/>
      <c r="T42" s="111"/>
      <c r="U42" s="111"/>
      <c r="V42" s="20"/>
      <c r="W42" s="20"/>
      <c r="X42" s="21"/>
      <c r="Y42" s="188"/>
      <c r="Z42" s="188"/>
      <c r="AA42" s="188"/>
      <c r="AB42" s="110"/>
      <c r="AC42" s="110"/>
      <c r="AD42" s="110"/>
      <c r="AE42" s="110"/>
      <c r="AF42" s="110"/>
      <c r="AG42" s="110"/>
      <c r="AH42" s="110"/>
    </row>
    <row r="43">
      <c r="A43" s="113">
        <v>46189.0</v>
      </c>
      <c r="B43" s="12" t="s">
        <v>27</v>
      </c>
      <c r="C43" s="114" t="s">
        <v>55</v>
      </c>
      <c r="D43" s="114">
        <v>10.0</v>
      </c>
      <c r="E43" s="14">
        <v>25000.0</v>
      </c>
      <c r="F43" s="14">
        <f t="shared" si="3"/>
        <v>250000</v>
      </c>
      <c r="G43" s="15" t="s">
        <v>10</v>
      </c>
      <c r="I43" s="113">
        <v>46192.0</v>
      </c>
      <c r="J43" s="12" t="s">
        <v>27</v>
      </c>
      <c r="K43" s="114" t="s">
        <v>16</v>
      </c>
      <c r="L43" s="114">
        <v>0.59</v>
      </c>
      <c r="M43" s="14">
        <v>25000.0</v>
      </c>
      <c r="N43" s="14">
        <f t="shared" si="4"/>
        <v>14750</v>
      </c>
      <c r="O43" s="15" t="s">
        <v>10</v>
      </c>
      <c r="Q43" s="110"/>
      <c r="R43" s="28"/>
      <c r="S43" s="110"/>
      <c r="T43" s="111"/>
      <c r="U43" s="111"/>
      <c r="V43" s="20"/>
      <c r="W43" s="20"/>
      <c r="X43" s="21"/>
      <c r="Y43" s="188"/>
      <c r="Z43" s="188"/>
      <c r="AA43" s="188"/>
      <c r="AB43" s="110"/>
      <c r="AC43" s="110"/>
      <c r="AD43" s="110"/>
      <c r="AE43" s="110"/>
      <c r="AF43" s="110"/>
      <c r="AG43" s="110"/>
      <c r="AH43" s="110"/>
    </row>
    <row r="44">
      <c r="A44" s="28">
        <v>46189.0</v>
      </c>
      <c r="B44" s="18" t="s">
        <v>27</v>
      </c>
      <c r="C44" s="111" t="s">
        <v>62</v>
      </c>
      <c r="D44" s="111">
        <v>4.0</v>
      </c>
      <c r="E44" s="20">
        <v>25000.0</v>
      </c>
      <c r="F44" s="20">
        <f t="shared" si="3"/>
        <v>100000</v>
      </c>
      <c r="G44" s="21" t="s">
        <v>10</v>
      </c>
      <c r="I44" s="112">
        <v>46193.0</v>
      </c>
      <c r="J44" s="18" t="s">
        <v>27</v>
      </c>
      <c r="K44" s="111" t="s">
        <v>16</v>
      </c>
      <c r="L44" s="111">
        <v>0.95</v>
      </c>
      <c r="M44" s="20">
        <v>25000.0</v>
      </c>
      <c r="N44" s="20">
        <f t="shared" si="4"/>
        <v>23750</v>
      </c>
      <c r="O44" s="21" t="s">
        <v>10</v>
      </c>
      <c r="P44" s="16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</row>
    <row r="45">
      <c r="A45" s="113">
        <v>46189.0</v>
      </c>
      <c r="B45" s="12" t="s">
        <v>27</v>
      </c>
      <c r="C45" s="114" t="s">
        <v>225</v>
      </c>
      <c r="D45" s="114">
        <v>1.0</v>
      </c>
      <c r="E45" s="14">
        <v>25000.0</v>
      </c>
      <c r="F45" s="14">
        <f t="shared" si="3"/>
        <v>25000</v>
      </c>
      <c r="G45" s="15" t="s">
        <v>10</v>
      </c>
      <c r="I45" s="115" t="s">
        <v>142</v>
      </c>
      <c r="K45" s="116"/>
      <c r="L45" s="117">
        <f>SUM(L39:L44)</f>
        <v>5.38</v>
      </c>
      <c r="M45" s="116"/>
      <c r="N45" s="118">
        <f>SUM(N39:N44)</f>
        <v>134500</v>
      </c>
      <c r="O45" s="119"/>
      <c r="P45" s="21"/>
      <c r="Q45" s="134"/>
      <c r="R45" s="134"/>
      <c r="S45" s="134"/>
      <c r="T45" s="110"/>
      <c r="U45" s="110"/>
      <c r="V45" s="110"/>
      <c r="W45" s="110"/>
      <c r="X45" s="110"/>
      <c r="Y45" s="110"/>
      <c r="Z45" s="110"/>
    </row>
    <row r="46">
      <c r="A46" s="28">
        <v>46190.0</v>
      </c>
      <c r="B46" s="18" t="s">
        <v>27</v>
      </c>
      <c r="C46" s="111" t="s">
        <v>55</v>
      </c>
      <c r="D46" s="111">
        <v>12.0</v>
      </c>
      <c r="E46" s="20">
        <v>25000.0</v>
      </c>
      <c r="F46" s="20">
        <f t="shared" si="3"/>
        <v>300000</v>
      </c>
      <c r="G46" s="21" t="s">
        <v>10</v>
      </c>
      <c r="I46" s="129"/>
      <c r="K46" s="130"/>
      <c r="L46" s="131">
        <f>SUM(D68,L45)</f>
        <v>130.38</v>
      </c>
      <c r="M46" s="130"/>
      <c r="N46" s="123">
        <f>SUM(F68,N45)</f>
        <v>3259500</v>
      </c>
      <c r="O46" s="132"/>
      <c r="P46" s="21"/>
      <c r="Q46" s="16"/>
      <c r="R46" s="16"/>
      <c r="S46" s="16"/>
      <c r="T46" s="110"/>
      <c r="U46" s="110"/>
      <c r="V46" s="110"/>
      <c r="W46" s="110"/>
      <c r="X46" s="110"/>
      <c r="Y46" s="110"/>
      <c r="Z46" s="110"/>
    </row>
    <row r="47">
      <c r="A47" s="113">
        <v>46190.0</v>
      </c>
      <c r="B47" s="12" t="s">
        <v>27</v>
      </c>
      <c r="C47" s="114" t="s">
        <v>57</v>
      </c>
      <c r="D47" s="114">
        <v>3.0</v>
      </c>
      <c r="E47" s="14">
        <v>25000.0</v>
      </c>
      <c r="F47" s="14">
        <f t="shared" si="3"/>
        <v>75000</v>
      </c>
      <c r="G47" s="15" t="s">
        <v>10</v>
      </c>
      <c r="I47" s="110"/>
      <c r="J47" s="28"/>
      <c r="K47" s="110"/>
      <c r="L47" s="111"/>
      <c r="M47" s="111"/>
      <c r="N47" s="20"/>
      <c r="O47" s="20"/>
      <c r="P47" s="21"/>
      <c r="Q47" s="134"/>
      <c r="R47" s="134"/>
      <c r="S47" s="134"/>
      <c r="T47" s="110"/>
      <c r="U47" s="110"/>
      <c r="V47" s="110"/>
      <c r="W47" s="110"/>
      <c r="X47" s="110"/>
      <c r="Y47" s="110"/>
      <c r="Z47" s="110"/>
    </row>
    <row r="48">
      <c r="A48" s="28">
        <v>46190.0</v>
      </c>
      <c r="B48" s="18" t="s">
        <v>27</v>
      </c>
      <c r="C48" s="111" t="s">
        <v>225</v>
      </c>
      <c r="D48" s="111">
        <v>1.0</v>
      </c>
      <c r="E48" s="20">
        <v>25000.0</v>
      </c>
      <c r="F48" s="20">
        <f t="shared" si="3"/>
        <v>25000</v>
      </c>
      <c r="G48" s="21" t="s">
        <v>10</v>
      </c>
      <c r="I48" s="110"/>
      <c r="J48" s="28"/>
      <c r="K48" s="110"/>
      <c r="L48" s="111"/>
      <c r="M48" s="111"/>
      <c r="N48" s="20"/>
      <c r="O48" s="20"/>
      <c r="P48" s="21"/>
      <c r="Q48" s="16"/>
      <c r="R48" s="16"/>
      <c r="S48" s="16"/>
      <c r="T48" s="110"/>
      <c r="U48" s="110"/>
      <c r="V48" s="110"/>
      <c r="W48" s="110"/>
      <c r="X48" s="110"/>
      <c r="Y48" s="110"/>
      <c r="Z48" s="110"/>
    </row>
    <row r="49">
      <c r="A49" s="113">
        <v>46190.0</v>
      </c>
      <c r="B49" s="12" t="s">
        <v>27</v>
      </c>
      <c r="C49" s="114" t="s">
        <v>139</v>
      </c>
      <c r="D49" s="114">
        <v>1.0</v>
      </c>
      <c r="E49" s="14">
        <v>25000.0</v>
      </c>
      <c r="F49" s="14">
        <f t="shared" si="3"/>
        <v>25000</v>
      </c>
      <c r="G49" s="15" t="s">
        <v>10</v>
      </c>
      <c r="H49" s="133"/>
      <c r="I49" s="133"/>
      <c r="J49" s="28"/>
      <c r="K49" s="110"/>
      <c r="L49" s="111"/>
      <c r="M49" s="111"/>
      <c r="N49" s="20"/>
      <c r="O49" s="20"/>
      <c r="P49" s="21"/>
      <c r="Q49" s="120"/>
      <c r="R49" s="120"/>
      <c r="S49" s="120"/>
      <c r="T49" s="133"/>
      <c r="U49" s="133"/>
      <c r="V49" s="133"/>
      <c r="W49" s="133"/>
      <c r="X49" s="133"/>
      <c r="Y49" s="133"/>
      <c r="Z49" s="133"/>
    </row>
    <row r="50">
      <c r="A50" s="28">
        <v>46190.0</v>
      </c>
      <c r="B50" s="18" t="s">
        <v>27</v>
      </c>
      <c r="C50" s="111" t="s">
        <v>70</v>
      </c>
      <c r="D50" s="111">
        <v>1.0</v>
      </c>
      <c r="E50" s="20">
        <v>25000.0</v>
      </c>
      <c r="F50" s="20">
        <f t="shared" si="3"/>
        <v>25000</v>
      </c>
      <c r="G50" s="21" t="s">
        <v>10</v>
      </c>
      <c r="I50" s="110"/>
      <c r="J50" s="28"/>
      <c r="K50" s="110"/>
      <c r="L50" s="111"/>
      <c r="M50" s="111"/>
      <c r="N50" s="20"/>
      <c r="O50" s="20"/>
      <c r="P50" s="21"/>
      <c r="Q50" s="16"/>
      <c r="R50" s="16"/>
      <c r="S50" s="16"/>
      <c r="T50" s="110"/>
      <c r="U50" s="110"/>
      <c r="V50" s="110"/>
      <c r="W50" s="110"/>
      <c r="X50" s="110"/>
      <c r="Y50" s="110"/>
      <c r="Z50" s="110"/>
    </row>
    <row r="51">
      <c r="A51" s="113">
        <v>46190.0</v>
      </c>
      <c r="B51" s="12" t="s">
        <v>27</v>
      </c>
      <c r="C51" s="114" t="s">
        <v>242</v>
      </c>
      <c r="D51" s="114">
        <v>1.0</v>
      </c>
      <c r="E51" s="14">
        <v>25000.0</v>
      </c>
      <c r="F51" s="14">
        <f t="shared" si="3"/>
        <v>25000</v>
      </c>
      <c r="G51" s="15" t="s">
        <v>10</v>
      </c>
      <c r="H51" s="133"/>
      <c r="I51" s="133"/>
      <c r="J51" s="28"/>
      <c r="K51" s="110"/>
      <c r="L51" s="111"/>
      <c r="M51" s="111"/>
      <c r="N51" s="20"/>
      <c r="O51" s="20"/>
      <c r="P51" s="21"/>
      <c r="Q51" s="120"/>
      <c r="R51" s="120"/>
      <c r="S51" s="120"/>
      <c r="T51" s="133"/>
      <c r="U51" s="133"/>
      <c r="V51" s="133"/>
      <c r="W51" s="133"/>
      <c r="X51" s="133"/>
      <c r="Y51" s="133"/>
      <c r="Z51" s="133"/>
    </row>
    <row r="52">
      <c r="A52" s="28">
        <v>46190.0</v>
      </c>
      <c r="B52" s="18" t="s">
        <v>27</v>
      </c>
      <c r="C52" s="111" t="s">
        <v>67</v>
      </c>
      <c r="D52" s="111">
        <v>1.0</v>
      </c>
      <c r="E52" s="20">
        <v>25000.0</v>
      </c>
      <c r="F52" s="20">
        <f t="shared" si="3"/>
        <v>25000</v>
      </c>
      <c r="G52" s="21" t="s">
        <v>10</v>
      </c>
      <c r="I52" s="110"/>
      <c r="J52" s="28"/>
      <c r="K52" s="110"/>
      <c r="L52" s="111"/>
      <c r="M52" s="111"/>
      <c r="N52" s="20"/>
      <c r="O52" s="20"/>
      <c r="P52" s="21"/>
      <c r="Q52" s="16"/>
      <c r="R52" s="16"/>
      <c r="S52" s="16"/>
      <c r="T52" s="110"/>
      <c r="U52" s="110"/>
      <c r="V52" s="110"/>
      <c r="W52" s="110"/>
      <c r="X52" s="110"/>
      <c r="Y52" s="110"/>
      <c r="Z52" s="110"/>
    </row>
    <row r="53">
      <c r="A53" s="113">
        <v>46191.0</v>
      </c>
      <c r="B53" s="12" t="s">
        <v>27</v>
      </c>
      <c r="C53" s="114" t="s">
        <v>55</v>
      </c>
      <c r="D53" s="114">
        <v>12.0</v>
      </c>
      <c r="E53" s="14">
        <v>25000.0</v>
      </c>
      <c r="F53" s="14">
        <f t="shared" si="3"/>
        <v>300000</v>
      </c>
      <c r="G53" s="15" t="s">
        <v>10</v>
      </c>
      <c r="I53" s="110"/>
      <c r="J53" s="28"/>
      <c r="K53" s="110"/>
      <c r="L53" s="111"/>
      <c r="M53" s="111"/>
      <c r="N53" s="20"/>
      <c r="O53" s="20"/>
      <c r="P53" s="21"/>
      <c r="Q53" s="134"/>
      <c r="R53" s="134"/>
      <c r="S53" s="134"/>
      <c r="T53" s="110"/>
      <c r="U53" s="110"/>
      <c r="V53" s="110"/>
      <c r="W53" s="110"/>
      <c r="X53" s="110"/>
      <c r="Y53" s="110"/>
      <c r="Z53" s="110"/>
    </row>
    <row r="54">
      <c r="A54" s="28">
        <v>46191.0</v>
      </c>
      <c r="B54" s="18" t="s">
        <v>27</v>
      </c>
      <c r="C54" s="111" t="s">
        <v>57</v>
      </c>
      <c r="D54" s="111">
        <v>4.0</v>
      </c>
      <c r="E54" s="20">
        <v>25000.0</v>
      </c>
      <c r="F54" s="20">
        <f t="shared" si="3"/>
        <v>100000</v>
      </c>
      <c r="G54" s="21" t="s">
        <v>10</v>
      </c>
      <c r="I54" s="110"/>
      <c r="J54" s="28"/>
      <c r="K54" s="110"/>
      <c r="L54" s="111"/>
      <c r="M54" s="111"/>
      <c r="N54" s="20"/>
      <c r="O54" s="20"/>
      <c r="P54" s="21"/>
      <c r="Q54" s="16"/>
      <c r="R54" s="16"/>
      <c r="S54" s="16"/>
      <c r="T54" s="110"/>
      <c r="U54" s="110"/>
      <c r="V54" s="110"/>
      <c r="W54" s="110"/>
      <c r="X54" s="110"/>
      <c r="Y54" s="110"/>
      <c r="Z54" s="110"/>
    </row>
    <row r="55">
      <c r="A55" s="113">
        <v>46191.0</v>
      </c>
      <c r="B55" s="12" t="s">
        <v>27</v>
      </c>
      <c r="C55" s="114" t="s">
        <v>228</v>
      </c>
      <c r="D55" s="114">
        <v>2.0</v>
      </c>
      <c r="E55" s="14">
        <v>25000.0</v>
      </c>
      <c r="F55" s="14">
        <f t="shared" si="3"/>
        <v>50000</v>
      </c>
      <c r="G55" s="15" t="s">
        <v>10</v>
      </c>
      <c r="I55" s="110"/>
      <c r="J55" s="28"/>
      <c r="K55" s="110"/>
      <c r="L55" s="111"/>
      <c r="M55" s="111"/>
      <c r="N55" s="20"/>
      <c r="O55" s="20"/>
      <c r="P55" s="21"/>
      <c r="Q55" s="134"/>
      <c r="R55" s="134"/>
      <c r="S55" s="134"/>
      <c r="T55" s="110"/>
      <c r="U55" s="110"/>
      <c r="V55" s="110"/>
      <c r="W55" s="110"/>
      <c r="X55" s="110"/>
      <c r="Y55" s="110"/>
      <c r="Z55" s="110"/>
    </row>
    <row r="56">
      <c r="A56" s="28">
        <v>46191.0</v>
      </c>
      <c r="B56" s="18" t="s">
        <v>27</v>
      </c>
      <c r="C56" s="111" t="s">
        <v>35</v>
      </c>
      <c r="D56" s="111">
        <v>1.0</v>
      </c>
      <c r="E56" s="20">
        <v>25000.0</v>
      </c>
      <c r="F56" s="20">
        <f t="shared" si="3"/>
        <v>25000</v>
      </c>
      <c r="G56" s="21" t="s">
        <v>10</v>
      </c>
      <c r="I56" s="110"/>
      <c r="J56" s="28"/>
      <c r="K56" s="110"/>
      <c r="L56" s="111"/>
      <c r="M56" s="111"/>
      <c r="N56" s="20"/>
      <c r="O56" s="20"/>
      <c r="P56" s="21"/>
      <c r="Q56" s="16"/>
      <c r="R56" s="16"/>
      <c r="S56" s="16"/>
      <c r="T56" s="110"/>
      <c r="U56" s="110"/>
      <c r="V56" s="110"/>
      <c r="W56" s="110"/>
      <c r="X56" s="110"/>
      <c r="Y56" s="110"/>
      <c r="Z56" s="110"/>
    </row>
    <row r="57">
      <c r="A57" s="113">
        <v>46191.0</v>
      </c>
      <c r="B57" s="12" t="s">
        <v>27</v>
      </c>
      <c r="C57" s="114" t="s">
        <v>235</v>
      </c>
      <c r="D57" s="114">
        <v>1.0</v>
      </c>
      <c r="E57" s="14">
        <v>25000.0</v>
      </c>
      <c r="F57" s="14">
        <f t="shared" si="3"/>
        <v>25000</v>
      </c>
      <c r="G57" s="15" t="s">
        <v>10</v>
      </c>
      <c r="I57" s="110"/>
      <c r="J57" s="28"/>
      <c r="K57" s="110"/>
      <c r="L57" s="111"/>
      <c r="M57" s="111"/>
      <c r="N57" s="20"/>
      <c r="O57" s="20"/>
      <c r="P57" s="21"/>
      <c r="Q57" s="134"/>
      <c r="R57" s="134"/>
      <c r="S57" s="134"/>
      <c r="T57" s="110"/>
      <c r="U57" s="110"/>
      <c r="V57" s="110"/>
      <c r="W57" s="110"/>
      <c r="X57" s="110"/>
      <c r="Y57" s="110"/>
      <c r="Z57" s="110"/>
    </row>
    <row r="58">
      <c r="A58" s="28">
        <v>46191.0</v>
      </c>
      <c r="B58" s="18" t="s">
        <v>27</v>
      </c>
      <c r="C58" s="111" t="s">
        <v>243</v>
      </c>
      <c r="D58" s="111">
        <v>1.0</v>
      </c>
      <c r="E58" s="20">
        <v>25000.0</v>
      </c>
      <c r="F58" s="20">
        <f t="shared" si="3"/>
        <v>25000</v>
      </c>
      <c r="G58" s="21" t="s">
        <v>10</v>
      </c>
      <c r="I58" s="110"/>
      <c r="J58" s="28"/>
      <c r="K58" s="110"/>
      <c r="L58" s="111"/>
      <c r="M58" s="111"/>
      <c r="N58" s="20"/>
      <c r="O58" s="20"/>
      <c r="P58" s="21"/>
      <c r="Q58" s="16"/>
      <c r="R58" s="16"/>
      <c r="S58" s="16"/>
      <c r="T58" s="110"/>
      <c r="U58" s="110"/>
      <c r="V58" s="110"/>
      <c r="W58" s="110"/>
      <c r="X58" s="110"/>
      <c r="Y58" s="110"/>
      <c r="Z58" s="110"/>
    </row>
    <row r="59">
      <c r="A59" s="113">
        <v>46191.0</v>
      </c>
      <c r="B59" s="12" t="s">
        <v>27</v>
      </c>
      <c r="C59" s="114" t="s">
        <v>225</v>
      </c>
      <c r="D59" s="114">
        <v>1.0</v>
      </c>
      <c r="E59" s="14">
        <v>25000.0</v>
      </c>
      <c r="F59" s="14">
        <f t="shared" si="3"/>
        <v>25000</v>
      </c>
      <c r="G59" s="15" t="s">
        <v>10</v>
      </c>
      <c r="I59" s="110"/>
      <c r="J59" s="28"/>
      <c r="K59" s="110"/>
      <c r="L59" s="111"/>
      <c r="M59" s="111"/>
      <c r="N59" s="20"/>
      <c r="O59" s="20"/>
      <c r="P59" s="21"/>
      <c r="Q59" s="134"/>
      <c r="R59" s="134"/>
      <c r="S59" s="134"/>
      <c r="T59" s="110"/>
      <c r="U59" s="110"/>
      <c r="V59" s="110"/>
      <c r="W59" s="110"/>
      <c r="X59" s="110"/>
      <c r="Y59" s="110"/>
      <c r="Z59" s="110"/>
    </row>
    <row r="60">
      <c r="A60" s="28">
        <v>46192.0</v>
      </c>
      <c r="B60" s="18" t="s">
        <v>27</v>
      </c>
      <c r="C60" s="111" t="s">
        <v>75</v>
      </c>
      <c r="D60" s="111">
        <v>10.0</v>
      </c>
      <c r="E60" s="20">
        <v>25000.0</v>
      </c>
      <c r="F60" s="20">
        <f t="shared" si="3"/>
        <v>250000</v>
      </c>
      <c r="G60" s="21" t="s">
        <v>10</v>
      </c>
      <c r="I60" s="110"/>
      <c r="J60" s="28"/>
      <c r="K60" s="110"/>
      <c r="L60" s="111"/>
      <c r="M60" s="111"/>
      <c r="N60" s="20"/>
      <c r="O60" s="20"/>
      <c r="P60" s="21"/>
      <c r="Q60" s="16"/>
      <c r="R60" s="16"/>
      <c r="S60" s="16"/>
      <c r="T60" s="110"/>
      <c r="U60" s="110"/>
      <c r="V60" s="110"/>
      <c r="W60" s="110"/>
      <c r="X60" s="110"/>
      <c r="Y60" s="110"/>
      <c r="Z60" s="110"/>
    </row>
    <row r="61" ht="16.5" customHeight="1">
      <c r="A61" s="113">
        <v>46192.0</v>
      </c>
      <c r="B61" s="12" t="s">
        <v>27</v>
      </c>
      <c r="C61" s="114" t="s">
        <v>57</v>
      </c>
      <c r="D61" s="114">
        <v>2.0</v>
      </c>
      <c r="E61" s="14">
        <v>25000.0</v>
      </c>
      <c r="F61" s="14">
        <f t="shared" si="3"/>
        <v>50000</v>
      </c>
      <c r="G61" s="15" t="s">
        <v>10</v>
      </c>
      <c r="I61" s="110"/>
      <c r="J61" s="28"/>
      <c r="K61" s="110"/>
      <c r="L61" s="111"/>
      <c r="M61" s="111"/>
      <c r="N61" s="20"/>
      <c r="O61" s="20"/>
      <c r="P61" s="21"/>
      <c r="Q61" s="134"/>
      <c r="R61" s="134"/>
      <c r="S61" s="134"/>
      <c r="T61" s="110"/>
      <c r="U61" s="110"/>
      <c r="V61" s="110"/>
      <c r="W61" s="110"/>
      <c r="X61" s="110"/>
      <c r="Y61" s="110"/>
      <c r="Z61" s="110"/>
    </row>
    <row r="62">
      <c r="A62" s="28">
        <v>46193.0</v>
      </c>
      <c r="B62" s="18" t="s">
        <v>27</v>
      </c>
      <c r="C62" s="111" t="s">
        <v>75</v>
      </c>
      <c r="D62" s="111">
        <v>12.0</v>
      </c>
      <c r="E62" s="20">
        <v>25000.0</v>
      </c>
      <c r="F62" s="20">
        <f t="shared" si="3"/>
        <v>300000</v>
      </c>
      <c r="G62" s="21" t="s">
        <v>10</v>
      </c>
      <c r="I62" s="110"/>
      <c r="J62" s="28"/>
      <c r="K62" s="110"/>
      <c r="L62" s="111"/>
      <c r="M62" s="111"/>
      <c r="N62" s="20"/>
      <c r="O62" s="20"/>
      <c r="P62" s="21"/>
      <c r="Q62" s="16"/>
      <c r="R62" s="16"/>
      <c r="S62" s="16"/>
      <c r="T62" s="110"/>
      <c r="U62" s="110"/>
      <c r="V62" s="110"/>
      <c r="W62" s="110"/>
      <c r="X62" s="110"/>
      <c r="Y62" s="110"/>
      <c r="Z62" s="110"/>
    </row>
    <row r="63">
      <c r="A63" s="113">
        <v>46193.0</v>
      </c>
      <c r="B63" s="12" t="s">
        <v>27</v>
      </c>
      <c r="C63" s="114" t="s">
        <v>57</v>
      </c>
      <c r="D63" s="114">
        <v>3.0</v>
      </c>
      <c r="E63" s="14">
        <v>25000.0</v>
      </c>
      <c r="F63" s="14">
        <f t="shared" si="3"/>
        <v>75000</v>
      </c>
      <c r="G63" s="15" t="s">
        <v>10</v>
      </c>
      <c r="I63" s="110"/>
      <c r="J63" s="28"/>
      <c r="K63" s="110"/>
      <c r="L63" s="111"/>
      <c r="M63" s="111"/>
      <c r="N63" s="20"/>
      <c r="O63" s="20"/>
      <c r="P63" s="21"/>
      <c r="Q63" s="134"/>
      <c r="R63" s="134"/>
      <c r="S63" s="134"/>
      <c r="T63" s="110"/>
      <c r="U63" s="110"/>
      <c r="V63" s="110"/>
      <c r="W63" s="110"/>
      <c r="X63" s="110"/>
      <c r="Y63" s="110"/>
      <c r="Z63" s="110"/>
    </row>
    <row r="64">
      <c r="A64" s="28">
        <v>46193.0</v>
      </c>
      <c r="B64" s="18" t="s">
        <v>27</v>
      </c>
      <c r="C64" s="111" t="s">
        <v>243</v>
      </c>
      <c r="D64" s="111">
        <v>1.0</v>
      </c>
      <c r="E64" s="20">
        <v>25000.0</v>
      </c>
      <c r="F64" s="20">
        <f t="shared" si="3"/>
        <v>25000</v>
      </c>
      <c r="G64" s="21" t="s">
        <v>10</v>
      </c>
      <c r="H64" s="16"/>
      <c r="I64" s="110"/>
      <c r="J64" s="28"/>
      <c r="K64" s="110"/>
      <c r="L64" s="111"/>
      <c r="M64" s="111"/>
      <c r="N64" s="20"/>
      <c r="O64" s="20"/>
      <c r="P64" s="21"/>
      <c r="Q64" s="16"/>
      <c r="R64" s="16"/>
      <c r="S64" s="16"/>
      <c r="T64" s="110"/>
      <c r="U64" s="110"/>
      <c r="V64" s="110"/>
      <c r="W64" s="110"/>
      <c r="X64" s="110"/>
      <c r="Y64" s="110"/>
      <c r="Z64" s="110"/>
    </row>
    <row r="65">
      <c r="A65" s="113">
        <v>46193.0</v>
      </c>
      <c r="B65" s="12" t="s">
        <v>27</v>
      </c>
      <c r="C65" s="114" t="s">
        <v>225</v>
      </c>
      <c r="D65" s="114">
        <v>1.0</v>
      </c>
      <c r="E65" s="14">
        <v>25000.0</v>
      </c>
      <c r="F65" s="14">
        <f t="shared" si="3"/>
        <v>25000</v>
      </c>
      <c r="G65" s="15" t="s">
        <v>10</v>
      </c>
      <c r="H65" s="134"/>
      <c r="I65" s="110"/>
      <c r="J65" s="28"/>
      <c r="K65" s="110"/>
      <c r="L65" s="111"/>
      <c r="M65" s="111"/>
      <c r="N65" s="20"/>
      <c r="O65" s="20"/>
      <c r="P65" s="21"/>
      <c r="Q65" s="134"/>
      <c r="R65" s="134"/>
      <c r="S65" s="134"/>
      <c r="T65" s="110"/>
      <c r="U65" s="110"/>
      <c r="V65" s="110"/>
      <c r="W65" s="110"/>
      <c r="X65" s="110"/>
      <c r="Y65" s="110"/>
      <c r="Z65" s="110"/>
    </row>
    <row r="66">
      <c r="A66" s="28">
        <v>46193.0</v>
      </c>
      <c r="B66" s="18" t="s">
        <v>27</v>
      </c>
      <c r="C66" s="111" t="s">
        <v>29</v>
      </c>
      <c r="D66" s="111">
        <v>1.0</v>
      </c>
      <c r="E66" s="20">
        <v>25000.0</v>
      </c>
      <c r="F66" s="20">
        <f t="shared" si="3"/>
        <v>25000</v>
      </c>
      <c r="G66" s="21" t="s">
        <v>10</v>
      </c>
      <c r="H66" s="16"/>
      <c r="I66" s="110"/>
      <c r="J66" s="151"/>
      <c r="K66" s="151"/>
      <c r="L66" s="152"/>
      <c r="M66" s="153"/>
      <c r="N66" s="153"/>
      <c r="O66" s="153"/>
      <c r="P66" s="16"/>
      <c r="Q66" s="16"/>
      <c r="R66" s="16"/>
      <c r="S66" s="16"/>
      <c r="T66" s="110"/>
      <c r="U66" s="110"/>
      <c r="V66" s="110"/>
      <c r="W66" s="110"/>
      <c r="X66" s="110"/>
      <c r="Y66" s="110"/>
      <c r="Z66" s="110"/>
    </row>
    <row r="67">
      <c r="A67" s="113">
        <v>46193.0</v>
      </c>
      <c r="B67" s="12" t="s">
        <v>27</v>
      </c>
      <c r="C67" s="114" t="s">
        <v>35</v>
      </c>
      <c r="D67" s="114">
        <v>1.0</v>
      </c>
      <c r="E67" s="14">
        <v>25000.0</v>
      </c>
      <c r="F67" s="14">
        <f t="shared" si="3"/>
        <v>25000</v>
      </c>
      <c r="G67" s="15" t="s">
        <v>10</v>
      </c>
      <c r="H67" s="134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>
      <c r="A68" s="115" t="s">
        <v>142</v>
      </c>
      <c r="C68" s="116"/>
      <c r="D68" s="117">
        <f>SUM(D39:D67)</f>
        <v>125</v>
      </c>
      <c r="E68" s="116"/>
      <c r="F68" s="118">
        <f>SUM(F39:F67)</f>
        <v>3125000</v>
      </c>
      <c r="G68" s="119"/>
    </row>
    <row r="69">
      <c r="A69" s="113"/>
      <c r="B69" s="12"/>
      <c r="C69" s="114"/>
      <c r="D69" s="114"/>
      <c r="E69" s="14"/>
      <c r="F69" s="187"/>
      <c r="G69" s="15"/>
      <c r="H69" s="134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>
      <c r="A70" s="162"/>
      <c r="B70" s="162"/>
      <c r="C70" s="162"/>
      <c r="D70" s="163"/>
      <c r="E70" s="164"/>
      <c r="F70" s="165"/>
      <c r="G70" s="162"/>
      <c r="H70" s="16"/>
      <c r="I70" s="110"/>
      <c r="J70" s="28"/>
      <c r="K70" s="110"/>
      <c r="L70" s="111"/>
      <c r="M70" s="111"/>
      <c r="N70" s="20"/>
      <c r="O70" s="20"/>
      <c r="P70" s="21"/>
      <c r="Q70" s="188"/>
      <c r="R70" s="188"/>
      <c r="S70" s="188"/>
      <c r="T70" s="110"/>
      <c r="U70" s="110"/>
      <c r="V70" s="110"/>
      <c r="W70" s="110"/>
      <c r="X70" s="110"/>
      <c r="Y70" s="110"/>
      <c r="Z70" s="110"/>
    </row>
    <row r="71">
      <c r="A71" s="113"/>
      <c r="B71" s="12"/>
      <c r="C71" s="114"/>
      <c r="D71" s="114"/>
      <c r="E71" s="14"/>
      <c r="F71" s="14"/>
      <c r="G71" s="15"/>
      <c r="H71" s="120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27.75" customHeight="1">
      <c r="A72" s="105" t="s">
        <v>1</v>
      </c>
      <c r="B72" s="105" t="s">
        <v>2</v>
      </c>
      <c r="C72" s="105" t="s">
        <v>3</v>
      </c>
      <c r="D72" s="106" t="s">
        <v>4</v>
      </c>
      <c r="E72" s="107" t="s">
        <v>5</v>
      </c>
      <c r="F72" s="108" t="s">
        <v>6</v>
      </c>
      <c r="G72" s="105" t="s">
        <v>84</v>
      </c>
      <c r="H72" s="16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>
      <c r="A73" s="135">
        <v>46195.0</v>
      </c>
      <c r="B73" s="12" t="s">
        <v>27</v>
      </c>
      <c r="C73" s="114" t="s">
        <v>55</v>
      </c>
      <c r="D73" s="114">
        <v>12.0</v>
      </c>
      <c r="E73" s="14">
        <v>25000.0</v>
      </c>
      <c r="F73" s="14">
        <f t="shared" ref="F73:F91" si="5">D73*E73</f>
        <v>300000</v>
      </c>
      <c r="G73" s="15" t="s">
        <v>10</v>
      </c>
      <c r="H73" s="134"/>
      <c r="I73" s="138">
        <v>46195.0</v>
      </c>
      <c r="J73" s="29" t="s">
        <v>27</v>
      </c>
      <c r="K73" s="73" t="s">
        <v>16</v>
      </c>
      <c r="L73" s="73">
        <v>1.05</v>
      </c>
      <c r="M73" s="32">
        <v>25000.0</v>
      </c>
      <c r="N73" s="32">
        <f t="shared" ref="N73:N78" si="6">L73*M73</f>
        <v>26250</v>
      </c>
      <c r="O73" s="33" t="s">
        <v>10</v>
      </c>
      <c r="P73" s="189"/>
      <c r="Q73" s="28"/>
      <c r="R73" s="110"/>
      <c r="S73" s="111"/>
      <c r="T73" s="111"/>
      <c r="U73" s="20"/>
      <c r="V73" s="20"/>
      <c r="W73" s="21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</row>
    <row r="74">
      <c r="A74" s="136">
        <v>46195.0</v>
      </c>
      <c r="B74" s="18" t="s">
        <v>27</v>
      </c>
      <c r="C74" s="111" t="s">
        <v>57</v>
      </c>
      <c r="D74" s="111">
        <v>3.0</v>
      </c>
      <c r="E74" s="20">
        <v>25000.0</v>
      </c>
      <c r="F74" s="20">
        <f t="shared" si="5"/>
        <v>75000</v>
      </c>
      <c r="G74" s="21" t="s">
        <v>10</v>
      </c>
      <c r="H74" s="133"/>
      <c r="I74" s="138">
        <v>46196.0</v>
      </c>
      <c r="J74" s="29" t="s">
        <v>27</v>
      </c>
      <c r="K74" s="73" t="s">
        <v>16</v>
      </c>
      <c r="L74" s="73">
        <v>0.38</v>
      </c>
      <c r="M74" s="32">
        <v>25000.0</v>
      </c>
      <c r="N74" s="32">
        <f t="shared" si="6"/>
        <v>9500</v>
      </c>
      <c r="O74" s="33" t="s">
        <v>10</v>
      </c>
      <c r="P74" s="189"/>
      <c r="Q74" s="28"/>
      <c r="R74" s="110"/>
      <c r="S74" s="111"/>
      <c r="T74" s="111"/>
      <c r="U74" s="20"/>
      <c r="V74" s="20"/>
      <c r="W74" s="21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</row>
    <row r="75">
      <c r="A75" s="135">
        <v>46195.0</v>
      </c>
      <c r="B75" s="12" t="s">
        <v>27</v>
      </c>
      <c r="C75" s="114" t="s">
        <v>29</v>
      </c>
      <c r="D75" s="114">
        <v>2.0</v>
      </c>
      <c r="E75" s="14">
        <v>25000.0</v>
      </c>
      <c r="F75" s="14">
        <f t="shared" si="5"/>
        <v>50000</v>
      </c>
      <c r="G75" s="15" t="s">
        <v>10</v>
      </c>
      <c r="H75" s="134"/>
      <c r="I75" s="138">
        <v>46197.0</v>
      </c>
      <c r="J75" s="29" t="s">
        <v>27</v>
      </c>
      <c r="K75" s="73" t="s">
        <v>16</v>
      </c>
      <c r="L75" s="73">
        <v>0.41</v>
      </c>
      <c r="M75" s="32">
        <v>25000.0</v>
      </c>
      <c r="N75" s="32">
        <f t="shared" si="6"/>
        <v>10250</v>
      </c>
      <c r="O75" s="33" t="s">
        <v>10</v>
      </c>
      <c r="P75" s="189"/>
      <c r="Q75" s="28"/>
      <c r="R75" s="110"/>
      <c r="S75" s="111"/>
      <c r="T75" s="111"/>
      <c r="U75" s="20"/>
      <c r="V75" s="20"/>
      <c r="W75" s="21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</row>
    <row r="76" ht="15.75" customHeight="1">
      <c r="A76" s="136">
        <v>46195.0</v>
      </c>
      <c r="B76" s="18" t="s">
        <v>27</v>
      </c>
      <c r="C76" s="111" t="s">
        <v>195</v>
      </c>
      <c r="D76" s="111">
        <v>1.0</v>
      </c>
      <c r="E76" s="20">
        <v>25000.0</v>
      </c>
      <c r="F76" s="20">
        <f t="shared" si="5"/>
        <v>25000</v>
      </c>
      <c r="G76" s="21" t="s">
        <v>10</v>
      </c>
      <c r="H76" s="16"/>
      <c r="I76" s="138">
        <v>46198.0</v>
      </c>
      <c r="J76" s="29" t="s">
        <v>27</v>
      </c>
      <c r="K76" s="73" t="s">
        <v>16</v>
      </c>
      <c r="L76" s="73">
        <v>0.57</v>
      </c>
      <c r="M76" s="32">
        <v>25000.0</v>
      </c>
      <c r="N76" s="32">
        <f t="shared" si="6"/>
        <v>14250</v>
      </c>
      <c r="O76" s="33" t="s">
        <v>10</v>
      </c>
      <c r="P76" s="25"/>
      <c r="Q76" s="28"/>
      <c r="R76" s="110"/>
      <c r="S76" s="111"/>
      <c r="T76" s="111"/>
      <c r="U76" s="20"/>
      <c r="V76" s="20"/>
      <c r="W76" s="21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</row>
    <row r="77" ht="14.25" customHeight="1">
      <c r="A77" s="135">
        <v>46195.0</v>
      </c>
      <c r="B77" s="12" t="s">
        <v>27</v>
      </c>
      <c r="C77" s="114" t="s">
        <v>243</v>
      </c>
      <c r="D77" s="114">
        <v>1.0</v>
      </c>
      <c r="E77" s="14">
        <v>25000.0</v>
      </c>
      <c r="F77" s="14">
        <f t="shared" si="5"/>
        <v>25000</v>
      </c>
      <c r="G77" s="15" t="s">
        <v>10</v>
      </c>
      <c r="H77" s="134"/>
      <c r="I77" s="135">
        <v>46199.0</v>
      </c>
      <c r="J77" s="12" t="s">
        <v>27</v>
      </c>
      <c r="K77" s="114" t="s">
        <v>16</v>
      </c>
      <c r="L77" s="114">
        <v>0.31</v>
      </c>
      <c r="M77" s="14">
        <v>25000.0</v>
      </c>
      <c r="N77" s="14">
        <f t="shared" si="6"/>
        <v>7750</v>
      </c>
      <c r="O77" s="15" t="s">
        <v>10</v>
      </c>
      <c r="P77" s="133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</row>
    <row r="78">
      <c r="A78" s="136">
        <v>46196.0</v>
      </c>
      <c r="B78" s="18" t="s">
        <v>27</v>
      </c>
      <c r="C78" s="111" t="s">
        <v>55</v>
      </c>
      <c r="D78" s="111">
        <v>6.0</v>
      </c>
      <c r="E78" s="20">
        <v>25000.0</v>
      </c>
      <c r="F78" s="20">
        <f t="shared" si="5"/>
        <v>150000</v>
      </c>
      <c r="G78" s="21" t="s">
        <v>10</v>
      </c>
      <c r="H78" s="16"/>
      <c r="I78" s="136">
        <v>46200.0</v>
      </c>
      <c r="J78" s="18" t="s">
        <v>27</v>
      </c>
      <c r="K78" s="19" t="s">
        <v>16</v>
      </c>
      <c r="L78" s="19">
        <v>0.75</v>
      </c>
      <c r="M78" s="20">
        <v>25000.0</v>
      </c>
      <c r="N78" s="20">
        <f t="shared" si="6"/>
        <v>18750</v>
      </c>
      <c r="O78" s="21" t="s">
        <v>10</v>
      </c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</row>
    <row r="79">
      <c r="A79" s="135">
        <v>46196.0</v>
      </c>
      <c r="B79" s="12" t="s">
        <v>27</v>
      </c>
      <c r="C79" s="114" t="s">
        <v>35</v>
      </c>
      <c r="D79" s="114">
        <v>1.0</v>
      </c>
      <c r="E79" s="14">
        <v>25000.0</v>
      </c>
      <c r="F79" s="14">
        <f t="shared" si="5"/>
        <v>25000</v>
      </c>
      <c r="G79" s="15" t="s">
        <v>10</v>
      </c>
      <c r="H79" s="134"/>
      <c r="I79" s="115" t="s">
        <v>142</v>
      </c>
      <c r="K79" s="116"/>
      <c r="L79" s="117">
        <f>SUM(L73:L78)</f>
        <v>3.47</v>
      </c>
      <c r="M79" s="116"/>
      <c r="N79" s="118">
        <f>SUM(N73:N78)</f>
        <v>86750</v>
      </c>
      <c r="O79" s="119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  <c r="CY79" s="134"/>
      <c r="CZ79" s="134"/>
      <c r="DA79" s="134"/>
      <c r="DB79" s="134"/>
      <c r="DC79" s="134"/>
      <c r="DD79" s="134"/>
      <c r="DE79" s="134"/>
      <c r="DF79" s="134"/>
      <c r="DG79" s="134"/>
      <c r="DH79" s="134"/>
      <c r="DI79" s="134"/>
      <c r="DJ79" s="134"/>
      <c r="DK79" s="134"/>
      <c r="DL79" s="134"/>
      <c r="DM79" s="134"/>
      <c r="DN79" s="134"/>
      <c r="DO79" s="134"/>
      <c r="DP79" s="134"/>
      <c r="DQ79" s="134"/>
      <c r="DR79" s="134"/>
      <c r="DS79" s="134"/>
      <c r="DT79" s="134"/>
      <c r="DU79" s="134"/>
      <c r="DV79" s="134"/>
      <c r="DW79" s="134"/>
      <c r="DX79" s="134"/>
      <c r="DY79" s="134"/>
      <c r="DZ79" s="134"/>
      <c r="EA79" s="134"/>
      <c r="EB79" s="134"/>
      <c r="EC79" s="134"/>
      <c r="ED79" s="134"/>
      <c r="EE79" s="134"/>
      <c r="EF79" s="134"/>
      <c r="EG79" s="134"/>
      <c r="EH79" s="134"/>
      <c r="EI79" s="134"/>
      <c r="EJ79" s="134"/>
      <c r="EK79" s="134"/>
      <c r="EL79" s="134"/>
      <c r="EM79" s="134"/>
      <c r="EN79" s="134"/>
      <c r="EO79" s="134"/>
      <c r="EP79" s="134"/>
      <c r="EQ79" s="134"/>
      <c r="ER79" s="134"/>
      <c r="ES79" s="134"/>
      <c r="ET79" s="134"/>
      <c r="EU79" s="134"/>
      <c r="EV79" s="134"/>
      <c r="EW79" s="134"/>
      <c r="EX79" s="134"/>
      <c r="EY79" s="134"/>
      <c r="EZ79" s="134"/>
      <c r="FA79" s="134"/>
      <c r="FB79" s="134"/>
      <c r="FC79" s="134"/>
      <c r="FD79" s="134"/>
      <c r="FE79" s="134"/>
      <c r="FF79" s="134"/>
      <c r="FG79" s="134"/>
      <c r="FH79" s="134"/>
      <c r="FI79" s="134"/>
      <c r="FJ79" s="134"/>
      <c r="FK79" s="134"/>
      <c r="FL79" s="134"/>
      <c r="FM79" s="134"/>
      <c r="FN79" s="134"/>
      <c r="FO79" s="134"/>
      <c r="FP79" s="134"/>
      <c r="FQ79" s="134"/>
      <c r="FR79" s="134"/>
      <c r="FS79" s="134"/>
      <c r="FT79" s="134"/>
      <c r="FU79" s="134"/>
      <c r="FV79" s="134"/>
      <c r="FW79" s="134"/>
      <c r="FX79" s="134"/>
      <c r="FY79" s="134"/>
      <c r="FZ79" s="134"/>
      <c r="GA79" s="134"/>
      <c r="GB79" s="134"/>
      <c r="GC79" s="134"/>
      <c r="GD79" s="134"/>
      <c r="GE79" s="134"/>
      <c r="GF79" s="134"/>
      <c r="GG79" s="134"/>
      <c r="GH79" s="134"/>
      <c r="GI79" s="134"/>
      <c r="GJ79" s="134"/>
      <c r="GK79" s="134"/>
      <c r="GL79" s="134"/>
      <c r="GM79" s="134"/>
      <c r="GN79" s="134"/>
    </row>
    <row r="80">
      <c r="A80" s="136">
        <v>46197.0</v>
      </c>
      <c r="B80" s="18" t="s">
        <v>27</v>
      </c>
      <c r="C80" s="111" t="s">
        <v>75</v>
      </c>
      <c r="D80" s="111">
        <v>5.0</v>
      </c>
      <c r="E80" s="20">
        <v>25000.0</v>
      </c>
      <c r="F80" s="20">
        <f t="shared" si="5"/>
        <v>125000</v>
      </c>
      <c r="G80" s="21" t="s">
        <v>10</v>
      </c>
      <c r="H80" s="16"/>
      <c r="I80" s="115" t="s">
        <v>142</v>
      </c>
      <c r="K80" s="116"/>
      <c r="L80" s="117">
        <f>SUM(D92,L79)</f>
        <v>57.47</v>
      </c>
      <c r="M80" s="116"/>
      <c r="N80" s="123">
        <f>SUM(F92,N79)</f>
        <v>1436750</v>
      </c>
      <c r="O80" s="119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</row>
    <row r="81">
      <c r="A81" s="135">
        <v>46198.0</v>
      </c>
      <c r="B81" s="12" t="s">
        <v>27</v>
      </c>
      <c r="C81" s="114" t="s">
        <v>243</v>
      </c>
      <c r="D81" s="114">
        <v>1.0</v>
      </c>
      <c r="E81" s="14">
        <v>25000.0</v>
      </c>
      <c r="F81" s="14">
        <f t="shared" si="5"/>
        <v>25000</v>
      </c>
      <c r="G81" s="15" t="s">
        <v>10</v>
      </c>
      <c r="H81" s="134"/>
      <c r="I81" s="28"/>
      <c r="J81" s="110"/>
      <c r="K81" s="111"/>
      <c r="L81" s="111"/>
      <c r="M81" s="20"/>
      <c r="N81" s="20"/>
      <c r="O81" s="21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  <c r="CY81" s="134"/>
      <c r="CZ81" s="134"/>
      <c r="DA81" s="134"/>
      <c r="DB81" s="134"/>
      <c r="DC81" s="134"/>
      <c r="DD81" s="134"/>
      <c r="DE81" s="134"/>
      <c r="DF81" s="134"/>
      <c r="DG81" s="134"/>
      <c r="DH81" s="134"/>
      <c r="DI81" s="134"/>
      <c r="DJ81" s="134"/>
      <c r="DK81" s="134"/>
      <c r="DL81" s="134"/>
      <c r="DM81" s="134"/>
      <c r="DN81" s="134"/>
      <c r="DO81" s="134"/>
      <c r="DP81" s="134"/>
      <c r="DQ81" s="134"/>
      <c r="DR81" s="134"/>
      <c r="DS81" s="134"/>
      <c r="DT81" s="134"/>
      <c r="DU81" s="134"/>
      <c r="DV81" s="134"/>
      <c r="DW81" s="134"/>
      <c r="DX81" s="134"/>
      <c r="DY81" s="134"/>
      <c r="DZ81" s="134"/>
      <c r="EA81" s="134"/>
      <c r="EB81" s="134"/>
      <c r="EC81" s="134"/>
      <c r="ED81" s="134"/>
      <c r="EE81" s="134"/>
      <c r="EF81" s="134"/>
      <c r="EG81" s="134"/>
      <c r="EH81" s="134"/>
      <c r="EI81" s="134"/>
      <c r="EJ81" s="134"/>
      <c r="EK81" s="134"/>
      <c r="EL81" s="134"/>
      <c r="EM81" s="134"/>
      <c r="EN81" s="134"/>
      <c r="EO81" s="134"/>
      <c r="EP81" s="134"/>
      <c r="EQ81" s="134"/>
      <c r="ER81" s="134"/>
      <c r="ES81" s="134"/>
      <c r="ET81" s="134"/>
      <c r="EU81" s="134"/>
      <c r="EV81" s="134"/>
      <c r="EW81" s="134"/>
      <c r="EX81" s="134"/>
      <c r="EY81" s="134"/>
      <c r="EZ81" s="134"/>
      <c r="FA81" s="134"/>
      <c r="FB81" s="134"/>
      <c r="FC81" s="134"/>
      <c r="FD81" s="134"/>
      <c r="FE81" s="134"/>
      <c r="FF81" s="134"/>
      <c r="FG81" s="134"/>
      <c r="FH81" s="134"/>
      <c r="FI81" s="134"/>
      <c r="FJ81" s="134"/>
      <c r="FK81" s="134"/>
      <c r="FL81" s="134"/>
      <c r="FM81" s="134"/>
      <c r="FN81" s="134"/>
      <c r="FO81" s="134"/>
      <c r="FP81" s="134"/>
      <c r="FQ81" s="134"/>
      <c r="FR81" s="134"/>
      <c r="FS81" s="134"/>
      <c r="FT81" s="134"/>
      <c r="FU81" s="134"/>
      <c r="FV81" s="134"/>
      <c r="FW81" s="134"/>
      <c r="FX81" s="134"/>
      <c r="FY81" s="134"/>
      <c r="FZ81" s="134"/>
      <c r="GA81" s="134"/>
      <c r="GB81" s="134"/>
      <c r="GC81" s="134"/>
      <c r="GD81" s="134"/>
      <c r="GE81" s="134"/>
      <c r="GF81" s="134"/>
      <c r="GG81" s="134"/>
      <c r="GH81" s="134"/>
      <c r="GI81" s="134"/>
      <c r="GJ81" s="134"/>
      <c r="GK81" s="134"/>
      <c r="GL81" s="134"/>
      <c r="GM81" s="134"/>
      <c r="GN81" s="134"/>
    </row>
    <row r="82">
      <c r="A82" s="136">
        <v>46198.0</v>
      </c>
      <c r="B82" s="18" t="s">
        <v>27</v>
      </c>
      <c r="C82" s="111" t="s">
        <v>55</v>
      </c>
      <c r="D82" s="111">
        <v>4.0</v>
      </c>
      <c r="E82" s="20">
        <v>25000.0</v>
      </c>
      <c r="F82" s="20">
        <f t="shared" si="5"/>
        <v>100000</v>
      </c>
      <c r="G82" s="21" t="s">
        <v>10</v>
      </c>
      <c r="H82" s="16"/>
      <c r="I82" s="28"/>
      <c r="J82" s="110"/>
      <c r="K82" s="111"/>
      <c r="L82" s="111"/>
      <c r="M82" s="20"/>
      <c r="N82" s="20"/>
      <c r="O82" s="21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</row>
    <row r="83">
      <c r="A83" s="135">
        <v>46198.0</v>
      </c>
      <c r="B83" s="12" t="s">
        <v>27</v>
      </c>
      <c r="C83" s="114" t="s">
        <v>57</v>
      </c>
      <c r="D83" s="114">
        <v>2.0</v>
      </c>
      <c r="E83" s="14">
        <v>25000.0</v>
      </c>
      <c r="F83" s="14">
        <f t="shared" si="5"/>
        <v>50000</v>
      </c>
      <c r="G83" s="15" t="s">
        <v>10</v>
      </c>
      <c r="H83" s="134"/>
      <c r="I83" s="28"/>
      <c r="J83" s="110"/>
      <c r="K83" s="111"/>
      <c r="L83" s="111"/>
      <c r="M83" s="20"/>
      <c r="N83" s="20"/>
      <c r="O83" s="21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  <c r="CY83" s="134"/>
      <c r="CZ83" s="134"/>
      <c r="DA83" s="134"/>
      <c r="DB83" s="134"/>
      <c r="DC83" s="134"/>
      <c r="DD83" s="134"/>
      <c r="DE83" s="134"/>
      <c r="DF83" s="134"/>
      <c r="DG83" s="134"/>
      <c r="DH83" s="134"/>
      <c r="DI83" s="134"/>
      <c r="DJ83" s="134"/>
      <c r="DK83" s="134"/>
      <c r="DL83" s="134"/>
      <c r="DM83" s="134"/>
      <c r="DN83" s="134"/>
      <c r="DO83" s="134"/>
      <c r="DP83" s="134"/>
      <c r="DQ83" s="134"/>
      <c r="DR83" s="134"/>
      <c r="DS83" s="134"/>
      <c r="DT83" s="134"/>
      <c r="DU83" s="134"/>
      <c r="DV83" s="134"/>
      <c r="DW83" s="134"/>
      <c r="DX83" s="134"/>
      <c r="DY83" s="134"/>
      <c r="DZ83" s="134"/>
      <c r="EA83" s="134"/>
      <c r="EB83" s="134"/>
      <c r="EC83" s="134"/>
      <c r="ED83" s="134"/>
      <c r="EE83" s="134"/>
      <c r="EF83" s="134"/>
      <c r="EG83" s="134"/>
      <c r="EH83" s="134"/>
      <c r="EI83" s="134"/>
      <c r="EJ83" s="134"/>
      <c r="EK83" s="134"/>
      <c r="EL83" s="134"/>
      <c r="EM83" s="134"/>
      <c r="EN83" s="134"/>
      <c r="EO83" s="134"/>
      <c r="EP83" s="134"/>
      <c r="EQ83" s="134"/>
      <c r="ER83" s="134"/>
      <c r="ES83" s="134"/>
      <c r="ET83" s="134"/>
      <c r="EU83" s="134"/>
      <c r="EV83" s="134"/>
      <c r="EW83" s="134"/>
      <c r="EX83" s="134"/>
      <c r="EY83" s="134"/>
      <c r="EZ83" s="134"/>
      <c r="FA83" s="134"/>
      <c r="FB83" s="134"/>
      <c r="FC83" s="134"/>
      <c r="FD83" s="134"/>
      <c r="FE83" s="134"/>
      <c r="FF83" s="134"/>
      <c r="FG83" s="134"/>
      <c r="FH83" s="134"/>
      <c r="FI83" s="134"/>
      <c r="FJ83" s="134"/>
      <c r="FK83" s="134"/>
      <c r="FL83" s="134"/>
      <c r="FM83" s="134"/>
      <c r="FN83" s="134"/>
      <c r="FO83" s="134"/>
      <c r="FP83" s="134"/>
      <c r="FQ83" s="134"/>
      <c r="FR83" s="134"/>
      <c r="FS83" s="134"/>
      <c r="FT83" s="134"/>
      <c r="FU83" s="134"/>
      <c r="FV83" s="134"/>
      <c r="FW83" s="134"/>
      <c r="FX83" s="134"/>
      <c r="FY83" s="134"/>
      <c r="FZ83" s="134"/>
      <c r="GA83" s="134"/>
      <c r="GB83" s="134"/>
      <c r="GC83" s="134"/>
      <c r="GD83" s="134"/>
      <c r="GE83" s="134"/>
      <c r="GF83" s="134"/>
      <c r="GG83" s="134"/>
      <c r="GH83" s="134"/>
      <c r="GI83" s="134"/>
      <c r="GJ83" s="134"/>
      <c r="GK83" s="134"/>
      <c r="GL83" s="134"/>
      <c r="GM83" s="134"/>
      <c r="GN83" s="134"/>
    </row>
    <row r="84">
      <c r="A84" s="136">
        <v>46198.0</v>
      </c>
      <c r="B84" s="18" t="s">
        <v>27</v>
      </c>
      <c r="C84" s="111" t="s">
        <v>29</v>
      </c>
      <c r="D84" s="111">
        <v>1.0</v>
      </c>
      <c r="E84" s="20">
        <v>25000.0</v>
      </c>
      <c r="F84" s="20">
        <f t="shared" si="5"/>
        <v>25000</v>
      </c>
      <c r="G84" s="21" t="s">
        <v>10</v>
      </c>
      <c r="H84" s="16"/>
      <c r="I84" s="28"/>
      <c r="J84" s="110"/>
      <c r="K84" s="111"/>
      <c r="L84" s="111"/>
      <c r="M84" s="20"/>
      <c r="N84" s="20"/>
      <c r="O84" s="21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</row>
    <row r="85">
      <c r="A85" s="135">
        <v>46198.0</v>
      </c>
      <c r="B85" s="12" t="s">
        <v>27</v>
      </c>
      <c r="C85" s="114" t="s">
        <v>153</v>
      </c>
      <c r="D85" s="114">
        <v>1.0</v>
      </c>
      <c r="E85" s="14">
        <v>25000.0</v>
      </c>
      <c r="F85" s="14">
        <f t="shared" si="5"/>
        <v>25000</v>
      </c>
      <c r="G85" s="15" t="s">
        <v>10</v>
      </c>
      <c r="H85" s="134"/>
      <c r="I85" s="28"/>
      <c r="J85" s="110"/>
      <c r="K85" s="111"/>
      <c r="L85" s="111"/>
      <c r="M85" s="20"/>
      <c r="N85" s="20"/>
      <c r="O85" s="21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  <c r="CY85" s="134"/>
      <c r="CZ85" s="134"/>
      <c r="DA85" s="134"/>
      <c r="DB85" s="134"/>
      <c r="DC85" s="134"/>
      <c r="DD85" s="134"/>
      <c r="DE85" s="134"/>
      <c r="DF85" s="134"/>
      <c r="DG85" s="134"/>
      <c r="DH85" s="134"/>
      <c r="DI85" s="134"/>
      <c r="DJ85" s="134"/>
      <c r="DK85" s="134"/>
      <c r="DL85" s="134"/>
      <c r="DM85" s="134"/>
      <c r="DN85" s="134"/>
      <c r="DO85" s="134"/>
      <c r="DP85" s="134"/>
      <c r="DQ85" s="134"/>
      <c r="DR85" s="134"/>
      <c r="DS85" s="134"/>
      <c r="DT85" s="134"/>
      <c r="DU85" s="134"/>
      <c r="DV85" s="134"/>
      <c r="DW85" s="134"/>
      <c r="DX85" s="134"/>
      <c r="DY85" s="134"/>
      <c r="DZ85" s="134"/>
      <c r="EA85" s="134"/>
      <c r="EB85" s="134"/>
      <c r="EC85" s="134"/>
      <c r="ED85" s="134"/>
      <c r="EE85" s="134"/>
      <c r="EF85" s="134"/>
      <c r="EG85" s="134"/>
      <c r="EH85" s="134"/>
      <c r="EI85" s="134"/>
      <c r="EJ85" s="134"/>
      <c r="EK85" s="134"/>
      <c r="EL85" s="134"/>
      <c r="EM85" s="134"/>
      <c r="EN85" s="134"/>
      <c r="EO85" s="134"/>
      <c r="EP85" s="134"/>
      <c r="EQ85" s="134"/>
      <c r="ER85" s="134"/>
      <c r="ES85" s="134"/>
      <c r="ET85" s="134"/>
      <c r="EU85" s="134"/>
      <c r="EV85" s="134"/>
      <c r="EW85" s="134"/>
      <c r="EX85" s="134"/>
      <c r="EY85" s="134"/>
      <c r="EZ85" s="134"/>
      <c r="FA85" s="134"/>
      <c r="FB85" s="134"/>
      <c r="FC85" s="134"/>
      <c r="FD85" s="134"/>
      <c r="FE85" s="134"/>
      <c r="FF85" s="134"/>
      <c r="FG85" s="134"/>
      <c r="FH85" s="134"/>
      <c r="FI85" s="134"/>
      <c r="FJ85" s="134"/>
      <c r="FK85" s="134"/>
      <c r="FL85" s="134"/>
      <c r="FM85" s="134"/>
      <c r="FN85" s="134"/>
      <c r="FO85" s="134"/>
      <c r="FP85" s="134"/>
      <c r="FQ85" s="134"/>
      <c r="FR85" s="134"/>
      <c r="FS85" s="134"/>
      <c r="FT85" s="134"/>
      <c r="FU85" s="134"/>
      <c r="FV85" s="134"/>
      <c r="FW85" s="134"/>
      <c r="FX85" s="134"/>
      <c r="FY85" s="134"/>
      <c r="FZ85" s="134"/>
      <c r="GA85" s="134"/>
      <c r="GB85" s="134"/>
      <c r="GC85" s="134"/>
      <c r="GD85" s="134"/>
      <c r="GE85" s="134"/>
      <c r="GF85" s="134"/>
      <c r="GG85" s="134"/>
      <c r="GH85" s="134"/>
      <c r="GI85" s="134"/>
      <c r="GJ85" s="134"/>
      <c r="GK85" s="134"/>
      <c r="GL85" s="134"/>
      <c r="GM85" s="134"/>
      <c r="GN85" s="134"/>
    </row>
    <row r="86" ht="15.75" customHeight="1">
      <c r="A86" s="136">
        <v>46198.0</v>
      </c>
      <c r="B86" s="18" t="s">
        <v>27</v>
      </c>
      <c r="C86" s="111" t="s">
        <v>67</v>
      </c>
      <c r="D86" s="111">
        <v>1.0</v>
      </c>
      <c r="E86" s="20">
        <v>25000.0</v>
      </c>
      <c r="F86" s="20">
        <f t="shared" si="5"/>
        <v>25000</v>
      </c>
      <c r="G86" s="21" t="s">
        <v>10</v>
      </c>
      <c r="H86" s="4"/>
      <c r="I86" s="28"/>
      <c r="J86" s="110"/>
      <c r="K86" s="111"/>
      <c r="L86" s="111"/>
      <c r="M86" s="20"/>
      <c r="N86" s="20"/>
      <c r="O86" s="21"/>
      <c r="P86" s="16"/>
      <c r="Q86" s="16"/>
      <c r="R86" s="21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</row>
    <row r="87">
      <c r="A87" s="135">
        <v>46199.0</v>
      </c>
      <c r="B87" s="12" t="s">
        <v>27</v>
      </c>
      <c r="C87" s="114" t="s">
        <v>55</v>
      </c>
      <c r="D87" s="114">
        <v>5.0</v>
      </c>
      <c r="E87" s="14">
        <v>25000.0</v>
      </c>
      <c r="F87" s="14">
        <f t="shared" si="5"/>
        <v>125000</v>
      </c>
      <c r="G87" s="15" t="s">
        <v>10</v>
      </c>
      <c r="H87" s="134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>
      <c r="A88" s="136">
        <v>46199.0</v>
      </c>
      <c r="B88" s="18" t="s">
        <v>27</v>
      </c>
      <c r="C88" s="111" t="s">
        <v>57</v>
      </c>
      <c r="D88" s="111">
        <v>1.0</v>
      </c>
      <c r="E88" s="20">
        <v>25000.0</v>
      </c>
      <c r="F88" s="20">
        <f t="shared" si="5"/>
        <v>25000</v>
      </c>
      <c r="G88" s="21" t="s">
        <v>10</v>
      </c>
      <c r="H88" s="16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>
      <c r="A89" s="135">
        <v>46200.0</v>
      </c>
      <c r="B89" s="12" t="s">
        <v>27</v>
      </c>
      <c r="C89" s="114" t="s">
        <v>55</v>
      </c>
      <c r="D89" s="114">
        <v>5.0</v>
      </c>
      <c r="E89" s="14">
        <v>25000.0</v>
      </c>
      <c r="F89" s="14">
        <f t="shared" si="5"/>
        <v>125000</v>
      </c>
      <c r="G89" s="15" t="s">
        <v>10</v>
      </c>
    </row>
    <row r="90">
      <c r="A90" s="138">
        <v>46200.0</v>
      </c>
      <c r="B90" s="29" t="s">
        <v>27</v>
      </c>
      <c r="C90" s="73" t="s">
        <v>57</v>
      </c>
      <c r="D90" s="73">
        <v>1.0</v>
      </c>
      <c r="E90" s="32">
        <v>25000.0</v>
      </c>
      <c r="F90" s="32">
        <f t="shared" si="5"/>
        <v>25000</v>
      </c>
      <c r="G90" s="33" t="s">
        <v>10</v>
      </c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>
      <c r="A91" s="135">
        <v>46200.0</v>
      </c>
      <c r="B91" s="12" t="s">
        <v>27</v>
      </c>
      <c r="C91" s="13" t="s">
        <v>244</v>
      </c>
      <c r="D91" s="13">
        <v>1.0</v>
      </c>
      <c r="E91" s="14">
        <v>25000.0</v>
      </c>
      <c r="F91" s="14">
        <f t="shared" si="5"/>
        <v>25000</v>
      </c>
      <c r="G91" s="15" t="s">
        <v>10</v>
      </c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>
      <c r="A92" s="115" t="s">
        <v>142</v>
      </c>
      <c r="C92" s="116"/>
      <c r="D92" s="117">
        <f>SUM(D73:D91)</f>
        <v>54</v>
      </c>
      <c r="E92" s="116"/>
      <c r="F92" s="118">
        <f>SUM(F73:F91)</f>
        <v>1350000</v>
      </c>
      <c r="G92" s="119"/>
    </row>
    <row r="93">
      <c r="A93" s="113"/>
      <c r="B93" s="12"/>
      <c r="C93" s="114"/>
      <c r="D93" s="114"/>
      <c r="E93" s="14"/>
      <c r="F93" s="187"/>
      <c r="G93" s="19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>
      <c r="A94" s="112"/>
      <c r="B94" s="29"/>
      <c r="C94" s="73"/>
      <c r="D94" s="73"/>
      <c r="E94" s="32"/>
      <c r="F94" s="191"/>
      <c r="G94" s="33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>
      <c r="A95" s="113"/>
      <c r="B95" s="12"/>
      <c r="C95" s="114"/>
      <c r="D95" s="114"/>
      <c r="E95" s="14"/>
      <c r="F95" s="187"/>
      <c r="G95" s="15"/>
      <c r="H95" s="134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>
      <c r="A96" s="28"/>
      <c r="B96" s="18"/>
      <c r="C96" s="111"/>
      <c r="D96" s="111"/>
      <c r="E96" s="20"/>
      <c r="F96" s="192"/>
      <c r="G96" s="21"/>
      <c r="H96" s="16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27.75" customHeight="1">
      <c r="A97" s="105" t="s">
        <v>1</v>
      </c>
      <c r="B97" s="105" t="s">
        <v>2</v>
      </c>
      <c r="C97" s="105" t="s">
        <v>3</v>
      </c>
      <c r="D97" s="106" t="s">
        <v>4</v>
      </c>
      <c r="E97" s="107" t="s">
        <v>5</v>
      </c>
      <c r="F97" s="108" t="s">
        <v>6</v>
      </c>
      <c r="G97" s="105" t="s">
        <v>84</v>
      </c>
      <c r="H97" s="134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>
      <c r="A98" s="136">
        <v>46202.0</v>
      </c>
      <c r="B98" s="18" t="s">
        <v>27</v>
      </c>
      <c r="C98" s="19" t="s">
        <v>55</v>
      </c>
      <c r="D98" s="19">
        <v>22.0</v>
      </c>
      <c r="E98" s="20">
        <v>25000.0</v>
      </c>
      <c r="F98" s="20">
        <f t="shared" ref="F98:F128" si="7">D98*E98</f>
        <v>550000</v>
      </c>
      <c r="G98" s="21" t="s">
        <v>10</v>
      </c>
      <c r="H98" s="16"/>
      <c r="I98" s="138">
        <v>46202.0</v>
      </c>
      <c r="J98" s="29" t="s">
        <v>27</v>
      </c>
      <c r="K98" s="98" t="s">
        <v>16</v>
      </c>
      <c r="L98" s="98">
        <v>2.22</v>
      </c>
      <c r="M98" s="32">
        <v>25000.0</v>
      </c>
      <c r="N98" s="32">
        <f t="shared" ref="N98:N103" si="8">L98*M98</f>
        <v>55500</v>
      </c>
      <c r="O98" s="33" t="s">
        <v>10</v>
      </c>
      <c r="P98" s="188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</row>
    <row r="99">
      <c r="A99" s="135">
        <v>46202.0</v>
      </c>
      <c r="B99" s="12" t="s">
        <v>27</v>
      </c>
      <c r="C99" s="13" t="s">
        <v>62</v>
      </c>
      <c r="D99" s="13">
        <v>3.0</v>
      </c>
      <c r="E99" s="14">
        <v>25000.0</v>
      </c>
      <c r="F99" s="14">
        <f t="shared" si="7"/>
        <v>75000</v>
      </c>
      <c r="G99" s="15" t="s">
        <v>10</v>
      </c>
      <c r="H99" s="134"/>
      <c r="I99" s="97">
        <v>46203.0</v>
      </c>
      <c r="J99" s="29" t="s">
        <v>27</v>
      </c>
      <c r="K99" s="98" t="s">
        <v>16</v>
      </c>
      <c r="L99" s="98">
        <v>1.0</v>
      </c>
      <c r="M99" s="32">
        <v>25000.0</v>
      </c>
      <c r="N99" s="32">
        <f t="shared" si="8"/>
        <v>25000</v>
      </c>
      <c r="O99" s="33" t="s">
        <v>10</v>
      </c>
      <c r="P99" s="188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</row>
    <row r="100">
      <c r="A100" s="136">
        <v>46202.0</v>
      </c>
      <c r="B100" s="18" t="s">
        <v>27</v>
      </c>
      <c r="C100" s="19" t="s">
        <v>60</v>
      </c>
      <c r="D100" s="19">
        <v>1.0</v>
      </c>
      <c r="E100" s="20">
        <v>25000.0</v>
      </c>
      <c r="F100" s="20">
        <f t="shared" si="7"/>
        <v>25000</v>
      </c>
      <c r="G100" s="21" t="s">
        <v>10</v>
      </c>
      <c r="H100" s="16"/>
      <c r="I100" s="97">
        <v>46204.0</v>
      </c>
      <c r="J100" s="29" t="s">
        <v>27</v>
      </c>
      <c r="K100" s="98" t="s">
        <v>16</v>
      </c>
      <c r="L100" s="98">
        <v>0.94</v>
      </c>
      <c r="M100" s="32">
        <v>25000.0</v>
      </c>
      <c r="N100" s="32">
        <f t="shared" si="8"/>
        <v>23500</v>
      </c>
      <c r="O100" s="33" t="s">
        <v>10</v>
      </c>
      <c r="P100" s="188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</row>
    <row r="101">
      <c r="A101" s="135">
        <v>46202.0</v>
      </c>
      <c r="B101" s="12" t="s">
        <v>27</v>
      </c>
      <c r="C101" s="13" t="s">
        <v>29</v>
      </c>
      <c r="D101" s="13">
        <v>2.0</v>
      </c>
      <c r="E101" s="14">
        <v>25000.0</v>
      </c>
      <c r="F101" s="14">
        <f t="shared" si="7"/>
        <v>50000</v>
      </c>
      <c r="G101" s="15" t="s">
        <v>10</v>
      </c>
      <c r="H101" s="134"/>
      <c r="I101" s="97">
        <v>46205.0</v>
      </c>
      <c r="J101" s="29" t="s">
        <v>27</v>
      </c>
      <c r="K101" s="98" t="s">
        <v>16</v>
      </c>
      <c r="L101" s="98">
        <v>1.82</v>
      </c>
      <c r="M101" s="32">
        <v>25000.0</v>
      </c>
      <c r="N101" s="32">
        <f t="shared" si="8"/>
        <v>45500</v>
      </c>
      <c r="O101" s="33" t="s">
        <v>10</v>
      </c>
      <c r="P101" s="188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</row>
    <row r="102">
      <c r="A102" s="17">
        <v>46203.0</v>
      </c>
      <c r="B102" s="18" t="s">
        <v>27</v>
      </c>
      <c r="C102" s="19" t="s">
        <v>55</v>
      </c>
      <c r="D102" s="19">
        <v>11.0</v>
      </c>
      <c r="E102" s="20">
        <v>25000.0</v>
      </c>
      <c r="F102" s="20">
        <f t="shared" si="7"/>
        <v>275000</v>
      </c>
      <c r="G102" s="21" t="s">
        <v>10</v>
      </c>
      <c r="H102" s="16"/>
      <c r="I102" s="97">
        <v>46206.0</v>
      </c>
      <c r="J102" s="29" t="s">
        <v>27</v>
      </c>
      <c r="K102" s="98" t="s">
        <v>16</v>
      </c>
      <c r="L102" s="98">
        <v>2.02</v>
      </c>
      <c r="M102" s="32">
        <v>25000.0</v>
      </c>
      <c r="N102" s="32">
        <f t="shared" si="8"/>
        <v>50500</v>
      </c>
      <c r="O102" s="33" t="s">
        <v>10</v>
      </c>
      <c r="P102" s="188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</row>
    <row r="103">
      <c r="A103" s="11">
        <v>46203.0</v>
      </c>
      <c r="B103" s="12" t="s">
        <v>27</v>
      </c>
      <c r="C103" s="13" t="s">
        <v>57</v>
      </c>
      <c r="D103" s="13">
        <v>1.0</v>
      </c>
      <c r="E103" s="14">
        <v>25000.0</v>
      </c>
      <c r="F103" s="14">
        <f t="shared" si="7"/>
        <v>25000</v>
      </c>
      <c r="G103" s="15" t="s">
        <v>10</v>
      </c>
      <c r="H103" s="134"/>
      <c r="I103" s="97">
        <v>46207.0</v>
      </c>
      <c r="J103" s="29" t="s">
        <v>27</v>
      </c>
      <c r="K103" s="98" t="s">
        <v>16</v>
      </c>
      <c r="L103" s="98">
        <v>1.46</v>
      </c>
      <c r="M103" s="32">
        <v>25000.0</v>
      </c>
      <c r="N103" s="32">
        <f t="shared" si="8"/>
        <v>36500</v>
      </c>
      <c r="O103" s="33" t="s">
        <v>10</v>
      </c>
      <c r="P103" s="188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</row>
    <row r="104">
      <c r="A104" s="17">
        <v>46203.0</v>
      </c>
      <c r="B104" s="18" t="s">
        <v>27</v>
      </c>
      <c r="C104" s="19" t="s">
        <v>245</v>
      </c>
      <c r="D104" s="19">
        <v>1.0</v>
      </c>
      <c r="E104" s="20">
        <v>25000.0</v>
      </c>
      <c r="F104" s="20">
        <f t="shared" si="7"/>
        <v>25000</v>
      </c>
      <c r="G104" s="21" t="s">
        <v>10</v>
      </c>
      <c r="H104" s="16"/>
      <c r="I104" s="115" t="s">
        <v>142</v>
      </c>
      <c r="K104" s="116"/>
      <c r="L104" s="117">
        <f>SUM(L98:L103)</f>
        <v>9.46</v>
      </c>
      <c r="M104" s="116"/>
      <c r="N104" s="118">
        <f>SUM(N98:N103)</f>
        <v>236500</v>
      </c>
      <c r="O104" s="119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>
      <c r="A105" s="11">
        <v>46203.0</v>
      </c>
      <c r="B105" s="12" t="s">
        <v>27</v>
      </c>
      <c r="C105" s="13" t="s">
        <v>35</v>
      </c>
      <c r="D105" s="13">
        <v>1.0</v>
      </c>
      <c r="E105" s="14">
        <v>25000.0</v>
      </c>
      <c r="F105" s="14">
        <f t="shared" si="7"/>
        <v>25000</v>
      </c>
      <c r="G105" s="15" t="s">
        <v>10</v>
      </c>
      <c r="H105" s="134"/>
      <c r="I105" s="115" t="s">
        <v>142</v>
      </c>
      <c r="K105" s="116"/>
      <c r="L105" s="117">
        <f>SUM(D129,L104)</f>
        <v>143.46</v>
      </c>
      <c r="M105" s="116"/>
      <c r="N105" s="123">
        <f>SUM(F129,N104)</f>
        <v>3586500</v>
      </c>
      <c r="O105" s="119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>
      <c r="A106" s="17">
        <v>46204.0</v>
      </c>
      <c r="B106" s="18" t="s">
        <v>27</v>
      </c>
      <c r="C106" s="19" t="s">
        <v>75</v>
      </c>
      <c r="D106" s="19">
        <v>14.0</v>
      </c>
      <c r="E106" s="20">
        <v>25000.0</v>
      </c>
      <c r="F106" s="20">
        <f t="shared" si="7"/>
        <v>350000</v>
      </c>
      <c r="G106" s="21" t="s">
        <v>10</v>
      </c>
      <c r="H106" s="16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>
      <c r="A107" s="11">
        <v>46204.0</v>
      </c>
      <c r="B107" s="12" t="s">
        <v>27</v>
      </c>
      <c r="C107" s="13" t="s">
        <v>67</v>
      </c>
      <c r="D107" s="13">
        <v>1.0</v>
      </c>
      <c r="E107" s="14">
        <v>25000.0</v>
      </c>
      <c r="F107" s="14">
        <f t="shared" si="7"/>
        <v>25000</v>
      </c>
      <c r="G107" s="15" t="s">
        <v>10</v>
      </c>
      <c r="H107" s="134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>
      <c r="A108" s="17">
        <v>46204.0</v>
      </c>
      <c r="B108" s="18" t="s">
        <v>27</v>
      </c>
      <c r="C108" s="19" t="s">
        <v>29</v>
      </c>
      <c r="D108" s="19">
        <v>1.0</v>
      </c>
      <c r="E108" s="20">
        <v>25000.0</v>
      </c>
      <c r="F108" s="20">
        <f t="shared" si="7"/>
        <v>25000</v>
      </c>
      <c r="G108" s="21" t="s">
        <v>10</v>
      </c>
      <c r="H108" s="16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>
      <c r="A109" s="11">
        <v>46204.0</v>
      </c>
      <c r="B109" s="12" t="s">
        <v>27</v>
      </c>
      <c r="C109" s="13" t="s">
        <v>71</v>
      </c>
      <c r="D109" s="13">
        <v>1.0</v>
      </c>
      <c r="E109" s="14">
        <v>25000.0</v>
      </c>
      <c r="F109" s="14">
        <f t="shared" si="7"/>
        <v>25000</v>
      </c>
      <c r="G109" s="15" t="s">
        <v>10</v>
      </c>
      <c r="H109" s="134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>
      <c r="A110" s="17">
        <v>46204.0</v>
      </c>
      <c r="B110" s="18" t="s">
        <v>27</v>
      </c>
      <c r="C110" s="19" t="s">
        <v>56</v>
      </c>
      <c r="D110" s="19">
        <v>1.0</v>
      </c>
      <c r="E110" s="20">
        <v>25000.0</v>
      </c>
      <c r="F110" s="20">
        <f t="shared" si="7"/>
        <v>25000</v>
      </c>
      <c r="G110" s="21" t="s">
        <v>10</v>
      </c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1">
        <v>46204.0</v>
      </c>
      <c r="B111" s="12" t="s">
        <v>27</v>
      </c>
      <c r="C111" s="13" t="s">
        <v>195</v>
      </c>
      <c r="D111" s="13">
        <v>1.0</v>
      </c>
      <c r="E111" s="14">
        <v>25000.0</v>
      </c>
      <c r="F111" s="14">
        <f t="shared" si="7"/>
        <v>25000</v>
      </c>
      <c r="G111" s="15" t="s">
        <v>10</v>
      </c>
      <c r="H111" s="134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>
      <c r="A112" s="17">
        <v>46204.0</v>
      </c>
      <c r="B112" s="18" t="s">
        <v>27</v>
      </c>
      <c r="C112" s="19" t="s">
        <v>57</v>
      </c>
      <c r="D112" s="19">
        <v>2.0</v>
      </c>
      <c r="E112" s="20">
        <v>25000.0</v>
      </c>
      <c r="F112" s="20">
        <f t="shared" si="7"/>
        <v>50000</v>
      </c>
      <c r="G112" s="21" t="s">
        <v>10</v>
      </c>
      <c r="H112" s="193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>
      <c r="A113" s="11">
        <v>46205.0</v>
      </c>
      <c r="B113" s="12" t="s">
        <v>27</v>
      </c>
      <c r="C113" s="13" t="s">
        <v>75</v>
      </c>
      <c r="D113" s="13">
        <v>15.0</v>
      </c>
      <c r="E113" s="14">
        <v>25000.0</v>
      </c>
      <c r="F113" s="14">
        <f t="shared" si="7"/>
        <v>375000</v>
      </c>
      <c r="G113" s="15" t="s">
        <v>10</v>
      </c>
      <c r="H113" s="134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>
      <c r="A114" s="17">
        <v>46205.0</v>
      </c>
      <c r="B114" s="18" t="s">
        <v>27</v>
      </c>
      <c r="C114" s="19" t="s">
        <v>29</v>
      </c>
      <c r="D114" s="19">
        <v>1.0</v>
      </c>
      <c r="E114" s="20">
        <v>25000.0</v>
      </c>
      <c r="F114" s="20">
        <f t="shared" si="7"/>
        <v>25000</v>
      </c>
      <c r="G114" s="21" t="s">
        <v>10</v>
      </c>
      <c r="H114" s="16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>
      <c r="A115" s="11">
        <v>46205.0</v>
      </c>
      <c r="B115" s="12" t="s">
        <v>27</v>
      </c>
      <c r="C115" s="13" t="s">
        <v>246</v>
      </c>
      <c r="D115" s="13">
        <v>1.0</v>
      </c>
      <c r="E115" s="14">
        <v>25000.0</v>
      </c>
      <c r="F115" s="14">
        <f t="shared" si="7"/>
        <v>25000</v>
      </c>
      <c r="G115" s="15" t="s">
        <v>10</v>
      </c>
      <c r="H115" s="134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>
      <c r="A116" s="17">
        <v>46205.0</v>
      </c>
      <c r="B116" s="18" t="s">
        <v>27</v>
      </c>
      <c r="C116" s="19" t="s">
        <v>247</v>
      </c>
      <c r="D116" s="19">
        <v>1.0</v>
      </c>
      <c r="E116" s="20">
        <v>25000.0</v>
      </c>
      <c r="F116" s="20">
        <f t="shared" si="7"/>
        <v>25000</v>
      </c>
      <c r="G116" s="21" t="s">
        <v>10</v>
      </c>
      <c r="H116" s="16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>
      <c r="A117" s="11">
        <v>46205.0</v>
      </c>
      <c r="B117" s="12" t="s">
        <v>27</v>
      </c>
      <c r="C117" s="13" t="s">
        <v>248</v>
      </c>
      <c r="D117" s="13">
        <v>1.0</v>
      </c>
      <c r="E117" s="14">
        <v>25000.0</v>
      </c>
      <c r="F117" s="14">
        <f t="shared" si="7"/>
        <v>25000</v>
      </c>
      <c r="G117" s="15" t="s">
        <v>10</v>
      </c>
      <c r="H117" s="134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>
      <c r="A118" s="17">
        <v>46205.0</v>
      </c>
      <c r="B118" s="18" t="s">
        <v>27</v>
      </c>
      <c r="C118" s="19" t="s">
        <v>14</v>
      </c>
      <c r="D118" s="19">
        <v>1.0</v>
      </c>
      <c r="E118" s="20">
        <v>25000.0</v>
      </c>
      <c r="F118" s="20">
        <f t="shared" si="7"/>
        <v>25000</v>
      </c>
      <c r="G118" s="21" t="s">
        <v>10</v>
      </c>
      <c r="H118" s="16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>
      <c r="A119" s="11">
        <v>46205.0</v>
      </c>
      <c r="B119" s="12" t="s">
        <v>27</v>
      </c>
      <c r="C119" s="13" t="s">
        <v>249</v>
      </c>
      <c r="D119" s="13">
        <v>1.0</v>
      </c>
      <c r="E119" s="14">
        <v>25000.0</v>
      </c>
      <c r="F119" s="14">
        <f t="shared" si="7"/>
        <v>25000</v>
      </c>
      <c r="G119" s="15" t="s">
        <v>10</v>
      </c>
      <c r="H119" s="134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>
      <c r="A120" s="17">
        <v>46206.0</v>
      </c>
      <c r="B120" s="18" t="s">
        <v>27</v>
      </c>
      <c r="C120" s="19" t="s">
        <v>75</v>
      </c>
      <c r="D120" s="19">
        <v>25.0</v>
      </c>
      <c r="E120" s="20">
        <v>25000.0</v>
      </c>
      <c r="F120" s="20">
        <f t="shared" si="7"/>
        <v>625000</v>
      </c>
      <c r="G120" s="21" t="s">
        <v>10</v>
      </c>
      <c r="H120" s="16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>
      <c r="A121" s="11">
        <v>46206.0</v>
      </c>
      <c r="B121" s="12" t="s">
        <v>27</v>
      </c>
      <c r="C121" s="13" t="s">
        <v>250</v>
      </c>
      <c r="D121" s="13">
        <v>1.0</v>
      </c>
      <c r="E121" s="14">
        <v>25000.0</v>
      </c>
      <c r="F121" s="14">
        <f t="shared" si="7"/>
        <v>25000</v>
      </c>
      <c r="G121" s="15" t="s">
        <v>10</v>
      </c>
      <c r="H121" s="134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>
      <c r="A122" s="17">
        <v>46206.0</v>
      </c>
      <c r="B122" s="18" t="s">
        <v>27</v>
      </c>
      <c r="C122" s="19" t="s">
        <v>57</v>
      </c>
      <c r="D122" s="19">
        <v>2.0</v>
      </c>
      <c r="E122" s="20">
        <v>25000.0</v>
      </c>
      <c r="F122" s="20">
        <f t="shared" si="7"/>
        <v>50000</v>
      </c>
      <c r="G122" s="21" t="s">
        <v>10</v>
      </c>
      <c r="H122" s="16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>
      <c r="A123" s="11">
        <v>46206.0</v>
      </c>
      <c r="B123" s="12" t="s">
        <v>27</v>
      </c>
      <c r="C123" s="13" t="s">
        <v>29</v>
      </c>
      <c r="D123" s="13">
        <v>1.0</v>
      </c>
      <c r="E123" s="14">
        <v>25000.0</v>
      </c>
      <c r="F123" s="14">
        <f t="shared" si="7"/>
        <v>25000</v>
      </c>
      <c r="G123" s="15" t="s">
        <v>10</v>
      </c>
      <c r="H123" s="134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>
      <c r="A124" s="17">
        <v>46206.0</v>
      </c>
      <c r="B124" s="18" t="s">
        <v>27</v>
      </c>
      <c r="C124" s="19" t="s">
        <v>251</v>
      </c>
      <c r="D124" s="19">
        <v>1.0</v>
      </c>
      <c r="E124" s="20">
        <v>25000.0</v>
      </c>
      <c r="F124" s="20">
        <f t="shared" si="7"/>
        <v>25000</v>
      </c>
      <c r="G124" s="21" t="s">
        <v>10</v>
      </c>
      <c r="H124" s="16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>
      <c r="A125" s="11">
        <v>46206.0</v>
      </c>
      <c r="B125" s="12" t="s">
        <v>27</v>
      </c>
      <c r="C125" s="13" t="s">
        <v>252</v>
      </c>
      <c r="D125" s="13">
        <v>1.0</v>
      </c>
      <c r="E125" s="14">
        <v>25000.0</v>
      </c>
      <c r="F125" s="14">
        <f t="shared" si="7"/>
        <v>25000</v>
      </c>
      <c r="G125" s="15" t="s">
        <v>10</v>
      </c>
      <c r="H125" s="134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>
      <c r="A126" s="17">
        <v>46207.0</v>
      </c>
      <c r="B126" s="18" t="s">
        <v>27</v>
      </c>
      <c r="C126" s="19" t="s">
        <v>75</v>
      </c>
      <c r="D126" s="19">
        <v>15.0</v>
      </c>
      <c r="E126" s="20">
        <v>25000.0</v>
      </c>
      <c r="F126" s="20">
        <f t="shared" si="7"/>
        <v>375000</v>
      </c>
      <c r="G126" s="21" t="s">
        <v>10</v>
      </c>
      <c r="H126" s="16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>
      <c r="A127" s="11">
        <v>46207.0</v>
      </c>
      <c r="B127" s="12" t="s">
        <v>27</v>
      </c>
      <c r="C127" s="13" t="s">
        <v>57</v>
      </c>
      <c r="D127" s="13">
        <v>2.0</v>
      </c>
      <c r="E127" s="14">
        <v>25000.0</v>
      </c>
      <c r="F127" s="14">
        <f t="shared" si="7"/>
        <v>50000</v>
      </c>
      <c r="G127" s="15" t="s">
        <v>10</v>
      </c>
      <c r="H127" s="134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>
      <c r="A128" s="17">
        <v>46207.0</v>
      </c>
      <c r="B128" s="18" t="s">
        <v>27</v>
      </c>
      <c r="C128" s="19" t="s">
        <v>29</v>
      </c>
      <c r="D128" s="19">
        <v>2.0</v>
      </c>
      <c r="E128" s="20">
        <v>25000.0</v>
      </c>
      <c r="F128" s="20">
        <f t="shared" si="7"/>
        <v>50000</v>
      </c>
      <c r="G128" s="21" t="s">
        <v>10</v>
      </c>
      <c r="H128" s="16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>
      <c r="A129" s="115" t="s">
        <v>142</v>
      </c>
      <c r="C129" s="116"/>
      <c r="D129" s="117">
        <f>SUM(D98:D128)</f>
        <v>134</v>
      </c>
      <c r="E129" s="116"/>
      <c r="F129" s="118">
        <f>SUM(F98:F128)</f>
        <v>3350000</v>
      </c>
      <c r="G129" s="119"/>
      <c r="H129" s="134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>
      <c r="A130" s="28"/>
      <c r="B130" s="18"/>
      <c r="C130" s="111"/>
      <c r="D130" s="111"/>
      <c r="E130" s="20"/>
      <c r="F130" s="20"/>
      <c r="G130" s="21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13"/>
      <c r="B131" s="12"/>
      <c r="C131" s="114"/>
      <c r="D131" s="114"/>
      <c r="E131" s="14"/>
      <c r="F131" s="14"/>
      <c r="G131" s="15"/>
      <c r="H131" s="134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>
      <c r="A132" s="28"/>
      <c r="B132" s="18"/>
      <c r="C132" s="111"/>
      <c r="D132" s="111"/>
      <c r="E132" s="20"/>
      <c r="F132" s="20"/>
      <c r="G132" s="21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13"/>
      <c r="B133" s="12"/>
      <c r="C133" s="114"/>
      <c r="D133" s="114"/>
      <c r="E133" s="14"/>
      <c r="F133" s="14"/>
      <c r="G133" s="15"/>
      <c r="H133" s="194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>
      <c r="A134" s="28"/>
      <c r="B134" s="18"/>
      <c r="C134" s="111"/>
      <c r="D134" s="111"/>
      <c r="E134" s="20"/>
      <c r="F134" s="20"/>
      <c r="G134" s="21"/>
      <c r="H134" s="195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>
      <c r="A135" s="113"/>
      <c r="B135" s="12"/>
      <c r="C135" s="114"/>
      <c r="D135" s="114"/>
      <c r="E135" s="14"/>
      <c r="F135" s="14"/>
      <c r="G135" s="15"/>
      <c r="H135" s="196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>
      <c r="A136" s="28"/>
      <c r="B136" s="18"/>
      <c r="C136" s="111"/>
      <c r="D136" s="111"/>
      <c r="E136" s="20"/>
      <c r="F136" s="20"/>
      <c r="G136" s="21"/>
      <c r="H136" s="16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>
      <c r="A137" s="113"/>
      <c r="B137" s="12"/>
      <c r="C137" s="114"/>
      <c r="D137" s="114"/>
      <c r="E137" s="14"/>
      <c r="F137" s="14"/>
      <c r="G137" s="15"/>
      <c r="H137" s="134"/>
      <c r="I137" s="197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>
      <c r="A138" s="28"/>
      <c r="B138" s="18"/>
      <c r="C138" s="111"/>
      <c r="D138" s="111"/>
      <c r="E138" s="20"/>
      <c r="F138" s="20"/>
      <c r="G138" s="21"/>
      <c r="H138" s="16"/>
      <c r="I138" s="197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>
      <c r="A139" s="113"/>
      <c r="B139" s="12"/>
      <c r="C139" s="114"/>
      <c r="D139" s="114"/>
      <c r="E139" s="14"/>
      <c r="F139" s="14"/>
      <c r="G139" s="15"/>
      <c r="H139" s="134"/>
      <c r="I139" s="197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>
      <c r="A140" s="28"/>
      <c r="B140" s="18"/>
      <c r="C140" s="111"/>
      <c r="D140" s="111"/>
      <c r="E140" s="20"/>
      <c r="F140" s="20"/>
      <c r="G140" s="21"/>
      <c r="H140" s="16"/>
      <c r="I140" s="197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>
      <c r="A141" s="113"/>
      <c r="B141" s="12"/>
      <c r="C141" s="114"/>
      <c r="D141" s="114"/>
      <c r="E141" s="14"/>
      <c r="F141" s="14"/>
      <c r="G141" s="15"/>
      <c r="H141" s="134"/>
      <c r="I141" s="197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>
      <c r="A142" s="28"/>
      <c r="B142" s="18"/>
      <c r="C142" s="111"/>
      <c r="D142" s="111"/>
      <c r="E142" s="20"/>
      <c r="F142" s="20"/>
      <c r="G142" s="21"/>
      <c r="H142" s="16"/>
      <c r="I142" s="197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>
      <c r="A143" s="113"/>
      <c r="B143" s="12"/>
      <c r="C143" s="114"/>
      <c r="D143" s="114"/>
      <c r="E143" s="14"/>
      <c r="F143" s="14"/>
      <c r="G143" s="15"/>
      <c r="H143" s="134"/>
      <c r="I143" s="197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>
      <c r="A144" s="28"/>
      <c r="B144" s="18"/>
      <c r="C144" s="111"/>
      <c r="D144" s="111"/>
      <c r="E144" s="20"/>
      <c r="F144" s="20"/>
      <c r="G144" s="21"/>
      <c r="H144" s="16"/>
      <c r="I144" s="197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>
      <c r="A145" s="113"/>
      <c r="B145" s="12"/>
      <c r="C145" s="114"/>
      <c r="D145" s="114"/>
      <c r="E145" s="14"/>
      <c r="F145" s="14"/>
      <c r="G145" s="15"/>
      <c r="H145" s="134"/>
      <c r="I145" s="197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>
      <c r="A146" s="28"/>
      <c r="B146" s="18"/>
      <c r="C146" s="111"/>
      <c r="D146" s="111"/>
      <c r="E146" s="20"/>
      <c r="F146" s="20"/>
      <c r="G146" s="21"/>
      <c r="H146" s="16"/>
      <c r="I146" s="197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>
      <c r="A147" s="113"/>
      <c r="B147" s="12"/>
      <c r="C147" s="114"/>
      <c r="D147" s="114"/>
      <c r="E147" s="14"/>
      <c r="F147" s="14"/>
      <c r="G147" s="15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>
      <c r="A148" s="28"/>
      <c r="B148" s="18"/>
      <c r="C148" s="111"/>
      <c r="D148" s="111"/>
      <c r="E148" s="20"/>
      <c r="F148" s="20"/>
      <c r="G148" s="21"/>
      <c r="H148" s="16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>
      <c r="A149" s="113"/>
      <c r="B149" s="12"/>
      <c r="C149" s="114"/>
      <c r="D149" s="114"/>
      <c r="E149" s="14"/>
      <c r="F149" s="14"/>
      <c r="G149" s="15"/>
      <c r="H149" s="134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>
      <c r="A150" s="28"/>
      <c r="B150" s="18"/>
      <c r="C150" s="111"/>
      <c r="D150" s="111"/>
      <c r="E150" s="20"/>
      <c r="F150" s="20"/>
      <c r="G150" s="21"/>
      <c r="H150" s="16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>
      <c r="A151" s="113"/>
      <c r="B151" s="12"/>
      <c r="C151" s="114"/>
      <c r="D151" s="114"/>
      <c r="E151" s="14"/>
      <c r="F151" s="14"/>
      <c r="G151" s="15"/>
      <c r="H151" s="134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>
      <c r="A152" s="28"/>
      <c r="B152" s="18"/>
      <c r="C152" s="111"/>
      <c r="D152" s="111"/>
      <c r="E152" s="20"/>
      <c r="F152" s="20"/>
      <c r="G152" s="21"/>
      <c r="H152" s="16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>
      <c r="A153" s="113"/>
      <c r="B153" s="12"/>
      <c r="C153" s="114"/>
      <c r="D153" s="114"/>
      <c r="E153" s="14"/>
      <c r="F153" s="14"/>
      <c r="G153" s="15"/>
      <c r="H153" s="134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>
      <c r="A154" s="28"/>
      <c r="B154" s="18"/>
      <c r="C154" s="111"/>
      <c r="D154" s="111"/>
      <c r="E154" s="20"/>
      <c r="F154" s="20"/>
      <c r="G154" s="21"/>
      <c r="H154" s="16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>
      <c r="A155" s="113"/>
      <c r="B155" s="12"/>
      <c r="C155" s="114"/>
      <c r="D155" s="114"/>
      <c r="E155" s="14"/>
      <c r="F155" s="14"/>
      <c r="G155" s="15"/>
      <c r="H155" s="134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>
      <c r="A156" s="28"/>
      <c r="B156" s="18"/>
      <c r="C156" s="111"/>
      <c r="D156" s="111"/>
      <c r="E156" s="20"/>
      <c r="F156" s="20"/>
      <c r="G156" s="21"/>
      <c r="H156" s="16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>
      <c r="A157" s="115"/>
      <c r="C157" s="116"/>
      <c r="D157" s="117"/>
      <c r="E157" s="116"/>
      <c r="F157" s="119"/>
      <c r="G157" s="119"/>
      <c r="H157" s="198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10"/>
      <c r="B158" s="110"/>
      <c r="C158" s="110"/>
      <c r="D158" s="139"/>
      <c r="E158" s="110"/>
      <c r="F158" s="199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20.25" customHeight="1">
      <c r="A159" s="105"/>
      <c r="B159" s="105"/>
      <c r="C159" s="105"/>
      <c r="D159" s="106"/>
      <c r="E159" s="107"/>
      <c r="F159" s="108"/>
      <c r="G159" s="105"/>
      <c r="I159" s="110"/>
      <c r="J159" s="28"/>
      <c r="K159" s="18"/>
      <c r="L159" s="111"/>
      <c r="M159" s="111"/>
      <c r="N159" s="20"/>
      <c r="O159" s="20"/>
      <c r="P159" s="21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>
      <c r="A160" s="154"/>
      <c r="B160" s="155"/>
      <c r="C160" s="155"/>
      <c r="D160" s="155"/>
      <c r="E160" s="32"/>
      <c r="F160" s="191"/>
      <c r="G160" s="156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>
      <c r="A161" s="200"/>
      <c r="B161" s="201"/>
      <c r="C161" s="201"/>
      <c r="D161" s="201"/>
      <c r="E161" s="202"/>
      <c r="F161" s="203"/>
      <c r="G161" s="204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>
      <c r="A162" s="154"/>
      <c r="B162" s="155"/>
      <c r="C162" s="155"/>
      <c r="D162" s="155"/>
      <c r="E162" s="32"/>
      <c r="F162" s="191"/>
      <c r="G162" s="156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>
      <c r="A163" s="157"/>
      <c r="B163" s="29"/>
      <c r="C163" s="73"/>
      <c r="D163" s="73"/>
      <c r="E163" s="32"/>
      <c r="F163" s="191"/>
      <c r="G163" s="33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>
      <c r="A164" s="157"/>
      <c r="B164" s="29"/>
      <c r="C164" s="73"/>
      <c r="D164" s="73"/>
      <c r="E164" s="32"/>
      <c r="F164" s="191"/>
      <c r="G164" s="33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>
      <c r="A165" s="157"/>
      <c r="B165" s="29"/>
      <c r="C165" s="73"/>
      <c r="D165" s="73"/>
      <c r="E165" s="32"/>
      <c r="F165" s="191"/>
      <c r="G165" s="33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>
      <c r="A166" s="157"/>
      <c r="B166" s="29"/>
      <c r="C166" s="73"/>
      <c r="D166" s="73"/>
      <c r="E166" s="32"/>
      <c r="F166" s="191"/>
      <c r="G166" s="33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>
      <c r="A167" s="205"/>
      <c r="B167" s="206"/>
      <c r="C167" s="207"/>
      <c r="D167" s="207"/>
      <c r="E167" s="208"/>
      <c r="F167" s="209"/>
      <c r="G167" s="2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>
      <c r="A168" s="28"/>
      <c r="B168" s="18"/>
      <c r="C168" s="111"/>
      <c r="D168" s="111"/>
      <c r="E168" s="20"/>
      <c r="F168" s="192"/>
      <c r="G168" s="21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>
      <c r="A169" s="171"/>
      <c r="B169" s="172"/>
      <c r="C169" s="173"/>
      <c r="D169" s="173"/>
      <c r="E169" s="174"/>
      <c r="F169" s="211"/>
      <c r="G169" s="175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>
      <c r="A170" s="28"/>
      <c r="B170" s="18"/>
      <c r="C170" s="111"/>
      <c r="D170" s="111"/>
      <c r="E170" s="20"/>
      <c r="F170" s="192"/>
      <c r="G170" s="21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>
      <c r="A171" s="171"/>
      <c r="B171" s="172"/>
      <c r="C171" s="173"/>
      <c r="D171" s="173"/>
      <c r="E171" s="174"/>
      <c r="F171" s="211"/>
      <c r="G171" s="175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>
      <c r="A172" s="28"/>
      <c r="B172" s="18"/>
      <c r="C172" s="111"/>
      <c r="D172" s="111"/>
      <c r="E172" s="20"/>
      <c r="F172" s="192"/>
      <c r="G172" s="21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>
      <c r="A173" s="171"/>
      <c r="B173" s="172"/>
      <c r="C173" s="173"/>
      <c r="D173" s="173"/>
      <c r="E173" s="174"/>
      <c r="F173" s="211"/>
      <c r="G173" s="175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>
      <c r="A174" s="28"/>
      <c r="B174" s="18"/>
      <c r="C174" s="111"/>
      <c r="D174" s="111"/>
      <c r="E174" s="20"/>
      <c r="F174" s="192"/>
      <c r="G174" s="21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>
      <c r="A175" s="115"/>
      <c r="C175" s="116"/>
      <c r="D175" s="117"/>
      <c r="E175" s="116"/>
      <c r="F175" s="119"/>
      <c r="G175" s="119"/>
      <c r="H175" s="198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212"/>
      <c r="B176" s="21"/>
      <c r="C176" s="21"/>
      <c r="D176" s="213"/>
      <c r="E176" s="214"/>
      <c r="F176" s="215"/>
      <c r="G176" s="195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>
      <c r="A177" s="176"/>
      <c r="B177" s="178"/>
      <c r="C177" s="178"/>
      <c r="D177" s="178"/>
      <c r="E177" s="174"/>
      <c r="F177" s="211"/>
      <c r="G177" s="216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>
      <c r="A178" s="28"/>
      <c r="B178" s="18"/>
      <c r="C178" s="111"/>
      <c r="D178" s="111"/>
      <c r="E178" s="20"/>
      <c r="F178" s="192"/>
      <c r="G178" s="21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>
      <c r="A179" s="171"/>
      <c r="B179" s="172"/>
      <c r="C179" s="173"/>
      <c r="D179" s="173"/>
      <c r="E179" s="174"/>
      <c r="F179" s="211"/>
      <c r="G179" s="175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>
      <c r="A180" s="28"/>
      <c r="B180" s="18"/>
      <c r="C180" s="111"/>
      <c r="D180" s="111"/>
      <c r="E180" s="20"/>
      <c r="F180" s="192"/>
      <c r="G180" s="21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>
      <c r="A181" s="171"/>
      <c r="B181" s="172"/>
      <c r="C181" s="173"/>
      <c r="D181" s="173"/>
      <c r="E181" s="174"/>
      <c r="F181" s="211"/>
      <c r="G181" s="175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>
      <c r="A182" s="28"/>
      <c r="B182" s="18"/>
      <c r="C182" s="111"/>
      <c r="D182" s="111"/>
      <c r="E182" s="20"/>
      <c r="F182" s="192"/>
      <c r="G182" s="21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>
      <c r="A183" s="115"/>
      <c r="C183" s="116"/>
      <c r="D183" s="117"/>
      <c r="E183" s="116"/>
      <c r="F183" s="117"/>
      <c r="G183" s="119"/>
      <c r="H183" s="198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212"/>
      <c r="B184" s="21"/>
      <c r="C184" s="21"/>
      <c r="D184" s="213"/>
      <c r="E184" s="214"/>
      <c r="F184" s="213"/>
      <c r="G184" s="195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>
      <c r="A185" s="212"/>
      <c r="B185" s="21"/>
      <c r="C185" s="21"/>
      <c r="D185" s="111"/>
      <c r="E185" s="214"/>
      <c r="F185" s="215"/>
      <c r="G185" s="217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>
      <c r="A186" s="212"/>
      <c r="B186" s="21"/>
      <c r="C186" s="21"/>
      <c r="D186" s="213"/>
      <c r="E186" s="214"/>
      <c r="F186" s="215"/>
      <c r="G186" s="195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>
      <c r="A187" s="212"/>
      <c r="B187" s="21"/>
      <c r="C187" s="21"/>
      <c r="D187" s="213"/>
      <c r="E187" s="214"/>
      <c r="F187" s="215"/>
      <c r="G187" s="217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>
      <c r="A188" s="212"/>
      <c r="B188" s="21"/>
      <c r="C188" s="21"/>
      <c r="D188" s="213"/>
      <c r="E188" s="214"/>
      <c r="F188" s="215"/>
      <c r="G188" s="195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>
      <c r="A189" s="212"/>
      <c r="B189" s="21"/>
      <c r="C189" s="21"/>
      <c r="D189" s="213"/>
      <c r="E189" s="214"/>
      <c r="F189" s="215"/>
      <c r="G189" s="217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>
      <c r="A190" s="212"/>
      <c r="B190" s="21"/>
      <c r="C190" s="21"/>
      <c r="D190" s="213"/>
      <c r="E190" s="214"/>
      <c r="F190" s="215"/>
      <c r="G190" s="195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>
      <c r="A191" s="212"/>
      <c r="B191" s="21"/>
      <c r="C191" s="21"/>
      <c r="D191" s="213"/>
      <c r="E191" s="214"/>
      <c r="F191" s="215"/>
      <c r="G191" s="217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>
      <c r="A192" s="212"/>
      <c r="B192" s="21"/>
      <c r="C192" s="21"/>
      <c r="D192" s="213"/>
      <c r="E192" s="214"/>
      <c r="F192" s="215"/>
      <c r="G192" s="195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>
      <c r="A193" s="212"/>
      <c r="B193" s="21"/>
      <c r="C193" s="21"/>
      <c r="D193" s="213"/>
      <c r="E193" s="214"/>
      <c r="F193" s="215"/>
      <c r="G193" s="217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>
      <c r="A194" s="212"/>
      <c r="B194" s="21"/>
      <c r="C194" s="21"/>
      <c r="D194" s="213"/>
      <c r="E194" s="214"/>
      <c r="F194" s="215"/>
      <c r="G194" s="195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>
      <c r="A195" s="212"/>
      <c r="B195" s="21"/>
      <c r="C195" s="21"/>
      <c r="D195" s="213"/>
      <c r="E195" s="214"/>
      <c r="F195" s="215"/>
      <c r="G195" s="217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>
      <c r="A196" s="212"/>
      <c r="B196" s="21"/>
      <c r="C196" s="21"/>
      <c r="D196" s="213"/>
      <c r="E196" s="214"/>
      <c r="F196" s="215"/>
      <c r="G196" s="195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>
      <c r="A197" s="212"/>
      <c r="B197" s="21"/>
      <c r="C197" s="21"/>
      <c r="D197" s="213"/>
      <c r="E197" s="214"/>
      <c r="F197" s="215"/>
      <c r="G197" s="217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>
      <c r="A198" s="212"/>
      <c r="B198" s="21"/>
      <c r="C198" s="21"/>
      <c r="D198" s="213"/>
      <c r="E198" s="214"/>
      <c r="F198" s="215"/>
      <c r="G198" s="195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>
      <c r="A199" s="212"/>
      <c r="B199" s="21"/>
      <c r="C199" s="21"/>
      <c r="D199" s="213"/>
      <c r="E199" s="214"/>
      <c r="F199" s="215"/>
      <c r="G199" s="217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>
      <c r="A200" s="212"/>
      <c r="B200" s="21"/>
      <c r="C200" s="21"/>
      <c r="D200" s="213"/>
      <c r="E200" s="214"/>
      <c r="F200" s="215"/>
      <c r="G200" s="195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>
      <c r="A201" s="212"/>
      <c r="B201" s="21"/>
      <c r="C201" s="21"/>
      <c r="D201" s="213"/>
      <c r="E201" s="214"/>
      <c r="F201" s="215"/>
      <c r="G201" s="217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>
      <c r="A202" s="212"/>
      <c r="B202" s="21"/>
      <c r="C202" s="21"/>
      <c r="D202" s="213"/>
      <c r="E202" s="214"/>
      <c r="F202" s="215"/>
      <c r="G202" s="195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>
      <c r="A203" s="212"/>
      <c r="B203" s="21"/>
      <c r="C203" s="21"/>
      <c r="D203" s="213"/>
      <c r="E203" s="214"/>
      <c r="F203" s="215"/>
      <c r="G203" s="217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>
      <c r="A204" s="212"/>
      <c r="B204" s="21"/>
      <c r="C204" s="21"/>
      <c r="D204" s="213"/>
      <c r="E204" s="214"/>
      <c r="F204" s="215"/>
      <c r="G204" s="195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>
      <c r="A205" s="212"/>
      <c r="B205" s="21"/>
      <c r="C205" s="21"/>
      <c r="D205" s="213"/>
      <c r="E205" s="214"/>
      <c r="F205" s="215"/>
      <c r="G205" s="217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>
      <c r="A206" s="212"/>
      <c r="B206" s="21"/>
      <c r="C206" s="21"/>
      <c r="D206" s="213"/>
      <c r="E206" s="214"/>
      <c r="F206" s="215"/>
      <c r="G206" s="195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>
      <c r="A207" s="212"/>
      <c r="B207" s="21"/>
      <c r="C207" s="21"/>
      <c r="D207" s="213"/>
      <c r="E207" s="214"/>
      <c r="F207" s="215"/>
      <c r="G207" s="217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>
      <c r="A208" s="212"/>
      <c r="B208" s="21"/>
      <c r="C208" s="21"/>
      <c r="D208" s="213"/>
      <c r="E208" s="214"/>
      <c r="F208" s="215"/>
      <c r="G208" s="195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>
      <c r="A209" s="212"/>
      <c r="B209" s="21"/>
      <c r="C209" s="21"/>
      <c r="D209" s="213"/>
      <c r="E209" s="214"/>
      <c r="F209" s="215"/>
      <c r="G209" s="217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>
      <c r="A210" s="212"/>
      <c r="B210" s="21"/>
      <c r="C210" s="21"/>
      <c r="D210" s="213"/>
      <c r="E210" s="214"/>
      <c r="F210" s="215"/>
      <c r="G210" s="195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>
      <c r="A211" s="212"/>
      <c r="B211" s="21"/>
      <c r="C211" s="21"/>
      <c r="D211" s="213"/>
      <c r="E211" s="214"/>
      <c r="F211" s="215"/>
      <c r="G211" s="217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>
      <c r="A212" s="212"/>
      <c r="B212" s="21"/>
      <c r="C212" s="21"/>
      <c r="D212" s="213"/>
      <c r="E212" s="214"/>
      <c r="F212" s="215"/>
      <c r="G212" s="195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>
      <c r="A213" s="124"/>
      <c r="B213" s="125"/>
      <c r="C213" s="124"/>
      <c r="D213" s="218"/>
      <c r="E213" s="219"/>
      <c r="F213" s="127"/>
      <c r="G213" s="22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>
      <c r="A214" s="110"/>
      <c r="B214" s="110"/>
      <c r="C214" s="110"/>
      <c r="D214" s="139"/>
      <c r="E214" s="110"/>
      <c r="F214" s="199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>
      <c r="A215" s="212"/>
      <c r="B215" s="21"/>
      <c r="C215" s="21"/>
      <c r="D215" s="213"/>
      <c r="E215" s="214"/>
      <c r="F215" s="215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>
      <c r="A216" s="212"/>
      <c r="B216" s="21"/>
      <c r="C216" s="21"/>
      <c r="D216" s="213"/>
      <c r="E216" s="214"/>
      <c r="F216" s="215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>
      <c r="A217" s="212"/>
      <c r="B217" s="21"/>
      <c r="C217" s="21"/>
      <c r="D217" s="213"/>
      <c r="E217" s="214"/>
      <c r="F217" s="215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>
      <c r="A218" s="212"/>
      <c r="B218" s="21"/>
      <c r="C218" s="21"/>
      <c r="D218" s="213"/>
      <c r="E218" s="214"/>
      <c r="F218" s="215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>
      <c r="A219" s="212"/>
      <c r="B219" s="21"/>
      <c r="C219" s="21"/>
      <c r="D219" s="213"/>
      <c r="E219" s="214"/>
      <c r="F219" s="215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>
      <c r="A220" s="212"/>
      <c r="B220" s="21"/>
      <c r="C220" s="21"/>
      <c r="D220" s="213"/>
      <c r="E220" s="214"/>
      <c r="F220" s="215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>
      <c r="A221" s="212"/>
      <c r="B221" s="21"/>
      <c r="C221" s="21"/>
      <c r="D221" s="213"/>
      <c r="E221" s="214"/>
      <c r="F221" s="215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>
      <c r="A222" s="212"/>
      <c r="B222" s="21"/>
      <c r="C222" s="21"/>
      <c r="D222" s="213"/>
      <c r="E222" s="214"/>
      <c r="F222" s="215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>
      <c r="A223" s="212"/>
      <c r="B223" s="21"/>
      <c r="C223" s="21"/>
      <c r="D223" s="213"/>
      <c r="E223" s="214"/>
      <c r="F223" s="215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>
      <c r="A224" s="212"/>
      <c r="B224" s="21"/>
      <c r="C224" s="21"/>
      <c r="D224" s="213"/>
      <c r="E224" s="214"/>
      <c r="F224" s="215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>
      <c r="A225" s="212"/>
      <c r="B225" s="21"/>
      <c r="C225" s="21"/>
      <c r="D225" s="213"/>
      <c r="E225" s="214"/>
      <c r="F225" s="215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>
      <c r="A226" s="212"/>
      <c r="B226" s="21"/>
      <c r="C226" s="21"/>
      <c r="D226" s="213"/>
      <c r="E226" s="214"/>
      <c r="F226" s="215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>
      <c r="A227" s="212"/>
      <c r="B227" s="21"/>
      <c r="C227" s="21"/>
      <c r="D227" s="213"/>
      <c r="E227" s="214"/>
      <c r="F227" s="215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>
      <c r="A228" s="212"/>
      <c r="B228" s="21"/>
      <c r="C228" s="21"/>
      <c r="D228" s="213"/>
      <c r="E228" s="214"/>
      <c r="F228" s="215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>
      <c r="A229" s="212"/>
      <c r="B229" s="21"/>
      <c r="C229" s="21"/>
      <c r="D229" s="213"/>
      <c r="E229" s="214"/>
      <c r="F229" s="215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>
      <c r="A230" s="212"/>
      <c r="B230" s="21"/>
      <c r="C230" s="21"/>
      <c r="D230" s="213"/>
      <c r="E230" s="214"/>
      <c r="F230" s="215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>
      <c r="A231" s="212"/>
      <c r="B231" s="21"/>
      <c r="C231" s="21"/>
      <c r="D231" s="213"/>
      <c r="E231" s="214"/>
      <c r="F231" s="215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>
      <c r="A232" s="212"/>
      <c r="B232" s="21"/>
      <c r="C232" s="21"/>
      <c r="D232" s="213"/>
      <c r="E232" s="214"/>
      <c r="F232" s="215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>
      <c r="A233" s="212"/>
      <c r="B233" s="21"/>
      <c r="C233" s="21"/>
      <c r="D233" s="213"/>
      <c r="E233" s="214"/>
      <c r="F233" s="215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>
      <c r="A234" s="212"/>
      <c r="B234" s="21"/>
      <c r="C234" s="21"/>
      <c r="D234" s="213"/>
      <c r="E234" s="214"/>
      <c r="F234" s="215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>
      <c r="A235" s="212"/>
      <c r="B235" s="21"/>
      <c r="C235" s="21"/>
      <c r="D235" s="213"/>
      <c r="E235" s="214"/>
      <c r="F235" s="215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>
      <c r="A236" s="212"/>
      <c r="B236" s="21"/>
      <c r="C236" s="21"/>
      <c r="D236" s="213"/>
      <c r="E236" s="214"/>
      <c r="F236" s="215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>
      <c r="A237" s="212"/>
      <c r="B237" s="21"/>
      <c r="C237" s="21"/>
      <c r="D237" s="213"/>
      <c r="E237" s="214"/>
      <c r="F237" s="215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>
      <c r="A238" s="212"/>
      <c r="B238" s="21"/>
      <c r="C238" s="21"/>
      <c r="D238" s="213"/>
      <c r="E238" s="214"/>
      <c r="F238" s="215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>
      <c r="A239" s="212"/>
      <c r="B239" s="21"/>
      <c r="C239" s="21"/>
      <c r="D239" s="213"/>
      <c r="E239" s="214"/>
      <c r="F239" s="215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>
      <c r="A240" s="212"/>
      <c r="B240" s="21"/>
      <c r="C240" s="21"/>
      <c r="D240" s="213"/>
      <c r="E240" s="214"/>
      <c r="F240" s="215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3.5" customHeight="1">
      <c r="A241" s="212"/>
      <c r="B241" s="21"/>
      <c r="C241" s="21"/>
      <c r="D241" s="213"/>
      <c r="E241" s="214"/>
      <c r="F241" s="215"/>
      <c r="G241" s="24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>
      <c r="A242" s="212"/>
      <c r="B242" s="21"/>
      <c r="C242" s="21"/>
      <c r="D242" s="213"/>
      <c r="E242" s="214"/>
      <c r="F242" s="215"/>
      <c r="G242" s="24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>
      <c r="A243" s="212"/>
      <c r="B243" s="21"/>
      <c r="C243" s="21"/>
      <c r="D243" s="213"/>
      <c r="E243" s="214"/>
      <c r="F243" s="215"/>
      <c r="G243" s="24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>
      <c r="A244" s="212"/>
      <c r="B244" s="21"/>
      <c r="C244" s="21"/>
      <c r="D244" s="213"/>
      <c r="E244" s="214"/>
      <c r="F244" s="215"/>
      <c r="G244" s="124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>
      <c r="A245" s="212"/>
      <c r="B245" s="21"/>
      <c r="C245" s="21"/>
      <c r="D245" s="213"/>
      <c r="E245" s="214"/>
      <c r="F245" s="215"/>
      <c r="G245" s="221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>
      <c r="A246" s="212"/>
      <c r="B246" s="21"/>
      <c r="C246" s="21"/>
      <c r="D246" s="213"/>
      <c r="E246" s="214"/>
      <c r="F246" s="215"/>
      <c r="G246" s="221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>
      <c r="A247" s="212"/>
      <c r="B247" s="21"/>
      <c r="C247" s="21"/>
      <c r="D247" s="213"/>
      <c r="E247" s="214"/>
      <c r="F247" s="215"/>
      <c r="G247" s="162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>
      <c r="A248" s="212"/>
      <c r="B248" s="21"/>
      <c r="C248" s="21"/>
      <c r="D248" s="213"/>
      <c r="E248" s="214"/>
      <c r="F248" s="215"/>
      <c r="G248" s="21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>
      <c r="A249" s="212"/>
      <c r="B249" s="21"/>
      <c r="C249" s="21"/>
      <c r="D249" s="213"/>
      <c r="E249" s="214"/>
      <c r="F249" s="215"/>
      <c r="G249" s="21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>
      <c r="A250" s="212"/>
      <c r="B250" s="21"/>
      <c r="C250" s="21"/>
      <c r="D250" s="213"/>
      <c r="E250" s="214"/>
      <c r="F250" s="215"/>
      <c r="G250" s="21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>
      <c r="A251" s="212"/>
      <c r="B251" s="21"/>
      <c r="C251" s="21"/>
      <c r="D251" s="213"/>
      <c r="E251" s="214"/>
      <c r="F251" s="215"/>
      <c r="G251" s="21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>
      <c r="A252" s="212"/>
      <c r="B252" s="21"/>
      <c r="C252" s="21"/>
      <c r="D252" s="213"/>
      <c r="E252" s="214"/>
      <c r="F252" s="215"/>
      <c r="G252" s="21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>
      <c r="A253" s="212"/>
      <c r="B253" s="21"/>
      <c r="C253" s="21"/>
      <c r="D253" s="213"/>
      <c r="E253" s="214"/>
      <c r="F253" s="215"/>
      <c r="G253" s="21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>
      <c r="A254" s="212"/>
      <c r="B254" s="21"/>
      <c r="C254" s="21"/>
      <c r="D254" s="213"/>
      <c r="E254" s="214"/>
      <c r="F254" s="215"/>
      <c r="G254" s="21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>
      <c r="A255" s="212"/>
      <c r="B255" s="21"/>
      <c r="C255" s="21"/>
      <c r="D255" s="213"/>
      <c r="E255" s="214"/>
      <c r="F255" s="215"/>
      <c r="G255" s="21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>
      <c r="A256" s="212"/>
      <c r="B256" s="21"/>
      <c r="C256" s="21"/>
      <c r="D256" s="213"/>
      <c r="E256" s="214"/>
      <c r="F256" s="215"/>
      <c r="G256" s="21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>
      <c r="A257" s="212"/>
      <c r="B257" s="21"/>
      <c r="C257" s="21"/>
      <c r="D257" s="213"/>
      <c r="E257" s="214"/>
      <c r="F257" s="215"/>
      <c r="G257" s="21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>
      <c r="A258" s="212"/>
      <c r="B258" s="21"/>
      <c r="C258" s="21"/>
      <c r="D258" s="213"/>
      <c r="E258" s="214"/>
      <c r="F258" s="215"/>
      <c r="G258" s="21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>
      <c r="A259" s="212"/>
      <c r="B259" s="21"/>
      <c r="C259" s="21"/>
      <c r="D259" s="213"/>
      <c r="E259" s="214"/>
      <c r="F259" s="215"/>
      <c r="G259" s="21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>
      <c r="A260" s="212"/>
      <c r="B260" s="21"/>
      <c r="C260" s="21"/>
      <c r="D260" s="213"/>
      <c r="E260" s="214"/>
      <c r="F260" s="215"/>
      <c r="G260" s="21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>
      <c r="A261" s="212"/>
      <c r="B261" s="21"/>
      <c r="C261" s="21"/>
      <c r="D261" s="213"/>
      <c r="E261" s="214"/>
      <c r="F261" s="215"/>
      <c r="G261" s="21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>
      <c r="A262" s="212"/>
      <c r="B262" s="21"/>
      <c r="C262" s="21"/>
      <c r="D262" s="213"/>
      <c r="E262" s="214"/>
      <c r="F262" s="215"/>
      <c r="G262" s="21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>
      <c r="A263" s="212"/>
      <c r="B263" s="21"/>
      <c r="C263" s="21"/>
      <c r="D263" s="213"/>
      <c r="E263" s="214"/>
      <c r="F263" s="215"/>
      <c r="G263" s="21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>
      <c r="A264" s="212"/>
      <c r="B264" s="21"/>
      <c r="C264" s="21"/>
      <c r="D264" s="213"/>
      <c r="E264" s="214"/>
      <c r="F264" s="215"/>
      <c r="G264" s="21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>
      <c r="A265" s="212"/>
      <c r="B265" s="21"/>
      <c r="C265" s="21"/>
      <c r="D265" s="213"/>
      <c r="E265" s="214"/>
      <c r="F265" s="215"/>
      <c r="G265" s="21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>
      <c r="A266" s="212"/>
      <c r="B266" s="21"/>
      <c r="C266" s="21"/>
      <c r="D266" s="213"/>
      <c r="E266" s="214"/>
      <c r="F266" s="215"/>
      <c r="G266" s="21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>
      <c r="A267" s="212"/>
      <c r="B267" s="21"/>
      <c r="C267" s="21"/>
      <c r="D267" s="213"/>
      <c r="E267" s="214"/>
      <c r="F267" s="215"/>
      <c r="G267" s="21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>
      <c r="A268" s="212"/>
      <c r="B268" s="21"/>
      <c r="C268" s="21"/>
      <c r="D268" s="213"/>
      <c r="E268" s="214"/>
      <c r="F268" s="215"/>
      <c r="G268" s="21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>
      <c r="A269" s="212"/>
      <c r="B269" s="21"/>
      <c r="C269" s="21"/>
      <c r="D269" s="213"/>
      <c r="E269" s="214"/>
      <c r="F269" s="215"/>
      <c r="G269" s="21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>
      <c r="A270" s="212"/>
      <c r="B270" s="21"/>
      <c r="C270" s="21"/>
      <c r="D270" s="213"/>
      <c r="E270" s="214"/>
      <c r="F270" s="215"/>
      <c r="G270" s="21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>
      <c r="A271" s="212"/>
      <c r="B271" s="21"/>
      <c r="C271" s="21"/>
      <c r="D271" s="213"/>
      <c r="E271" s="214"/>
      <c r="F271" s="215"/>
      <c r="G271" s="21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>
      <c r="A272" s="212"/>
      <c r="B272" s="21"/>
      <c r="C272" s="21"/>
      <c r="D272" s="213"/>
      <c r="E272" s="214"/>
      <c r="F272" s="215"/>
      <c r="G272" s="21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>
      <c r="A273" s="212"/>
      <c r="B273" s="21"/>
      <c r="C273" s="21"/>
      <c r="D273" s="213"/>
      <c r="E273" s="214"/>
      <c r="F273" s="215"/>
      <c r="G273" s="21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>
      <c r="A274" s="212"/>
      <c r="B274" s="21"/>
      <c r="C274" s="21"/>
      <c r="D274" s="213"/>
      <c r="E274" s="214"/>
      <c r="F274" s="215"/>
      <c r="G274" s="21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>
      <c r="A275" s="212"/>
      <c r="B275" s="21"/>
      <c r="C275" s="21"/>
      <c r="D275" s="213"/>
      <c r="E275" s="214"/>
      <c r="F275" s="215"/>
      <c r="G275" s="21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>
      <c r="A276" s="212"/>
      <c r="B276" s="21"/>
      <c r="C276" s="21"/>
      <c r="D276" s="213"/>
      <c r="E276" s="214"/>
      <c r="F276" s="215"/>
      <c r="G276" s="21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>
      <c r="A277" s="212"/>
      <c r="B277" s="21"/>
      <c r="C277" s="21"/>
      <c r="D277" s="213"/>
      <c r="E277" s="214"/>
      <c r="F277" s="215"/>
      <c r="G277" s="21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>
      <c r="A278" s="212"/>
      <c r="B278" s="21"/>
      <c r="C278" s="21"/>
      <c r="D278" s="213"/>
      <c r="E278" s="214"/>
      <c r="F278" s="215"/>
      <c r="G278" s="21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>
      <c r="A279" s="212"/>
      <c r="B279" s="21"/>
      <c r="C279" s="21"/>
      <c r="D279" s="213"/>
      <c r="E279" s="214"/>
      <c r="F279" s="215"/>
      <c r="G279" s="21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>
      <c r="A280" s="212"/>
      <c r="B280" s="21"/>
      <c r="C280" s="21"/>
      <c r="D280" s="213"/>
      <c r="E280" s="214"/>
      <c r="F280" s="215"/>
      <c r="G280" s="21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>
      <c r="A281" s="212"/>
      <c r="B281" s="21"/>
      <c r="C281" s="21"/>
      <c r="D281" s="213"/>
      <c r="E281" s="214"/>
      <c r="F281" s="215"/>
      <c r="G281" s="21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>
      <c r="A282" s="212"/>
      <c r="B282" s="21"/>
      <c r="C282" s="21"/>
      <c r="D282" s="213"/>
      <c r="E282" s="214"/>
      <c r="F282" s="215"/>
      <c r="G282" s="21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>
      <c r="A283" s="212"/>
      <c r="B283" s="21"/>
      <c r="C283" s="21"/>
      <c r="D283" s="213"/>
      <c r="E283" s="214"/>
      <c r="F283" s="215"/>
      <c r="G283" s="21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>
      <c r="A284" s="212"/>
      <c r="B284" s="21"/>
      <c r="C284" s="21"/>
      <c r="D284" s="213"/>
      <c r="E284" s="214"/>
      <c r="F284" s="215"/>
      <c r="G284" s="21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>
      <c r="A285" s="212"/>
      <c r="B285" s="21"/>
      <c r="C285" s="21"/>
      <c r="D285" s="213"/>
      <c r="E285" s="214"/>
      <c r="F285" s="215"/>
      <c r="G285" s="21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>
      <c r="A286" s="212"/>
      <c r="B286" s="21"/>
      <c r="C286" s="21"/>
      <c r="D286" s="213"/>
      <c r="E286" s="214"/>
      <c r="F286" s="215"/>
      <c r="G286" s="21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>
      <c r="A287" s="212"/>
      <c r="B287" s="21"/>
      <c r="C287" s="21"/>
      <c r="D287" s="213"/>
      <c r="E287" s="214"/>
      <c r="F287" s="215"/>
      <c r="G287" s="21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>
      <c r="A288" s="212"/>
      <c r="B288" s="21"/>
      <c r="C288" s="21"/>
      <c r="D288" s="213"/>
      <c r="E288" s="214"/>
      <c r="F288" s="215"/>
      <c r="G288" s="21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>
      <c r="A289" s="212"/>
      <c r="B289" s="21"/>
      <c r="C289" s="21"/>
      <c r="D289" s="213"/>
      <c r="E289" s="214"/>
      <c r="F289" s="215"/>
      <c r="G289" s="21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>
      <c r="A290" s="212"/>
      <c r="B290" s="21"/>
      <c r="C290" s="21"/>
      <c r="D290" s="213"/>
      <c r="E290" s="214"/>
      <c r="F290" s="215"/>
      <c r="G290" s="21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>
      <c r="A291" s="212"/>
      <c r="B291" s="21"/>
      <c r="C291" s="21"/>
      <c r="D291" s="213"/>
      <c r="E291" s="214"/>
      <c r="F291" s="215"/>
      <c r="G291" s="21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>
      <c r="A292" s="212"/>
      <c r="B292" s="21"/>
      <c r="C292" s="21"/>
      <c r="D292" s="213"/>
      <c r="E292" s="214"/>
      <c r="F292" s="215"/>
      <c r="G292" s="21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>
      <c r="A293" s="212"/>
      <c r="B293" s="21"/>
      <c r="C293" s="21"/>
      <c r="D293" s="213"/>
      <c r="E293" s="214"/>
      <c r="F293" s="215"/>
      <c r="G293" s="124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>
      <c r="A294" s="212"/>
      <c r="B294" s="21"/>
      <c r="C294" s="21"/>
      <c r="D294" s="213"/>
      <c r="E294" s="214"/>
      <c r="F294" s="215"/>
      <c r="G294" s="162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>
      <c r="A295" s="212"/>
      <c r="B295" s="21"/>
      <c r="C295" s="21"/>
      <c r="D295" s="213"/>
      <c r="E295" s="214"/>
      <c r="F295" s="215"/>
      <c r="G295" s="21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>
      <c r="A296" s="212"/>
      <c r="B296" s="21"/>
      <c r="C296" s="21"/>
      <c r="D296" s="213"/>
      <c r="E296" s="214"/>
      <c r="F296" s="215"/>
      <c r="G296" s="21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>
      <c r="A297" s="212"/>
      <c r="B297" s="21"/>
      <c r="C297" s="21"/>
      <c r="D297" s="213"/>
      <c r="E297" s="214"/>
      <c r="F297" s="215"/>
      <c r="G297" s="21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>
      <c r="A298" s="212"/>
      <c r="B298" s="21"/>
      <c r="C298" s="21"/>
      <c r="D298" s="213"/>
      <c r="E298" s="214"/>
      <c r="F298" s="215"/>
      <c r="G298" s="21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>
      <c r="A299" s="212"/>
      <c r="B299" s="21"/>
      <c r="C299" s="21"/>
      <c r="D299" s="213"/>
      <c r="E299" s="214"/>
      <c r="F299" s="215"/>
      <c r="G299" s="124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>
      <c r="A300" s="212"/>
      <c r="B300" s="21"/>
      <c r="C300" s="21"/>
      <c r="D300" s="213"/>
      <c r="E300" s="214"/>
      <c r="F300" s="215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>
      <c r="A301" s="212"/>
      <c r="B301" s="21"/>
      <c r="C301" s="21"/>
      <c r="D301" s="213"/>
      <c r="E301" s="214"/>
      <c r="F301" s="215"/>
      <c r="G301" s="162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>
      <c r="A302" s="212"/>
      <c r="B302" s="21"/>
      <c r="C302" s="21"/>
      <c r="D302" s="213"/>
      <c r="E302" s="214"/>
      <c r="F302" s="215"/>
      <c r="G302" s="21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>
      <c r="A303" s="212"/>
      <c r="B303" s="21"/>
      <c r="C303" s="21"/>
      <c r="D303" s="213"/>
      <c r="E303" s="214"/>
      <c r="F303" s="215"/>
      <c r="G303" s="21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>
      <c r="A304" s="212"/>
      <c r="B304" s="21"/>
      <c r="C304" s="21"/>
      <c r="D304" s="213"/>
      <c r="E304" s="214"/>
      <c r="F304" s="215"/>
      <c r="G304" s="21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>
      <c r="A305" s="212"/>
      <c r="B305" s="21"/>
      <c r="C305" s="21"/>
      <c r="D305" s="213"/>
      <c r="E305" s="214"/>
      <c r="F305" s="215"/>
      <c r="G305" s="21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>
      <c r="A306" s="212"/>
      <c r="B306" s="21"/>
      <c r="C306" s="21"/>
      <c r="D306" s="213"/>
      <c r="E306" s="214"/>
      <c r="F306" s="215"/>
      <c r="G306" s="21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>
      <c r="A307" s="212"/>
      <c r="B307" s="21"/>
      <c r="C307" s="21"/>
      <c r="D307" s="213"/>
      <c r="E307" s="214"/>
      <c r="F307" s="215"/>
      <c r="G307" s="21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>
      <c r="A308" s="212"/>
      <c r="B308" s="21"/>
      <c r="C308" s="21"/>
      <c r="D308" s="213"/>
      <c r="E308" s="214"/>
      <c r="F308" s="215"/>
      <c r="G308" s="21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>
      <c r="A309" s="212"/>
      <c r="B309" s="21"/>
      <c r="C309" s="21"/>
      <c r="D309" s="213"/>
      <c r="E309" s="214"/>
      <c r="F309" s="215"/>
      <c r="G309" s="21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>
      <c r="A310" s="212"/>
      <c r="B310" s="21"/>
      <c r="C310" s="21"/>
      <c r="D310" s="213"/>
      <c r="E310" s="214"/>
      <c r="F310" s="215"/>
      <c r="G310" s="21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>
      <c r="A311" s="212"/>
      <c r="B311" s="21"/>
      <c r="C311" s="21"/>
      <c r="D311" s="213"/>
      <c r="E311" s="214"/>
      <c r="F311" s="215"/>
      <c r="G311" s="21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>
      <c r="A312" s="212"/>
      <c r="B312" s="21"/>
      <c r="C312" s="21"/>
      <c r="D312" s="213"/>
      <c r="E312" s="214"/>
      <c r="F312" s="215"/>
      <c r="G312" s="21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>
      <c r="A313" s="212"/>
      <c r="B313" s="21"/>
      <c r="C313" s="21"/>
      <c r="D313" s="213"/>
      <c r="E313" s="214"/>
      <c r="F313" s="215"/>
      <c r="G313" s="21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>
      <c r="A314" s="212"/>
      <c r="B314" s="21"/>
      <c r="C314" s="21"/>
      <c r="D314" s="213"/>
      <c r="E314" s="214"/>
      <c r="F314" s="215"/>
      <c r="G314" s="21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>
      <c r="A315" s="212"/>
      <c r="B315" s="21"/>
      <c r="C315" s="21"/>
      <c r="D315" s="213"/>
      <c r="E315" s="214"/>
      <c r="F315" s="215"/>
      <c r="G315" s="21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>
      <c r="A316" s="212"/>
      <c r="B316" s="21"/>
      <c r="C316" s="21"/>
      <c r="D316" s="213"/>
      <c r="E316" s="214"/>
      <c r="F316" s="215"/>
      <c r="G316" s="21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>
      <c r="A317" s="212"/>
      <c r="B317" s="21"/>
      <c r="C317" s="21"/>
      <c r="D317" s="213"/>
      <c r="E317" s="214"/>
      <c r="F317" s="215"/>
      <c r="G317" s="21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>
      <c r="A318" s="212"/>
      <c r="B318" s="21"/>
      <c r="C318" s="21"/>
      <c r="D318" s="213"/>
      <c r="E318" s="214"/>
      <c r="F318" s="215"/>
      <c r="G318" s="21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>
      <c r="A319" s="212"/>
      <c r="B319" s="21"/>
      <c r="C319" s="21"/>
      <c r="D319" s="213"/>
      <c r="E319" s="214"/>
      <c r="F319" s="215"/>
      <c r="G319" s="21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>
      <c r="A320" s="212"/>
      <c r="B320" s="21"/>
      <c r="C320" s="21"/>
      <c r="D320" s="213"/>
      <c r="E320" s="214"/>
      <c r="F320" s="215"/>
      <c r="G320" s="21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>
      <c r="A321" s="212"/>
      <c r="B321" s="21"/>
      <c r="C321" s="21"/>
      <c r="D321" s="213"/>
      <c r="E321" s="214"/>
      <c r="F321" s="215"/>
      <c r="G321" s="21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>
      <c r="A322" s="212"/>
      <c r="B322" s="21"/>
      <c r="C322" s="21"/>
      <c r="D322" s="213"/>
      <c r="E322" s="214"/>
      <c r="F322" s="215"/>
      <c r="G322" s="21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>
      <c r="A323" s="212"/>
      <c r="B323" s="21"/>
      <c r="C323" s="21"/>
      <c r="D323" s="213"/>
      <c r="E323" s="214"/>
      <c r="F323" s="215"/>
      <c r="G323" s="21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>
      <c r="A324" s="212"/>
      <c r="B324" s="21"/>
      <c r="C324" s="21"/>
      <c r="D324" s="213"/>
      <c r="E324" s="214"/>
      <c r="F324" s="215"/>
      <c r="G324" s="21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>
      <c r="A325" s="212"/>
      <c r="B325" s="21"/>
      <c r="C325" s="21"/>
      <c r="D325" s="213"/>
      <c r="E325" s="214"/>
      <c r="F325" s="215"/>
      <c r="G325" s="21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>
      <c r="A326" s="212"/>
      <c r="B326" s="21"/>
      <c r="C326" s="21"/>
      <c r="D326" s="213"/>
      <c r="E326" s="214"/>
      <c r="F326" s="215"/>
      <c r="G326" s="21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>
      <c r="A327" s="212"/>
      <c r="B327" s="21"/>
      <c r="C327" s="21"/>
      <c r="D327" s="213"/>
      <c r="E327" s="214"/>
      <c r="F327" s="215"/>
      <c r="G327" s="21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>
      <c r="A328" s="212"/>
      <c r="B328" s="21"/>
      <c r="C328" s="21"/>
      <c r="D328" s="213"/>
      <c r="E328" s="214"/>
      <c r="F328" s="215"/>
      <c r="G328" s="21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>
      <c r="A329" s="212"/>
      <c r="B329" s="21"/>
      <c r="C329" s="21"/>
      <c r="D329" s="213"/>
      <c r="E329" s="214"/>
      <c r="F329" s="215"/>
      <c r="G329" s="21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>
      <c r="A330" s="212"/>
      <c r="B330" s="21"/>
      <c r="C330" s="21"/>
      <c r="D330" s="213"/>
      <c r="E330" s="214"/>
      <c r="F330" s="215"/>
      <c r="G330" s="21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>
      <c r="A331" s="212"/>
      <c r="B331" s="21"/>
      <c r="C331" s="21"/>
      <c r="D331" s="213"/>
      <c r="E331" s="214"/>
      <c r="F331" s="215"/>
      <c r="G331" s="21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>
      <c r="A332" s="212"/>
      <c r="B332" s="21"/>
      <c r="C332" s="21"/>
      <c r="D332" s="213"/>
      <c r="E332" s="214"/>
      <c r="F332" s="215"/>
      <c r="G332" s="21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>
      <c r="A333" s="212"/>
      <c r="B333" s="21"/>
      <c r="C333" s="21"/>
      <c r="D333" s="213"/>
      <c r="E333" s="214"/>
      <c r="F333" s="215"/>
      <c r="G333" s="21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>
      <c r="A334" s="212"/>
      <c r="B334" s="21"/>
      <c r="C334" s="21"/>
      <c r="D334" s="213"/>
      <c r="E334" s="214"/>
      <c r="F334" s="215"/>
      <c r="G334" s="21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>
      <c r="A335" s="212"/>
      <c r="B335" s="21"/>
      <c r="C335" s="21"/>
      <c r="D335" s="213"/>
      <c r="E335" s="214"/>
      <c r="F335" s="215"/>
      <c r="G335" s="21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>
      <c r="A336" s="212"/>
      <c r="B336" s="21"/>
      <c r="C336" s="21"/>
      <c r="D336" s="213"/>
      <c r="E336" s="214"/>
      <c r="F336" s="215"/>
      <c r="G336" s="21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>
      <c r="A337" s="212"/>
      <c r="B337" s="21"/>
      <c r="C337" s="21"/>
      <c r="D337" s="213"/>
      <c r="E337" s="214"/>
      <c r="F337" s="215"/>
      <c r="G337" s="21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>
      <c r="A338" s="212"/>
      <c r="B338" s="21"/>
      <c r="C338" s="21"/>
      <c r="D338" s="213"/>
      <c r="E338" s="214"/>
      <c r="F338" s="215"/>
      <c r="G338" s="21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>
      <c r="A339" s="212"/>
      <c r="B339" s="21"/>
      <c r="C339" s="21"/>
      <c r="D339" s="213"/>
      <c r="E339" s="214"/>
      <c r="F339" s="215"/>
      <c r="G339" s="21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>
      <c r="A340" s="212"/>
      <c r="B340" s="21"/>
      <c r="C340" s="21"/>
      <c r="D340" s="213"/>
      <c r="E340" s="214"/>
      <c r="F340" s="215"/>
      <c r="G340" s="21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>
      <c r="A341" s="212"/>
      <c r="B341" s="21"/>
      <c r="C341" s="21"/>
      <c r="D341" s="213"/>
      <c r="E341" s="214"/>
      <c r="F341" s="215"/>
      <c r="G341" s="21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>
      <c r="A342" s="212"/>
      <c r="B342" s="21"/>
      <c r="C342" s="21"/>
      <c r="D342" s="213"/>
      <c r="E342" s="214"/>
      <c r="F342" s="215"/>
      <c r="G342" s="21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>
      <c r="A343" s="212"/>
      <c r="B343" s="21"/>
      <c r="C343" s="21"/>
      <c r="D343" s="213"/>
      <c r="E343" s="214"/>
      <c r="F343" s="215"/>
      <c r="G343" s="124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>
      <c r="A344" s="212"/>
      <c r="B344" s="21"/>
      <c r="C344" s="21"/>
      <c r="D344" s="213"/>
      <c r="E344" s="214"/>
      <c r="F344" s="215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>
      <c r="A345" s="212"/>
      <c r="B345" s="21"/>
      <c r="C345" s="21"/>
      <c r="D345" s="213"/>
      <c r="E345" s="214"/>
      <c r="F345" s="215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>
      <c r="A346" s="212"/>
      <c r="B346" s="21"/>
      <c r="C346" s="21"/>
      <c r="D346" s="213"/>
      <c r="E346" s="214"/>
      <c r="F346" s="215"/>
      <c r="G346" s="24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>
      <c r="A347" s="212"/>
      <c r="B347" s="21"/>
      <c r="C347" s="21"/>
      <c r="D347" s="213"/>
      <c r="E347" s="214"/>
      <c r="F347" s="215"/>
      <c r="G347" s="24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>
      <c r="A348" s="212"/>
      <c r="B348" s="21"/>
      <c r="C348" s="21"/>
      <c r="D348" s="213"/>
      <c r="E348" s="214"/>
      <c r="F348" s="215"/>
      <c r="G348" s="24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>
      <c r="A349" s="212"/>
      <c r="B349" s="21"/>
      <c r="C349" s="21"/>
      <c r="D349" s="213"/>
      <c r="E349" s="214"/>
      <c r="F349" s="215"/>
      <c r="G349" s="24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>
      <c r="A350" s="212"/>
      <c r="B350" s="21"/>
      <c r="C350" s="21"/>
      <c r="D350" s="213"/>
      <c r="E350" s="214"/>
      <c r="F350" s="215"/>
      <c r="G350" s="24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>
      <c r="A351" s="212"/>
      <c r="B351" s="21"/>
      <c r="C351" s="21"/>
      <c r="D351" s="213"/>
      <c r="E351" s="214"/>
      <c r="F351" s="215"/>
      <c r="G351" s="21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>
      <c r="A352" s="212"/>
      <c r="B352" s="21"/>
      <c r="C352" s="21"/>
      <c r="D352" s="213"/>
      <c r="E352" s="214"/>
      <c r="F352" s="215"/>
      <c r="G352" s="21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>
      <c r="A353" s="212"/>
      <c r="B353" s="21"/>
      <c r="C353" s="21"/>
      <c r="D353" s="213"/>
      <c r="E353" s="214"/>
      <c r="F353" s="215"/>
      <c r="G353" s="124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>
      <c r="A354" s="212"/>
      <c r="B354" s="21"/>
      <c r="C354" s="21"/>
      <c r="D354" s="213"/>
      <c r="E354" s="214"/>
      <c r="F354" s="215"/>
      <c r="G354" s="124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>
      <c r="A355" s="212"/>
      <c r="B355" s="21"/>
      <c r="C355" s="21"/>
      <c r="D355" s="213"/>
      <c r="E355" s="214"/>
      <c r="F355" s="215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>
      <c r="A356" s="212"/>
      <c r="B356" s="21"/>
      <c r="C356" s="21"/>
      <c r="D356" s="213"/>
      <c r="E356" s="214"/>
      <c r="F356" s="215"/>
      <c r="G356" s="162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>
      <c r="A357" s="212"/>
      <c r="B357" s="21"/>
      <c r="C357" s="21"/>
      <c r="D357" s="213"/>
      <c r="E357" s="214"/>
      <c r="F357" s="215"/>
      <c r="G357" s="21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>
      <c r="A358" s="212"/>
      <c r="B358" s="21"/>
      <c r="C358" s="21"/>
      <c r="D358" s="213"/>
      <c r="E358" s="214"/>
      <c r="F358" s="215"/>
      <c r="G358" s="21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>
      <c r="A359" s="212"/>
      <c r="B359" s="21"/>
      <c r="C359" s="21"/>
      <c r="D359" s="213"/>
      <c r="E359" s="214"/>
      <c r="F359" s="215"/>
      <c r="G359" s="21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>
      <c r="A360" s="212"/>
      <c r="B360" s="21"/>
      <c r="C360" s="21"/>
      <c r="D360" s="213"/>
      <c r="E360" s="214"/>
      <c r="F360" s="215"/>
      <c r="G360" s="21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>
      <c r="A361" s="212"/>
      <c r="B361" s="21"/>
      <c r="C361" s="21"/>
      <c r="D361" s="213"/>
      <c r="E361" s="214"/>
      <c r="F361" s="215"/>
      <c r="G361" s="21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>
      <c r="A362" s="212"/>
      <c r="B362" s="21"/>
      <c r="C362" s="21"/>
      <c r="D362" s="213"/>
      <c r="E362" s="214"/>
      <c r="F362" s="215"/>
      <c r="G362" s="21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>
      <c r="A363" s="212"/>
      <c r="B363" s="21"/>
      <c r="C363" s="21"/>
      <c r="D363" s="213"/>
      <c r="E363" s="214"/>
      <c r="F363" s="215"/>
      <c r="G363" s="21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>
      <c r="A364" s="212"/>
      <c r="B364" s="21"/>
      <c r="C364" s="21"/>
      <c r="D364" s="213"/>
      <c r="E364" s="214"/>
      <c r="F364" s="215"/>
      <c r="G364" s="21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>
      <c r="A365" s="212"/>
      <c r="B365" s="21"/>
      <c r="C365" s="21"/>
      <c r="D365" s="213"/>
      <c r="E365" s="214"/>
      <c r="F365" s="215"/>
      <c r="G365" s="21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>
      <c r="A366" s="212"/>
      <c r="B366" s="21"/>
      <c r="C366" s="21"/>
      <c r="D366" s="213"/>
      <c r="E366" s="214"/>
      <c r="F366" s="215"/>
      <c r="G366" s="21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>
      <c r="A367" s="212"/>
      <c r="B367" s="21"/>
      <c r="C367" s="21"/>
      <c r="D367" s="213"/>
      <c r="E367" s="214"/>
      <c r="F367" s="215"/>
      <c r="G367" s="21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>
      <c r="A368" s="212"/>
      <c r="B368" s="21"/>
      <c r="C368" s="21"/>
      <c r="D368" s="213"/>
      <c r="E368" s="214"/>
      <c r="F368" s="215"/>
      <c r="G368" s="21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>
      <c r="A369" s="212"/>
      <c r="B369" s="21"/>
      <c r="C369" s="21"/>
      <c r="D369" s="213"/>
      <c r="E369" s="214"/>
      <c r="F369" s="215"/>
      <c r="G369" s="21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>
      <c r="A370" s="212"/>
      <c r="B370" s="21"/>
      <c r="C370" s="21"/>
      <c r="D370" s="213"/>
      <c r="E370" s="214"/>
      <c r="F370" s="215"/>
      <c r="G370" s="21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>
      <c r="A371" s="212"/>
      <c r="B371" s="21"/>
      <c r="C371" s="21"/>
      <c r="D371" s="213"/>
      <c r="E371" s="214"/>
      <c r="F371" s="215"/>
      <c r="G371" s="21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>
      <c r="A372" s="212"/>
      <c r="B372" s="21"/>
      <c r="C372" s="21"/>
      <c r="D372" s="213"/>
      <c r="E372" s="214"/>
      <c r="F372" s="215"/>
      <c r="G372" s="21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>
      <c r="A373" s="212"/>
      <c r="B373" s="21"/>
      <c r="C373" s="21"/>
      <c r="D373" s="213"/>
      <c r="E373" s="214"/>
      <c r="F373" s="215"/>
      <c r="G373" s="21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>
      <c r="A374" s="212"/>
      <c r="B374" s="21"/>
      <c r="C374" s="21"/>
      <c r="D374" s="213"/>
      <c r="E374" s="214"/>
      <c r="F374" s="215"/>
      <c r="G374" s="21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>
      <c r="A375" s="212"/>
      <c r="B375" s="21"/>
      <c r="C375" s="21"/>
      <c r="D375" s="213"/>
      <c r="E375" s="214"/>
      <c r="F375" s="215"/>
      <c r="G375" s="21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>
      <c r="A376" s="212"/>
      <c r="B376" s="21"/>
      <c r="C376" s="21"/>
      <c r="D376" s="213"/>
      <c r="E376" s="214"/>
      <c r="F376" s="215"/>
      <c r="G376" s="21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>
      <c r="A377" s="212"/>
      <c r="B377" s="21"/>
      <c r="C377" s="21"/>
      <c r="D377" s="213"/>
      <c r="E377" s="214"/>
      <c r="F377" s="215"/>
      <c r="G377" s="21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>
      <c r="A378" s="212"/>
      <c r="B378" s="21"/>
      <c r="C378" s="21"/>
      <c r="D378" s="213"/>
      <c r="E378" s="214"/>
      <c r="F378" s="215"/>
      <c r="G378" s="21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>
      <c r="A379" s="212"/>
      <c r="B379" s="21"/>
      <c r="C379" s="21"/>
      <c r="D379" s="213"/>
      <c r="E379" s="214"/>
      <c r="F379" s="215"/>
      <c r="G379" s="21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>
      <c r="A380" s="212"/>
      <c r="B380" s="21"/>
      <c r="C380" s="21"/>
      <c r="D380" s="213"/>
      <c r="E380" s="214"/>
      <c r="F380" s="215"/>
      <c r="G380" s="21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>
      <c r="A381" s="212"/>
      <c r="B381" s="21"/>
      <c r="C381" s="21"/>
      <c r="D381" s="213"/>
      <c r="E381" s="214"/>
      <c r="F381" s="215"/>
      <c r="G381" s="21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>
      <c r="A382" s="212"/>
      <c r="B382" s="21"/>
      <c r="C382" s="21"/>
      <c r="D382" s="213"/>
      <c r="E382" s="214"/>
      <c r="F382" s="215"/>
      <c r="G382" s="21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>
      <c r="A383" s="212"/>
      <c r="B383" s="21"/>
      <c r="C383" s="21"/>
      <c r="D383" s="213"/>
      <c r="E383" s="214"/>
      <c r="F383" s="215"/>
      <c r="G383" s="21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>
      <c r="A384" s="212"/>
      <c r="B384" s="21"/>
      <c r="C384" s="21"/>
      <c r="D384" s="213"/>
      <c r="E384" s="214"/>
      <c r="F384" s="215"/>
      <c r="G384" s="21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>
      <c r="A385" s="212"/>
      <c r="B385" s="21"/>
      <c r="C385" s="21"/>
      <c r="D385" s="213"/>
      <c r="E385" s="214"/>
      <c r="F385" s="215"/>
      <c r="G385" s="21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>
      <c r="A386" s="212"/>
      <c r="B386" s="21"/>
      <c r="C386" s="21"/>
      <c r="D386" s="213"/>
      <c r="E386" s="214"/>
      <c r="F386" s="215"/>
      <c r="G386" s="21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>
      <c r="A387" s="212"/>
      <c r="B387" s="21"/>
      <c r="C387" s="21"/>
      <c r="D387" s="213"/>
      <c r="E387" s="214"/>
      <c r="F387" s="215"/>
      <c r="G387" s="21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>
      <c r="A388" s="212"/>
      <c r="B388" s="21"/>
      <c r="C388" s="21"/>
      <c r="D388" s="213"/>
      <c r="E388" s="214"/>
      <c r="F388" s="215"/>
      <c r="G388" s="21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>
      <c r="A389" s="212"/>
      <c r="B389" s="21"/>
      <c r="C389" s="21"/>
      <c r="D389" s="213"/>
      <c r="E389" s="214"/>
      <c r="F389" s="215"/>
      <c r="G389" s="21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>
      <c r="A390" s="212"/>
      <c r="B390" s="21"/>
      <c r="C390" s="21"/>
      <c r="D390" s="213"/>
      <c r="E390" s="214"/>
      <c r="F390" s="215"/>
      <c r="G390" s="24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>
      <c r="A391" s="212"/>
      <c r="B391" s="21"/>
      <c r="C391" s="21"/>
      <c r="D391" s="213"/>
      <c r="E391" s="214"/>
      <c r="F391" s="215"/>
      <c r="G391" s="24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>
      <c r="A392" s="212"/>
      <c r="B392" s="21"/>
      <c r="C392" s="21"/>
      <c r="D392" s="213"/>
      <c r="E392" s="214"/>
      <c r="F392" s="215"/>
      <c r="G392" s="24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>
      <c r="A393" s="212"/>
      <c r="B393" s="21"/>
      <c r="C393" s="21"/>
      <c r="D393" s="213"/>
      <c r="E393" s="214"/>
      <c r="F393" s="215"/>
      <c r="G393" s="24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>
      <c r="A394" s="212"/>
      <c r="B394" s="21"/>
      <c r="C394" s="21"/>
      <c r="D394" s="213"/>
      <c r="E394" s="214"/>
      <c r="F394" s="215"/>
      <c r="G394" s="24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>
      <c r="A395" s="212"/>
      <c r="B395" s="21"/>
      <c r="C395" s="21"/>
      <c r="D395" s="213"/>
      <c r="E395" s="214"/>
      <c r="F395" s="215"/>
      <c r="G395" s="21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>
      <c r="A396" s="212"/>
      <c r="B396" s="21"/>
      <c r="C396" s="21"/>
      <c r="D396" s="213"/>
      <c r="E396" s="214"/>
      <c r="F396" s="215"/>
      <c r="G396" s="21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>
      <c r="A397" s="212"/>
      <c r="B397" s="21"/>
      <c r="C397" s="21"/>
      <c r="D397" s="213"/>
      <c r="E397" s="214"/>
      <c r="F397" s="215"/>
      <c r="G397" s="124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>
      <c r="A398" s="212"/>
      <c r="B398" s="21"/>
      <c r="C398" s="21"/>
      <c r="D398" s="213"/>
      <c r="E398" s="214"/>
      <c r="F398" s="215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>
      <c r="A399" s="212"/>
      <c r="B399" s="21"/>
      <c r="C399" s="21"/>
      <c r="D399" s="213"/>
      <c r="E399" s="214"/>
      <c r="F399" s="215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>
      <c r="A400" s="212"/>
      <c r="B400" s="21"/>
      <c r="C400" s="21"/>
      <c r="D400" s="213"/>
      <c r="E400" s="214"/>
      <c r="F400" s="215"/>
      <c r="G400" s="24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>
      <c r="A401" s="212"/>
      <c r="B401" s="21"/>
      <c r="C401" s="21"/>
      <c r="D401" s="213"/>
      <c r="E401" s="214"/>
      <c r="F401" s="215"/>
      <c r="G401" s="24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>
      <c r="A402" s="212"/>
      <c r="B402" s="21"/>
      <c r="C402" s="21"/>
      <c r="D402" s="213"/>
      <c r="E402" s="214"/>
      <c r="F402" s="215"/>
      <c r="G402" s="124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>
      <c r="A403" s="212"/>
      <c r="B403" s="21"/>
      <c r="C403" s="21"/>
      <c r="D403" s="213"/>
      <c r="E403" s="214"/>
      <c r="F403" s="215"/>
      <c r="G403" s="124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>
      <c r="A404" s="212"/>
      <c r="B404" s="21"/>
      <c r="C404" s="21"/>
      <c r="D404" s="213"/>
      <c r="E404" s="214"/>
      <c r="F404" s="215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>
      <c r="A405" s="212"/>
      <c r="B405" s="21"/>
      <c r="C405" s="21"/>
      <c r="D405" s="213"/>
      <c r="E405" s="214"/>
      <c r="F405" s="215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>
      <c r="A406" s="212"/>
      <c r="B406" s="21"/>
      <c r="C406" s="21"/>
      <c r="D406" s="213"/>
      <c r="E406" s="214"/>
      <c r="F406" s="215"/>
      <c r="G406" s="162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>
      <c r="A407" s="212"/>
      <c r="B407" s="21"/>
      <c r="C407" s="21"/>
      <c r="D407" s="213"/>
      <c r="E407" s="214"/>
      <c r="F407" s="215"/>
      <c r="G407" s="21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>
      <c r="A408" s="212"/>
      <c r="B408" s="21"/>
      <c r="C408" s="21"/>
      <c r="D408" s="213"/>
      <c r="E408" s="214"/>
      <c r="F408" s="215"/>
      <c r="G408" s="21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>
      <c r="A409" s="212"/>
      <c r="B409" s="21"/>
      <c r="C409" s="21"/>
      <c r="D409" s="213"/>
      <c r="E409" s="214"/>
      <c r="F409" s="215"/>
      <c r="G409" s="21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>
      <c r="A410" s="212"/>
      <c r="B410" s="21"/>
      <c r="C410" s="21"/>
      <c r="D410" s="213"/>
      <c r="E410" s="214"/>
      <c r="F410" s="215"/>
      <c r="G410" s="21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>
      <c r="A411" s="212"/>
      <c r="B411" s="21"/>
      <c r="C411" s="21"/>
      <c r="D411" s="213"/>
      <c r="E411" s="214"/>
      <c r="F411" s="215"/>
      <c r="G411" s="21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>
      <c r="A412" s="212"/>
      <c r="B412" s="21"/>
      <c r="C412" s="21"/>
      <c r="D412" s="213"/>
      <c r="E412" s="214"/>
      <c r="F412" s="215"/>
      <c r="G412" s="21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>
      <c r="A413" s="212"/>
      <c r="B413" s="21"/>
      <c r="C413" s="21"/>
      <c r="D413" s="213"/>
      <c r="E413" s="214"/>
      <c r="F413" s="215"/>
      <c r="G413" s="21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>
      <c r="A414" s="212"/>
      <c r="B414" s="21"/>
      <c r="C414" s="21"/>
      <c r="D414" s="213"/>
      <c r="E414" s="214"/>
      <c r="F414" s="215"/>
      <c r="G414" s="21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>
      <c r="A415" s="212"/>
      <c r="B415" s="21"/>
      <c r="C415" s="21"/>
      <c r="D415" s="213"/>
      <c r="E415" s="214"/>
      <c r="F415" s="215"/>
      <c r="G415" s="21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>
      <c r="A416" s="212"/>
      <c r="B416" s="21"/>
      <c r="C416" s="21"/>
      <c r="D416" s="213"/>
      <c r="E416" s="214"/>
      <c r="F416" s="215"/>
      <c r="G416" s="21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>
      <c r="A417" s="212"/>
      <c r="B417" s="21"/>
      <c r="C417" s="21"/>
      <c r="D417" s="213"/>
      <c r="E417" s="214"/>
      <c r="F417" s="215"/>
      <c r="G417" s="21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>
      <c r="A418" s="212"/>
      <c r="B418" s="21"/>
      <c r="C418" s="21"/>
      <c r="D418" s="213"/>
      <c r="E418" s="214"/>
      <c r="F418" s="215"/>
      <c r="G418" s="21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>
      <c r="A419" s="212"/>
      <c r="B419" s="21"/>
      <c r="C419" s="21"/>
      <c r="D419" s="213"/>
      <c r="E419" s="214"/>
      <c r="F419" s="215"/>
      <c r="G419" s="21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>
      <c r="A420" s="212"/>
      <c r="B420" s="21"/>
      <c r="C420" s="21"/>
      <c r="D420" s="213"/>
      <c r="E420" s="214"/>
      <c r="F420" s="215"/>
      <c r="G420" s="21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>
      <c r="A421" s="212"/>
      <c r="B421" s="21"/>
      <c r="C421" s="21"/>
      <c r="D421" s="213"/>
      <c r="E421" s="214"/>
      <c r="F421" s="215"/>
      <c r="G421" s="21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>
      <c r="A422" s="212"/>
      <c r="B422" s="21"/>
      <c r="C422" s="21"/>
      <c r="D422" s="213"/>
      <c r="E422" s="214"/>
      <c r="F422" s="215"/>
      <c r="G422" s="21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>
      <c r="A423" s="212"/>
      <c r="B423" s="21"/>
      <c r="C423" s="21"/>
      <c r="D423" s="213"/>
      <c r="E423" s="214"/>
      <c r="F423" s="215"/>
      <c r="G423" s="21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>
      <c r="A424" s="212"/>
      <c r="B424" s="21"/>
      <c r="C424" s="21"/>
      <c r="D424" s="213"/>
      <c r="E424" s="214"/>
      <c r="F424" s="215"/>
      <c r="G424" s="21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>
      <c r="A425" s="212"/>
      <c r="B425" s="21"/>
      <c r="C425" s="21"/>
      <c r="D425" s="213"/>
      <c r="E425" s="214"/>
      <c r="F425" s="215"/>
      <c r="G425" s="21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>
      <c r="A426" s="212"/>
      <c r="B426" s="21"/>
      <c r="C426" s="21"/>
      <c r="D426" s="213"/>
      <c r="E426" s="214"/>
      <c r="F426" s="215"/>
      <c r="G426" s="21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>
      <c r="A427" s="212"/>
      <c r="B427" s="21"/>
      <c r="C427" s="21"/>
      <c r="D427" s="213"/>
      <c r="E427" s="214"/>
      <c r="F427" s="215"/>
      <c r="G427" s="21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>
      <c r="A428" s="212"/>
      <c r="B428" s="21"/>
      <c r="C428" s="21"/>
      <c r="D428" s="213"/>
      <c r="E428" s="214"/>
      <c r="F428" s="215"/>
      <c r="G428" s="21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>
      <c r="A429" s="212"/>
      <c r="B429" s="21"/>
      <c r="C429" s="21"/>
      <c r="D429" s="213"/>
      <c r="E429" s="214"/>
      <c r="F429" s="215"/>
      <c r="G429" s="21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>
      <c r="A430" s="212"/>
      <c r="B430" s="21"/>
      <c r="C430" s="21"/>
      <c r="D430" s="213"/>
      <c r="E430" s="214"/>
      <c r="F430" s="215"/>
      <c r="G430" s="21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>
      <c r="A431" s="212"/>
      <c r="B431" s="21"/>
      <c r="C431" s="21"/>
      <c r="D431" s="213"/>
      <c r="E431" s="214"/>
      <c r="F431" s="215"/>
      <c r="G431" s="21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>
      <c r="A432" s="212"/>
      <c r="B432" s="21"/>
      <c r="C432" s="21"/>
      <c r="D432" s="213"/>
      <c r="E432" s="214"/>
      <c r="F432" s="215"/>
      <c r="G432" s="21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>
      <c r="A433" s="212"/>
      <c r="B433" s="21"/>
      <c r="C433" s="21"/>
      <c r="D433" s="213"/>
      <c r="E433" s="214"/>
      <c r="F433" s="215"/>
      <c r="G433" s="21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>
      <c r="A434" s="212"/>
      <c r="B434" s="21"/>
      <c r="C434" s="21"/>
      <c r="D434" s="213"/>
      <c r="E434" s="214"/>
      <c r="F434" s="215"/>
      <c r="G434" s="21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>
      <c r="A435" s="212"/>
      <c r="B435" s="21"/>
      <c r="C435" s="21"/>
      <c r="D435" s="213"/>
      <c r="E435" s="214"/>
      <c r="F435" s="215"/>
      <c r="G435" s="21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>
      <c r="A436" s="212"/>
      <c r="B436" s="21"/>
      <c r="C436" s="21"/>
      <c r="D436" s="213"/>
      <c r="E436" s="214"/>
      <c r="F436" s="215"/>
      <c r="G436" s="21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>
      <c r="A437" s="212"/>
      <c r="B437" s="21"/>
      <c r="C437" s="21"/>
      <c r="D437" s="213"/>
      <c r="E437" s="214"/>
      <c r="F437" s="215"/>
      <c r="G437" s="21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>
      <c r="A438" s="212"/>
      <c r="B438" s="21"/>
      <c r="C438" s="21"/>
      <c r="D438" s="213"/>
      <c r="E438" s="214"/>
      <c r="F438" s="215"/>
      <c r="G438" s="21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>
      <c r="A439" s="212"/>
      <c r="B439" s="21"/>
      <c r="C439" s="21"/>
      <c r="D439" s="213"/>
      <c r="E439" s="214"/>
      <c r="F439" s="215"/>
      <c r="G439" s="21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>
      <c r="A440" s="212"/>
      <c r="B440" s="21"/>
      <c r="C440" s="21"/>
      <c r="D440" s="213"/>
      <c r="E440" s="214"/>
      <c r="F440" s="215"/>
      <c r="G440" s="21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>
      <c r="A441" s="212"/>
      <c r="B441" s="21"/>
      <c r="C441" s="21"/>
      <c r="D441" s="213"/>
      <c r="E441" s="214"/>
      <c r="F441" s="215"/>
      <c r="G441" s="21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>
      <c r="A442" s="212"/>
      <c r="B442" s="21"/>
      <c r="C442" s="21"/>
      <c r="D442" s="213"/>
      <c r="E442" s="214"/>
      <c r="F442" s="215"/>
      <c r="G442" s="21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>
      <c r="A443" s="212"/>
      <c r="B443" s="21"/>
      <c r="C443" s="21"/>
      <c r="D443" s="213"/>
      <c r="E443" s="214"/>
      <c r="F443" s="215"/>
      <c r="G443" s="21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>
      <c r="A444" s="212"/>
      <c r="B444" s="21"/>
      <c r="C444" s="21"/>
      <c r="D444" s="213"/>
      <c r="E444" s="214"/>
      <c r="F444" s="215"/>
      <c r="G444" s="21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>
      <c r="A445" s="212"/>
      <c r="B445" s="21"/>
      <c r="C445" s="21"/>
      <c r="D445" s="213"/>
      <c r="E445" s="214"/>
      <c r="F445" s="215"/>
      <c r="G445" s="21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>
      <c r="A446" s="212"/>
      <c r="B446" s="21"/>
      <c r="C446" s="21"/>
      <c r="D446" s="213"/>
      <c r="E446" s="214"/>
      <c r="F446" s="215"/>
      <c r="G446" s="21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>
      <c r="A447" s="212"/>
      <c r="B447" s="21"/>
      <c r="C447" s="21"/>
      <c r="D447" s="213"/>
      <c r="E447" s="214"/>
      <c r="F447" s="215"/>
      <c r="G447" s="21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>
      <c r="A448" s="212"/>
      <c r="B448" s="21"/>
      <c r="C448" s="21"/>
      <c r="D448" s="213"/>
      <c r="E448" s="214"/>
      <c r="F448" s="215"/>
      <c r="G448" s="21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>
      <c r="A449" s="212"/>
      <c r="B449" s="21"/>
      <c r="C449" s="21"/>
      <c r="D449" s="213"/>
      <c r="E449" s="214"/>
      <c r="F449" s="215"/>
      <c r="G449" s="21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>
      <c r="A450" s="212"/>
      <c r="B450" s="21"/>
      <c r="C450" s="21"/>
      <c r="D450" s="213"/>
      <c r="E450" s="214"/>
      <c r="F450" s="215"/>
      <c r="G450" s="21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>
      <c r="A451" s="212"/>
      <c r="B451" s="21"/>
      <c r="C451" s="21"/>
      <c r="D451" s="213"/>
      <c r="E451" s="214"/>
      <c r="F451" s="215"/>
      <c r="G451" s="21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>
      <c r="A452" s="212"/>
      <c r="B452" s="21"/>
      <c r="C452" s="21"/>
      <c r="D452" s="213"/>
      <c r="E452" s="214"/>
      <c r="F452" s="215"/>
      <c r="G452" s="21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>
      <c r="A453" s="212"/>
      <c r="B453" s="21"/>
      <c r="C453" s="21"/>
      <c r="D453" s="213"/>
      <c r="E453" s="214"/>
      <c r="F453" s="215"/>
      <c r="G453" s="21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>
      <c r="A454" s="212"/>
      <c r="B454" s="21"/>
      <c r="C454" s="21"/>
      <c r="D454" s="213"/>
      <c r="E454" s="214"/>
      <c r="F454" s="215"/>
      <c r="G454" s="21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>
      <c r="A455" s="212"/>
      <c r="B455" s="21"/>
      <c r="C455" s="21"/>
      <c r="D455" s="213"/>
      <c r="E455" s="214"/>
      <c r="F455" s="215"/>
      <c r="G455" s="21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>
      <c r="A456" s="212"/>
      <c r="B456" s="21"/>
      <c r="C456" s="21"/>
      <c r="D456" s="213"/>
      <c r="E456" s="214"/>
      <c r="F456" s="215"/>
      <c r="G456" s="21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>
      <c r="A457" s="212"/>
      <c r="B457" s="21"/>
      <c r="C457" s="21"/>
      <c r="D457" s="213"/>
      <c r="E457" s="214"/>
      <c r="F457" s="215"/>
      <c r="G457" s="21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>
      <c r="A458" s="212"/>
      <c r="B458" s="21"/>
      <c r="C458" s="21"/>
      <c r="D458" s="213"/>
      <c r="E458" s="214"/>
      <c r="F458" s="215"/>
      <c r="G458" s="124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>
      <c r="A459" s="212"/>
      <c r="B459" s="21"/>
      <c r="C459" s="21"/>
      <c r="D459" s="213"/>
      <c r="E459" s="214"/>
      <c r="F459" s="215"/>
      <c r="G459" s="24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>
      <c r="A460" s="212"/>
      <c r="B460" s="21"/>
      <c r="C460" s="21"/>
      <c r="D460" s="213"/>
      <c r="E460" s="214"/>
      <c r="F460" s="215"/>
      <c r="G460" s="26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>
      <c r="A461" s="212"/>
      <c r="B461" s="21"/>
      <c r="C461" s="21"/>
      <c r="D461" s="213"/>
      <c r="E461" s="214"/>
      <c r="F461" s="215"/>
      <c r="G461" s="26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>
      <c r="A462" s="212"/>
      <c r="B462" s="21"/>
      <c r="C462" s="21"/>
      <c r="D462" s="213"/>
      <c r="E462" s="214"/>
      <c r="F462" s="215"/>
      <c r="G462" s="24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>
      <c r="A463" s="212"/>
      <c r="B463" s="21"/>
      <c r="C463" s="21"/>
      <c r="D463" s="213"/>
      <c r="E463" s="214"/>
      <c r="F463" s="215"/>
      <c r="G463" s="26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>
      <c r="A464" s="212"/>
      <c r="B464" s="21"/>
      <c r="C464" s="21"/>
      <c r="D464" s="213"/>
      <c r="E464" s="214"/>
      <c r="F464" s="215"/>
      <c r="G464" s="222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>
      <c r="A465" s="212"/>
      <c r="B465" s="21"/>
      <c r="C465" s="21"/>
      <c r="D465" s="213"/>
      <c r="E465" s="214"/>
      <c r="F465" s="215"/>
      <c r="G465" s="26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>
      <c r="A466" s="212"/>
      <c r="B466" s="21"/>
      <c r="C466" s="21"/>
      <c r="D466" s="213"/>
      <c r="E466" s="214"/>
      <c r="F466" s="215"/>
      <c r="G466" s="26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>
      <c r="A467" s="212"/>
      <c r="B467" s="21"/>
      <c r="C467" s="21"/>
      <c r="D467" s="213"/>
      <c r="E467" s="214"/>
      <c r="F467" s="215"/>
      <c r="G467" s="24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>
      <c r="A468" s="212"/>
      <c r="B468" s="21"/>
      <c r="C468" s="21"/>
      <c r="D468" s="213"/>
      <c r="E468" s="214"/>
      <c r="F468" s="215"/>
      <c r="G468" s="162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>
      <c r="A469" s="212"/>
      <c r="B469" s="21"/>
      <c r="C469" s="21"/>
      <c r="D469" s="213"/>
      <c r="E469" s="214"/>
      <c r="F469" s="215"/>
      <c r="G469" s="21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>
      <c r="A470" s="212"/>
      <c r="B470" s="21"/>
      <c r="C470" s="21"/>
      <c r="D470" s="213"/>
      <c r="E470" s="214"/>
      <c r="F470" s="215"/>
      <c r="G470" s="21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>
      <c r="A471" s="212"/>
      <c r="B471" s="21"/>
      <c r="C471" s="21"/>
      <c r="D471" s="213"/>
      <c r="E471" s="214"/>
      <c r="F471" s="215"/>
      <c r="G471" s="21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>
      <c r="A472" s="212"/>
      <c r="B472" s="21"/>
      <c r="C472" s="21"/>
      <c r="D472" s="213"/>
      <c r="E472" s="214"/>
      <c r="F472" s="215"/>
      <c r="G472" s="21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>
      <c r="A473" s="212"/>
      <c r="B473" s="21"/>
      <c r="C473" s="21"/>
      <c r="D473" s="213"/>
      <c r="E473" s="214"/>
      <c r="F473" s="215"/>
      <c r="G473" s="21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>
      <c r="A474" s="212"/>
      <c r="B474" s="21"/>
      <c r="C474" s="21"/>
      <c r="D474" s="213"/>
      <c r="E474" s="214"/>
      <c r="F474" s="215"/>
      <c r="G474" s="24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>
      <c r="A475" s="212"/>
      <c r="B475" s="21"/>
      <c r="C475" s="21"/>
      <c r="D475" s="213"/>
      <c r="E475" s="214"/>
      <c r="F475" s="215"/>
      <c r="G475" s="21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>
      <c r="A476" s="212"/>
      <c r="B476" s="21"/>
      <c r="C476" s="21"/>
      <c r="D476" s="213"/>
      <c r="E476" s="214"/>
      <c r="F476" s="215"/>
      <c r="G476" s="21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>
      <c r="A477" s="212"/>
      <c r="B477" s="21"/>
      <c r="C477" s="21"/>
      <c r="D477" s="213"/>
      <c r="E477" s="214"/>
      <c r="F477" s="215"/>
      <c r="G477" s="21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>
      <c r="A478" s="212"/>
      <c r="B478" s="21"/>
      <c r="C478" s="21"/>
      <c r="D478" s="213"/>
      <c r="E478" s="214"/>
      <c r="F478" s="215"/>
      <c r="G478" s="21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>
      <c r="A479" s="212"/>
      <c r="B479" s="21"/>
      <c r="C479" s="21"/>
      <c r="D479" s="213"/>
      <c r="E479" s="214"/>
      <c r="F479" s="215"/>
      <c r="G479" s="21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>
      <c r="A480" s="212"/>
      <c r="B480" s="21"/>
      <c r="C480" s="21"/>
      <c r="D480" s="213"/>
      <c r="E480" s="214"/>
      <c r="F480" s="215"/>
      <c r="G480" s="21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>
      <c r="A481" s="212"/>
      <c r="B481" s="21"/>
      <c r="C481" s="21"/>
      <c r="D481" s="213"/>
      <c r="E481" s="214"/>
      <c r="F481" s="215"/>
      <c r="G481" s="21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>
      <c r="A482" s="212"/>
      <c r="B482" s="21"/>
      <c r="C482" s="21"/>
      <c r="D482" s="213"/>
      <c r="E482" s="214"/>
      <c r="F482" s="215"/>
      <c r="G482" s="21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>
      <c r="A483" s="212"/>
      <c r="B483" s="21"/>
      <c r="C483" s="21"/>
      <c r="D483" s="213"/>
      <c r="E483" s="214"/>
      <c r="F483" s="215"/>
      <c r="G483" s="21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>
      <c r="A484" s="212"/>
      <c r="B484" s="21"/>
      <c r="C484" s="21"/>
      <c r="D484" s="213"/>
      <c r="E484" s="214"/>
      <c r="F484" s="215"/>
      <c r="G484" s="21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>
      <c r="A485" s="212"/>
      <c r="B485" s="21"/>
      <c r="C485" s="21"/>
      <c r="D485" s="213"/>
      <c r="E485" s="214"/>
      <c r="F485" s="215"/>
      <c r="G485" s="21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>
      <c r="A486" s="212"/>
      <c r="B486" s="21"/>
      <c r="C486" s="21"/>
      <c r="D486" s="213"/>
      <c r="E486" s="214"/>
      <c r="F486" s="215"/>
      <c r="G486" s="21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>
      <c r="A487" s="212"/>
      <c r="B487" s="21"/>
      <c r="C487" s="21"/>
      <c r="D487" s="213"/>
      <c r="E487" s="214"/>
      <c r="F487" s="215"/>
      <c r="G487" s="21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>
      <c r="A488" s="212"/>
      <c r="B488" s="21"/>
      <c r="C488" s="21"/>
      <c r="D488" s="213"/>
      <c r="E488" s="214"/>
      <c r="F488" s="215"/>
      <c r="G488" s="21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>
      <c r="A489" s="212"/>
      <c r="B489" s="21"/>
      <c r="C489" s="21"/>
      <c r="D489" s="213"/>
      <c r="E489" s="214"/>
      <c r="F489" s="215"/>
      <c r="G489" s="21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>
      <c r="A490" s="212"/>
      <c r="B490" s="21"/>
      <c r="C490" s="21"/>
      <c r="D490" s="213"/>
      <c r="E490" s="214"/>
      <c r="F490" s="215"/>
      <c r="G490" s="21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>
      <c r="A491" s="212"/>
      <c r="B491" s="21"/>
      <c r="C491" s="21"/>
      <c r="D491" s="213"/>
      <c r="E491" s="214"/>
      <c r="F491" s="215"/>
      <c r="G491" s="21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>
      <c r="A492" s="212"/>
      <c r="B492" s="21"/>
      <c r="C492" s="21"/>
      <c r="D492" s="213"/>
      <c r="E492" s="214"/>
      <c r="F492" s="215"/>
      <c r="G492" s="21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>
      <c r="A493" s="212"/>
      <c r="B493" s="21"/>
      <c r="C493" s="21"/>
      <c r="D493" s="213"/>
      <c r="E493" s="214"/>
      <c r="F493" s="215"/>
      <c r="G493" s="124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>
      <c r="A494" s="212"/>
      <c r="B494" s="21"/>
      <c r="C494" s="21"/>
      <c r="D494" s="213"/>
      <c r="E494" s="214"/>
      <c r="F494" s="215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>
      <c r="A495" s="212"/>
      <c r="B495" s="21"/>
      <c r="C495" s="21"/>
      <c r="D495" s="213"/>
      <c r="E495" s="214"/>
      <c r="F495" s="215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>
      <c r="A496" s="212"/>
      <c r="B496" s="21"/>
      <c r="C496" s="21"/>
      <c r="D496" s="213"/>
      <c r="E496" s="214"/>
      <c r="F496" s="215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>
      <c r="A497" s="212"/>
      <c r="B497" s="21"/>
      <c r="C497" s="21"/>
      <c r="D497" s="213"/>
      <c r="E497" s="214"/>
      <c r="F497" s="215"/>
      <c r="G497" s="24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>
      <c r="A498" s="212"/>
      <c r="B498" s="21"/>
      <c r="C498" s="21"/>
      <c r="D498" s="213"/>
      <c r="E498" s="214"/>
      <c r="F498" s="215"/>
      <c r="G498" s="24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>
      <c r="A499" s="212"/>
      <c r="B499" s="21"/>
      <c r="C499" s="21"/>
      <c r="D499" s="213"/>
      <c r="E499" s="214"/>
      <c r="F499" s="215"/>
      <c r="G499" s="21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>
      <c r="A500" s="212"/>
      <c r="B500" s="21"/>
      <c r="C500" s="21"/>
      <c r="D500" s="213"/>
      <c r="E500" s="214"/>
      <c r="F500" s="215"/>
      <c r="G500" s="124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>
      <c r="A501" s="212"/>
      <c r="B501" s="21"/>
      <c r="C501" s="21"/>
      <c r="D501" s="213"/>
      <c r="E501" s="214"/>
      <c r="F501" s="215"/>
      <c r="G501" s="124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>
      <c r="A502" s="212"/>
      <c r="B502" s="21"/>
      <c r="C502" s="21"/>
      <c r="D502" s="213"/>
      <c r="E502" s="214"/>
      <c r="F502" s="215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>
      <c r="A503" s="212"/>
      <c r="B503" s="21"/>
      <c r="C503" s="21"/>
      <c r="D503" s="213"/>
      <c r="E503" s="214"/>
      <c r="F503" s="215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>
      <c r="A504" s="212"/>
      <c r="B504" s="21"/>
      <c r="C504" s="21"/>
      <c r="D504" s="213"/>
      <c r="E504" s="214"/>
      <c r="F504" s="215"/>
      <c r="G504" s="162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>
      <c r="A505" s="212"/>
      <c r="B505" s="21"/>
      <c r="C505" s="21"/>
      <c r="D505" s="213"/>
      <c r="E505" s="214"/>
      <c r="F505" s="215"/>
      <c r="G505" s="21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>
      <c r="A506" s="212"/>
      <c r="B506" s="21"/>
      <c r="C506" s="21"/>
      <c r="D506" s="213"/>
      <c r="E506" s="214"/>
      <c r="F506" s="215"/>
      <c r="G506" s="21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>
      <c r="A507" s="212"/>
      <c r="B507" s="21"/>
      <c r="C507" s="21"/>
      <c r="D507" s="213"/>
      <c r="E507" s="214"/>
      <c r="F507" s="215"/>
      <c r="G507" s="21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>
      <c r="A508" s="212"/>
      <c r="B508" s="21"/>
      <c r="C508" s="21"/>
      <c r="D508" s="213"/>
      <c r="E508" s="214"/>
      <c r="F508" s="215"/>
      <c r="G508" s="21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>
      <c r="A509" s="212"/>
      <c r="B509" s="21"/>
      <c r="C509" s="21"/>
      <c r="D509" s="213"/>
      <c r="E509" s="214"/>
      <c r="F509" s="215"/>
      <c r="G509" s="21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>
      <c r="A510" s="212"/>
      <c r="B510" s="21"/>
      <c r="C510" s="21"/>
      <c r="D510" s="213"/>
      <c r="E510" s="214"/>
      <c r="F510" s="215"/>
      <c r="G510" s="21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>
      <c r="A511" s="212"/>
      <c r="B511" s="21"/>
      <c r="C511" s="21"/>
      <c r="D511" s="213"/>
      <c r="E511" s="214"/>
      <c r="F511" s="215"/>
      <c r="G511" s="21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>
      <c r="A512" s="212"/>
      <c r="B512" s="21"/>
      <c r="C512" s="21"/>
      <c r="D512" s="213"/>
      <c r="E512" s="214"/>
      <c r="F512" s="215"/>
      <c r="G512" s="21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>
      <c r="A513" s="212"/>
      <c r="B513" s="21"/>
      <c r="C513" s="21"/>
      <c r="D513" s="213"/>
      <c r="E513" s="214"/>
      <c r="F513" s="215"/>
      <c r="G513" s="21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>
      <c r="A514" s="212"/>
      <c r="B514" s="21"/>
      <c r="C514" s="21"/>
      <c r="D514" s="213"/>
      <c r="E514" s="214"/>
      <c r="F514" s="215"/>
      <c r="G514" s="21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>
      <c r="A515" s="212"/>
      <c r="B515" s="21"/>
      <c r="C515" s="21"/>
      <c r="D515" s="213"/>
      <c r="E515" s="214"/>
      <c r="F515" s="215"/>
      <c r="G515" s="21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>
      <c r="A516" s="212"/>
      <c r="B516" s="21"/>
      <c r="C516" s="21"/>
      <c r="D516" s="213"/>
      <c r="E516" s="214"/>
      <c r="F516" s="215"/>
      <c r="G516" s="21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>
      <c r="A517" s="212"/>
      <c r="B517" s="21"/>
      <c r="C517" s="21"/>
      <c r="D517" s="213"/>
      <c r="E517" s="214"/>
      <c r="F517" s="215"/>
      <c r="G517" s="21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>
      <c r="A518" s="212"/>
      <c r="B518" s="21"/>
      <c r="C518" s="21"/>
      <c r="D518" s="213"/>
      <c r="E518" s="214"/>
      <c r="F518" s="215"/>
      <c r="G518" s="21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>
      <c r="A519" s="212"/>
      <c r="B519" s="21"/>
      <c r="C519" s="21"/>
      <c r="D519" s="213"/>
      <c r="E519" s="214"/>
      <c r="F519" s="215"/>
      <c r="G519" s="21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>
      <c r="A520" s="212"/>
      <c r="B520" s="21"/>
      <c r="C520" s="21"/>
      <c r="D520" s="213"/>
      <c r="E520" s="214"/>
      <c r="F520" s="215"/>
      <c r="G520" s="21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>
      <c r="A521" s="212"/>
      <c r="B521" s="21"/>
      <c r="C521" s="21"/>
      <c r="D521" s="213"/>
      <c r="E521" s="214"/>
      <c r="F521" s="215"/>
      <c r="G521" s="21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>
      <c r="A522" s="212"/>
      <c r="B522" s="21"/>
      <c r="C522" s="21"/>
      <c r="D522" s="213"/>
      <c r="E522" s="214"/>
      <c r="F522" s="215"/>
      <c r="G522" s="21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>
      <c r="A523" s="212"/>
      <c r="B523" s="21"/>
      <c r="C523" s="21"/>
      <c r="D523" s="213"/>
      <c r="E523" s="214"/>
      <c r="F523" s="215"/>
      <c r="G523" s="21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>
      <c r="A524" s="212"/>
      <c r="B524" s="21"/>
      <c r="C524" s="21"/>
      <c r="D524" s="213"/>
      <c r="E524" s="214"/>
      <c r="F524" s="215"/>
      <c r="G524" s="21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>
      <c r="A525" s="212"/>
      <c r="B525" s="21"/>
      <c r="C525" s="21"/>
      <c r="D525" s="213"/>
      <c r="E525" s="214"/>
      <c r="F525" s="215"/>
      <c r="G525" s="21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>
      <c r="A526" s="212"/>
      <c r="B526" s="21"/>
      <c r="C526" s="21"/>
      <c r="D526" s="213"/>
      <c r="E526" s="214"/>
      <c r="F526" s="215"/>
      <c r="G526" s="21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>
      <c r="A527" s="212"/>
      <c r="B527" s="21"/>
      <c r="C527" s="21"/>
      <c r="D527" s="213"/>
      <c r="E527" s="214"/>
      <c r="F527" s="215"/>
      <c r="G527" s="21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>
      <c r="A528" s="212"/>
      <c r="B528" s="21"/>
      <c r="C528" s="21"/>
      <c r="D528" s="213"/>
      <c r="E528" s="214"/>
      <c r="F528" s="215"/>
      <c r="G528" s="21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>
      <c r="A529" s="212"/>
      <c r="B529" s="21"/>
      <c r="C529" s="21"/>
      <c r="D529" s="213"/>
      <c r="E529" s="214"/>
      <c r="F529" s="215"/>
      <c r="G529" s="21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>
      <c r="A530" s="212"/>
      <c r="B530" s="21"/>
      <c r="C530" s="21"/>
      <c r="D530" s="213"/>
      <c r="E530" s="214"/>
      <c r="F530" s="215"/>
      <c r="G530" s="21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>
      <c r="A531" s="212"/>
      <c r="B531" s="21"/>
      <c r="C531" s="21"/>
      <c r="D531" s="213"/>
      <c r="E531" s="214"/>
      <c r="F531" s="215"/>
      <c r="G531" s="21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>
      <c r="A532" s="212"/>
      <c r="B532" s="21"/>
      <c r="C532" s="21"/>
      <c r="D532" s="213"/>
      <c r="E532" s="214"/>
      <c r="F532" s="215"/>
      <c r="G532" s="24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>
      <c r="A533" s="212"/>
      <c r="B533" s="21"/>
      <c r="C533" s="21"/>
      <c r="D533" s="213"/>
      <c r="E533" s="214"/>
      <c r="F533" s="215"/>
      <c r="G533" s="24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>
      <c r="A534" s="212"/>
      <c r="B534" s="21"/>
      <c r="C534" s="21"/>
      <c r="D534" s="213"/>
      <c r="E534" s="214"/>
      <c r="F534" s="215"/>
      <c r="G534" s="24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>
      <c r="A535" s="212"/>
      <c r="B535" s="21"/>
      <c r="C535" s="21"/>
      <c r="D535" s="213"/>
      <c r="E535" s="214"/>
      <c r="F535" s="215"/>
      <c r="G535" s="24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>
      <c r="A536" s="212"/>
      <c r="B536" s="21"/>
      <c r="C536" s="21"/>
      <c r="D536" s="213"/>
      <c r="E536" s="214"/>
      <c r="F536" s="215"/>
      <c r="G536" s="24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>
      <c r="A537" s="212"/>
      <c r="B537" s="21"/>
      <c r="C537" s="21"/>
      <c r="D537" s="213"/>
      <c r="E537" s="214"/>
      <c r="F537" s="215"/>
      <c r="G537" s="24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>
      <c r="A538" s="212"/>
      <c r="B538" s="21"/>
      <c r="C538" s="21"/>
      <c r="D538" s="213"/>
      <c r="E538" s="214"/>
      <c r="F538" s="215"/>
      <c r="G538" s="24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>
      <c r="A539" s="212"/>
      <c r="B539" s="21"/>
      <c r="C539" s="21"/>
      <c r="D539" s="213"/>
      <c r="E539" s="214"/>
      <c r="F539" s="215"/>
      <c r="G539" s="24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>
      <c r="A540" s="212"/>
      <c r="B540" s="21"/>
      <c r="C540" s="21"/>
      <c r="D540" s="213"/>
      <c r="E540" s="214"/>
      <c r="F540" s="215"/>
      <c r="G540" s="24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>
      <c r="A541" s="212"/>
      <c r="B541" s="21"/>
      <c r="C541" s="21"/>
      <c r="D541" s="213"/>
      <c r="E541" s="214"/>
      <c r="F541" s="215"/>
      <c r="G541" s="24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>
      <c r="A542" s="212"/>
      <c r="B542" s="21"/>
      <c r="C542" s="21"/>
      <c r="D542" s="213"/>
      <c r="E542" s="214"/>
      <c r="F542" s="215"/>
      <c r="G542" s="24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>
      <c r="A543" s="212"/>
      <c r="B543" s="21"/>
      <c r="C543" s="21"/>
      <c r="D543" s="213"/>
      <c r="E543" s="214"/>
      <c r="F543" s="215"/>
      <c r="G543" s="24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>
      <c r="A544" s="212"/>
      <c r="B544" s="21"/>
      <c r="C544" s="21"/>
      <c r="D544" s="213"/>
      <c r="E544" s="214"/>
      <c r="F544" s="215"/>
      <c r="G544" s="124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>
      <c r="A545" s="212"/>
      <c r="B545" s="21"/>
      <c r="C545" s="21"/>
      <c r="D545" s="213"/>
      <c r="E545" s="214"/>
      <c r="F545" s="215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>
      <c r="A546" s="212"/>
      <c r="B546" s="21"/>
      <c r="C546" s="21"/>
      <c r="D546" s="213"/>
      <c r="E546" s="214"/>
      <c r="F546" s="215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>
      <c r="A547" s="212"/>
      <c r="B547" s="21"/>
      <c r="C547" s="21"/>
      <c r="D547" s="213"/>
      <c r="E547" s="214"/>
      <c r="F547" s="215"/>
      <c r="G547" s="24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>
      <c r="A548" s="212"/>
      <c r="B548" s="21"/>
      <c r="C548" s="21"/>
      <c r="D548" s="213"/>
      <c r="E548" s="214"/>
      <c r="F548" s="215"/>
      <c r="G548" s="24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>
      <c r="A549" s="212"/>
      <c r="B549" s="21"/>
      <c r="C549" s="21"/>
      <c r="D549" s="213"/>
      <c r="E549" s="214"/>
      <c r="F549" s="215"/>
      <c r="G549" s="24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>
      <c r="A550" s="212"/>
      <c r="B550" s="21"/>
      <c r="C550" s="21"/>
      <c r="D550" s="213"/>
      <c r="E550" s="214"/>
      <c r="F550" s="215"/>
      <c r="G550" s="24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  <c r="AA550" s="224"/>
      <c r="AB550" s="224"/>
      <c r="AC550" s="224"/>
      <c r="AD550" s="224"/>
      <c r="AE550" s="224"/>
      <c r="AF550" s="224"/>
      <c r="AG550" s="224"/>
      <c r="AH550" s="224"/>
      <c r="AI550" s="224"/>
      <c r="AJ550" s="224"/>
      <c r="AK550" s="224"/>
      <c r="AL550" s="224"/>
      <c r="AM550" s="224"/>
      <c r="AN550" s="224"/>
      <c r="AO550" s="224"/>
      <c r="AP550" s="224"/>
      <c r="AQ550" s="224"/>
      <c r="AR550" s="224"/>
      <c r="AS550" s="224"/>
      <c r="AT550" s="224"/>
      <c r="AU550" s="224"/>
      <c r="AV550" s="224"/>
      <c r="AW550" s="224"/>
      <c r="AX550" s="224"/>
      <c r="AY550" s="224"/>
      <c r="AZ550" s="224"/>
      <c r="BA550" s="224"/>
      <c r="BB550" s="224"/>
      <c r="BC550" s="224"/>
      <c r="BD550" s="224"/>
      <c r="BE550" s="224"/>
      <c r="BF550" s="224"/>
      <c r="BG550" s="224"/>
      <c r="BH550" s="224"/>
      <c r="BI550" s="224"/>
      <c r="BJ550" s="224"/>
      <c r="BK550" s="224"/>
      <c r="BL550" s="224"/>
      <c r="BM550" s="224"/>
      <c r="BN550" s="224"/>
      <c r="BO550" s="224"/>
      <c r="BP550" s="224"/>
      <c r="BQ550" s="224"/>
      <c r="BR550" s="224"/>
      <c r="BS550" s="224"/>
      <c r="BT550" s="224"/>
      <c r="BU550" s="224"/>
      <c r="BV550" s="224"/>
      <c r="BW550" s="224"/>
      <c r="BX550" s="224"/>
      <c r="BY550" s="224"/>
      <c r="BZ550" s="224"/>
      <c r="CA550" s="224"/>
      <c r="CB550" s="224"/>
      <c r="CC550" s="224"/>
      <c r="CD550" s="224"/>
      <c r="CE550" s="224"/>
      <c r="CF550" s="224"/>
      <c r="CG550" s="224"/>
      <c r="CH550" s="224"/>
      <c r="CI550" s="224"/>
      <c r="CJ550" s="224"/>
      <c r="CK550" s="224"/>
      <c r="CL550" s="224"/>
      <c r="CM550" s="224"/>
      <c r="CN550" s="224"/>
      <c r="CO550" s="224"/>
      <c r="CP550" s="224"/>
      <c r="CQ550" s="224"/>
      <c r="CR550" s="224"/>
      <c r="CS550" s="224"/>
      <c r="CT550" s="224"/>
      <c r="CU550" s="224"/>
      <c r="CV550" s="224"/>
      <c r="CW550" s="224"/>
      <c r="CX550" s="224"/>
      <c r="CY550" s="224"/>
      <c r="CZ550" s="224"/>
      <c r="DA550" s="224"/>
      <c r="DB550" s="224"/>
      <c r="DC550" s="224"/>
      <c r="DD550" s="224"/>
      <c r="DE550" s="224"/>
      <c r="DF550" s="224"/>
      <c r="DG550" s="224"/>
      <c r="DH550" s="224"/>
      <c r="DI550" s="224"/>
      <c r="DJ550" s="224"/>
      <c r="DK550" s="224"/>
      <c r="DL550" s="224"/>
      <c r="DM550" s="224"/>
      <c r="DN550" s="224"/>
      <c r="DO550" s="224"/>
      <c r="DP550" s="224"/>
      <c r="DQ550" s="224"/>
      <c r="DR550" s="224"/>
      <c r="DS550" s="224"/>
      <c r="DT550" s="224"/>
      <c r="DU550" s="224"/>
      <c r="DV550" s="224"/>
      <c r="DW550" s="224"/>
      <c r="DX550" s="224"/>
      <c r="DY550" s="224"/>
      <c r="DZ550" s="224"/>
      <c r="EA550" s="224"/>
      <c r="EB550" s="224"/>
      <c r="EC550" s="224"/>
      <c r="ED550" s="224"/>
      <c r="EE550" s="224"/>
      <c r="EF550" s="224"/>
      <c r="EG550" s="224"/>
      <c r="EH550" s="224"/>
      <c r="EI550" s="224"/>
      <c r="EJ550" s="224"/>
      <c r="EK550" s="224"/>
      <c r="EL550" s="224"/>
      <c r="EM550" s="224"/>
      <c r="EN550" s="224"/>
      <c r="EO550" s="224"/>
      <c r="EP550" s="224"/>
      <c r="EQ550" s="224"/>
      <c r="ER550" s="224"/>
      <c r="ES550" s="224"/>
      <c r="ET550" s="224"/>
      <c r="EU550" s="224"/>
      <c r="EV550" s="224"/>
      <c r="EW550" s="224"/>
      <c r="EX550" s="224"/>
      <c r="EY550" s="224"/>
      <c r="EZ550" s="224"/>
      <c r="FA550" s="224"/>
      <c r="FB550" s="224"/>
      <c r="FC550" s="224"/>
      <c r="FD550" s="224"/>
      <c r="FE550" s="224"/>
      <c r="FF550" s="224"/>
      <c r="FG550" s="224"/>
      <c r="FH550" s="224"/>
      <c r="FI550" s="224"/>
      <c r="FJ550" s="224"/>
      <c r="FK550" s="224"/>
      <c r="FL550" s="224"/>
      <c r="FM550" s="224"/>
      <c r="FN550" s="224"/>
      <c r="FO550" s="224"/>
      <c r="FP550" s="224"/>
      <c r="FQ550" s="224"/>
      <c r="FR550" s="224"/>
      <c r="FS550" s="224"/>
      <c r="FT550" s="224"/>
      <c r="FU550" s="224"/>
      <c r="FV550" s="224"/>
      <c r="FW550" s="224"/>
      <c r="FX550" s="224"/>
      <c r="FY550" s="224"/>
      <c r="FZ550" s="224"/>
      <c r="GA550" s="224"/>
      <c r="GB550" s="224"/>
      <c r="GC550" s="224"/>
      <c r="GD550" s="224"/>
      <c r="GE550" s="224"/>
      <c r="GF550" s="224"/>
      <c r="GG550" s="224"/>
      <c r="GH550" s="224"/>
      <c r="GI550" s="224"/>
      <c r="GJ550" s="224"/>
      <c r="GK550" s="224"/>
      <c r="GL550" s="224"/>
      <c r="GM550" s="224"/>
      <c r="GN550" s="224"/>
    </row>
    <row r="551">
      <c r="A551" s="212"/>
      <c r="B551" s="21"/>
      <c r="C551" s="21"/>
      <c r="D551" s="213"/>
      <c r="E551" s="214"/>
      <c r="F551" s="215"/>
      <c r="G551" s="26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  <c r="AA551" s="224"/>
      <c r="AB551" s="224"/>
      <c r="AC551" s="224"/>
      <c r="AD551" s="224"/>
      <c r="AE551" s="224"/>
      <c r="AF551" s="224"/>
      <c r="AG551" s="224"/>
      <c r="AH551" s="224"/>
      <c r="AI551" s="224"/>
      <c r="AJ551" s="224"/>
      <c r="AK551" s="224"/>
      <c r="AL551" s="224"/>
      <c r="AM551" s="224"/>
      <c r="AN551" s="224"/>
      <c r="AO551" s="224"/>
      <c r="AP551" s="224"/>
      <c r="AQ551" s="224"/>
      <c r="AR551" s="224"/>
      <c r="AS551" s="224"/>
      <c r="AT551" s="224"/>
      <c r="AU551" s="224"/>
      <c r="AV551" s="224"/>
      <c r="AW551" s="224"/>
      <c r="AX551" s="224"/>
      <c r="AY551" s="224"/>
      <c r="AZ551" s="224"/>
      <c r="BA551" s="224"/>
      <c r="BB551" s="224"/>
      <c r="BC551" s="224"/>
      <c r="BD551" s="224"/>
      <c r="BE551" s="224"/>
      <c r="BF551" s="224"/>
      <c r="BG551" s="224"/>
      <c r="BH551" s="224"/>
      <c r="BI551" s="224"/>
      <c r="BJ551" s="224"/>
      <c r="BK551" s="224"/>
      <c r="BL551" s="224"/>
      <c r="BM551" s="224"/>
      <c r="BN551" s="224"/>
      <c r="BO551" s="224"/>
      <c r="BP551" s="224"/>
      <c r="BQ551" s="224"/>
      <c r="BR551" s="224"/>
      <c r="BS551" s="224"/>
      <c r="BT551" s="224"/>
      <c r="BU551" s="224"/>
      <c r="BV551" s="224"/>
      <c r="BW551" s="224"/>
      <c r="BX551" s="224"/>
      <c r="BY551" s="224"/>
      <c r="BZ551" s="224"/>
      <c r="CA551" s="224"/>
      <c r="CB551" s="224"/>
      <c r="CC551" s="224"/>
      <c r="CD551" s="224"/>
      <c r="CE551" s="224"/>
      <c r="CF551" s="224"/>
      <c r="CG551" s="224"/>
      <c r="CH551" s="224"/>
      <c r="CI551" s="224"/>
      <c r="CJ551" s="224"/>
      <c r="CK551" s="224"/>
      <c r="CL551" s="224"/>
      <c r="CM551" s="224"/>
      <c r="CN551" s="224"/>
      <c r="CO551" s="224"/>
      <c r="CP551" s="224"/>
      <c r="CQ551" s="224"/>
      <c r="CR551" s="224"/>
      <c r="CS551" s="224"/>
      <c r="CT551" s="224"/>
      <c r="CU551" s="224"/>
      <c r="CV551" s="224"/>
      <c r="CW551" s="224"/>
      <c r="CX551" s="224"/>
      <c r="CY551" s="224"/>
      <c r="CZ551" s="224"/>
      <c r="DA551" s="224"/>
      <c r="DB551" s="224"/>
      <c r="DC551" s="224"/>
      <c r="DD551" s="224"/>
      <c r="DE551" s="224"/>
      <c r="DF551" s="224"/>
      <c r="DG551" s="224"/>
      <c r="DH551" s="224"/>
      <c r="DI551" s="224"/>
      <c r="DJ551" s="224"/>
      <c r="DK551" s="224"/>
      <c r="DL551" s="224"/>
      <c r="DM551" s="224"/>
      <c r="DN551" s="224"/>
      <c r="DO551" s="224"/>
      <c r="DP551" s="224"/>
      <c r="DQ551" s="224"/>
      <c r="DR551" s="224"/>
      <c r="DS551" s="224"/>
      <c r="DT551" s="224"/>
      <c r="DU551" s="224"/>
      <c r="DV551" s="224"/>
      <c r="DW551" s="224"/>
      <c r="DX551" s="224"/>
      <c r="DY551" s="224"/>
      <c r="DZ551" s="224"/>
      <c r="EA551" s="224"/>
      <c r="EB551" s="224"/>
      <c r="EC551" s="224"/>
      <c r="ED551" s="224"/>
      <c r="EE551" s="224"/>
      <c r="EF551" s="224"/>
      <c r="EG551" s="224"/>
      <c r="EH551" s="224"/>
      <c r="EI551" s="224"/>
      <c r="EJ551" s="224"/>
      <c r="EK551" s="224"/>
      <c r="EL551" s="224"/>
      <c r="EM551" s="224"/>
      <c r="EN551" s="224"/>
      <c r="EO551" s="224"/>
      <c r="EP551" s="224"/>
      <c r="EQ551" s="224"/>
      <c r="ER551" s="224"/>
      <c r="ES551" s="224"/>
      <c r="ET551" s="224"/>
      <c r="EU551" s="224"/>
      <c r="EV551" s="224"/>
      <c r="EW551" s="224"/>
      <c r="EX551" s="224"/>
      <c r="EY551" s="224"/>
      <c r="EZ551" s="224"/>
      <c r="FA551" s="224"/>
      <c r="FB551" s="224"/>
      <c r="FC551" s="224"/>
      <c r="FD551" s="224"/>
      <c r="FE551" s="224"/>
      <c r="FF551" s="224"/>
      <c r="FG551" s="224"/>
      <c r="FH551" s="224"/>
      <c r="FI551" s="224"/>
      <c r="FJ551" s="224"/>
      <c r="FK551" s="224"/>
      <c r="FL551" s="224"/>
      <c r="FM551" s="224"/>
      <c r="FN551" s="224"/>
      <c r="FO551" s="224"/>
      <c r="FP551" s="224"/>
      <c r="FQ551" s="224"/>
      <c r="FR551" s="224"/>
      <c r="FS551" s="224"/>
      <c r="FT551" s="224"/>
      <c r="FU551" s="224"/>
      <c r="FV551" s="224"/>
      <c r="FW551" s="224"/>
      <c r="FX551" s="224"/>
      <c r="FY551" s="224"/>
      <c r="FZ551" s="224"/>
      <c r="GA551" s="224"/>
      <c r="GB551" s="224"/>
      <c r="GC551" s="224"/>
      <c r="GD551" s="224"/>
      <c r="GE551" s="224"/>
      <c r="GF551" s="224"/>
      <c r="GG551" s="224"/>
      <c r="GH551" s="224"/>
      <c r="GI551" s="224"/>
      <c r="GJ551" s="224"/>
      <c r="GK551" s="224"/>
      <c r="GL551" s="224"/>
      <c r="GM551" s="224"/>
      <c r="GN551" s="224"/>
    </row>
    <row r="552">
      <c r="A552" s="212"/>
      <c r="B552" s="21"/>
      <c r="C552" s="21"/>
      <c r="D552" s="213"/>
      <c r="E552" s="214"/>
      <c r="F552" s="215"/>
      <c r="G552" s="124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>
      <c r="A553" s="212"/>
      <c r="B553" s="21"/>
      <c r="C553" s="21"/>
      <c r="D553" s="213"/>
      <c r="E553" s="214"/>
      <c r="F553" s="215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>
      <c r="A554" s="212"/>
      <c r="B554" s="21"/>
      <c r="C554" s="21"/>
      <c r="D554" s="213"/>
      <c r="E554" s="214"/>
      <c r="F554" s="215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>
      <c r="A555" s="212"/>
      <c r="B555" s="21"/>
      <c r="C555" s="21"/>
      <c r="D555" s="213"/>
      <c r="E555" s="214"/>
      <c r="F555" s="215"/>
      <c r="G555" s="162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>
      <c r="A556" s="212"/>
      <c r="B556" s="21"/>
      <c r="C556" s="21"/>
      <c r="D556" s="213"/>
      <c r="E556" s="214"/>
      <c r="F556" s="215"/>
      <c r="G556" s="24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>
      <c r="A557" s="212"/>
      <c r="B557" s="21"/>
      <c r="C557" s="21"/>
      <c r="D557" s="213"/>
      <c r="E557" s="214"/>
      <c r="F557" s="215"/>
      <c r="G557" s="24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>
      <c r="A558" s="212"/>
      <c r="B558" s="21"/>
      <c r="C558" s="21"/>
      <c r="D558" s="213"/>
      <c r="E558" s="214"/>
      <c r="F558" s="215"/>
      <c r="G558" s="24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>
      <c r="A559" s="212"/>
      <c r="B559" s="21"/>
      <c r="C559" s="21"/>
      <c r="D559" s="213"/>
      <c r="E559" s="214"/>
      <c r="F559" s="215"/>
      <c r="G559" s="24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>
      <c r="A560" s="212"/>
      <c r="B560" s="21"/>
      <c r="C560" s="21"/>
      <c r="D560" s="213"/>
      <c r="E560" s="214"/>
      <c r="F560" s="215"/>
      <c r="G560" s="24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>
      <c r="A561" s="212"/>
      <c r="B561" s="21"/>
      <c r="C561" s="21"/>
      <c r="D561" s="213"/>
      <c r="E561" s="214"/>
      <c r="F561" s="215"/>
      <c r="G561" s="24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>
      <c r="A562" s="212"/>
      <c r="B562" s="21"/>
      <c r="C562" s="21"/>
      <c r="D562" s="213"/>
      <c r="E562" s="214"/>
      <c r="F562" s="215"/>
      <c r="G562" s="24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>
      <c r="A563" s="212"/>
      <c r="B563" s="21"/>
      <c r="C563" s="21"/>
      <c r="D563" s="213"/>
      <c r="E563" s="214"/>
      <c r="F563" s="215"/>
      <c r="G563" s="24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>
      <c r="A564" s="212"/>
      <c r="B564" s="21"/>
      <c r="C564" s="21"/>
      <c r="D564" s="213"/>
      <c r="E564" s="214"/>
      <c r="F564" s="215"/>
      <c r="G564" s="24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>
      <c r="A565" s="212"/>
      <c r="B565" s="21"/>
      <c r="C565" s="21"/>
      <c r="D565" s="213"/>
      <c r="E565" s="214"/>
      <c r="F565" s="215"/>
      <c r="G565" s="24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>
      <c r="A566" s="212"/>
      <c r="B566" s="21"/>
      <c r="C566" s="21"/>
      <c r="D566" s="213"/>
      <c r="E566" s="214"/>
      <c r="F566" s="215"/>
      <c r="G566" s="24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>
      <c r="A567" s="212"/>
      <c r="B567" s="21"/>
      <c r="C567" s="21"/>
      <c r="D567" s="213"/>
      <c r="E567" s="214"/>
      <c r="F567" s="215"/>
      <c r="G567" s="24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>
      <c r="A568" s="212"/>
      <c r="B568" s="21"/>
      <c r="C568" s="21"/>
      <c r="D568" s="213"/>
      <c r="E568" s="214"/>
      <c r="F568" s="215"/>
      <c r="G568" s="24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>
      <c r="A569" s="212"/>
      <c r="B569" s="21"/>
      <c r="C569" s="21"/>
      <c r="D569" s="213"/>
      <c r="E569" s="214"/>
      <c r="F569" s="215"/>
      <c r="G569" s="24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>
      <c r="A570" s="212"/>
      <c r="B570" s="21"/>
      <c r="C570" s="21"/>
      <c r="D570" s="213"/>
      <c r="E570" s="214"/>
      <c r="F570" s="215"/>
      <c r="G570" s="24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>
      <c r="A571" s="212"/>
      <c r="B571" s="21"/>
      <c r="C571" s="21"/>
      <c r="D571" s="213"/>
      <c r="E571" s="214"/>
      <c r="F571" s="215"/>
      <c r="G571" s="24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>
      <c r="A572" s="212"/>
      <c r="B572" s="21"/>
      <c r="C572" s="21"/>
      <c r="D572" s="213"/>
      <c r="E572" s="214"/>
      <c r="F572" s="215"/>
      <c r="G572" s="24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>
      <c r="A573" s="212"/>
      <c r="B573" s="21"/>
      <c r="C573" s="21"/>
      <c r="D573" s="213"/>
      <c r="E573" s="214"/>
      <c r="F573" s="215"/>
      <c r="G573" s="24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>
      <c r="A574" s="212"/>
      <c r="B574" s="21"/>
      <c r="C574" s="21"/>
      <c r="D574" s="213"/>
      <c r="E574" s="214"/>
      <c r="F574" s="215"/>
      <c r="G574" s="24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>
      <c r="A575" s="212"/>
      <c r="B575" s="21"/>
      <c r="C575" s="21"/>
      <c r="D575" s="213"/>
      <c r="E575" s="214"/>
      <c r="F575" s="215"/>
      <c r="G575" s="24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>
      <c r="A576" s="212"/>
      <c r="B576" s="21"/>
      <c r="C576" s="21"/>
      <c r="D576" s="213"/>
      <c r="E576" s="214"/>
      <c r="F576" s="215"/>
      <c r="G576" s="24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>
      <c r="A577" s="212"/>
      <c r="B577" s="21"/>
      <c r="C577" s="21"/>
      <c r="D577" s="213"/>
      <c r="E577" s="214"/>
      <c r="F577" s="215"/>
      <c r="G577" s="24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>
      <c r="A578" s="212"/>
      <c r="B578" s="21"/>
      <c r="C578" s="21"/>
      <c r="D578" s="213"/>
      <c r="E578" s="214"/>
      <c r="F578" s="215"/>
      <c r="G578" s="24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>
      <c r="A579" s="212"/>
      <c r="B579" s="21"/>
      <c r="C579" s="21"/>
      <c r="D579" s="213"/>
      <c r="E579" s="214"/>
      <c r="F579" s="215"/>
      <c r="G579" s="24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>
      <c r="A580" s="212"/>
      <c r="B580" s="21"/>
      <c r="C580" s="21"/>
      <c r="D580" s="213"/>
      <c r="E580" s="214"/>
      <c r="F580" s="215"/>
      <c r="G580" s="24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>
      <c r="A581" s="212"/>
      <c r="B581" s="21"/>
      <c r="C581" s="21"/>
      <c r="D581" s="213"/>
      <c r="E581" s="214"/>
      <c r="F581" s="215"/>
      <c r="G581" s="24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>
      <c r="A582" s="212"/>
      <c r="B582" s="21"/>
      <c r="C582" s="21"/>
      <c r="D582" s="213"/>
      <c r="E582" s="214"/>
      <c r="F582" s="215"/>
      <c r="G582" s="24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>
      <c r="A583" s="212"/>
      <c r="B583" s="21"/>
      <c r="C583" s="21"/>
      <c r="D583" s="213"/>
      <c r="E583" s="214"/>
      <c r="F583" s="215"/>
      <c r="G583" s="24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>
      <c r="A584" s="212"/>
      <c r="B584" s="21"/>
      <c r="C584" s="21"/>
      <c r="D584" s="213"/>
      <c r="E584" s="214"/>
      <c r="F584" s="215"/>
      <c r="G584" s="24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>
      <c r="A585" s="212"/>
      <c r="B585" s="21"/>
      <c r="C585" s="21"/>
      <c r="D585" s="213"/>
      <c r="E585" s="214"/>
      <c r="F585" s="215"/>
      <c r="G585" s="24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>
      <c r="A586" s="212"/>
      <c r="B586" s="21"/>
      <c r="C586" s="21"/>
      <c r="D586" s="213"/>
      <c r="E586" s="214"/>
      <c r="F586" s="215"/>
      <c r="G586" s="24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>
      <c r="A587" s="212"/>
      <c r="B587" s="21"/>
      <c r="C587" s="21"/>
      <c r="D587" s="213"/>
      <c r="E587" s="214"/>
      <c r="F587" s="215"/>
      <c r="G587" s="24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>
      <c r="A588" s="212"/>
      <c r="B588" s="21"/>
      <c r="C588" s="21"/>
      <c r="D588" s="213"/>
      <c r="E588" s="214"/>
      <c r="F588" s="215"/>
      <c r="G588" s="24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>
      <c r="A589" s="212"/>
      <c r="B589" s="21"/>
      <c r="C589" s="21"/>
      <c r="D589" s="213"/>
      <c r="E589" s="214"/>
      <c r="F589" s="215"/>
      <c r="G589" s="24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>
      <c r="A590" s="212"/>
      <c r="B590" s="21"/>
      <c r="C590" s="21"/>
      <c r="D590" s="213"/>
      <c r="E590" s="214"/>
      <c r="F590" s="215"/>
      <c r="G590" s="24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>
      <c r="A591" s="212"/>
      <c r="B591" s="21"/>
      <c r="C591" s="21"/>
      <c r="D591" s="213"/>
      <c r="E591" s="214"/>
      <c r="F591" s="215"/>
      <c r="G591" s="24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>
      <c r="A592" s="212"/>
      <c r="B592" s="21"/>
      <c r="C592" s="21"/>
      <c r="D592" s="213"/>
      <c r="E592" s="214"/>
      <c r="F592" s="215"/>
      <c r="G592" s="24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>
      <c r="A593" s="212"/>
      <c r="B593" s="21"/>
      <c r="C593" s="21"/>
      <c r="D593" s="213"/>
      <c r="E593" s="214"/>
      <c r="F593" s="215"/>
      <c r="G593" s="24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>
      <c r="A594" s="212"/>
      <c r="B594" s="21"/>
      <c r="C594" s="21"/>
      <c r="D594" s="213"/>
      <c r="E594" s="214"/>
      <c r="F594" s="215"/>
      <c r="G594" s="24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>
      <c r="A595" s="212"/>
      <c r="B595" s="21"/>
      <c r="C595" s="21"/>
      <c r="D595" s="213"/>
      <c r="E595" s="214"/>
      <c r="F595" s="215"/>
      <c r="G595" s="24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>
      <c r="A596" s="212"/>
      <c r="B596" s="21"/>
      <c r="C596" s="21"/>
      <c r="D596" s="213"/>
      <c r="E596" s="214"/>
      <c r="F596" s="215"/>
      <c r="G596" s="24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>
      <c r="A597" s="212"/>
      <c r="B597" s="21"/>
      <c r="C597" s="21"/>
      <c r="D597" s="213"/>
      <c r="E597" s="214"/>
      <c r="F597" s="215"/>
      <c r="G597" s="24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>
      <c r="A598" s="212"/>
      <c r="B598" s="21"/>
      <c r="C598" s="21"/>
      <c r="D598" s="213"/>
      <c r="E598" s="214"/>
      <c r="F598" s="215"/>
      <c r="G598" s="24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>
      <c r="A599" s="212"/>
      <c r="B599" s="21"/>
      <c r="C599" s="21"/>
      <c r="D599" s="213"/>
      <c r="E599" s="214"/>
      <c r="F599" s="215"/>
      <c r="G599" s="124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>
      <c r="A600" s="212"/>
      <c r="B600" s="21"/>
      <c r="C600" s="21"/>
      <c r="D600" s="213"/>
      <c r="E600" s="214"/>
      <c r="F600" s="215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>
      <c r="A601" s="212"/>
      <c r="B601" s="21"/>
      <c r="C601" s="21"/>
      <c r="D601" s="213"/>
      <c r="E601" s="214"/>
      <c r="F601" s="215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>
      <c r="A602" s="212"/>
      <c r="B602" s="21"/>
      <c r="C602" s="21"/>
      <c r="D602" s="213"/>
      <c r="E602" s="214"/>
      <c r="F602" s="215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>
      <c r="A603" s="212"/>
      <c r="B603" s="21"/>
      <c r="C603" s="21"/>
      <c r="D603" s="213"/>
      <c r="E603" s="214"/>
      <c r="F603" s="215"/>
      <c r="G603" s="24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>
      <c r="A604" s="212"/>
      <c r="B604" s="21"/>
      <c r="C604" s="21"/>
      <c r="D604" s="213"/>
      <c r="E604" s="214"/>
      <c r="F604" s="215"/>
      <c r="G604" s="24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>
      <c r="A605" s="212"/>
      <c r="B605" s="21"/>
      <c r="C605" s="21"/>
      <c r="D605" s="213"/>
      <c r="E605" s="214"/>
      <c r="F605" s="215"/>
      <c r="G605" s="24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>
      <c r="A606" s="212"/>
      <c r="B606" s="21"/>
      <c r="C606" s="21"/>
      <c r="D606" s="213"/>
      <c r="E606" s="214"/>
      <c r="F606" s="215"/>
      <c r="G606" s="124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>
      <c r="A607" s="212"/>
      <c r="B607" s="21"/>
      <c r="C607" s="21"/>
      <c r="D607" s="213"/>
      <c r="E607" s="214"/>
      <c r="F607" s="215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>
      <c r="A608" s="212"/>
      <c r="B608" s="21"/>
      <c r="C608" s="21"/>
      <c r="D608" s="213"/>
      <c r="E608" s="214"/>
      <c r="F608" s="215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>
      <c r="A609" s="212"/>
      <c r="B609" s="21"/>
      <c r="C609" s="21"/>
      <c r="D609" s="213"/>
      <c r="E609" s="214"/>
      <c r="F609" s="215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>
      <c r="A610" s="212"/>
      <c r="B610" s="21"/>
      <c r="C610" s="21"/>
      <c r="D610" s="213"/>
      <c r="E610" s="214"/>
      <c r="F610" s="215"/>
      <c r="G610" s="162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>
      <c r="A611" s="212"/>
      <c r="B611" s="21"/>
      <c r="C611" s="21"/>
      <c r="D611" s="213"/>
      <c r="E611" s="214"/>
      <c r="F611" s="215"/>
      <c r="G611" s="24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>
      <c r="A612" s="212"/>
      <c r="B612" s="21"/>
      <c r="C612" s="21"/>
      <c r="D612" s="213"/>
      <c r="E612" s="214"/>
      <c r="F612" s="215"/>
      <c r="G612" s="24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>
      <c r="A613" s="212"/>
      <c r="B613" s="21"/>
      <c r="C613" s="21"/>
      <c r="D613" s="213"/>
      <c r="E613" s="214"/>
      <c r="F613" s="215"/>
      <c r="G613" s="24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>
      <c r="A614" s="212"/>
      <c r="B614" s="21"/>
      <c r="C614" s="21"/>
      <c r="D614" s="213"/>
      <c r="E614" s="214"/>
      <c r="F614" s="215"/>
      <c r="G614" s="24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>
      <c r="A615" s="212"/>
      <c r="B615" s="21"/>
      <c r="C615" s="21"/>
      <c r="D615" s="213"/>
      <c r="E615" s="214"/>
      <c r="F615" s="215"/>
      <c r="G615" s="24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>
      <c r="A616" s="212"/>
      <c r="B616" s="21"/>
      <c r="C616" s="21"/>
      <c r="D616" s="213"/>
      <c r="E616" s="214"/>
      <c r="F616" s="215"/>
      <c r="G616" s="24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>
      <c r="A617" s="212"/>
      <c r="B617" s="21"/>
      <c r="C617" s="21"/>
      <c r="D617" s="213"/>
      <c r="E617" s="214"/>
      <c r="F617" s="215"/>
      <c r="G617" s="24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>
      <c r="A618" s="212"/>
      <c r="B618" s="21"/>
      <c r="C618" s="21"/>
      <c r="D618" s="213"/>
      <c r="E618" s="214"/>
      <c r="F618" s="215"/>
      <c r="G618" s="24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>
      <c r="A619" s="212"/>
      <c r="B619" s="21"/>
      <c r="C619" s="21"/>
      <c r="D619" s="213"/>
      <c r="E619" s="214"/>
      <c r="F619" s="215"/>
      <c r="G619" s="24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>
      <c r="A620" s="212"/>
      <c r="B620" s="21"/>
      <c r="C620" s="21"/>
      <c r="D620" s="213"/>
      <c r="E620" s="214"/>
      <c r="F620" s="215"/>
      <c r="G620" s="24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>
      <c r="A621" s="212"/>
      <c r="B621" s="21"/>
      <c r="C621" s="21"/>
      <c r="D621" s="213"/>
      <c r="E621" s="214"/>
      <c r="F621" s="215"/>
      <c r="G621" s="24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>
      <c r="A622" s="212"/>
      <c r="B622" s="21"/>
      <c r="C622" s="21"/>
      <c r="D622" s="213"/>
      <c r="E622" s="214"/>
      <c r="F622" s="215"/>
      <c r="G622" s="24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>
      <c r="A623" s="212"/>
      <c r="B623" s="21"/>
      <c r="C623" s="21"/>
      <c r="D623" s="213"/>
      <c r="E623" s="214"/>
      <c r="F623" s="215"/>
      <c r="G623" s="24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>
      <c r="A624" s="212"/>
      <c r="B624" s="21"/>
      <c r="C624" s="21"/>
      <c r="D624" s="213"/>
      <c r="E624" s="214"/>
      <c r="F624" s="215"/>
      <c r="G624" s="24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>
      <c r="A625" s="212"/>
      <c r="B625" s="21"/>
      <c r="C625" s="21"/>
      <c r="D625" s="213"/>
      <c r="E625" s="214"/>
      <c r="F625" s="215"/>
      <c r="G625" s="24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>
      <c r="A626" s="212"/>
      <c r="B626" s="21"/>
      <c r="C626" s="21"/>
      <c r="D626" s="213"/>
      <c r="E626" s="214"/>
      <c r="F626" s="215"/>
      <c r="G626" s="24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>
      <c r="A627" s="212"/>
      <c r="B627" s="21"/>
      <c r="C627" s="21"/>
      <c r="D627" s="213"/>
      <c r="E627" s="214"/>
      <c r="F627" s="215"/>
      <c r="G627" s="24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>
      <c r="A628" s="212"/>
      <c r="B628" s="21"/>
      <c r="C628" s="21"/>
      <c r="D628" s="213"/>
      <c r="E628" s="214"/>
      <c r="F628" s="215"/>
      <c r="G628" s="24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>
      <c r="A629" s="212"/>
      <c r="B629" s="21"/>
      <c r="C629" s="21"/>
      <c r="D629" s="213"/>
      <c r="E629" s="214"/>
      <c r="F629" s="215"/>
      <c r="G629" s="24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>
      <c r="A630" s="212"/>
      <c r="B630" s="21"/>
      <c r="C630" s="21"/>
      <c r="D630" s="213"/>
      <c r="E630" s="214"/>
      <c r="F630" s="215"/>
      <c r="G630" s="24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>
      <c r="A631" s="212"/>
      <c r="B631" s="21"/>
      <c r="C631" s="21"/>
      <c r="D631" s="213"/>
      <c r="E631" s="214"/>
      <c r="F631" s="215"/>
      <c r="G631" s="24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>
      <c r="A632" s="212"/>
      <c r="B632" s="21"/>
      <c r="C632" s="21"/>
      <c r="D632" s="213"/>
      <c r="E632" s="214"/>
      <c r="F632" s="215"/>
      <c r="G632" s="24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>
      <c r="A633" s="212"/>
      <c r="B633" s="21"/>
      <c r="C633" s="21"/>
      <c r="D633" s="213"/>
      <c r="E633" s="214"/>
      <c r="F633" s="215"/>
      <c r="G633" s="24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>
      <c r="A634" s="212"/>
      <c r="B634" s="21"/>
      <c r="C634" s="21"/>
      <c r="D634" s="213"/>
      <c r="E634" s="214"/>
      <c r="F634" s="215"/>
      <c r="G634" s="24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>
      <c r="A635" s="212"/>
      <c r="B635" s="21"/>
      <c r="C635" s="21"/>
      <c r="D635" s="213"/>
      <c r="E635" s="214"/>
      <c r="F635" s="215"/>
      <c r="G635" s="24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>
      <c r="A636" s="212"/>
      <c r="B636" s="21"/>
      <c r="C636" s="21"/>
      <c r="D636" s="213"/>
      <c r="E636" s="214"/>
      <c r="F636" s="215"/>
      <c r="G636" s="24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>
      <c r="A637" s="212"/>
      <c r="B637" s="21"/>
      <c r="C637" s="21"/>
      <c r="D637" s="213"/>
      <c r="E637" s="214"/>
      <c r="F637" s="215"/>
      <c r="G637" s="24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>
      <c r="A638" s="212"/>
      <c r="B638" s="21"/>
      <c r="C638" s="21"/>
      <c r="D638" s="213"/>
      <c r="E638" s="214"/>
      <c r="F638" s="215"/>
      <c r="G638" s="24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>
      <c r="A639" s="212"/>
      <c r="B639" s="21"/>
      <c r="C639" s="21"/>
      <c r="D639" s="213"/>
      <c r="E639" s="214"/>
      <c r="F639" s="215"/>
      <c r="G639" s="24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>
      <c r="A640" s="212"/>
      <c r="B640" s="21"/>
      <c r="C640" s="21"/>
      <c r="D640" s="213"/>
      <c r="E640" s="214"/>
      <c r="F640" s="215"/>
      <c r="G640" s="24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>
      <c r="A641" s="212"/>
      <c r="B641" s="21"/>
      <c r="C641" s="21"/>
      <c r="D641" s="213"/>
      <c r="E641" s="214"/>
      <c r="F641" s="215"/>
      <c r="G641" s="24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>
      <c r="A642" s="212"/>
      <c r="B642" s="21"/>
      <c r="C642" s="21"/>
      <c r="D642" s="213"/>
      <c r="E642" s="214"/>
      <c r="F642" s="215"/>
      <c r="G642" s="24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>
      <c r="A643" s="212"/>
      <c r="B643" s="21"/>
      <c r="C643" s="21"/>
      <c r="D643" s="213"/>
      <c r="E643" s="214"/>
      <c r="F643" s="215"/>
      <c r="G643" s="24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>
      <c r="A644" s="212"/>
      <c r="B644" s="21"/>
      <c r="C644" s="21"/>
      <c r="D644" s="213"/>
      <c r="E644" s="214"/>
      <c r="F644" s="215"/>
      <c r="G644" s="24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>
      <c r="A645" s="212"/>
      <c r="B645" s="21"/>
      <c r="C645" s="21"/>
      <c r="D645" s="213"/>
      <c r="E645" s="214"/>
      <c r="F645" s="215"/>
      <c r="G645" s="24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>
      <c r="A646" s="212"/>
      <c r="B646" s="21"/>
      <c r="C646" s="21"/>
      <c r="D646" s="213"/>
      <c r="E646" s="214"/>
      <c r="F646" s="215"/>
      <c r="G646" s="24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>
      <c r="A647" s="212"/>
      <c r="B647" s="21"/>
      <c r="C647" s="21"/>
      <c r="D647" s="213"/>
      <c r="E647" s="214"/>
      <c r="F647" s="215"/>
      <c r="G647" s="24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>
      <c r="A648" s="212"/>
      <c r="B648" s="21"/>
      <c r="C648" s="21"/>
      <c r="D648" s="213"/>
      <c r="E648" s="214"/>
      <c r="F648" s="215"/>
      <c r="G648" s="24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>
      <c r="A649" s="212"/>
      <c r="B649" s="21"/>
      <c r="C649" s="21"/>
      <c r="D649" s="213"/>
      <c r="E649" s="214"/>
      <c r="F649" s="215"/>
      <c r="G649" s="24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>
      <c r="A650" s="212"/>
      <c r="B650" s="21"/>
      <c r="C650" s="21"/>
      <c r="D650" s="213"/>
      <c r="E650" s="214"/>
      <c r="F650" s="215"/>
      <c r="G650" s="24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>
      <c r="A651" s="212"/>
      <c r="B651" s="21"/>
      <c r="C651" s="21"/>
      <c r="D651" s="213"/>
      <c r="E651" s="214"/>
      <c r="F651" s="215"/>
      <c r="G651" s="24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>
      <c r="A652" s="212"/>
      <c r="B652" s="21"/>
      <c r="C652" s="21"/>
      <c r="D652" s="213"/>
      <c r="E652" s="214"/>
      <c r="F652" s="215"/>
      <c r="G652" s="24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>
      <c r="A653" s="212"/>
      <c r="B653" s="21"/>
      <c r="C653" s="21"/>
      <c r="D653" s="213"/>
      <c r="E653" s="214"/>
      <c r="F653" s="215"/>
      <c r="G653" s="24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>
      <c r="A654" s="212"/>
      <c r="B654" s="21"/>
      <c r="C654" s="21"/>
      <c r="D654" s="213"/>
      <c r="E654" s="214"/>
      <c r="F654" s="215"/>
      <c r="G654" s="24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>
      <c r="A655" s="212"/>
      <c r="B655" s="21"/>
      <c r="C655" s="21"/>
      <c r="D655" s="213"/>
      <c r="E655" s="214"/>
      <c r="F655" s="215"/>
      <c r="G655" s="24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>
      <c r="A656" s="212"/>
      <c r="B656" s="21"/>
      <c r="C656" s="21"/>
      <c r="D656" s="213"/>
      <c r="E656" s="214"/>
      <c r="F656" s="215"/>
      <c r="G656" s="24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>
      <c r="A657" s="212"/>
      <c r="B657" s="21"/>
      <c r="C657" s="21"/>
      <c r="D657" s="213"/>
      <c r="E657" s="214"/>
      <c r="F657" s="215"/>
      <c r="G657" s="24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>
      <c r="A658" s="212"/>
      <c r="B658" s="21"/>
      <c r="C658" s="21"/>
      <c r="D658" s="213"/>
      <c r="E658" s="214"/>
      <c r="F658" s="215"/>
      <c r="G658" s="24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>
      <c r="A659" s="212"/>
      <c r="B659" s="21"/>
      <c r="C659" s="21"/>
      <c r="D659" s="213"/>
      <c r="E659" s="214"/>
      <c r="F659" s="215"/>
      <c r="G659" s="24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>
      <c r="A660" s="212"/>
      <c r="B660" s="21"/>
      <c r="C660" s="21"/>
      <c r="D660" s="213"/>
      <c r="E660" s="214"/>
      <c r="F660" s="215"/>
      <c r="G660" s="24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>
      <c r="A661" s="212"/>
      <c r="B661" s="21"/>
      <c r="C661" s="21"/>
      <c r="D661" s="213"/>
      <c r="E661" s="214"/>
      <c r="F661" s="215"/>
      <c r="G661" s="24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>
      <c r="A662" s="212"/>
      <c r="B662" s="21"/>
      <c r="C662" s="21"/>
      <c r="D662" s="213"/>
      <c r="E662" s="214"/>
      <c r="F662" s="215"/>
      <c r="G662" s="24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>
      <c r="A663" s="212"/>
      <c r="B663" s="21"/>
      <c r="C663" s="21"/>
      <c r="D663" s="213"/>
      <c r="E663" s="214"/>
      <c r="F663" s="215"/>
      <c r="G663" s="24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>
      <c r="A664" s="212"/>
      <c r="B664" s="21"/>
      <c r="C664" s="21"/>
      <c r="D664" s="213"/>
      <c r="E664" s="214"/>
      <c r="F664" s="215"/>
      <c r="G664" s="124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>
      <c r="A665" s="212"/>
      <c r="B665" s="21"/>
      <c r="C665" s="21"/>
      <c r="D665" s="213"/>
      <c r="E665" s="214"/>
      <c r="F665" s="215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>
      <c r="A666" s="212"/>
      <c r="B666" s="21"/>
      <c r="C666" s="21"/>
      <c r="D666" s="213"/>
      <c r="E666" s="214"/>
      <c r="F666" s="215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>
      <c r="A667" s="212"/>
      <c r="B667" s="21"/>
      <c r="C667" s="21"/>
      <c r="D667" s="213"/>
      <c r="E667" s="214"/>
      <c r="F667" s="215"/>
      <c r="G667" s="24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>
      <c r="A668" s="212"/>
      <c r="B668" s="21"/>
      <c r="C668" s="21"/>
      <c r="D668" s="213"/>
      <c r="E668" s="214"/>
      <c r="F668" s="215"/>
      <c r="G668" s="24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>
      <c r="A669" s="212"/>
      <c r="B669" s="21"/>
      <c r="C669" s="21"/>
      <c r="D669" s="213"/>
      <c r="E669" s="214"/>
      <c r="F669" s="215"/>
      <c r="G669" s="24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>
      <c r="A670" s="212"/>
      <c r="B670" s="21"/>
      <c r="C670" s="21"/>
      <c r="D670" s="213"/>
      <c r="E670" s="214"/>
      <c r="F670" s="215"/>
      <c r="G670" s="24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>
      <c r="A671" s="212"/>
      <c r="B671" s="21"/>
      <c r="C671" s="21"/>
      <c r="D671" s="213"/>
      <c r="E671" s="214"/>
      <c r="F671" s="215"/>
      <c r="G671" s="24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>
      <c r="A672" s="212"/>
      <c r="B672" s="21"/>
      <c r="C672" s="21"/>
      <c r="D672" s="213"/>
      <c r="E672" s="214"/>
      <c r="F672" s="215"/>
      <c r="G672" s="24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>
      <c r="A673" s="212"/>
      <c r="B673" s="21"/>
      <c r="C673" s="21"/>
      <c r="D673" s="213"/>
      <c r="E673" s="214"/>
      <c r="F673" s="215"/>
      <c r="G673" s="24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>
      <c r="A674" s="212"/>
      <c r="B674" s="21"/>
      <c r="C674" s="21"/>
      <c r="D674" s="213"/>
      <c r="E674" s="214"/>
      <c r="F674" s="215"/>
      <c r="G674" s="124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>
      <c r="A675" s="212"/>
      <c r="B675" s="21"/>
      <c r="C675" s="21"/>
      <c r="D675" s="213"/>
      <c r="E675" s="214"/>
      <c r="F675" s="215"/>
      <c r="G675" s="124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>
      <c r="A676" s="212"/>
      <c r="B676" s="21"/>
      <c r="C676" s="21"/>
      <c r="D676" s="213"/>
      <c r="E676" s="214"/>
      <c r="F676" s="215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>
      <c r="A677" s="212"/>
      <c r="B677" s="21"/>
      <c r="C677" s="21"/>
      <c r="D677" s="213"/>
      <c r="E677" s="214"/>
      <c r="F677" s="215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>
      <c r="A678" s="212"/>
      <c r="B678" s="21"/>
      <c r="C678" s="21"/>
      <c r="D678" s="213"/>
      <c r="E678" s="214"/>
      <c r="F678" s="215"/>
      <c r="G678" s="162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>
      <c r="A679" s="212"/>
      <c r="B679" s="21"/>
      <c r="C679" s="21"/>
      <c r="D679" s="213"/>
      <c r="E679" s="214"/>
      <c r="F679" s="215"/>
      <c r="G679" s="21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>
      <c r="A680" s="212"/>
      <c r="B680" s="21"/>
      <c r="C680" s="21"/>
      <c r="D680" s="213"/>
      <c r="E680" s="214"/>
      <c r="F680" s="215"/>
      <c r="G680" s="21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>
      <c r="A681" s="212"/>
      <c r="B681" s="21"/>
      <c r="C681" s="21"/>
      <c r="D681" s="213"/>
      <c r="E681" s="214"/>
      <c r="F681" s="215"/>
      <c r="G681" s="21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>
      <c r="A682" s="212"/>
      <c r="B682" s="21"/>
      <c r="C682" s="21"/>
      <c r="D682" s="213"/>
      <c r="E682" s="214"/>
      <c r="F682" s="215"/>
      <c r="G682" s="21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>
      <c r="A683" s="212"/>
      <c r="B683" s="21"/>
      <c r="C683" s="21"/>
      <c r="D683" s="213"/>
      <c r="E683" s="214"/>
      <c r="F683" s="215"/>
      <c r="G683" s="21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>
      <c r="A684" s="212"/>
      <c r="B684" s="21"/>
      <c r="C684" s="21"/>
      <c r="D684" s="213"/>
      <c r="E684" s="214"/>
      <c r="F684" s="215"/>
      <c r="G684" s="21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>
      <c r="A685" s="212"/>
      <c r="B685" s="21"/>
      <c r="C685" s="21"/>
      <c r="D685" s="213"/>
      <c r="E685" s="214"/>
      <c r="F685" s="215"/>
      <c r="G685" s="21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>
      <c r="A686" s="212"/>
      <c r="B686" s="21"/>
      <c r="C686" s="21"/>
      <c r="D686" s="213"/>
      <c r="E686" s="214"/>
      <c r="F686" s="215"/>
      <c r="G686" s="21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>
      <c r="A687" s="212"/>
      <c r="B687" s="21"/>
      <c r="C687" s="21"/>
      <c r="D687" s="213"/>
      <c r="E687" s="214"/>
      <c r="F687" s="215"/>
      <c r="G687" s="21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>
      <c r="A688" s="212"/>
      <c r="B688" s="21"/>
      <c r="C688" s="21"/>
      <c r="D688" s="213"/>
      <c r="E688" s="214"/>
      <c r="F688" s="215"/>
      <c r="G688" s="21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>
      <c r="A689" s="212"/>
      <c r="B689" s="21"/>
      <c r="C689" s="21"/>
      <c r="D689" s="213"/>
      <c r="E689" s="214"/>
      <c r="F689" s="215"/>
      <c r="G689" s="21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>
      <c r="A690" s="212"/>
      <c r="B690" s="21"/>
      <c r="C690" s="21"/>
      <c r="D690" s="213"/>
      <c r="E690" s="214"/>
      <c r="F690" s="215"/>
      <c r="G690" s="21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>
      <c r="A691" s="212"/>
      <c r="B691" s="21"/>
      <c r="C691" s="21"/>
      <c r="D691" s="213"/>
      <c r="E691" s="214"/>
      <c r="F691" s="215"/>
      <c r="G691" s="21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>
      <c r="A692" s="212"/>
      <c r="B692" s="21"/>
      <c r="C692" s="21"/>
      <c r="D692" s="213"/>
      <c r="E692" s="214"/>
      <c r="F692" s="215"/>
      <c r="G692" s="21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>
      <c r="A693" s="212"/>
      <c r="B693" s="21"/>
      <c r="C693" s="21"/>
      <c r="D693" s="213"/>
      <c r="E693" s="214"/>
      <c r="F693" s="215"/>
      <c r="G693" s="21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>
      <c r="A694" s="212"/>
      <c r="B694" s="21"/>
      <c r="C694" s="21"/>
      <c r="D694" s="213"/>
      <c r="E694" s="214"/>
      <c r="F694" s="215"/>
      <c r="G694" s="21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>
      <c r="A695" s="212"/>
      <c r="B695" s="21"/>
      <c r="C695" s="21"/>
      <c r="D695" s="213"/>
      <c r="E695" s="214"/>
      <c r="F695" s="215"/>
      <c r="G695" s="21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>
      <c r="A696" s="212"/>
      <c r="B696" s="21"/>
      <c r="C696" s="21"/>
      <c r="D696" s="213"/>
      <c r="E696" s="214"/>
      <c r="F696" s="215"/>
      <c r="G696" s="21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>
      <c r="A697" s="212"/>
      <c r="B697" s="21"/>
      <c r="C697" s="21"/>
      <c r="D697" s="213"/>
      <c r="E697" s="214"/>
      <c r="F697" s="215"/>
      <c r="G697" s="21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>
      <c r="A698" s="212"/>
      <c r="B698" s="21"/>
      <c r="C698" s="21"/>
      <c r="D698" s="213"/>
      <c r="E698" s="214"/>
      <c r="F698" s="215"/>
      <c r="G698" s="21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>
      <c r="A699" s="212"/>
      <c r="B699" s="21"/>
      <c r="C699" s="21"/>
      <c r="D699" s="213"/>
      <c r="E699" s="214"/>
      <c r="F699" s="215"/>
      <c r="G699" s="21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>
      <c r="A700" s="212"/>
      <c r="B700" s="21"/>
      <c r="C700" s="21"/>
      <c r="D700" s="213"/>
      <c r="E700" s="214"/>
      <c r="F700" s="215"/>
      <c r="G700" s="21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>
      <c r="A701" s="212"/>
      <c r="B701" s="21"/>
      <c r="C701" s="21"/>
      <c r="D701" s="213"/>
      <c r="E701" s="214"/>
      <c r="F701" s="215"/>
      <c r="G701" s="21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>
      <c r="A702" s="212"/>
      <c r="B702" s="21"/>
      <c r="C702" s="21"/>
      <c r="D702" s="213"/>
      <c r="E702" s="214"/>
      <c r="F702" s="215"/>
      <c r="G702" s="21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>
      <c r="A703" s="212"/>
      <c r="B703" s="21"/>
      <c r="C703" s="21"/>
      <c r="D703" s="213"/>
      <c r="E703" s="214"/>
      <c r="F703" s="215"/>
      <c r="G703" s="21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>
      <c r="A704" s="212"/>
      <c r="B704" s="21"/>
      <c r="C704" s="21"/>
      <c r="D704" s="213"/>
      <c r="E704" s="214"/>
      <c r="F704" s="215"/>
      <c r="G704" s="21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>
      <c r="A705" s="212"/>
      <c r="B705" s="21"/>
      <c r="C705" s="21"/>
      <c r="D705" s="213"/>
      <c r="E705" s="214"/>
      <c r="F705" s="215"/>
      <c r="G705" s="21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>
      <c r="A706" s="212"/>
      <c r="B706" s="21"/>
      <c r="C706" s="21"/>
      <c r="D706" s="213"/>
      <c r="E706" s="214"/>
      <c r="F706" s="215"/>
      <c r="G706" s="21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>
      <c r="A707" s="212"/>
      <c r="B707" s="21"/>
      <c r="C707" s="21"/>
      <c r="D707" s="213"/>
      <c r="E707" s="214"/>
      <c r="F707" s="215"/>
      <c r="G707" s="21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>
      <c r="A708" s="212"/>
      <c r="B708" s="21"/>
      <c r="C708" s="21"/>
      <c r="D708" s="213"/>
      <c r="E708" s="214"/>
      <c r="F708" s="215"/>
      <c r="G708" s="21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>
      <c r="A709" s="212"/>
      <c r="B709" s="21"/>
      <c r="C709" s="21"/>
      <c r="D709" s="213"/>
      <c r="E709" s="214"/>
      <c r="F709" s="215"/>
      <c r="G709" s="21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>
      <c r="A710" s="212"/>
      <c r="B710" s="21"/>
      <c r="C710" s="21"/>
      <c r="D710" s="213"/>
      <c r="E710" s="214"/>
      <c r="F710" s="215"/>
      <c r="G710" s="21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>
      <c r="A711" s="212"/>
      <c r="B711" s="21"/>
      <c r="C711" s="21"/>
      <c r="D711" s="213"/>
      <c r="E711" s="214"/>
      <c r="F711" s="215"/>
      <c r="G711" s="21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>
      <c r="A712" s="212"/>
      <c r="B712" s="21"/>
      <c r="C712" s="21"/>
      <c r="D712" s="213"/>
      <c r="E712" s="214"/>
      <c r="F712" s="215"/>
      <c r="G712" s="21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>
      <c r="A713" s="212"/>
      <c r="B713" s="21"/>
      <c r="C713" s="21"/>
      <c r="D713" s="213"/>
      <c r="E713" s="214"/>
      <c r="F713" s="215"/>
      <c r="G713" s="21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>
      <c r="A714" s="212"/>
      <c r="B714" s="21"/>
      <c r="C714" s="21"/>
      <c r="D714" s="213"/>
      <c r="E714" s="214"/>
      <c r="F714" s="215"/>
      <c r="G714" s="21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>
      <c r="A715" s="212"/>
      <c r="B715" s="21"/>
      <c r="C715" s="21"/>
      <c r="D715" s="213"/>
      <c r="E715" s="214"/>
      <c r="F715" s="215"/>
      <c r="G715" s="21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>
      <c r="A716" s="212"/>
      <c r="B716" s="21"/>
      <c r="C716" s="21"/>
      <c r="D716" s="213"/>
      <c r="E716" s="214"/>
      <c r="F716" s="215"/>
      <c r="G716" s="21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>
      <c r="A717" s="212"/>
      <c r="B717" s="21"/>
      <c r="C717" s="21"/>
      <c r="D717" s="213"/>
      <c r="E717" s="214"/>
      <c r="F717" s="215"/>
      <c r="G717" s="21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>
      <c r="A718" s="212"/>
      <c r="B718" s="21"/>
      <c r="C718" s="21"/>
      <c r="D718" s="213"/>
      <c r="E718" s="214"/>
      <c r="F718" s="215"/>
      <c r="G718" s="21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>
      <c r="A719" s="212"/>
      <c r="B719" s="21"/>
      <c r="C719" s="21"/>
      <c r="D719" s="213"/>
      <c r="E719" s="214"/>
      <c r="F719" s="215"/>
      <c r="G719" s="21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>
      <c r="A720" s="212"/>
      <c r="B720" s="21"/>
      <c r="C720" s="21"/>
      <c r="D720" s="213"/>
      <c r="E720" s="214"/>
      <c r="F720" s="215"/>
      <c r="G720" s="21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>
      <c r="A721" s="212"/>
      <c r="B721" s="21"/>
      <c r="C721" s="21"/>
      <c r="D721" s="213"/>
      <c r="E721" s="214"/>
      <c r="F721" s="215"/>
      <c r="G721" s="124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>
      <c r="A722" s="212"/>
      <c r="B722" s="21"/>
      <c r="C722" s="21"/>
      <c r="D722" s="213"/>
      <c r="E722" s="214"/>
      <c r="F722" s="215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>
      <c r="A723" s="212"/>
      <c r="B723" s="21"/>
      <c r="C723" s="21"/>
      <c r="D723" s="213"/>
      <c r="E723" s="214"/>
      <c r="F723" s="215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>
      <c r="A724" s="212"/>
      <c r="B724" s="21"/>
      <c r="C724" s="21"/>
      <c r="D724" s="213"/>
      <c r="E724" s="214"/>
      <c r="F724" s="215"/>
      <c r="G724" s="21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>
      <c r="A725" s="212"/>
      <c r="B725" s="21"/>
      <c r="C725" s="21"/>
      <c r="D725" s="213"/>
      <c r="E725" s="214"/>
      <c r="F725" s="215"/>
      <c r="G725" s="21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>
      <c r="A726" s="212"/>
      <c r="B726" s="21"/>
      <c r="C726" s="21"/>
      <c r="D726" s="213"/>
      <c r="E726" s="214"/>
      <c r="F726" s="215"/>
      <c r="G726" s="21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>
      <c r="A727" s="212"/>
      <c r="B727" s="21"/>
      <c r="C727" s="21"/>
      <c r="D727" s="213"/>
      <c r="E727" s="214"/>
      <c r="F727" s="215"/>
      <c r="G727" s="124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>
      <c r="A728" s="212"/>
      <c r="B728" s="21"/>
      <c r="C728" s="21"/>
      <c r="D728" s="213"/>
      <c r="E728" s="214"/>
      <c r="F728" s="215"/>
      <c r="G728" s="124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>
      <c r="A729" s="212"/>
      <c r="B729" s="21"/>
      <c r="C729" s="21"/>
      <c r="D729" s="213"/>
      <c r="E729" s="214"/>
      <c r="F729" s="215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>
      <c r="A730" s="212"/>
      <c r="B730" s="21"/>
      <c r="C730" s="21"/>
      <c r="D730" s="213"/>
      <c r="E730" s="214"/>
      <c r="F730" s="215"/>
      <c r="G730" s="162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110"/>
      <c r="X730" s="110"/>
      <c r="Y730" s="110"/>
      <c r="Z730" s="110"/>
    </row>
    <row r="731">
      <c r="A731" s="212"/>
      <c r="B731" s="21"/>
      <c r="C731" s="21"/>
      <c r="D731" s="213"/>
      <c r="E731" s="214"/>
      <c r="F731" s="215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110"/>
      <c r="X731" s="110"/>
      <c r="Y731" s="110"/>
      <c r="Z731" s="110"/>
    </row>
    <row r="732">
      <c r="A732" s="212"/>
      <c r="B732" s="21"/>
      <c r="C732" s="21"/>
      <c r="D732" s="213"/>
      <c r="E732" s="214"/>
      <c r="F732" s="215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110"/>
      <c r="X732" s="110"/>
      <c r="Y732" s="110"/>
      <c r="Z732" s="110"/>
    </row>
    <row r="733">
      <c r="A733" s="212"/>
      <c r="B733" s="21"/>
      <c r="C733" s="21"/>
      <c r="D733" s="213"/>
      <c r="E733" s="214"/>
      <c r="F733" s="215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110"/>
      <c r="X733" s="110"/>
      <c r="Y733" s="110"/>
      <c r="Z733" s="110"/>
    </row>
    <row r="734">
      <c r="A734" s="212"/>
      <c r="B734" s="21"/>
      <c r="C734" s="21"/>
      <c r="D734" s="213"/>
      <c r="E734" s="214"/>
      <c r="F734" s="215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110"/>
      <c r="X734" s="110"/>
      <c r="Y734" s="110"/>
      <c r="Z734" s="110"/>
    </row>
    <row r="735">
      <c r="A735" s="212"/>
      <c r="B735" s="21"/>
      <c r="C735" s="21"/>
      <c r="D735" s="213"/>
      <c r="E735" s="214"/>
      <c r="F735" s="215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110"/>
      <c r="X735" s="110"/>
      <c r="Y735" s="110"/>
      <c r="Z735" s="110"/>
    </row>
    <row r="736">
      <c r="A736" s="212"/>
      <c r="B736" s="21"/>
      <c r="C736" s="21"/>
      <c r="D736" s="213"/>
      <c r="E736" s="214"/>
      <c r="F736" s="215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110"/>
      <c r="X736" s="110"/>
      <c r="Y736" s="110"/>
      <c r="Z736" s="110"/>
    </row>
    <row r="737">
      <c r="A737" s="212"/>
      <c r="B737" s="21"/>
      <c r="C737" s="21"/>
      <c r="D737" s="213"/>
      <c r="E737" s="214"/>
      <c r="F737" s="215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110"/>
      <c r="X737" s="110"/>
      <c r="Y737" s="110"/>
      <c r="Z737" s="110"/>
    </row>
    <row r="738">
      <c r="A738" s="212"/>
      <c r="B738" s="21"/>
      <c r="C738" s="21"/>
      <c r="D738" s="213"/>
      <c r="E738" s="214"/>
      <c r="F738" s="215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110"/>
      <c r="X738" s="110"/>
      <c r="Y738" s="110"/>
      <c r="Z738" s="110"/>
    </row>
    <row r="739">
      <c r="A739" s="212"/>
      <c r="B739" s="21"/>
      <c r="C739" s="21"/>
      <c r="D739" s="213"/>
      <c r="E739" s="214"/>
      <c r="F739" s="215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110"/>
      <c r="X739" s="110"/>
      <c r="Y739" s="110"/>
      <c r="Z739" s="110"/>
    </row>
    <row r="740">
      <c r="A740" s="212"/>
      <c r="B740" s="21"/>
      <c r="C740" s="21"/>
      <c r="D740" s="213"/>
      <c r="E740" s="214"/>
      <c r="F740" s="215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110"/>
      <c r="X740" s="110"/>
      <c r="Y740" s="110"/>
      <c r="Z740" s="110"/>
    </row>
    <row r="741">
      <c r="A741" s="212"/>
      <c r="B741" s="21"/>
      <c r="C741" s="21"/>
      <c r="D741" s="213"/>
      <c r="E741" s="214"/>
      <c r="F741" s="215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110"/>
      <c r="X741" s="110"/>
      <c r="Y741" s="110"/>
      <c r="Z741" s="110"/>
    </row>
    <row r="742">
      <c r="A742" s="212"/>
      <c r="B742" s="21"/>
      <c r="C742" s="21"/>
      <c r="D742" s="213"/>
      <c r="E742" s="214"/>
      <c r="F742" s="215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110"/>
      <c r="X742" s="110"/>
      <c r="Y742" s="110"/>
      <c r="Z742" s="110"/>
    </row>
    <row r="743">
      <c r="A743" s="212"/>
      <c r="B743" s="21"/>
      <c r="C743" s="21"/>
      <c r="D743" s="213"/>
      <c r="E743" s="214"/>
      <c r="F743" s="215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110"/>
      <c r="X743" s="110"/>
      <c r="Y743" s="110"/>
      <c r="Z743" s="110"/>
    </row>
    <row r="744">
      <c r="A744" s="212"/>
      <c r="B744" s="21"/>
      <c r="C744" s="21"/>
      <c r="D744" s="213"/>
      <c r="E744" s="214"/>
      <c r="F744" s="215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110"/>
      <c r="X744" s="110"/>
      <c r="Y744" s="110"/>
      <c r="Z744" s="110"/>
    </row>
    <row r="745">
      <c r="A745" s="212"/>
      <c r="B745" s="21"/>
      <c r="C745" s="21"/>
      <c r="D745" s="213"/>
      <c r="E745" s="214"/>
      <c r="F745" s="215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110"/>
      <c r="X745" s="110"/>
      <c r="Y745" s="110"/>
      <c r="Z745" s="110"/>
    </row>
    <row r="746">
      <c r="A746" s="212"/>
      <c r="B746" s="21"/>
      <c r="C746" s="21"/>
      <c r="D746" s="213"/>
      <c r="E746" s="214"/>
      <c r="F746" s="215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110"/>
      <c r="X746" s="110"/>
      <c r="Y746" s="110"/>
      <c r="Z746" s="110"/>
    </row>
    <row r="747">
      <c r="A747" s="212"/>
      <c r="B747" s="21"/>
      <c r="C747" s="21"/>
      <c r="D747" s="213"/>
      <c r="E747" s="214"/>
      <c r="F747" s="215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110"/>
      <c r="X747" s="110"/>
      <c r="Y747" s="110"/>
      <c r="Z747" s="110"/>
    </row>
    <row r="748">
      <c r="A748" s="212"/>
      <c r="B748" s="21"/>
      <c r="C748" s="21"/>
      <c r="D748" s="213"/>
      <c r="E748" s="214"/>
      <c r="F748" s="215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110"/>
      <c r="X748" s="110"/>
      <c r="Y748" s="110"/>
      <c r="Z748" s="110"/>
    </row>
    <row r="749">
      <c r="A749" s="212"/>
      <c r="B749" s="21"/>
      <c r="C749" s="21"/>
      <c r="D749" s="213"/>
      <c r="E749" s="214"/>
      <c r="F749" s="215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110"/>
      <c r="X749" s="110"/>
      <c r="Y749" s="110"/>
      <c r="Z749" s="110"/>
    </row>
    <row r="750">
      <c r="A750" s="212"/>
      <c r="B750" s="21"/>
      <c r="C750" s="21"/>
      <c r="D750" s="213"/>
      <c r="E750" s="214"/>
      <c r="F750" s="215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110"/>
      <c r="X750" s="110"/>
      <c r="Y750" s="110"/>
      <c r="Z750" s="110"/>
    </row>
    <row r="751">
      <c r="A751" s="212"/>
      <c r="B751" s="21"/>
      <c r="C751" s="21"/>
      <c r="D751" s="213"/>
      <c r="E751" s="214"/>
      <c r="F751" s="215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110"/>
      <c r="X751" s="110"/>
      <c r="Y751" s="110"/>
      <c r="Z751" s="110"/>
    </row>
    <row r="752">
      <c r="A752" s="212"/>
      <c r="B752" s="21"/>
      <c r="C752" s="21"/>
      <c r="D752" s="213"/>
      <c r="E752" s="214"/>
      <c r="F752" s="215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110"/>
      <c r="X752" s="110"/>
      <c r="Y752" s="110"/>
      <c r="Z752" s="110"/>
    </row>
    <row r="753">
      <c r="A753" s="212"/>
      <c r="B753" s="21"/>
      <c r="C753" s="21"/>
      <c r="D753" s="213"/>
      <c r="E753" s="214"/>
      <c r="F753" s="215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110"/>
      <c r="X753" s="110"/>
      <c r="Y753" s="110"/>
      <c r="Z753" s="110"/>
    </row>
    <row r="754">
      <c r="A754" s="212"/>
      <c r="B754" s="21"/>
      <c r="C754" s="21"/>
      <c r="D754" s="213"/>
      <c r="E754" s="214"/>
      <c r="F754" s="215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110"/>
      <c r="X754" s="110"/>
      <c r="Y754" s="110"/>
      <c r="Z754" s="110"/>
    </row>
    <row r="755">
      <c r="A755" s="212"/>
      <c r="B755" s="21"/>
      <c r="C755" s="21"/>
      <c r="D755" s="213"/>
      <c r="E755" s="214"/>
      <c r="F755" s="215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110"/>
      <c r="X755" s="110"/>
      <c r="Y755" s="110"/>
      <c r="Z755" s="110"/>
    </row>
    <row r="756">
      <c r="A756" s="212"/>
      <c r="B756" s="21"/>
      <c r="C756" s="21"/>
      <c r="D756" s="213"/>
      <c r="E756" s="214"/>
      <c r="F756" s="215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110"/>
      <c r="X756" s="110"/>
      <c r="Y756" s="110"/>
      <c r="Z756" s="110"/>
    </row>
    <row r="757">
      <c r="A757" s="212"/>
      <c r="B757" s="21"/>
      <c r="C757" s="21"/>
      <c r="D757" s="213"/>
      <c r="E757" s="214"/>
      <c r="F757" s="215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110"/>
      <c r="X757" s="110"/>
      <c r="Y757" s="110"/>
      <c r="Z757" s="110"/>
    </row>
    <row r="758">
      <c r="A758" s="212"/>
      <c r="B758" s="21"/>
      <c r="C758" s="21"/>
      <c r="D758" s="213"/>
      <c r="E758" s="214"/>
      <c r="F758" s="215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110"/>
      <c r="X758" s="110"/>
      <c r="Y758" s="110"/>
      <c r="Z758" s="110"/>
    </row>
    <row r="759">
      <c r="A759" s="212"/>
      <c r="B759" s="21"/>
      <c r="C759" s="21"/>
      <c r="D759" s="213"/>
      <c r="E759" s="214"/>
      <c r="F759" s="215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110"/>
      <c r="X759" s="110"/>
      <c r="Y759" s="110"/>
      <c r="Z759" s="110"/>
    </row>
    <row r="760">
      <c r="A760" s="212"/>
      <c r="B760" s="21"/>
      <c r="C760" s="21"/>
      <c r="D760" s="213"/>
      <c r="E760" s="214"/>
      <c r="F760" s="215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110"/>
      <c r="X760" s="110"/>
      <c r="Y760" s="110"/>
      <c r="Z760" s="110"/>
    </row>
    <row r="761">
      <c r="A761" s="212"/>
      <c r="B761" s="21"/>
      <c r="C761" s="21"/>
      <c r="D761" s="213"/>
      <c r="E761" s="214"/>
      <c r="F761" s="215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110"/>
      <c r="X761" s="110"/>
      <c r="Y761" s="110"/>
      <c r="Z761" s="110"/>
    </row>
    <row r="762">
      <c r="A762" s="212"/>
      <c r="B762" s="21"/>
      <c r="C762" s="21"/>
      <c r="D762" s="213"/>
      <c r="E762" s="214"/>
      <c r="F762" s="215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110"/>
      <c r="X762" s="110"/>
      <c r="Y762" s="110"/>
      <c r="Z762" s="110"/>
    </row>
    <row r="763">
      <c r="A763" s="212"/>
      <c r="B763" s="21"/>
      <c r="C763" s="21"/>
      <c r="D763" s="213"/>
      <c r="E763" s="214"/>
      <c r="F763" s="215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110"/>
      <c r="X763" s="110"/>
      <c r="Y763" s="110"/>
      <c r="Z763" s="110"/>
    </row>
    <row r="764">
      <c r="A764" s="212"/>
      <c r="B764" s="21"/>
      <c r="C764" s="21"/>
      <c r="D764" s="213"/>
      <c r="E764" s="214"/>
      <c r="F764" s="215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10"/>
      <c r="X764" s="110"/>
      <c r="Y764" s="110"/>
      <c r="Z764" s="110"/>
    </row>
    <row r="765">
      <c r="A765" s="212"/>
      <c r="B765" s="21"/>
      <c r="C765" s="21"/>
      <c r="D765" s="213"/>
      <c r="E765" s="214"/>
      <c r="F765" s="215"/>
      <c r="G765" s="110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110"/>
      <c r="X765" s="110"/>
      <c r="Y765" s="110"/>
      <c r="Z765" s="110"/>
    </row>
    <row r="766">
      <c r="A766" s="212"/>
      <c r="B766" s="21"/>
      <c r="C766" s="21"/>
      <c r="D766" s="213"/>
      <c r="E766" s="214"/>
      <c r="F766" s="215"/>
      <c r="G766" s="110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110"/>
      <c r="X766" s="110"/>
      <c r="Y766" s="110"/>
      <c r="Z766" s="110"/>
    </row>
    <row r="767">
      <c r="A767" s="212"/>
      <c r="B767" s="21"/>
      <c r="C767" s="21"/>
      <c r="D767" s="213"/>
      <c r="E767" s="214"/>
      <c r="F767" s="215"/>
      <c r="G767" s="110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110"/>
      <c r="X767" s="110"/>
      <c r="Y767" s="110"/>
      <c r="Z767" s="110"/>
    </row>
    <row r="768">
      <c r="A768" s="212"/>
      <c r="B768" s="21"/>
      <c r="C768" s="21"/>
      <c r="D768" s="213"/>
      <c r="E768" s="214"/>
      <c r="F768" s="215"/>
      <c r="G768" s="110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110"/>
      <c r="X768" s="110"/>
      <c r="Y768" s="110"/>
      <c r="Z768" s="110"/>
    </row>
    <row r="769">
      <c r="A769" s="212"/>
      <c r="B769" s="21"/>
      <c r="C769" s="21"/>
      <c r="D769" s="213"/>
      <c r="E769" s="214"/>
      <c r="F769" s="215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110"/>
      <c r="X769" s="110"/>
      <c r="Y769" s="110"/>
      <c r="Z769" s="110"/>
    </row>
    <row r="770">
      <c r="A770" s="212"/>
      <c r="B770" s="21"/>
      <c r="C770" s="21"/>
      <c r="D770" s="213"/>
      <c r="E770" s="214"/>
      <c r="F770" s="215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110"/>
      <c r="X770" s="110"/>
      <c r="Y770" s="110"/>
      <c r="Z770" s="110"/>
    </row>
    <row r="771">
      <c r="A771" s="212"/>
      <c r="B771" s="21"/>
      <c r="C771" s="21"/>
      <c r="D771" s="213"/>
      <c r="E771" s="214"/>
      <c r="F771" s="215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110"/>
      <c r="X771" s="110"/>
      <c r="Y771" s="110"/>
      <c r="Z771" s="110"/>
    </row>
    <row r="772" ht="15.75" customHeight="1">
      <c r="A772" s="212"/>
      <c r="B772" s="21"/>
      <c r="C772" s="21"/>
      <c r="D772" s="213"/>
      <c r="E772" s="214"/>
      <c r="F772" s="215"/>
      <c r="G772" s="21"/>
      <c r="H772" s="110"/>
      <c r="I772" s="110"/>
      <c r="J772" s="110"/>
      <c r="K772" s="110"/>
      <c r="L772" s="110"/>
      <c r="M772" s="21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>
      <c r="A773" s="212"/>
      <c r="B773" s="21"/>
      <c r="C773" s="21"/>
      <c r="D773" s="213"/>
      <c r="E773" s="214"/>
      <c r="F773" s="215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110"/>
      <c r="X773" s="110"/>
      <c r="Y773" s="110"/>
      <c r="Z773" s="110"/>
    </row>
    <row r="774">
      <c r="A774" s="212"/>
      <c r="B774" s="21"/>
      <c r="C774" s="21"/>
      <c r="D774" s="213"/>
      <c r="E774" s="214"/>
      <c r="F774" s="215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10"/>
      <c r="X774" s="110"/>
      <c r="Y774" s="110"/>
      <c r="Z774" s="110"/>
    </row>
    <row r="775">
      <c r="A775" s="212"/>
      <c r="B775" s="21"/>
      <c r="C775" s="21"/>
      <c r="D775" s="213"/>
      <c r="E775" s="214"/>
      <c r="F775" s="215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10"/>
      <c r="X775" s="110"/>
      <c r="Y775" s="110"/>
      <c r="Z775" s="110"/>
    </row>
    <row r="776">
      <c r="A776" s="212"/>
      <c r="B776" s="21"/>
      <c r="C776" s="21"/>
      <c r="D776" s="213"/>
      <c r="E776" s="214"/>
      <c r="F776" s="215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>
      <c r="A777" s="212"/>
      <c r="B777" s="21"/>
      <c r="C777" s="21"/>
      <c r="D777" s="213"/>
      <c r="E777" s="214"/>
      <c r="F777" s="215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>
      <c r="A778" s="212"/>
      <c r="B778" s="21"/>
      <c r="C778" s="21"/>
      <c r="D778" s="213"/>
      <c r="E778" s="214"/>
      <c r="F778" s="215"/>
      <c r="G778" s="162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110"/>
      <c r="X778" s="110"/>
      <c r="Y778" s="110"/>
      <c r="Z778" s="110"/>
    </row>
    <row r="779">
      <c r="A779" s="212"/>
      <c r="B779" s="21"/>
      <c r="C779" s="21"/>
      <c r="D779" s="213"/>
      <c r="E779" s="214"/>
      <c r="F779" s="215"/>
      <c r="G779" s="21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110"/>
      <c r="X779" s="110"/>
      <c r="Y779" s="110"/>
      <c r="Z779" s="110"/>
    </row>
    <row r="780">
      <c r="A780" s="212"/>
      <c r="B780" s="21"/>
      <c r="C780" s="21"/>
      <c r="D780" s="213"/>
      <c r="E780" s="214"/>
      <c r="F780" s="215"/>
      <c r="G780" s="21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110"/>
      <c r="X780" s="110"/>
      <c r="Y780" s="110"/>
      <c r="Z780" s="110"/>
    </row>
    <row r="781">
      <c r="A781" s="212"/>
      <c r="B781" s="21"/>
      <c r="C781" s="21"/>
      <c r="D781" s="213"/>
      <c r="E781" s="214"/>
      <c r="F781" s="215"/>
      <c r="G781" s="21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110"/>
      <c r="X781" s="110"/>
      <c r="Y781" s="110"/>
      <c r="Z781" s="110"/>
    </row>
    <row r="782">
      <c r="A782" s="212"/>
      <c r="B782" s="21"/>
      <c r="C782" s="21"/>
      <c r="D782" s="213"/>
      <c r="E782" s="214"/>
      <c r="F782" s="215"/>
      <c r="G782" s="21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110"/>
      <c r="X782" s="110"/>
      <c r="Y782" s="110"/>
      <c r="Z782" s="110"/>
    </row>
    <row r="783">
      <c r="A783" s="212"/>
      <c r="B783" s="21"/>
      <c r="C783" s="21"/>
      <c r="D783" s="213"/>
      <c r="E783" s="214"/>
      <c r="F783" s="215"/>
      <c r="G783" s="21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110"/>
      <c r="X783" s="110"/>
      <c r="Y783" s="110"/>
      <c r="Z783" s="110"/>
    </row>
    <row r="784">
      <c r="A784" s="212"/>
      <c r="B784" s="21"/>
      <c r="C784" s="21"/>
      <c r="D784" s="213"/>
      <c r="E784" s="214"/>
      <c r="F784" s="215"/>
      <c r="G784" s="21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110"/>
      <c r="X784" s="110"/>
      <c r="Y784" s="110"/>
      <c r="Z784" s="110"/>
    </row>
    <row r="785">
      <c r="A785" s="212"/>
      <c r="B785" s="21"/>
      <c r="C785" s="21"/>
      <c r="D785" s="213"/>
      <c r="E785" s="214"/>
      <c r="F785" s="215"/>
      <c r="G785" s="21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110"/>
      <c r="X785" s="110"/>
      <c r="Y785" s="110"/>
      <c r="Z785" s="110"/>
    </row>
    <row r="786">
      <c r="A786" s="212"/>
      <c r="B786" s="21"/>
      <c r="C786" s="21"/>
      <c r="D786" s="213"/>
      <c r="E786" s="214"/>
      <c r="F786" s="215"/>
      <c r="G786" s="21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110"/>
      <c r="X786" s="110"/>
      <c r="Y786" s="110"/>
      <c r="Z786" s="110"/>
    </row>
    <row r="787">
      <c r="A787" s="212"/>
      <c r="B787" s="21"/>
      <c r="C787" s="21"/>
      <c r="D787" s="213"/>
      <c r="E787" s="214"/>
      <c r="F787" s="215"/>
      <c r="G787" s="21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110"/>
      <c r="X787" s="110"/>
      <c r="Y787" s="110"/>
      <c r="Z787" s="110"/>
    </row>
    <row r="788">
      <c r="A788" s="212"/>
      <c r="B788" s="21"/>
      <c r="C788" s="21"/>
      <c r="D788" s="213"/>
      <c r="E788" s="214"/>
      <c r="F788" s="215"/>
      <c r="G788" s="21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110"/>
      <c r="X788" s="110"/>
      <c r="Y788" s="110"/>
      <c r="Z788" s="110"/>
    </row>
    <row r="789">
      <c r="A789" s="212"/>
      <c r="B789" s="21"/>
      <c r="C789" s="21"/>
      <c r="D789" s="213"/>
      <c r="E789" s="214"/>
      <c r="F789" s="215"/>
      <c r="G789" s="21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110"/>
      <c r="X789" s="110"/>
      <c r="Y789" s="110"/>
      <c r="Z789" s="110"/>
    </row>
    <row r="790">
      <c r="A790" s="212"/>
      <c r="B790" s="21"/>
      <c r="C790" s="21"/>
      <c r="D790" s="213"/>
      <c r="E790" s="214"/>
      <c r="F790" s="215"/>
      <c r="G790" s="21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110"/>
      <c r="X790" s="110"/>
      <c r="Y790" s="110"/>
      <c r="Z790" s="110"/>
    </row>
    <row r="791">
      <c r="A791" s="212"/>
      <c r="B791" s="21"/>
      <c r="C791" s="21"/>
      <c r="D791" s="213"/>
      <c r="E791" s="214"/>
      <c r="F791" s="215"/>
      <c r="G791" s="21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110"/>
      <c r="X791" s="110"/>
      <c r="Y791" s="110"/>
      <c r="Z791" s="110"/>
    </row>
    <row r="792">
      <c r="A792" s="212"/>
      <c r="B792" s="21"/>
      <c r="C792" s="21"/>
      <c r="D792" s="213"/>
      <c r="E792" s="214"/>
      <c r="F792" s="215"/>
      <c r="G792" s="21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110"/>
      <c r="X792" s="110"/>
      <c r="Y792" s="110"/>
      <c r="Z792" s="110"/>
    </row>
    <row r="793">
      <c r="A793" s="212"/>
      <c r="B793" s="21"/>
      <c r="C793" s="21"/>
      <c r="D793" s="213"/>
      <c r="E793" s="214"/>
      <c r="F793" s="215"/>
      <c r="G793" s="21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110"/>
      <c r="X793" s="110"/>
      <c r="Y793" s="110"/>
      <c r="Z793" s="110"/>
    </row>
    <row r="794">
      <c r="A794" s="212"/>
      <c r="B794" s="21"/>
      <c r="C794" s="21"/>
      <c r="D794" s="213"/>
      <c r="E794" s="214"/>
      <c r="F794" s="215"/>
      <c r="G794" s="21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110"/>
      <c r="X794" s="110"/>
      <c r="Y794" s="110"/>
      <c r="Z794" s="110"/>
    </row>
    <row r="795">
      <c r="A795" s="212"/>
      <c r="B795" s="21"/>
      <c r="C795" s="21"/>
      <c r="D795" s="213"/>
      <c r="E795" s="214"/>
      <c r="F795" s="215"/>
      <c r="G795" s="21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110"/>
      <c r="X795" s="110"/>
      <c r="Y795" s="110"/>
      <c r="Z795" s="110"/>
    </row>
    <row r="796">
      <c r="A796" s="212"/>
      <c r="B796" s="21"/>
      <c r="C796" s="21"/>
      <c r="D796" s="213"/>
      <c r="E796" s="214"/>
      <c r="F796" s="215"/>
      <c r="G796" s="21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110"/>
      <c r="X796" s="110"/>
      <c r="Y796" s="110"/>
      <c r="Z796" s="110"/>
    </row>
    <row r="797">
      <c r="A797" s="212"/>
      <c r="B797" s="21"/>
      <c r="C797" s="21"/>
      <c r="D797" s="213"/>
      <c r="E797" s="214"/>
      <c r="F797" s="215"/>
      <c r="G797" s="21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110"/>
      <c r="X797" s="110"/>
      <c r="Y797" s="110"/>
      <c r="Z797" s="110"/>
    </row>
    <row r="798">
      <c r="A798" s="212"/>
      <c r="B798" s="21"/>
      <c r="C798" s="21"/>
      <c r="D798" s="213"/>
      <c r="E798" s="214"/>
      <c r="F798" s="215"/>
      <c r="G798" s="21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110"/>
      <c r="X798" s="110"/>
      <c r="Y798" s="110"/>
      <c r="Z798" s="110"/>
    </row>
    <row r="799">
      <c r="A799" s="212"/>
      <c r="B799" s="21"/>
      <c r="C799" s="21"/>
      <c r="D799" s="213"/>
      <c r="E799" s="214"/>
      <c r="F799" s="215"/>
      <c r="G799" s="21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110"/>
      <c r="X799" s="110"/>
      <c r="Y799" s="110"/>
      <c r="Z799" s="110"/>
    </row>
    <row r="800">
      <c r="A800" s="212"/>
      <c r="B800" s="21"/>
      <c r="C800" s="21"/>
      <c r="D800" s="213"/>
      <c r="E800" s="214"/>
      <c r="F800" s="215"/>
      <c r="G800" s="21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110"/>
      <c r="X800" s="110"/>
      <c r="Y800" s="110"/>
      <c r="Z800" s="110"/>
    </row>
    <row r="801">
      <c r="A801" s="212"/>
      <c r="B801" s="21"/>
      <c r="C801" s="21"/>
      <c r="D801" s="213"/>
      <c r="E801" s="214"/>
      <c r="F801" s="215"/>
      <c r="G801" s="21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110"/>
      <c r="X801" s="110"/>
      <c r="Y801" s="110"/>
      <c r="Z801" s="110"/>
    </row>
    <row r="802">
      <c r="A802" s="212"/>
      <c r="B802" s="21"/>
      <c r="C802" s="21"/>
      <c r="D802" s="213"/>
      <c r="E802" s="214"/>
      <c r="F802" s="215"/>
      <c r="G802" s="21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110"/>
      <c r="X802" s="110"/>
      <c r="Y802" s="110"/>
      <c r="Z802" s="110"/>
    </row>
    <row r="803">
      <c r="A803" s="212"/>
      <c r="B803" s="21"/>
      <c r="C803" s="21"/>
      <c r="D803" s="213"/>
      <c r="E803" s="214"/>
      <c r="F803" s="215"/>
      <c r="G803" s="21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110"/>
      <c r="X803" s="110"/>
      <c r="Y803" s="110"/>
      <c r="Z803" s="110"/>
    </row>
    <row r="804">
      <c r="A804" s="212"/>
      <c r="B804" s="21"/>
      <c r="C804" s="21"/>
      <c r="D804" s="213"/>
      <c r="E804" s="214"/>
      <c r="F804" s="215"/>
      <c r="G804" s="21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110"/>
      <c r="X804" s="110"/>
      <c r="Y804" s="110"/>
      <c r="Z804" s="110"/>
    </row>
    <row r="805">
      <c r="A805" s="212"/>
      <c r="B805" s="21"/>
      <c r="C805" s="21"/>
      <c r="D805" s="213"/>
      <c r="E805" s="214"/>
      <c r="F805" s="215"/>
      <c r="G805" s="21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110"/>
      <c r="X805" s="110"/>
      <c r="Y805" s="110"/>
      <c r="Z805" s="110"/>
    </row>
    <row r="806">
      <c r="A806" s="212"/>
      <c r="B806" s="21"/>
      <c r="C806" s="21"/>
      <c r="D806" s="213"/>
      <c r="E806" s="214"/>
      <c r="F806" s="215"/>
      <c r="G806" s="21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110"/>
      <c r="X806" s="110"/>
      <c r="Y806" s="110"/>
      <c r="Z806" s="110"/>
    </row>
    <row r="807">
      <c r="A807" s="212"/>
      <c r="B807" s="21"/>
      <c r="C807" s="21"/>
      <c r="D807" s="213"/>
      <c r="E807" s="214"/>
      <c r="F807" s="215"/>
      <c r="G807" s="21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110"/>
      <c r="X807" s="110"/>
      <c r="Y807" s="110"/>
      <c r="Z807" s="110"/>
    </row>
    <row r="808">
      <c r="A808" s="212"/>
      <c r="B808" s="21"/>
      <c r="C808" s="21"/>
      <c r="D808" s="213"/>
      <c r="E808" s="214"/>
      <c r="F808" s="215"/>
      <c r="G808" s="21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110"/>
      <c r="X808" s="110"/>
      <c r="Y808" s="110"/>
      <c r="Z808" s="110"/>
    </row>
    <row r="809">
      <c r="A809" s="212"/>
      <c r="B809" s="21"/>
      <c r="C809" s="21"/>
      <c r="D809" s="213"/>
      <c r="E809" s="214"/>
      <c r="F809" s="215"/>
      <c r="G809" s="21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110"/>
      <c r="X809" s="110"/>
      <c r="Y809" s="110"/>
      <c r="Z809" s="110"/>
    </row>
    <row r="810">
      <c r="A810" s="212"/>
      <c r="B810" s="21"/>
      <c r="C810" s="21"/>
      <c r="D810" s="213"/>
      <c r="E810" s="214"/>
      <c r="F810" s="215"/>
      <c r="G810" s="21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110"/>
      <c r="X810" s="110"/>
      <c r="Y810" s="110"/>
      <c r="Z810" s="110"/>
    </row>
    <row r="811">
      <c r="A811" s="212"/>
      <c r="B811" s="21"/>
      <c r="C811" s="21"/>
      <c r="D811" s="213"/>
      <c r="E811" s="214"/>
      <c r="F811" s="215"/>
      <c r="G811" s="21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110"/>
      <c r="X811" s="110"/>
      <c r="Y811" s="110"/>
      <c r="Z811" s="110"/>
    </row>
    <row r="812">
      <c r="A812" s="212"/>
      <c r="B812" s="21"/>
      <c r="C812" s="21"/>
      <c r="D812" s="213"/>
      <c r="E812" s="214"/>
      <c r="F812" s="215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10"/>
      <c r="X812" s="110"/>
      <c r="Y812" s="110"/>
      <c r="Z812" s="110"/>
    </row>
    <row r="813">
      <c r="A813" s="212"/>
      <c r="B813" s="21"/>
      <c r="C813" s="21"/>
      <c r="D813" s="213"/>
      <c r="E813" s="214"/>
      <c r="F813" s="215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>
      <c r="A814" s="212"/>
      <c r="B814" s="21"/>
      <c r="C814" s="21"/>
      <c r="D814" s="213"/>
      <c r="E814" s="214"/>
      <c r="F814" s="215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>
      <c r="A815" s="212"/>
      <c r="B815" s="21"/>
      <c r="C815" s="21"/>
      <c r="D815" s="213"/>
      <c r="E815" s="214"/>
      <c r="F815" s="215"/>
      <c r="G815" s="21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110"/>
      <c r="X815" s="110"/>
      <c r="Y815" s="110"/>
      <c r="Z815" s="110"/>
    </row>
    <row r="816">
      <c r="A816" s="212"/>
      <c r="B816" s="21"/>
      <c r="C816" s="21"/>
      <c r="D816" s="213"/>
      <c r="E816" s="214"/>
      <c r="F816" s="215"/>
      <c r="G816" s="21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110"/>
      <c r="X816" s="110"/>
      <c r="Y816" s="110"/>
      <c r="Z816" s="110"/>
    </row>
    <row r="817">
      <c r="A817" s="212"/>
      <c r="B817" s="21"/>
      <c r="C817" s="21"/>
      <c r="D817" s="213"/>
      <c r="E817" s="214"/>
      <c r="F817" s="215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10"/>
      <c r="X817" s="110"/>
      <c r="Y817" s="110"/>
      <c r="Z817" s="110"/>
    </row>
    <row r="818">
      <c r="A818" s="212"/>
      <c r="B818" s="21"/>
      <c r="C818" s="21"/>
      <c r="D818" s="213"/>
      <c r="E818" s="214"/>
      <c r="F818" s="215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10"/>
      <c r="X818" s="110"/>
      <c r="Y818" s="110"/>
      <c r="Z818" s="110"/>
    </row>
    <row r="819">
      <c r="A819" s="212"/>
      <c r="B819" s="21"/>
      <c r="C819" s="21"/>
      <c r="D819" s="213"/>
      <c r="E819" s="214"/>
      <c r="F819" s="215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>
      <c r="A820" s="212"/>
      <c r="B820" s="21"/>
      <c r="C820" s="21"/>
      <c r="D820" s="213"/>
      <c r="E820" s="214"/>
      <c r="F820" s="215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>
      <c r="A821" s="212"/>
      <c r="B821" s="21"/>
      <c r="C821" s="21"/>
      <c r="D821" s="213"/>
      <c r="E821" s="214"/>
      <c r="F821" s="215"/>
      <c r="G821" s="162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  <c r="AA821" s="226"/>
      <c r="AB821" s="226"/>
      <c r="AC821" s="226"/>
      <c r="AD821" s="226"/>
      <c r="AE821" s="226"/>
      <c r="AF821" s="226"/>
      <c r="AG821" s="226"/>
      <c r="AH821" s="226"/>
      <c r="AI821" s="226"/>
      <c r="AJ821" s="226"/>
      <c r="AK821" s="226"/>
      <c r="AL821" s="226"/>
      <c r="AM821" s="226"/>
      <c r="AN821" s="226"/>
      <c r="AO821" s="226"/>
      <c r="AP821" s="226"/>
      <c r="AQ821" s="226"/>
      <c r="AR821" s="226"/>
      <c r="AS821" s="226"/>
      <c r="AT821" s="226"/>
      <c r="AU821" s="226"/>
      <c r="AV821" s="226"/>
      <c r="AW821" s="226"/>
      <c r="AX821" s="226"/>
      <c r="AY821" s="226"/>
      <c r="AZ821" s="226"/>
      <c r="BA821" s="226"/>
      <c r="BB821" s="226"/>
      <c r="BC821" s="226"/>
      <c r="BD821" s="226"/>
      <c r="BE821" s="226"/>
      <c r="BF821" s="226"/>
      <c r="BG821" s="226"/>
      <c r="BH821" s="226"/>
      <c r="BI821" s="226"/>
      <c r="BJ821" s="226"/>
      <c r="BK821" s="226"/>
      <c r="BL821" s="226"/>
      <c r="BM821" s="226"/>
      <c r="BN821" s="226"/>
      <c r="BO821" s="226"/>
      <c r="BP821" s="226"/>
      <c r="BQ821" s="226"/>
      <c r="BR821" s="226"/>
      <c r="BS821" s="226"/>
      <c r="BT821" s="226"/>
      <c r="BU821" s="226"/>
      <c r="BV821" s="226"/>
      <c r="BW821" s="226"/>
      <c r="BX821" s="226"/>
      <c r="BY821" s="226"/>
      <c r="BZ821" s="226"/>
      <c r="CA821" s="226"/>
      <c r="CB821" s="226"/>
      <c r="CC821" s="226"/>
      <c r="CD821" s="226"/>
      <c r="CE821" s="226"/>
      <c r="CF821" s="226"/>
      <c r="CG821" s="226"/>
      <c r="CH821" s="226"/>
      <c r="CI821" s="226"/>
      <c r="CJ821" s="226"/>
      <c r="CK821" s="226"/>
      <c r="CL821" s="226"/>
      <c r="CM821" s="226"/>
      <c r="CN821" s="226"/>
      <c r="CO821" s="226"/>
      <c r="CP821" s="226"/>
      <c r="CQ821" s="226"/>
      <c r="CR821" s="226"/>
      <c r="CS821" s="226"/>
      <c r="CT821" s="226"/>
      <c r="CU821" s="226"/>
      <c r="CV821" s="226"/>
      <c r="CW821" s="226"/>
      <c r="CX821" s="226"/>
      <c r="CY821" s="226"/>
      <c r="CZ821" s="226"/>
      <c r="DA821" s="226"/>
      <c r="DB821" s="226"/>
      <c r="DC821" s="226"/>
      <c r="DD821" s="226"/>
      <c r="DE821" s="226"/>
      <c r="DF821" s="226"/>
      <c r="DG821" s="226"/>
      <c r="DH821" s="226"/>
      <c r="DI821" s="226"/>
      <c r="DJ821" s="226"/>
      <c r="DK821" s="226"/>
      <c r="DL821" s="226"/>
      <c r="DM821" s="226"/>
      <c r="DN821" s="226"/>
      <c r="DO821" s="226"/>
      <c r="DP821" s="226"/>
      <c r="DQ821" s="226"/>
      <c r="DR821" s="226"/>
      <c r="DS821" s="226"/>
      <c r="DT821" s="226"/>
      <c r="DU821" s="226"/>
      <c r="DV821" s="226"/>
      <c r="DW821" s="226"/>
      <c r="DX821" s="226"/>
      <c r="DY821" s="226"/>
      <c r="DZ821" s="226"/>
      <c r="EA821" s="226"/>
      <c r="EB821" s="226"/>
      <c r="EC821" s="226"/>
      <c r="ED821" s="226"/>
      <c r="EE821" s="226"/>
      <c r="EF821" s="226"/>
      <c r="EG821" s="226"/>
      <c r="EH821" s="226"/>
      <c r="EI821" s="226"/>
      <c r="EJ821" s="226"/>
      <c r="EK821" s="226"/>
      <c r="EL821" s="226"/>
      <c r="EM821" s="226"/>
      <c r="EN821" s="226"/>
      <c r="EO821" s="226"/>
      <c r="EP821" s="226"/>
      <c r="EQ821" s="226"/>
      <c r="ER821" s="226"/>
      <c r="ES821" s="226"/>
      <c r="ET821" s="226"/>
      <c r="EU821" s="226"/>
      <c r="EV821" s="226"/>
      <c r="EW821" s="226"/>
      <c r="EX821" s="226"/>
      <c r="EY821" s="226"/>
      <c r="EZ821" s="226"/>
      <c r="FA821" s="226"/>
      <c r="FB821" s="226"/>
      <c r="FC821" s="226"/>
      <c r="FD821" s="226"/>
      <c r="FE821" s="226"/>
      <c r="FF821" s="226"/>
      <c r="FG821" s="226"/>
      <c r="FH821" s="226"/>
      <c r="FI821" s="226"/>
      <c r="FJ821" s="226"/>
      <c r="FK821" s="226"/>
      <c r="FL821" s="226"/>
      <c r="FM821" s="226"/>
      <c r="FN821" s="226"/>
      <c r="FO821" s="226"/>
      <c r="FP821" s="226"/>
      <c r="FQ821" s="226"/>
      <c r="FR821" s="226"/>
      <c r="FS821" s="226"/>
      <c r="FT821" s="226"/>
      <c r="FU821" s="226"/>
      <c r="FV821" s="226"/>
      <c r="FW821" s="226"/>
      <c r="FX821" s="226"/>
      <c r="FY821" s="226"/>
      <c r="FZ821" s="226"/>
      <c r="GA821" s="226"/>
      <c r="GB821" s="226"/>
      <c r="GC821" s="226"/>
      <c r="GD821" s="226"/>
      <c r="GE821" s="226"/>
      <c r="GF821" s="226"/>
      <c r="GG821" s="226"/>
      <c r="GH821" s="226"/>
      <c r="GI821" s="226"/>
      <c r="GJ821" s="226"/>
      <c r="GK821" s="226"/>
      <c r="GL821" s="226"/>
      <c r="GM821" s="226"/>
      <c r="GN821" s="226"/>
    </row>
    <row r="822">
      <c r="A822" s="212"/>
      <c r="B822" s="21"/>
      <c r="C822" s="21"/>
      <c r="D822" s="213"/>
      <c r="E822" s="214"/>
      <c r="F822" s="215"/>
      <c r="G822" s="21"/>
      <c r="H822" s="225"/>
      <c r="I822" s="110"/>
      <c r="J822" s="110"/>
      <c r="K822" s="110"/>
      <c r="L822" s="110"/>
      <c r="M822" s="110"/>
      <c r="N822" s="110"/>
      <c r="O822" s="110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  <c r="AA822" s="226"/>
      <c r="AB822" s="226"/>
      <c r="AC822" s="226"/>
      <c r="AD822" s="226"/>
      <c r="AE822" s="226"/>
      <c r="AF822" s="226"/>
      <c r="AG822" s="226"/>
      <c r="AH822" s="226"/>
      <c r="AI822" s="226"/>
      <c r="AJ822" s="226"/>
      <c r="AK822" s="226"/>
      <c r="AL822" s="226"/>
      <c r="AM822" s="226"/>
      <c r="AN822" s="226"/>
      <c r="AO822" s="226"/>
      <c r="AP822" s="226"/>
      <c r="AQ822" s="226"/>
      <c r="AR822" s="226"/>
      <c r="AS822" s="226"/>
      <c r="AT822" s="226"/>
      <c r="AU822" s="226"/>
      <c r="AV822" s="226"/>
      <c r="AW822" s="226"/>
      <c r="AX822" s="226"/>
      <c r="AY822" s="226"/>
      <c r="AZ822" s="226"/>
      <c r="BA822" s="226"/>
      <c r="BB822" s="226"/>
      <c r="BC822" s="226"/>
      <c r="BD822" s="226"/>
      <c r="BE822" s="226"/>
      <c r="BF822" s="226"/>
      <c r="BG822" s="226"/>
      <c r="BH822" s="226"/>
      <c r="BI822" s="226"/>
      <c r="BJ822" s="226"/>
      <c r="BK822" s="226"/>
      <c r="BL822" s="226"/>
      <c r="BM822" s="226"/>
      <c r="BN822" s="226"/>
      <c r="BO822" s="226"/>
      <c r="BP822" s="226"/>
      <c r="BQ822" s="226"/>
      <c r="BR822" s="226"/>
      <c r="BS822" s="226"/>
      <c r="BT822" s="226"/>
      <c r="BU822" s="226"/>
      <c r="BV822" s="226"/>
      <c r="BW822" s="226"/>
      <c r="BX822" s="226"/>
      <c r="BY822" s="226"/>
      <c r="BZ822" s="226"/>
      <c r="CA822" s="226"/>
      <c r="CB822" s="226"/>
      <c r="CC822" s="226"/>
      <c r="CD822" s="226"/>
      <c r="CE822" s="226"/>
      <c r="CF822" s="226"/>
      <c r="CG822" s="226"/>
      <c r="CH822" s="226"/>
      <c r="CI822" s="226"/>
      <c r="CJ822" s="226"/>
      <c r="CK822" s="226"/>
      <c r="CL822" s="226"/>
      <c r="CM822" s="226"/>
      <c r="CN822" s="226"/>
      <c r="CO822" s="226"/>
      <c r="CP822" s="226"/>
      <c r="CQ822" s="226"/>
      <c r="CR822" s="226"/>
      <c r="CS822" s="226"/>
      <c r="CT822" s="226"/>
      <c r="CU822" s="226"/>
      <c r="CV822" s="226"/>
      <c r="CW822" s="226"/>
      <c r="CX822" s="226"/>
      <c r="CY822" s="226"/>
      <c r="CZ822" s="226"/>
      <c r="DA822" s="226"/>
      <c r="DB822" s="226"/>
      <c r="DC822" s="226"/>
      <c r="DD822" s="226"/>
      <c r="DE822" s="226"/>
      <c r="DF822" s="226"/>
      <c r="DG822" s="226"/>
      <c r="DH822" s="226"/>
      <c r="DI822" s="226"/>
      <c r="DJ822" s="226"/>
      <c r="DK822" s="226"/>
      <c r="DL822" s="226"/>
      <c r="DM822" s="226"/>
      <c r="DN822" s="226"/>
      <c r="DO822" s="226"/>
      <c r="DP822" s="226"/>
      <c r="DQ822" s="226"/>
      <c r="DR822" s="226"/>
      <c r="DS822" s="226"/>
      <c r="DT822" s="226"/>
      <c r="DU822" s="226"/>
      <c r="DV822" s="226"/>
      <c r="DW822" s="226"/>
      <c r="DX822" s="226"/>
      <c r="DY822" s="226"/>
      <c r="DZ822" s="226"/>
      <c r="EA822" s="226"/>
      <c r="EB822" s="226"/>
      <c r="EC822" s="226"/>
      <c r="ED822" s="226"/>
      <c r="EE822" s="226"/>
      <c r="EF822" s="226"/>
      <c r="EG822" s="226"/>
      <c r="EH822" s="226"/>
      <c r="EI822" s="226"/>
      <c r="EJ822" s="226"/>
      <c r="EK822" s="226"/>
      <c r="EL822" s="226"/>
      <c r="EM822" s="226"/>
      <c r="EN822" s="226"/>
      <c r="EO822" s="226"/>
      <c r="EP822" s="226"/>
      <c r="EQ822" s="226"/>
      <c r="ER822" s="226"/>
      <c r="ES822" s="226"/>
      <c r="ET822" s="226"/>
      <c r="EU822" s="226"/>
      <c r="EV822" s="226"/>
      <c r="EW822" s="226"/>
      <c r="EX822" s="226"/>
      <c r="EY822" s="226"/>
      <c r="EZ822" s="226"/>
      <c r="FA822" s="226"/>
      <c r="FB822" s="226"/>
      <c r="FC822" s="226"/>
      <c r="FD822" s="226"/>
      <c r="FE822" s="226"/>
      <c r="FF822" s="226"/>
      <c r="FG822" s="226"/>
      <c r="FH822" s="226"/>
      <c r="FI822" s="226"/>
      <c r="FJ822" s="226"/>
      <c r="FK822" s="226"/>
      <c r="FL822" s="226"/>
      <c r="FM822" s="226"/>
      <c r="FN822" s="226"/>
      <c r="FO822" s="226"/>
      <c r="FP822" s="226"/>
      <c r="FQ822" s="226"/>
      <c r="FR822" s="226"/>
      <c r="FS822" s="226"/>
      <c r="FT822" s="226"/>
      <c r="FU822" s="226"/>
      <c r="FV822" s="226"/>
      <c r="FW822" s="226"/>
      <c r="FX822" s="226"/>
      <c r="FY822" s="226"/>
      <c r="FZ822" s="226"/>
      <c r="GA822" s="226"/>
      <c r="GB822" s="226"/>
      <c r="GC822" s="226"/>
      <c r="GD822" s="226"/>
      <c r="GE822" s="226"/>
      <c r="GF822" s="226"/>
      <c r="GG822" s="226"/>
      <c r="GH822" s="226"/>
      <c r="GI822" s="226"/>
      <c r="GJ822" s="226"/>
      <c r="GK822" s="226"/>
      <c r="GL822" s="226"/>
      <c r="GM822" s="226"/>
      <c r="GN822" s="226"/>
    </row>
    <row r="823">
      <c r="A823" s="212"/>
      <c r="B823" s="21"/>
      <c r="C823" s="21"/>
      <c r="D823" s="213"/>
      <c r="E823" s="214"/>
      <c r="F823" s="215"/>
      <c r="G823" s="21"/>
      <c r="H823" s="225"/>
      <c r="I823" s="110"/>
      <c r="J823" s="110"/>
      <c r="K823" s="110"/>
      <c r="L823" s="110"/>
      <c r="M823" s="110"/>
      <c r="N823" s="110"/>
      <c r="O823" s="110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  <c r="AA823" s="226"/>
      <c r="AB823" s="226"/>
      <c r="AC823" s="226"/>
      <c r="AD823" s="226"/>
      <c r="AE823" s="226"/>
      <c r="AF823" s="226"/>
      <c r="AG823" s="226"/>
      <c r="AH823" s="226"/>
      <c r="AI823" s="226"/>
      <c r="AJ823" s="226"/>
      <c r="AK823" s="226"/>
      <c r="AL823" s="226"/>
      <c r="AM823" s="226"/>
      <c r="AN823" s="226"/>
      <c r="AO823" s="226"/>
      <c r="AP823" s="226"/>
      <c r="AQ823" s="226"/>
      <c r="AR823" s="226"/>
      <c r="AS823" s="226"/>
      <c r="AT823" s="226"/>
      <c r="AU823" s="226"/>
      <c r="AV823" s="226"/>
      <c r="AW823" s="226"/>
      <c r="AX823" s="226"/>
      <c r="AY823" s="226"/>
      <c r="AZ823" s="226"/>
      <c r="BA823" s="226"/>
      <c r="BB823" s="226"/>
      <c r="BC823" s="226"/>
      <c r="BD823" s="226"/>
      <c r="BE823" s="226"/>
      <c r="BF823" s="226"/>
      <c r="BG823" s="226"/>
      <c r="BH823" s="226"/>
      <c r="BI823" s="226"/>
      <c r="BJ823" s="226"/>
      <c r="BK823" s="226"/>
      <c r="BL823" s="226"/>
      <c r="BM823" s="226"/>
      <c r="BN823" s="226"/>
      <c r="BO823" s="226"/>
      <c r="BP823" s="226"/>
      <c r="BQ823" s="226"/>
      <c r="BR823" s="226"/>
      <c r="BS823" s="226"/>
      <c r="BT823" s="226"/>
      <c r="BU823" s="226"/>
      <c r="BV823" s="226"/>
      <c r="BW823" s="226"/>
      <c r="BX823" s="226"/>
      <c r="BY823" s="226"/>
      <c r="BZ823" s="226"/>
      <c r="CA823" s="226"/>
      <c r="CB823" s="226"/>
      <c r="CC823" s="226"/>
      <c r="CD823" s="226"/>
      <c r="CE823" s="226"/>
      <c r="CF823" s="226"/>
      <c r="CG823" s="226"/>
      <c r="CH823" s="226"/>
      <c r="CI823" s="226"/>
      <c r="CJ823" s="226"/>
      <c r="CK823" s="226"/>
      <c r="CL823" s="226"/>
      <c r="CM823" s="226"/>
      <c r="CN823" s="226"/>
      <c r="CO823" s="226"/>
      <c r="CP823" s="226"/>
      <c r="CQ823" s="226"/>
      <c r="CR823" s="226"/>
      <c r="CS823" s="226"/>
      <c r="CT823" s="226"/>
      <c r="CU823" s="226"/>
      <c r="CV823" s="226"/>
      <c r="CW823" s="226"/>
      <c r="CX823" s="226"/>
      <c r="CY823" s="226"/>
      <c r="CZ823" s="226"/>
      <c r="DA823" s="226"/>
      <c r="DB823" s="226"/>
      <c r="DC823" s="226"/>
      <c r="DD823" s="226"/>
      <c r="DE823" s="226"/>
      <c r="DF823" s="226"/>
      <c r="DG823" s="226"/>
      <c r="DH823" s="226"/>
      <c r="DI823" s="226"/>
      <c r="DJ823" s="226"/>
      <c r="DK823" s="226"/>
      <c r="DL823" s="226"/>
      <c r="DM823" s="226"/>
      <c r="DN823" s="226"/>
      <c r="DO823" s="226"/>
      <c r="DP823" s="226"/>
      <c r="DQ823" s="226"/>
      <c r="DR823" s="226"/>
      <c r="DS823" s="226"/>
      <c r="DT823" s="226"/>
      <c r="DU823" s="226"/>
      <c r="DV823" s="226"/>
      <c r="DW823" s="226"/>
      <c r="DX823" s="226"/>
      <c r="DY823" s="226"/>
      <c r="DZ823" s="226"/>
      <c r="EA823" s="226"/>
      <c r="EB823" s="226"/>
      <c r="EC823" s="226"/>
      <c r="ED823" s="226"/>
      <c r="EE823" s="226"/>
      <c r="EF823" s="226"/>
      <c r="EG823" s="226"/>
      <c r="EH823" s="226"/>
      <c r="EI823" s="226"/>
      <c r="EJ823" s="226"/>
      <c r="EK823" s="226"/>
      <c r="EL823" s="226"/>
      <c r="EM823" s="226"/>
      <c r="EN823" s="226"/>
      <c r="EO823" s="226"/>
      <c r="EP823" s="226"/>
      <c r="EQ823" s="226"/>
      <c r="ER823" s="226"/>
      <c r="ES823" s="226"/>
      <c r="ET823" s="226"/>
      <c r="EU823" s="226"/>
      <c r="EV823" s="226"/>
      <c r="EW823" s="226"/>
      <c r="EX823" s="226"/>
      <c r="EY823" s="226"/>
      <c r="EZ823" s="226"/>
      <c r="FA823" s="226"/>
      <c r="FB823" s="226"/>
      <c r="FC823" s="226"/>
      <c r="FD823" s="226"/>
      <c r="FE823" s="226"/>
      <c r="FF823" s="226"/>
      <c r="FG823" s="226"/>
      <c r="FH823" s="226"/>
      <c r="FI823" s="226"/>
      <c r="FJ823" s="226"/>
      <c r="FK823" s="226"/>
      <c r="FL823" s="226"/>
      <c r="FM823" s="226"/>
      <c r="FN823" s="226"/>
      <c r="FO823" s="226"/>
      <c r="FP823" s="226"/>
      <c r="FQ823" s="226"/>
      <c r="FR823" s="226"/>
      <c r="FS823" s="226"/>
      <c r="FT823" s="226"/>
      <c r="FU823" s="226"/>
      <c r="FV823" s="226"/>
      <c r="FW823" s="226"/>
      <c r="FX823" s="226"/>
      <c r="FY823" s="226"/>
      <c r="FZ823" s="226"/>
      <c r="GA823" s="226"/>
      <c r="GB823" s="226"/>
      <c r="GC823" s="226"/>
      <c r="GD823" s="226"/>
      <c r="GE823" s="226"/>
      <c r="GF823" s="226"/>
      <c r="GG823" s="226"/>
      <c r="GH823" s="226"/>
      <c r="GI823" s="226"/>
      <c r="GJ823" s="226"/>
      <c r="GK823" s="226"/>
      <c r="GL823" s="226"/>
      <c r="GM823" s="226"/>
      <c r="GN823" s="226"/>
    </row>
    <row r="824">
      <c r="A824" s="212"/>
      <c r="B824" s="21"/>
      <c r="C824" s="21"/>
      <c r="D824" s="213"/>
      <c r="E824" s="214"/>
      <c r="F824" s="215"/>
      <c r="G824" s="21"/>
      <c r="H824" s="225"/>
      <c r="I824" s="110"/>
      <c r="J824" s="110"/>
      <c r="K824" s="110"/>
      <c r="L824" s="110"/>
      <c r="M824" s="110"/>
      <c r="N824" s="110"/>
      <c r="O824" s="110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  <c r="AA824" s="226"/>
      <c r="AB824" s="226"/>
      <c r="AC824" s="226"/>
      <c r="AD824" s="226"/>
      <c r="AE824" s="226"/>
      <c r="AF824" s="226"/>
      <c r="AG824" s="226"/>
      <c r="AH824" s="226"/>
      <c r="AI824" s="226"/>
      <c r="AJ824" s="226"/>
      <c r="AK824" s="226"/>
      <c r="AL824" s="226"/>
      <c r="AM824" s="226"/>
      <c r="AN824" s="226"/>
      <c r="AO824" s="226"/>
      <c r="AP824" s="226"/>
      <c r="AQ824" s="226"/>
      <c r="AR824" s="226"/>
      <c r="AS824" s="226"/>
      <c r="AT824" s="226"/>
      <c r="AU824" s="226"/>
      <c r="AV824" s="226"/>
      <c r="AW824" s="226"/>
      <c r="AX824" s="226"/>
      <c r="AY824" s="226"/>
      <c r="AZ824" s="226"/>
      <c r="BA824" s="226"/>
      <c r="BB824" s="226"/>
      <c r="BC824" s="226"/>
      <c r="BD824" s="226"/>
      <c r="BE824" s="226"/>
      <c r="BF824" s="226"/>
      <c r="BG824" s="226"/>
      <c r="BH824" s="226"/>
      <c r="BI824" s="226"/>
      <c r="BJ824" s="226"/>
      <c r="BK824" s="226"/>
      <c r="BL824" s="226"/>
      <c r="BM824" s="226"/>
      <c r="BN824" s="226"/>
      <c r="BO824" s="226"/>
      <c r="BP824" s="226"/>
      <c r="BQ824" s="226"/>
      <c r="BR824" s="226"/>
      <c r="BS824" s="226"/>
      <c r="BT824" s="226"/>
      <c r="BU824" s="226"/>
      <c r="BV824" s="226"/>
      <c r="BW824" s="226"/>
      <c r="BX824" s="226"/>
      <c r="BY824" s="226"/>
      <c r="BZ824" s="226"/>
      <c r="CA824" s="226"/>
      <c r="CB824" s="226"/>
      <c r="CC824" s="226"/>
      <c r="CD824" s="226"/>
      <c r="CE824" s="226"/>
      <c r="CF824" s="226"/>
      <c r="CG824" s="226"/>
      <c r="CH824" s="226"/>
      <c r="CI824" s="226"/>
      <c r="CJ824" s="226"/>
      <c r="CK824" s="226"/>
      <c r="CL824" s="226"/>
      <c r="CM824" s="226"/>
      <c r="CN824" s="226"/>
      <c r="CO824" s="226"/>
      <c r="CP824" s="226"/>
      <c r="CQ824" s="226"/>
      <c r="CR824" s="226"/>
      <c r="CS824" s="226"/>
      <c r="CT824" s="226"/>
      <c r="CU824" s="226"/>
      <c r="CV824" s="226"/>
      <c r="CW824" s="226"/>
      <c r="CX824" s="226"/>
      <c r="CY824" s="226"/>
      <c r="CZ824" s="226"/>
      <c r="DA824" s="226"/>
      <c r="DB824" s="226"/>
      <c r="DC824" s="226"/>
      <c r="DD824" s="226"/>
      <c r="DE824" s="226"/>
      <c r="DF824" s="226"/>
      <c r="DG824" s="226"/>
      <c r="DH824" s="226"/>
      <c r="DI824" s="226"/>
      <c r="DJ824" s="226"/>
      <c r="DK824" s="226"/>
      <c r="DL824" s="226"/>
      <c r="DM824" s="226"/>
      <c r="DN824" s="226"/>
      <c r="DO824" s="226"/>
      <c r="DP824" s="226"/>
      <c r="DQ824" s="226"/>
      <c r="DR824" s="226"/>
      <c r="DS824" s="226"/>
      <c r="DT824" s="226"/>
      <c r="DU824" s="226"/>
      <c r="DV824" s="226"/>
      <c r="DW824" s="226"/>
      <c r="DX824" s="226"/>
      <c r="DY824" s="226"/>
      <c r="DZ824" s="226"/>
      <c r="EA824" s="226"/>
      <c r="EB824" s="226"/>
      <c r="EC824" s="226"/>
      <c r="ED824" s="226"/>
      <c r="EE824" s="226"/>
      <c r="EF824" s="226"/>
      <c r="EG824" s="226"/>
      <c r="EH824" s="226"/>
      <c r="EI824" s="226"/>
      <c r="EJ824" s="226"/>
      <c r="EK824" s="226"/>
      <c r="EL824" s="226"/>
      <c r="EM824" s="226"/>
      <c r="EN824" s="226"/>
      <c r="EO824" s="226"/>
      <c r="EP824" s="226"/>
      <c r="EQ824" s="226"/>
      <c r="ER824" s="226"/>
      <c r="ES824" s="226"/>
      <c r="ET824" s="226"/>
      <c r="EU824" s="226"/>
      <c r="EV824" s="226"/>
      <c r="EW824" s="226"/>
      <c r="EX824" s="226"/>
      <c r="EY824" s="226"/>
      <c r="EZ824" s="226"/>
      <c r="FA824" s="226"/>
      <c r="FB824" s="226"/>
      <c r="FC824" s="226"/>
      <c r="FD824" s="226"/>
      <c r="FE824" s="226"/>
      <c r="FF824" s="226"/>
      <c r="FG824" s="226"/>
      <c r="FH824" s="226"/>
      <c r="FI824" s="226"/>
      <c r="FJ824" s="226"/>
      <c r="FK824" s="226"/>
      <c r="FL824" s="226"/>
      <c r="FM824" s="226"/>
      <c r="FN824" s="226"/>
      <c r="FO824" s="226"/>
      <c r="FP824" s="226"/>
      <c r="FQ824" s="226"/>
      <c r="FR824" s="226"/>
      <c r="FS824" s="226"/>
      <c r="FT824" s="226"/>
      <c r="FU824" s="226"/>
      <c r="FV824" s="226"/>
      <c r="FW824" s="226"/>
      <c r="FX824" s="226"/>
      <c r="FY824" s="226"/>
      <c r="FZ824" s="226"/>
      <c r="GA824" s="226"/>
      <c r="GB824" s="226"/>
      <c r="GC824" s="226"/>
      <c r="GD824" s="226"/>
      <c r="GE824" s="226"/>
      <c r="GF824" s="226"/>
      <c r="GG824" s="226"/>
      <c r="GH824" s="226"/>
      <c r="GI824" s="226"/>
      <c r="GJ824" s="226"/>
      <c r="GK824" s="226"/>
      <c r="GL824" s="226"/>
      <c r="GM824" s="226"/>
      <c r="GN824" s="226"/>
    </row>
    <row r="825">
      <c r="A825" s="212"/>
      <c r="B825" s="21"/>
      <c r="C825" s="21"/>
      <c r="D825" s="213"/>
      <c r="E825" s="214"/>
      <c r="F825" s="215"/>
      <c r="G825" s="21"/>
      <c r="H825" s="225"/>
      <c r="I825" s="110"/>
      <c r="J825" s="110"/>
      <c r="K825" s="110"/>
      <c r="L825" s="110"/>
      <c r="M825" s="110"/>
      <c r="N825" s="110"/>
      <c r="O825" s="110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  <c r="AA825" s="226"/>
      <c r="AB825" s="226"/>
      <c r="AC825" s="226"/>
      <c r="AD825" s="226"/>
      <c r="AE825" s="226"/>
      <c r="AF825" s="226"/>
      <c r="AG825" s="226"/>
      <c r="AH825" s="226"/>
      <c r="AI825" s="226"/>
      <c r="AJ825" s="226"/>
      <c r="AK825" s="226"/>
      <c r="AL825" s="226"/>
      <c r="AM825" s="226"/>
      <c r="AN825" s="226"/>
      <c r="AO825" s="226"/>
      <c r="AP825" s="226"/>
      <c r="AQ825" s="226"/>
      <c r="AR825" s="226"/>
      <c r="AS825" s="226"/>
      <c r="AT825" s="226"/>
      <c r="AU825" s="226"/>
      <c r="AV825" s="226"/>
      <c r="AW825" s="226"/>
      <c r="AX825" s="226"/>
      <c r="AY825" s="226"/>
      <c r="AZ825" s="226"/>
      <c r="BA825" s="226"/>
      <c r="BB825" s="226"/>
      <c r="BC825" s="226"/>
      <c r="BD825" s="226"/>
      <c r="BE825" s="226"/>
      <c r="BF825" s="226"/>
      <c r="BG825" s="226"/>
      <c r="BH825" s="226"/>
      <c r="BI825" s="226"/>
      <c r="BJ825" s="226"/>
      <c r="BK825" s="226"/>
      <c r="BL825" s="226"/>
      <c r="BM825" s="226"/>
      <c r="BN825" s="226"/>
      <c r="BO825" s="226"/>
      <c r="BP825" s="226"/>
      <c r="BQ825" s="226"/>
      <c r="BR825" s="226"/>
      <c r="BS825" s="226"/>
      <c r="BT825" s="226"/>
      <c r="BU825" s="226"/>
      <c r="BV825" s="226"/>
      <c r="BW825" s="226"/>
      <c r="BX825" s="226"/>
      <c r="BY825" s="226"/>
      <c r="BZ825" s="226"/>
      <c r="CA825" s="226"/>
      <c r="CB825" s="226"/>
      <c r="CC825" s="226"/>
      <c r="CD825" s="226"/>
      <c r="CE825" s="226"/>
      <c r="CF825" s="226"/>
      <c r="CG825" s="226"/>
      <c r="CH825" s="226"/>
      <c r="CI825" s="226"/>
      <c r="CJ825" s="226"/>
      <c r="CK825" s="226"/>
      <c r="CL825" s="226"/>
      <c r="CM825" s="226"/>
      <c r="CN825" s="226"/>
      <c r="CO825" s="226"/>
      <c r="CP825" s="226"/>
      <c r="CQ825" s="226"/>
      <c r="CR825" s="226"/>
      <c r="CS825" s="226"/>
      <c r="CT825" s="226"/>
      <c r="CU825" s="226"/>
      <c r="CV825" s="226"/>
      <c r="CW825" s="226"/>
      <c r="CX825" s="226"/>
      <c r="CY825" s="226"/>
      <c r="CZ825" s="226"/>
      <c r="DA825" s="226"/>
      <c r="DB825" s="226"/>
      <c r="DC825" s="226"/>
      <c r="DD825" s="226"/>
      <c r="DE825" s="226"/>
      <c r="DF825" s="226"/>
      <c r="DG825" s="226"/>
      <c r="DH825" s="226"/>
      <c r="DI825" s="226"/>
      <c r="DJ825" s="226"/>
      <c r="DK825" s="226"/>
      <c r="DL825" s="226"/>
      <c r="DM825" s="226"/>
      <c r="DN825" s="226"/>
      <c r="DO825" s="226"/>
      <c r="DP825" s="226"/>
      <c r="DQ825" s="226"/>
      <c r="DR825" s="226"/>
      <c r="DS825" s="226"/>
      <c r="DT825" s="226"/>
      <c r="DU825" s="226"/>
      <c r="DV825" s="226"/>
      <c r="DW825" s="226"/>
      <c r="DX825" s="226"/>
      <c r="DY825" s="226"/>
      <c r="DZ825" s="226"/>
      <c r="EA825" s="226"/>
      <c r="EB825" s="226"/>
      <c r="EC825" s="226"/>
      <c r="ED825" s="226"/>
      <c r="EE825" s="226"/>
      <c r="EF825" s="226"/>
      <c r="EG825" s="226"/>
      <c r="EH825" s="226"/>
      <c r="EI825" s="226"/>
      <c r="EJ825" s="226"/>
      <c r="EK825" s="226"/>
      <c r="EL825" s="226"/>
      <c r="EM825" s="226"/>
      <c r="EN825" s="226"/>
      <c r="EO825" s="226"/>
      <c r="EP825" s="226"/>
      <c r="EQ825" s="226"/>
      <c r="ER825" s="226"/>
      <c r="ES825" s="226"/>
      <c r="ET825" s="226"/>
      <c r="EU825" s="226"/>
      <c r="EV825" s="226"/>
      <c r="EW825" s="226"/>
      <c r="EX825" s="226"/>
      <c r="EY825" s="226"/>
      <c r="EZ825" s="226"/>
      <c r="FA825" s="226"/>
      <c r="FB825" s="226"/>
      <c r="FC825" s="226"/>
      <c r="FD825" s="226"/>
      <c r="FE825" s="226"/>
      <c r="FF825" s="226"/>
      <c r="FG825" s="226"/>
      <c r="FH825" s="226"/>
      <c r="FI825" s="226"/>
      <c r="FJ825" s="226"/>
      <c r="FK825" s="226"/>
      <c r="FL825" s="226"/>
      <c r="FM825" s="226"/>
      <c r="FN825" s="226"/>
      <c r="FO825" s="226"/>
      <c r="FP825" s="226"/>
      <c r="FQ825" s="226"/>
      <c r="FR825" s="226"/>
      <c r="FS825" s="226"/>
      <c r="FT825" s="226"/>
      <c r="FU825" s="226"/>
      <c r="FV825" s="226"/>
      <c r="FW825" s="226"/>
      <c r="FX825" s="226"/>
      <c r="FY825" s="226"/>
      <c r="FZ825" s="226"/>
      <c r="GA825" s="226"/>
      <c r="GB825" s="226"/>
      <c r="GC825" s="226"/>
      <c r="GD825" s="226"/>
      <c r="GE825" s="226"/>
      <c r="GF825" s="226"/>
      <c r="GG825" s="226"/>
      <c r="GH825" s="226"/>
      <c r="GI825" s="226"/>
      <c r="GJ825" s="226"/>
      <c r="GK825" s="226"/>
      <c r="GL825" s="226"/>
      <c r="GM825" s="226"/>
      <c r="GN825" s="226"/>
    </row>
    <row r="826">
      <c r="A826" s="212"/>
      <c r="B826" s="21"/>
      <c r="C826" s="21"/>
      <c r="D826" s="213"/>
      <c r="E826" s="214"/>
      <c r="F826" s="215"/>
      <c r="G826" s="21"/>
      <c r="H826" s="225"/>
      <c r="I826" s="110"/>
      <c r="J826" s="110"/>
      <c r="K826" s="110"/>
      <c r="L826" s="110"/>
      <c r="M826" s="110"/>
      <c r="N826" s="110"/>
      <c r="O826" s="110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  <c r="AA826" s="226"/>
      <c r="AB826" s="226"/>
      <c r="AC826" s="226"/>
      <c r="AD826" s="226"/>
      <c r="AE826" s="226"/>
      <c r="AF826" s="226"/>
      <c r="AG826" s="226"/>
      <c r="AH826" s="226"/>
      <c r="AI826" s="226"/>
      <c r="AJ826" s="226"/>
      <c r="AK826" s="226"/>
      <c r="AL826" s="226"/>
      <c r="AM826" s="226"/>
      <c r="AN826" s="226"/>
      <c r="AO826" s="226"/>
      <c r="AP826" s="226"/>
      <c r="AQ826" s="226"/>
      <c r="AR826" s="226"/>
      <c r="AS826" s="226"/>
      <c r="AT826" s="226"/>
      <c r="AU826" s="226"/>
      <c r="AV826" s="226"/>
      <c r="AW826" s="226"/>
      <c r="AX826" s="226"/>
      <c r="AY826" s="226"/>
      <c r="AZ826" s="226"/>
      <c r="BA826" s="226"/>
      <c r="BB826" s="226"/>
      <c r="BC826" s="226"/>
      <c r="BD826" s="226"/>
      <c r="BE826" s="226"/>
      <c r="BF826" s="226"/>
      <c r="BG826" s="226"/>
      <c r="BH826" s="226"/>
      <c r="BI826" s="226"/>
      <c r="BJ826" s="226"/>
      <c r="BK826" s="226"/>
      <c r="BL826" s="226"/>
      <c r="BM826" s="226"/>
      <c r="BN826" s="226"/>
      <c r="BO826" s="226"/>
      <c r="BP826" s="226"/>
      <c r="BQ826" s="226"/>
      <c r="BR826" s="226"/>
      <c r="BS826" s="226"/>
      <c r="BT826" s="226"/>
      <c r="BU826" s="226"/>
      <c r="BV826" s="226"/>
      <c r="BW826" s="226"/>
      <c r="BX826" s="226"/>
      <c r="BY826" s="226"/>
      <c r="BZ826" s="226"/>
      <c r="CA826" s="226"/>
      <c r="CB826" s="226"/>
      <c r="CC826" s="226"/>
      <c r="CD826" s="226"/>
      <c r="CE826" s="226"/>
      <c r="CF826" s="226"/>
      <c r="CG826" s="226"/>
      <c r="CH826" s="226"/>
      <c r="CI826" s="226"/>
      <c r="CJ826" s="226"/>
      <c r="CK826" s="226"/>
      <c r="CL826" s="226"/>
      <c r="CM826" s="226"/>
      <c r="CN826" s="226"/>
      <c r="CO826" s="226"/>
      <c r="CP826" s="226"/>
      <c r="CQ826" s="226"/>
      <c r="CR826" s="226"/>
      <c r="CS826" s="226"/>
      <c r="CT826" s="226"/>
      <c r="CU826" s="226"/>
      <c r="CV826" s="226"/>
      <c r="CW826" s="226"/>
      <c r="CX826" s="226"/>
      <c r="CY826" s="226"/>
      <c r="CZ826" s="226"/>
      <c r="DA826" s="226"/>
      <c r="DB826" s="226"/>
      <c r="DC826" s="226"/>
      <c r="DD826" s="226"/>
      <c r="DE826" s="226"/>
      <c r="DF826" s="226"/>
      <c r="DG826" s="226"/>
      <c r="DH826" s="226"/>
      <c r="DI826" s="226"/>
      <c r="DJ826" s="226"/>
      <c r="DK826" s="226"/>
      <c r="DL826" s="226"/>
      <c r="DM826" s="226"/>
      <c r="DN826" s="226"/>
      <c r="DO826" s="226"/>
      <c r="DP826" s="226"/>
      <c r="DQ826" s="226"/>
      <c r="DR826" s="226"/>
      <c r="DS826" s="226"/>
      <c r="DT826" s="226"/>
      <c r="DU826" s="226"/>
      <c r="DV826" s="226"/>
      <c r="DW826" s="226"/>
      <c r="DX826" s="226"/>
      <c r="DY826" s="226"/>
      <c r="DZ826" s="226"/>
      <c r="EA826" s="226"/>
      <c r="EB826" s="226"/>
      <c r="EC826" s="226"/>
      <c r="ED826" s="226"/>
      <c r="EE826" s="226"/>
      <c r="EF826" s="226"/>
      <c r="EG826" s="226"/>
      <c r="EH826" s="226"/>
      <c r="EI826" s="226"/>
      <c r="EJ826" s="226"/>
      <c r="EK826" s="226"/>
      <c r="EL826" s="226"/>
      <c r="EM826" s="226"/>
      <c r="EN826" s="226"/>
      <c r="EO826" s="226"/>
      <c r="EP826" s="226"/>
      <c r="EQ826" s="226"/>
      <c r="ER826" s="226"/>
      <c r="ES826" s="226"/>
      <c r="ET826" s="226"/>
      <c r="EU826" s="226"/>
      <c r="EV826" s="226"/>
      <c r="EW826" s="226"/>
      <c r="EX826" s="226"/>
      <c r="EY826" s="226"/>
      <c r="EZ826" s="226"/>
      <c r="FA826" s="226"/>
      <c r="FB826" s="226"/>
      <c r="FC826" s="226"/>
      <c r="FD826" s="226"/>
      <c r="FE826" s="226"/>
      <c r="FF826" s="226"/>
      <c r="FG826" s="226"/>
      <c r="FH826" s="226"/>
      <c r="FI826" s="226"/>
      <c r="FJ826" s="226"/>
      <c r="FK826" s="226"/>
      <c r="FL826" s="226"/>
      <c r="FM826" s="226"/>
      <c r="FN826" s="226"/>
      <c r="FO826" s="226"/>
      <c r="FP826" s="226"/>
      <c r="FQ826" s="226"/>
      <c r="FR826" s="226"/>
      <c r="FS826" s="226"/>
      <c r="FT826" s="226"/>
      <c r="FU826" s="226"/>
      <c r="FV826" s="226"/>
      <c r="FW826" s="226"/>
      <c r="FX826" s="226"/>
      <c r="FY826" s="226"/>
      <c r="FZ826" s="226"/>
      <c r="GA826" s="226"/>
      <c r="GB826" s="226"/>
      <c r="GC826" s="226"/>
      <c r="GD826" s="226"/>
      <c r="GE826" s="226"/>
      <c r="GF826" s="226"/>
      <c r="GG826" s="226"/>
      <c r="GH826" s="226"/>
      <c r="GI826" s="226"/>
      <c r="GJ826" s="226"/>
      <c r="GK826" s="226"/>
      <c r="GL826" s="226"/>
      <c r="GM826" s="226"/>
      <c r="GN826" s="226"/>
    </row>
    <row r="827">
      <c r="A827" s="212"/>
      <c r="B827" s="21"/>
      <c r="C827" s="21"/>
      <c r="D827" s="213"/>
      <c r="E827" s="214"/>
      <c r="F827" s="215"/>
      <c r="G827" s="21"/>
      <c r="H827" s="225"/>
      <c r="I827" s="110"/>
      <c r="J827" s="110"/>
      <c r="K827" s="110"/>
      <c r="L827" s="110"/>
      <c r="M827" s="110"/>
      <c r="N827" s="110"/>
      <c r="O827" s="110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  <c r="AA827" s="226"/>
      <c r="AB827" s="226"/>
      <c r="AC827" s="226"/>
      <c r="AD827" s="226"/>
      <c r="AE827" s="226"/>
      <c r="AF827" s="226"/>
      <c r="AG827" s="226"/>
      <c r="AH827" s="226"/>
      <c r="AI827" s="226"/>
      <c r="AJ827" s="226"/>
      <c r="AK827" s="226"/>
      <c r="AL827" s="226"/>
      <c r="AM827" s="226"/>
      <c r="AN827" s="226"/>
      <c r="AO827" s="226"/>
      <c r="AP827" s="226"/>
      <c r="AQ827" s="226"/>
      <c r="AR827" s="226"/>
      <c r="AS827" s="226"/>
      <c r="AT827" s="226"/>
      <c r="AU827" s="226"/>
      <c r="AV827" s="226"/>
      <c r="AW827" s="226"/>
      <c r="AX827" s="226"/>
      <c r="AY827" s="226"/>
      <c r="AZ827" s="226"/>
      <c r="BA827" s="226"/>
      <c r="BB827" s="226"/>
      <c r="BC827" s="226"/>
      <c r="BD827" s="226"/>
      <c r="BE827" s="226"/>
      <c r="BF827" s="226"/>
      <c r="BG827" s="226"/>
      <c r="BH827" s="226"/>
      <c r="BI827" s="226"/>
      <c r="BJ827" s="226"/>
      <c r="BK827" s="226"/>
      <c r="BL827" s="226"/>
      <c r="BM827" s="226"/>
      <c r="BN827" s="226"/>
      <c r="BO827" s="226"/>
      <c r="BP827" s="226"/>
      <c r="BQ827" s="226"/>
      <c r="BR827" s="226"/>
      <c r="BS827" s="226"/>
      <c r="BT827" s="226"/>
      <c r="BU827" s="226"/>
      <c r="BV827" s="226"/>
      <c r="BW827" s="226"/>
      <c r="BX827" s="226"/>
      <c r="BY827" s="226"/>
      <c r="BZ827" s="226"/>
      <c r="CA827" s="226"/>
      <c r="CB827" s="226"/>
      <c r="CC827" s="226"/>
      <c r="CD827" s="226"/>
      <c r="CE827" s="226"/>
      <c r="CF827" s="226"/>
      <c r="CG827" s="226"/>
      <c r="CH827" s="226"/>
      <c r="CI827" s="226"/>
      <c r="CJ827" s="226"/>
      <c r="CK827" s="226"/>
      <c r="CL827" s="226"/>
      <c r="CM827" s="226"/>
      <c r="CN827" s="226"/>
      <c r="CO827" s="226"/>
      <c r="CP827" s="226"/>
      <c r="CQ827" s="226"/>
      <c r="CR827" s="226"/>
      <c r="CS827" s="226"/>
      <c r="CT827" s="226"/>
      <c r="CU827" s="226"/>
      <c r="CV827" s="226"/>
      <c r="CW827" s="226"/>
      <c r="CX827" s="226"/>
      <c r="CY827" s="226"/>
      <c r="CZ827" s="226"/>
      <c r="DA827" s="226"/>
      <c r="DB827" s="226"/>
      <c r="DC827" s="226"/>
      <c r="DD827" s="226"/>
      <c r="DE827" s="226"/>
      <c r="DF827" s="226"/>
      <c r="DG827" s="226"/>
      <c r="DH827" s="226"/>
      <c r="DI827" s="226"/>
      <c r="DJ827" s="226"/>
      <c r="DK827" s="226"/>
      <c r="DL827" s="226"/>
      <c r="DM827" s="226"/>
      <c r="DN827" s="226"/>
      <c r="DO827" s="226"/>
      <c r="DP827" s="226"/>
      <c r="DQ827" s="226"/>
      <c r="DR827" s="226"/>
      <c r="DS827" s="226"/>
      <c r="DT827" s="226"/>
      <c r="DU827" s="226"/>
      <c r="DV827" s="226"/>
      <c r="DW827" s="226"/>
      <c r="DX827" s="226"/>
      <c r="DY827" s="226"/>
      <c r="DZ827" s="226"/>
      <c r="EA827" s="226"/>
      <c r="EB827" s="226"/>
      <c r="EC827" s="226"/>
      <c r="ED827" s="226"/>
      <c r="EE827" s="226"/>
      <c r="EF827" s="226"/>
      <c r="EG827" s="226"/>
      <c r="EH827" s="226"/>
      <c r="EI827" s="226"/>
      <c r="EJ827" s="226"/>
      <c r="EK827" s="226"/>
      <c r="EL827" s="226"/>
      <c r="EM827" s="226"/>
      <c r="EN827" s="226"/>
      <c r="EO827" s="226"/>
      <c r="EP827" s="226"/>
      <c r="EQ827" s="226"/>
      <c r="ER827" s="226"/>
      <c r="ES827" s="226"/>
      <c r="ET827" s="226"/>
      <c r="EU827" s="226"/>
      <c r="EV827" s="226"/>
      <c r="EW827" s="226"/>
      <c r="EX827" s="226"/>
      <c r="EY827" s="226"/>
      <c r="EZ827" s="226"/>
      <c r="FA827" s="226"/>
      <c r="FB827" s="226"/>
      <c r="FC827" s="226"/>
      <c r="FD827" s="226"/>
      <c r="FE827" s="226"/>
      <c r="FF827" s="226"/>
      <c r="FG827" s="226"/>
      <c r="FH827" s="226"/>
      <c r="FI827" s="226"/>
      <c r="FJ827" s="226"/>
      <c r="FK827" s="226"/>
      <c r="FL827" s="226"/>
      <c r="FM827" s="226"/>
      <c r="FN827" s="226"/>
      <c r="FO827" s="226"/>
      <c r="FP827" s="226"/>
      <c r="FQ827" s="226"/>
      <c r="FR827" s="226"/>
      <c r="FS827" s="226"/>
      <c r="FT827" s="226"/>
      <c r="FU827" s="226"/>
      <c r="FV827" s="226"/>
      <c r="FW827" s="226"/>
      <c r="FX827" s="226"/>
      <c r="FY827" s="226"/>
      <c r="FZ827" s="226"/>
      <c r="GA827" s="226"/>
      <c r="GB827" s="226"/>
      <c r="GC827" s="226"/>
      <c r="GD827" s="226"/>
      <c r="GE827" s="226"/>
      <c r="GF827" s="226"/>
      <c r="GG827" s="226"/>
      <c r="GH827" s="226"/>
      <c r="GI827" s="226"/>
      <c r="GJ827" s="226"/>
      <c r="GK827" s="226"/>
      <c r="GL827" s="226"/>
      <c r="GM827" s="226"/>
      <c r="GN827" s="226"/>
    </row>
    <row r="828">
      <c r="A828" s="212"/>
      <c r="B828" s="21"/>
      <c r="C828" s="21"/>
      <c r="D828" s="213"/>
      <c r="E828" s="214"/>
      <c r="F828" s="215"/>
      <c r="G828" s="21"/>
      <c r="H828" s="225"/>
      <c r="I828" s="110"/>
      <c r="J828" s="110"/>
      <c r="K828" s="110"/>
      <c r="L828" s="110"/>
      <c r="M828" s="110"/>
      <c r="N828" s="110"/>
      <c r="O828" s="110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  <c r="AA828" s="226"/>
      <c r="AB828" s="226"/>
      <c r="AC828" s="226"/>
      <c r="AD828" s="226"/>
      <c r="AE828" s="226"/>
      <c r="AF828" s="226"/>
      <c r="AG828" s="226"/>
      <c r="AH828" s="226"/>
      <c r="AI828" s="226"/>
      <c r="AJ828" s="226"/>
      <c r="AK828" s="226"/>
      <c r="AL828" s="226"/>
      <c r="AM828" s="226"/>
      <c r="AN828" s="226"/>
      <c r="AO828" s="226"/>
      <c r="AP828" s="226"/>
      <c r="AQ828" s="226"/>
      <c r="AR828" s="226"/>
      <c r="AS828" s="226"/>
      <c r="AT828" s="226"/>
      <c r="AU828" s="226"/>
      <c r="AV828" s="226"/>
      <c r="AW828" s="226"/>
      <c r="AX828" s="226"/>
      <c r="AY828" s="226"/>
      <c r="AZ828" s="226"/>
      <c r="BA828" s="226"/>
      <c r="BB828" s="226"/>
      <c r="BC828" s="226"/>
      <c r="BD828" s="226"/>
      <c r="BE828" s="226"/>
      <c r="BF828" s="226"/>
      <c r="BG828" s="226"/>
      <c r="BH828" s="226"/>
      <c r="BI828" s="226"/>
      <c r="BJ828" s="226"/>
      <c r="BK828" s="226"/>
      <c r="BL828" s="226"/>
      <c r="BM828" s="226"/>
      <c r="BN828" s="226"/>
      <c r="BO828" s="226"/>
      <c r="BP828" s="226"/>
      <c r="BQ828" s="226"/>
      <c r="BR828" s="226"/>
      <c r="BS828" s="226"/>
      <c r="BT828" s="226"/>
      <c r="BU828" s="226"/>
      <c r="BV828" s="226"/>
      <c r="BW828" s="226"/>
      <c r="BX828" s="226"/>
      <c r="BY828" s="226"/>
      <c r="BZ828" s="226"/>
      <c r="CA828" s="226"/>
      <c r="CB828" s="226"/>
      <c r="CC828" s="226"/>
      <c r="CD828" s="226"/>
      <c r="CE828" s="226"/>
      <c r="CF828" s="226"/>
      <c r="CG828" s="226"/>
      <c r="CH828" s="226"/>
      <c r="CI828" s="226"/>
      <c r="CJ828" s="226"/>
      <c r="CK828" s="226"/>
      <c r="CL828" s="226"/>
      <c r="CM828" s="226"/>
      <c r="CN828" s="226"/>
      <c r="CO828" s="226"/>
      <c r="CP828" s="226"/>
      <c r="CQ828" s="226"/>
      <c r="CR828" s="226"/>
      <c r="CS828" s="226"/>
      <c r="CT828" s="226"/>
      <c r="CU828" s="226"/>
      <c r="CV828" s="226"/>
      <c r="CW828" s="226"/>
      <c r="CX828" s="226"/>
      <c r="CY828" s="226"/>
      <c r="CZ828" s="226"/>
      <c r="DA828" s="226"/>
      <c r="DB828" s="226"/>
      <c r="DC828" s="226"/>
      <c r="DD828" s="226"/>
      <c r="DE828" s="226"/>
      <c r="DF828" s="226"/>
      <c r="DG828" s="226"/>
      <c r="DH828" s="226"/>
      <c r="DI828" s="226"/>
      <c r="DJ828" s="226"/>
      <c r="DK828" s="226"/>
      <c r="DL828" s="226"/>
      <c r="DM828" s="226"/>
      <c r="DN828" s="226"/>
      <c r="DO828" s="226"/>
      <c r="DP828" s="226"/>
      <c r="DQ828" s="226"/>
      <c r="DR828" s="226"/>
      <c r="DS828" s="226"/>
      <c r="DT828" s="226"/>
      <c r="DU828" s="226"/>
      <c r="DV828" s="226"/>
      <c r="DW828" s="226"/>
      <c r="DX828" s="226"/>
      <c r="DY828" s="226"/>
      <c r="DZ828" s="226"/>
      <c r="EA828" s="226"/>
      <c r="EB828" s="226"/>
      <c r="EC828" s="226"/>
      <c r="ED828" s="226"/>
      <c r="EE828" s="226"/>
      <c r="EF828" s="226"/>
      <c r="EG828" s="226"/>
      <c r="EH828" s="226"/>
      <c r="EI828" s="226"/>
      <c r="EJ828" s="226"/>
      <c r="EK828" s="226"/>
      <c r="EL828" s="226"/>
      <c r="EM828" s="226"/>
      <c r="EN828" s="226"/>
      <c r="EO828" s="226"/>
      <c r="EP828" s="226"/>
      <c r="EQ828" s="226"/>
      <c r="ER828" s="226"/>
      <c r="ES828" s="226"/>
      <c r="ET828" s="226"/>
      <c r="EU828" s="226"/>
      <c r="EV828" s="226"/>
      <c r="EW828" s="226"/>
      <c r="EX828" s="226"/>
      <c r="EY828" s="226"/>
      <c r="EZ828" s="226"/>
      <c r="FA828" s="226"/>
      <c r="FB828" s="226"/>
      <c r="FC828" s="226"/>
      <c r="FD828" s="226"/>
      <c r="FE828" s="226"/>
      <c r="FF828" s="226"/>
      <c r="FG828" s="226"/>
      <c r="FH828" s="226"/>
      <c r="FI828" s="226"/>
      <c r="FJ828" s="226"/>
      <c r="FK828" s="226"/>
      <c r="FL828" s="226"/>
      <c r="FM828" s="226"/>
      <c r="FN828" s="226"/>
      <c r="FO828" s="226"/>
      <c r="FP828" s="226"/>
      <c r="FQ828" s="226"/>
      <c r="FR828" s="226"/>
      <c r="FS828" s="226"/>
      <c r="FT828" s="226"/>
      <c r="FU828" s="226"/>
      <c r="FV828" s="226"/>
      <c r="FW828" s="226"/>
      <c r="FX828" s="226"/>
      <c r="FY828" s="226"/>
      <c r="FZ828" s="226"/>
      <c r="GA828" s="226"/>
      <c r="GB828" s="226"/>
      <c r="GC828" s="226"/>
      <c r="GD828" s="226"/>
      <c r="GE828" s="226"/>
      <c r="GF828" s="226"/>
      <c r="GG828" s="226"/>
      <c r="GH828" s="226"/>
      <c r="GI828" s="226"/>
      <c r="GJ828" s="226"/>
      <c r="GK828" s="226"/>
      <c r="GL828" s="226"/>
      <c r="GM828" s="226"/>
      <c r="GN828" s="226"/>
    </row>
    <row r="829">
      <c r="A829" s="212"/>
      <c r="B829" s="21"/>
      <c r="C829" s="21"/>
      <c r="D829" s="213"/>
      <c r="E829" s="214"/>
      <c r="F829" s="215"/>
      <c r="G829" s="21"/>
      <c r="H829" s="225"/>
      <c r="I829" s="110"/>
      <c r="J829" s="110"/>
      <c r="K829" s="110"/>
      <c r="L829" s="110"/>
      <c r="M829" s="110"/>
      <c r="N829" s="110"/>
      <c r="O829" s="110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  <c r="AA829" s="226"/>
      <c r="AB829" s="226"/>
      <c r="AC829" s="226"/>
      <c r="AD829" s="226"/>
      <c r="AE829" s="226"/>
      <c r="AF829" s="226"/>
      <c r="AG829" s="226"/>
      <c r="AH829" s="226"/>
      <c r="AI829" s="226"/>
      <c r="AJ829" s="226"/>
      <c r="AK829" s="226"/>
      <c r="AL829" s="226"/>
      <c r="AM829" s="226"/>
      <c r="AN829" s="226"/>
      <c r="AO829" s="226"/>
      <c r="AP829" s="226"/>
      <c r="AQ829" s="226"/>
      <c r="AR829" s="226"/>
      <c r="AS829" s="226"/>
      <c r="AT829" s="226"/>
      <c r="AU829" s="226"/>
      <c r="AV829" s="226"/>
      <c r="AW829" s="226"/>
      <c r="AX829" s="226"/>
      <c r="AY829" s="226"/>
      <c r="AZ829" s="226"/>
      <c r="BA829" s="226"/>
      <c r="BB829" s="226"/>
      <c r="BC829" s="226"/>
      <c r="BD829" s="226"/>
      <c r="BE829" s="226"/>
      <c r="BF829" s="226"/>
      <c r="BG829" s="226"/>
      <c r="BH829" s="226"/>
      <c r="BI829" s="226"/>
      <c r="BJ829" s="226"/>
      <c r="BK829" s="226"/>
      <c r="BL829" s="226"/>
      <c r="BM829" s="226"/>
      <c r="BN829" s="226"/>
      <c r="BO829" s="226"/>
      <c r="BP829" s="226"/>
      <c r="BQ829" s="226"/>
      <c r="BR829" s="226"/>
      <c r="BS829" s="226"/>
      <c r="BT829" s="226"/>
      <c r="BU829" s="226"/>
      <c r="BV829" s="226"/>
      <c r="BW829" s="226"/>
      <c r="BX829" s="226"/>
      <c r="BY829" s="226"/>
      <c r="BZ829" s="226"/>
      <c r="CA829" s="226"/>
      <c r="CB829" s="226"/>
      <c r="CC829" s="226"/>
      <c r="CD829" s="226"/>
      <c r="CE829" s="226"/>
      <c r="CF829" s="226"/>
      <c r="CG829" s="226"/>
      <c r="CH829" s="226"/>
      <c r="CI829" s="226"/>
      <c r="CJ829" s="226"/>
      <c r="CK829" s="226"/>
      <c r="CL829" s="226"/>
      <c r="CM829" s="226"/>
      <c r="CN829" s="226"/>
      <c r="CO829" s="226"/>
      <c r="CP829" s="226"/>
      <c r="CQ829" s="226"/>
      <c r="CR829" s="226"/>
      <c r="CS829" s="226"/>
      <c r="CT829" s="226"/>
      <c r="CU829" s="226"/>
      <c r="CV829" s="226"/>
      <c r="CW829" s="226"/>
      <c r="CX829" s="226"/>
      <c r="CY829" s="226"/>
      <c r="CZ829" s="226"/>
      <c r="DA829" s="226"/>
      <c r="DB829" s="226"/>
      <c r="DC829" s="226"/>
      <c r="DD829" s="226"/>
      <c r="DE829" s="226"/>
      <c r="DF829" s="226"/>
      <c r="DG829" s="226"/>
      <c r="DH829" s="226"/>
      <c r="DI829" s="226"/>
      <c r="DJ829" s="226"/>
      <c r="DK829" s="226"/>
      <c r="DL829" s="226"/>
      <c r="DM829" s="226"/>
      <c r="DN829" s="226"/>
      <c r="DO829" s="226"/>
      <c r="DP829" s="226"/>
      <c r="DQ829" s="226"/>
      <c r="DR829" s="226"/>
      <c r="DS829" s="226"/>
      <c r="DT829" s="226"/>
      <c r="DU829" s="226"/>
      <c r="DV829" s="226"/>
      <c r="DW829" s="226"/>
      <c r="DX829" s="226"/>
      <c r="DY829" s="226"/>
      <c r="DZ829" s="226"/>
      <c r="EA829" s="226"/>
      <c r="EB829" s="226"/>
      <c r="EC829" s="226"/>
      <c r="ED829" s="226"/>
      <c r="EE829" s="226"/>
      <c r="EF829" s="226"/>
      <c r="EG829" s="226"/>
      <c r="EH829" s="226"/>
      <c r="EI829" s="226"/>
      <c r="EJ829" s="226"/>
      <c r="EK829" s="226"/>
      <c r="EL829" s="226"/>
      <c r="EM829" s="226"/>
      <c r="EN829" s="226"/>
      <c r="EO829" s="226"/>
      <c r="EP829" s="226"/>
      <c r="EQ829" s="226"/>
      <c r="ER829" s="226"/>
      <c r="ES829" s="226"/>
      <c r="ET829" s="226"/>
      <c r="EU829" s="226"/>
      <c r="EV829" s="226"/>
      <c r="EW829" s="226"/>
      <c r="EX829" s="226"/>
      <c r="EY829" s="226"/>
      <c r="EZ829" s="226"/>
      <c r="FA829" s="226"/>
      <c r="FB829" s="226"/>
      <c r="FC829" s="226"/>
      <c r="FD829" s="226"/>
      <c r="FE829" s="226"/>
      <c r="FF829" s="226"/>
      <c r="FG829" s="226"/>
      <c r="FH829" s="226"/>
      <c r="FI829" s="226"/>
      <c r="FJ829" s="226"/>
      <c r="FK829" s="226"/>
      <c r="FL829" s="226"/>
      <c r="FM829" s="226"/>
      <c r="FN829" s="226"/>
      <c r="FO829" s="226"/>
      <c r="FP829" s="226"/>
      <c r="FQ829" s="226"/>
      <c r="FR829" s="226"/>
      <c r="FS829" s="226"/>
      <c r="FT829" s="226"/>
      <c r="FU829" s="226"/>
      <c r="FV829" s="226"/>
      <c r="FW829" s="226"/>
      <c r="FX829" s="226"/>
      <c r="FY829" s="226"/>
      <c r="FZ829" s="226"/>
      <c r="GA829" s="226"/>
      <c r="GB829" s="226"/>
      <c r="GC829" s="226"/>
      <c r="GD829" s="226"/>
      <c r="GE829" s="226"/>
      <c r="GF829" s="226"/>
      <c r="GG829" s="226"/>
      <c r="GH829" s="226"/>
      <c r="GI829" s="226"/>
      <c r="GJ829" s="226"/>
      <c r="GK829" s="226"/>
      <c r="GL829" s="226"/>
      <c r="GM829" s="226"/>
      <c r="GN829" s="226"/>
    </row>
    <row r="830">
      <c r="A830" s="212"/>
      <c r="B830" s="21"/>
      <c r="C830" s="21"/>
      <c r="D830" s="213"/>
      <c r="E830" s="214"/>
      <c r="F830" s="215"/>
      <c r="G830" s="21"/>
      <c r="H830" s="225"/>
      <c r="I830" s="110"/>
      <c r="J830" s="110"/>
      <c r="K830" s="110"/>
      <c r="L830" s="110"/>
      <c r="M830" s="110"/>
      <c r="N830" s="110"/>
      <c r="O830" s="110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  <c r="AA830" s="226"/>
      <c r="AB830" s="226"/>
      <c r="AC830" s="226"/>
      <c r="AD830" s="226"/>
      <c r="AE830" s="226"/>
      <c r="AF830" s="226"/>
      <c r="AG830" s="226"/>
      <c r="AH830" s="226"/>
      <c r="AI830" s="226"/>
      <c r="AJ830" s="226"/>
      <c r="AK830" s="226"/>
      <c r="AL830" s="226"/>
      <c r="AM830" s="226"/>
      <c r="AN830" s="226"/>
      <c r="AO830" s="226"/>
      <c r="AP830" s="226"/>
      <c r="AQ830" s="226"/>
      <c r="AR830" s="226"/>
      <c r="AS830" s="226"/>
      <c r="AT830" s="226"/>
      <c r="AU830" s="226"/>
      <c r="AV830" s="226"/>
      <c r="AW830" s="226"/>
      <c r="AX830" s="226"/>
      <c r="AY830" s="226"/>
      <c r="AZ830" s="226"/>
      <c r="BA830" s="226"/>
      <c r="BB830" s="226"/>
      <c r="BC830" s="226"/>
      <c r="BD830" s="226"/>
      <c r="BE830" s="226"/>
      <c r="BF830" s="226"/>
      <c r="BG830" s="226"/>
      <c r="BH830" s="226"/>
      <c r="BI830" s="226"/>
      <c r="BJ830" s="226"/>
      <c r="BK830" s="226"/>
      <c r="BL830" s="226"/>
      <c r="BM830" s="226"/>
      <c r="BN830" s="226"/>
      <c r="BO830" s="226"/>
      <c r="BP830" s="226"/>
      <c r="BQ830" s="226"/>
      <c r="BR830" s="226"/>
      <c r="BS830" s="226"/>
      <c r="BT830" s="226"/>
      <c r="BU830" s="226"/>
      <c r="BV830" s="226"/>
      <c r="BW830" s="226"/>
      <c r="BX830" s="226"/>
      <c r="BY830" s="226"/>
      <c r="BZ830" s="226"/>
      <c r="CA830" s="226"/>
      <c r="CB830" s="226"/>
      <c r="CC830" s="226"/>
      <c r="CD830" s="226"/>
      <c r="CE830" s="226"/>
      <c r="CF830" s="226"/>
      <c r="CG830" s="226"/>
      <c r="CH830" s="226"/>
      <c r="CI830" s="226"/>
      <c r="CJ830" s="226"/>
      <c r="CK830" s="226"/>
      <c r="CL830" s="226"/>
      <c r="CM830" s="226"/>
      <c r="CN830" s="226"/>
      <c r="CO830" s="226"/>
      <c r="CP830" s="226"/>
      <c r="CQ830" s="226"/>
      <c r="CR830" s="226"/>
      <c r="CS830" s="226"/>
      <c r="CT830" s="226"/>
      <c r="CU830" s="226"/>
      <c r="CV830" s="226"/>
      <c r="CW830" s="226"/>
      <c r="CX830" s="226"/>
      <c r="CY830" s="226"/>
      <c r="CZ830" s="226"/>
      <c r="DA830" s="226"/>
      <c r="DB830" s="226"/>
      <c r="DC830" s="226"/>
      <c r="DD830" s="226"/>
      <c r="DE830" s="226"/>
      <c r="DF830" s="226"/>
      <c r="DG830" s="226"/>
      <c r="DH830" s="226"/>
      <c r="DI830" s="226"/>
      <c r="DJ830" s="226"/>
      <c r="DK830" s="226"/>
      <c r="DL830" s="226"/>
      <c r="DM830" s="226"/>
      <c r="DN830" s="226"/>
      <c r="DO830" s="226"/>
      <c r="DP830" s="226"/>
      <c r="DQ830" s="226"/>
      <c r="DR830" s="226"/>
      <c r="DS830" s="226"/>
      <c r="DT830" s="226"/>
      <c r="DU830" s="226"/>
      <c r="DV830" s="226"/>
      <c r="DW830" s="226"/>
      <c r="DX830" s="226"/>
      <c r="DY830" s="226"/>
      <c r="DZ830" s="226"/>
      <c r="EA830" s="226"/>
      <c r="EB830" s="226"/>
      <c r="EC830" s="226"/>
      <c r="ED830" s="226"/>
      <c r="EE830" s="226"/>
      <c r="EF830" s="226"/>
      <c r="EG830" s="226"/>
      <c r="EH830" s="226"/>
      <c r="EI830" s="226"/>
      <c r="EJ830" s="226"/>
      <c r="EK830" s="226"/>
      <c r="EL830" s="226"/>
      <c r="EM830" s="226"/>
      <c r="EN830" s="226"/>
      <c r="EO830" s="226"/>
      <c r="EP830" s="226"/>
      <c r="EQ830" s="226"/>
      <c r="ER830" s="226"/>
      <c r="ES830" s="226"/>
      <c r="ET830" s="226"/>
      <c r="EU830" s="226"/>
      <c r="EV830" s="226"/>
      <c r="EW830" s="226"/>
      <c r="EX830" s="226"/>
      <c r="EY830" s="226"/>
      <c r="EZ830" s="226"/>
      <c r="FA830" s="226"/>
      <c r="FB830" s="226"/>
      <c r="FC830" s="226"/>
      <c r="FD830" s="226"/>
      <c r="FE830" s="226"/>
      <c r="FF830" s="226"/>
      <c r="FG830" s="226"/>
      <c r="FH830" s="226"/>
      <c r="FI830" s="226"/>
      <c r="FJ830" s="226"/>
      <c r="FK830" s="226"/>
      <c r="FL830" s="226"/>
      <c r="FM830" s="226"/>
      <c r="FN830" s="226"/>
      <c r="FO830" s="226"/>
      <c r="FP830" s="226"/>
      <c r="FQ830" s="226"/>
      <c r="FR830" s="226"/>
      <c r="FS830" s="226"/>
      <c r="FT830" s="226"/>
      <c r="FU830" s="226"/>
      <c r="FV830" s="226"/>
      <c r="FW830" s="226"/>
      <c r="FX830" s="226"/>
      <c r="FY830" s="226"/>
      <c r="FZ830" s="226"/>
      <c r="GA830" s="226"/>
      <c r="GB830" s="226"/>
      <c r="GC830" s="226"/>
      <c r="GD830" s="226"/>
      <c r="GE830" s="226"/>
      <c r="GF830" s="226"/>
      <c r="GG830" s="226"/>
      <c r="GH830" s="226"/>
      <c r="GI830" s="226"/>
      <c r="GJ830" s="226"/>
      <c r="GK830" s="226"/>
      <c r="GL830" s="226"/>
      <c r="GM830" s="226"/>
      <c r="GN830" s="226"/>
    </row>
    <row r="831">
      <c r="A831" s="212"/>
      <c r="B831" s="21"/>
      <c r="C831" s="21"/>
      <c r="D831" s="213"/>
      <c r="E831" s="214"/>
      <c r="F831" s="215"/>
      <c r="G831" s="21"/>
      <c r="H831" s="225"/>
      <c r="I831" s="110"/>
      <c r="J831" s="110"/>
      <c r="K831" s="110"/>
      <c r="L831" s="110"/>
      <c r="M831" s="110"/>
      <c r="N831" s="110"/>
      <c r="O831" s="110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  <c r="AA831" s="226"/>
      <c r="AB831" s="226"/>
      <c r="AC831" s="226"/>
      <c r="AD831" s="226"/>
      <c r="AE831" s="226"/>
      <c r="AF831" s="226"/>
      <c r="AG831" s="226"/>
      <c r="AH831" s="226"/>
      <c r="AI831" s="226"/>
      <c r="AJ831" s="226"/>
      <c r="AK831" s="226"/>
      <c r="AL831" s="226"/>
      <c r="AM831" s="226"/>
      <c r="AN831" s="226"/>
      <c r="AO831" s="226"/>
      <c r="AP831" s="226"/>
      <c r="AQ831" s="226"/>
      <c r="AR831" s="226"/>
      <c r="AS831" s="226"/>
      <c r="AT831" s="226"/>
      <c r="AU831" s="226"/>
      <c r="AV831" s="226"/>
      <c r="AW831" s="226"/>
      <c r="AX831" s="226"/>
      <c r="AY831" s="226"/>
      <c r="AZ831" s="226"/>
      <c r="BA831" s="226"/>
      <c r="BB831" s="226"/>
      <c r="BC831" s="226"/>
      <c r="BD831" s="226"/>
      <c r="BE831" s="226"/>
      <c r="BF831" s="226"/>
      <c r="BG831" s="226"/>
      <c r="BH831" s="226"/>
      <c r="BI831" s="226"/>
      <c r="BJ831" s="226"/>
      <c r="BK831" s="226"/>
      <c r="BL831" s="226"/>
      <c r="BM831" s="226"/>
      <c r="BN831" s="226"/>
      <c r="BO831" s="226"/>
      <c r="BP831" s="226"/>
      <c r="BQ831" s="226"/>
      <c r="BR831" s="226"/>
      <c r="BS831" s="226"/>
      <c r="BT831" s="226"/>
      <c r="BU831" s="226"/>
      <c r="BV831" s="226"/>
      <c r="BW831" s="226"/>
      <c r="BX831" s="226"/>
      <c r="BY831" s="226"/>
      <c r="BZ831" s="226"/>
      <c r="CA831" s="226"/>
      <c r="CB831" s="226"/>
      <c r="CC831" s="226"/>
      <c r="CD831" s="226"/>
      <c r="CE831" s="226"/>
      <c r="CF831" s="226"/>
      <c r="CG831" s="226"/>
      <c r="CH831" s="226"/>
      <c r="CI831" s="226"/>
      <c r="CJ831" s="226"/>
      <c r="CK831" s="226"/>
      <c r="CL831" s="226"/>
      <c r="CM831" s="226"/>
      <c r="CN831" s="226"/>
      <c r="CO831" s="226"/>
      <c r="CP831" s="226"/>
      <c r="CQ831" s="226"/>
      <c r="CR831" s="226"/>
      <c r="CS831" s="226"/>
      <c r="CT831" s="226"/>
      <c r="CU831" s="226"/>
      <c r="CV831" s="226"/>
      <c r="CW831" s="226"/>
      <c r="CX831" s="226"/>
      <c r="CY831" s="226"/>
      <c r="CZ831" s="226"/>
      <c r="DA831" s="226"/>
      <c r="DB831" s="226"/>
      <c r="DC831" s="226"/>
      <c r="DD831" s="226"/>
      <c r="DE831" s="226"/>
      <c r="DF831" s="226"/>
      <c r="DG831" s="226"/>
      <c r="DH831" s="226"/>
      <c r="DI831" s="226"/>
      <c r="DJ831" s="226"/>
      <c r="DK831" s="226"/>
      <c r="DL831" s="226"/>
      <c r="DM831" s="226"/>
      <c r="DN831" s="226"/>
      <c r="DO831" s="226"/>
      <c r="DP831" s="226"/>
      <c r="DQ831" s="226"/>
      <c r="DR831" s="226"/>
      <c r="DS831" s="226"/>
      <c r="DT831" s="226"/>
      <c r="DU831" s="226"/>
      <c r="DV831" s="226"/>
      <c r="DW831" s="226"/>
      <c r="DX831" s="226"/>
      <c r="DY831" s="226"/>
      <c r="DZ831" s="226"/>
      <c r="EA831" s="226"/>
      <c r="EB831" s="226"/>
      <c r="EC831" s="226"/>
      <c r="ED831" s="226"/>
      <c r="EE831" s="226"/>
      <c r="EF831" s="226"/>
      <c r="EG831" s="226"/>
      <c r="EH831" s="226"/>
      <c r="EI831" s="226"/>
      <c r="EJ831" s="226"/>
      <c r="EK831" s="226"/>
      <c r="EL831" s="226"/>
      <c r="EM831" s="226"/>
      <c r="EN831" s="226"/>
      <c r="EO831" s="226"/>
      <c r="EP831" s="226"/>
      <c r="EQ831" s="226"/>
      <c r="ER831" s="226"/>
      <c r="ES831" s="226"/>
      <c r="ET831" s="226"/>
      <c r="EU831" s="226"/>
      <c r="EV831" s="226"/>
      <c r="EW831" s="226"/>
      <c r="EX831" s="226"/>
      <c r="EY831" s="226"/>
      <c r="EZ831" s="226"/>
      <c r="FA831" s="226"/>
      <c r="FB831" s="226"/>
      <c r="FC831" s="226"/>
      <c r="FD831" s="226"/>
      <c r="FE831" s="226"/>
      <c r="FF831" s="226"/>
      <c r="FG831" s="226"/>
      <c r="FH831" s="226"/>
      <c r="FI831" s="226"/>
      <c r="FJ831" s="226"/>
      <c r="FK831" s="226"/>
      <c r="FL831" s="226"/>
      <c r="FM831" s="226"/>
      <c r="FN831" s="226"/>
      <c r="FO831" s="226"/>
      <c r="FP831" s="226"/>
      <c r="FQ831" s="226"/>
      <c r="FR831" s="226"/>
      <c r="FS831" s="226"/>
      <c r="FT831" s="226"/>
      <c r="FU831" s="226"/>
      <c r="FV831" s="226"/>
      <c r="FW831" s="226"/>
      <c r="FX831" s="226"/>
      <c r="FY831" s="226"/>
      <c r="FZ831" s="226"/>
      <c r="GA831" s="226"/>
      <c r="GB831" s="226"/>
      <c r="GC831" s="226"/>
      <c r="GD831" s="226"/>
      <c r="GE831" s="226"/>
      <c r="GF831" s="226"/>
      <c r="GG831" s="226"/>
      <c r="GH831" s="226"/>
      <c r="GI831" s="226"/>
      <c r="GJ831" s="226"/>
      <c r="GK831" s="226"/>
      <c r="GL831" s="226"/>
      <c r="GM831" s="226"/>
      <c r="GN831" s="226"/>
    </row>
    <row r="832">
      <c r="A832" s="212"/>
      <c r="B832" s="21"/>
      <c r="C832" s="21"/>
      <c r="D832" s="213"/>
      <c r="E832" s="214"/>
      <c r="F832" s="215"/>
      <c r="G832" s="21"/>
      <c r="H832" s="225"/>
      <c r="I832" s="110"/>
      <c r="J832" s="110"/>
      <c r="K832" s="110"/>
      <c r="L832" s="110"/>
      <c r="M832" s="110"/>
      <c r="N832" s="110"/>
      <c r="O832" s="110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  <c r="AA832" s="226"/>
      <c r="AB832" s="226"/>
      <c r="AC832" s="226"/>
      <c r="AD832" s="226"/>
      <c r="AE832" s="226"/>
      <c r="AF832" s="226"/>
      <c r="AG832" s="226"/>
      <c r="AH832" s="226"/>
      <c r="AI832" s="226"/>
      <c r="AJ832" s="226"/>
      <c r="AK832" s="226"/>
      <c r="AL832" s="226"/>
      <c r="AM832" s="226"/>
      <c r="AN832" s="226"/>
      <c r="AO832" s="226"/>
      <c r="AP832" s="226"/>
      <c r="AQ832" s="226"/>
      <c r="AR832" s="226"/>
      <c r="AS832" s="226"/>
      <c r="AT832" s="226"/>
      <c r="AU832" s="226"/>
      <c r="AV832" s="226"/>
      <c r="AW832" s="226"/>
      <c r="AX832" s="226"/>
      <c r="AY832" s="226"/>
      <c r="AZ832" s="226"/>
      <c r="BA832" s="226"/>
      <c r="BB832" s="226"/>
      <c r="BC832" s="226"/>
      <c r="BD832" s="226"/>
      <c r="BE832" s="226"/>
      <c r="BF832" s="226"/>
      <c r="BG832" s="226"/>
      <c r="BH832" s="226"/>
      <c r="BI832" s="226"/>
      <c r="BJ832" s="226"/>
      <c r="BK832" s="226"/>
      <c r="BL832" s="226"/>
      <c r="BM832" s="226"/>
      <c r="BN832" s="226"/>
      <c r="BO832" s="226"/>
      <c r="BP832" s="226"/>
      <c r="BQ832" s="226"/>
      <c r="BR832" s="226"/>
      <c r="BS832" s="226"/>
      <c r="BT832" s="226"/>
      <c r="BU832" s="226"/>
      <c r="BV832" s="226"/>
      <c r="BW832" s="226"/>
      <c r="BX832" s="226"/>
      <c r="BY832" s="226"/>
      <c r="BZ832" s="226"/>
      <c r="CA832" s="226"/>
      <c r="CB832" s="226"/>
      <c r="CC832" s="226"/>
      <c r="CD832" s="226"/>
      <c r="CE832" s="226"/>
      <c r="CF832" s="226"/>
      <c r="CG832" s="226"/>
      <c r="CH832" s="226"/>
      <c r="CI832" s="226"/>
      <c r="CJ832" s="226"/>
      <c r="CK832" s="226"/>
      <c r="CL832" s="226"/>
      <c r="CM832" s="226"/>
      <c r="CN832" s="226"/>
      <c r="CO832" s="226"/>
      <c r="CP832" s="226"/>
      <c r="CQ832" s="226"/>
      <c r="CR832" s="226"/>
      <c r="CS832" s="226"/>
      <c r="CT832" s="226"/>
      <c r="CU832" s="226"/>
      <c r="CV832" s="226"/>
      <c r="CW832" s="226"/>
      <c r="CX832" s="226"/>
      <c r="CY832" s="226"/>
      <c r="CZ832" s="226"/>
      <c r="DA832" s="226"/>
      <c r="DB832" s="226"/>
      <c r="DC832" s="226"/>
      <c r="DD832" s="226"/>
      <c r="DE832" s="226"/>
      <c r="DF832" s="226"/>
      <c r="DG832" s="226"/>
      <c r="DH832" s="226"/>
      <c r="DI832" s="226"/>
      <c r="DJ832" s="226"/>
      <c r="DK832" s="226"/>
      <c r="DL832" s="226"/>
      <c r="DM832" s="226"/>
      <c r="DN832" s="226"/>
      <c r="DO832" s="226"/>
      <c r="DP832" s="226"/>
      <c r="DQ832" s="226"/>
      <c r="DR832" s="226"/>
      <c r="DS832" s="226"/>
      <c r="DT832" s="226"/>
      <c r="DU832" s="226"/>
      <c r="DV832" s="226"/>
      <c r="DW832" s="226"/>
      <c r="DX832" s="226"/>
      <c r="DY832" s="226"/>
      <c r="DZ832" s="226"/>
      <c r="EA832" s="226"/>
      <c r="EB832" s="226"/>
      <c r="EC832" s="226"/>
      <c r="ED832" s="226"/>
      <c r="EE832" s="226"/>
      <c r="EF832" s="226"/>
      <c r="EG832" s="226"/>
      <c r="EH832" s="226"/>
      <c r="EI832" s="226"/>
      <c r="EJ832" s="226"/>
      <c r="EK832" s="226"/>
      <c r="EL832" s="226"/>
      <c r="EM832" s="226"/>
      <c r="EN832" s="226"/>
      <c r="EO832" s="226"/>
      <c r="EP832" s="226"/>
      <c r="EQ832" s="226"/>
      <c r="ER832" s="226"/>
      <c r="ES832" s="226"/>
      <c r="ET832" s="226"/>
      <c r="EU832" s="226"/>
      <c r="EV832" s="226"/>
      <c r="EW832" s="226"/>
      <c r="EX832" s="226"/>
      <c r="EY832" s="226"/>
      <c r="EZ832" s="226"/>
      <c r="FA832" s="226"/>
      <c r="FB832" s="226"/>
      <c r="FC832" s="226"/>
      <c r="FD832" s="226"/>
      <c r="FE832" s="226"/>
      <c r="FF832" s="226"/>
      <c r="FG832" s="226"/>
      <c r="FH832" s="226"/>
      <c r="FI832" s="226"/>
      <c r="FJ832" s="226"/>
      <c r="FK832" s="226"/>
      <c r="FL832" s="226"/>
      <c r="FM832" s="226"/>
      <c r="FN832" s="226"/>
      <c r="FO832" s="226"/>
      <c r="FP832" s="226"/>
      <c r="FQ832" s="226"/>
      <c r="FR832" s="226"/>
      <c r="FS832" s="226"/>
      <c r="FT832" s="226"/>
      <c r="FU832" s="226"/>
      <c r="FV832" s="226"/>
      <c r="FW832" s="226"/>
      <c r="FX832" s="226"/>
      <c r="FY832" s="226"/>
      <c r="FZ832" s="226"/>
      <c r="GA832" s="226"/>
      <c r="GB832" s="226"/>
      <c r="GC832" s="226"/>
      <c r="GD832" s="226"/>
      <c r="GE832" s="226"/>
      <c r="GF832" s="226"/>
      <c r="GG832" s="226"/>
      <c r="GH832" s="226"/>
      <c r="GI832" s="226"/>
      <c r="GJ832" s="226"/>
      <c r="GK832" s="226"/>
      <c r="GL832" s="226"/>
      <c r="GM832" s="226"/>
      <c r="GN832" s="226"/>
    </row>
    <row r="833" ht="15.75" customHeight="1">
      <c r="A833" s="212"/>
      <c r="B833" s="21"/>
      <c r="C833" s="21"/>
      <c r="D833" s="213"/>
      <c r="E833" s="214"/>
      <c r="F833" s="215"/>
      <c r="G833" s="21"/>
      <c r="H833" s="225"/>
      <c r="I833" s="110"/>
      <c r="J833" s="110"/>
      <c r="K833" s="110"/>
      <c r="L833" s="110"/>
      <c r="M833" s="110"/>
      <c r="N833" s="110"/>
      <c r="O833" s="110"/>
      <c r="P833" s="110"/>
      <c r="Q833" s="110"/>
      <c r="R833" s="21"/>
      <c r="S833" s="110"/>
      <c r="T833" s="110"/>
      <c r="U833" s="110"/>
      <c r="V833" s="110"/>
      <c r="W833" s="110"/>
      <c r="X833" s="110"/>
      <c r="Y833" s="110"/>
      <c r="Z833" s="110"/>
      <c r="AA833" s="227"/>
      <c r="AB833" s="227"/>
      <c r="AC833" s="227"/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7"/>
      <c r="AR833" s="227"/>
      <c r="AS833" s="227"/>
      <c r="AT833" s="227"/>
      <c r="AU833" s="227"/>
      <c r="AV833" s="227"/>
      <c r="AW833" s="227"/>
      <c r="AX833" s="227"/>
      <c r="AY833" s="227"/>
      <c r="AZ833" s="227"/>
      <c r="BA833" s="227"/>
      <c r="BB833" s="227"/>
      <c r="BC833" s="227"/>
      <c r="BD833" s="227"/>
      <c r="BE833" s="227"/>
      <c r="BF833" s="227"/>
      <c r="BG833" s="227"/>
      <c r="BH833" s="227"/>
      <c r="BI833" s="227"/>
      <c r="BJ833" s="227"/>
      <c r="BK833" s="227"/>
      <c r="BL833" s="227"/>
      <c r="BM833" s="227"/>
      <c r="BN833" s="227"/>
      <c r="BO833" s="227"/>
      <c r="BP833" s="227"/>
      <c r="BQ833" s="227"/>
      <c r="BR833" s="227"/>
      <c r="BS833" s="227"/>
      <c r="BT833" s="227"/>
      <c r="BU833" s="227"/>
      <c r="BV833" s="227"/>
      <c r="BW833" s="227"/>
      <c r="BX833" s="227"/>
      <c r="BY833" s="227"/>
      <c r="BZ833" s="227"/>
      <c r="CA833" s="227"/>
      <c r="CB833" s="227"/>
      <c r="CC833" s="227"/>
      <c r="CD833" s="227"/>
      <c r="CE833" s="227"/>
      <c r="CF833" s="227"/>
      <c r="CG833" s="227"/>
      <c r="CH833" s="227"/>
      <c r="CI833" s="227"/>
      <c r="CJ833" s="227"/>
      <c r="CK833" s="227"/>
      <c r="CL833" s="227"/>
      <c r="CM833" s="227"/>
      <c r="CN833" s="227"/>
      <c r="CO833" s="227"/>
      <c r="CP833" s="227"/>
      <c r="CQ833" s="227"/>
      <c r="CR833" s="227"/>
      <c r="CS833" s="227"/>
      <c r="CT833" s="227"/>
      <c r="CU833" s="227"/>
      <c r="CV833" s="227"/>
      <c r="CW833" s="227"/>
      <c r="CX833" s="227"/>
      <c r="CY833" s="227"/>
      <c r="CZ833" s="227"/>
      <c r="DA833" s="227"/>
      <c r="DB833" s="227"/>
      <c r="DC833" s="227"/>
      <c r="DD833" s="227"/>
      <c r="DE833" s="227"/>
      <c r="DF833" s="227"/>
      <c r="DG833" s="227"/>
      <c r="DH833" s="227"/>
      <c r="DI833" s="227"/>
      <c r="DJ833" s="227"/>
      <c r="DK833" s="227"/>
      <c r="DL833" s="227"/>
      <c r="DM833" s="227"/>
      <c r="DN833" s="227"/>
      <c r="DO833" s="227"/>
      <c r="DP833" s="227"/>
      <c r="DQ833" s="227"/>
      <c r="DR833" s="227"/>
      <c r="DS833" s="227"/>
      <c r="DT833" s="227"/>
      <c r="DU833" s="227"/>
      <c r="DV833" s="227"/>
      <c r="DW833" s="227"/>
      <c r="DX833" s="227"/>
      <c r="DY833" s="227"/>
      <c r="DZ833" s="227"/>
      <c r="EA833" s="227"/>
      <c r="EB833" s="227"/>
      <c r="EC833" s="227"/>
      <c r="ED833" s="227"/>
      <c r="EE833" s="227"/>
      <c r="EF833" s="227"/>
      <c r="EG833" s="227"/>
      <c r="EH833" s="227"/>
      <c r="EI833" s="227"/>
      <c r="EJ833" s="227"/>
      <c r="EK833" s="227"/>
      <c r="EL833" s="227"/>
      <c r="EM833" s="227"/>
      <c r="EN833" s="227"/>
      <c r="EO833" s="227"/>
      <c r="EP833" s="227"/>
      <c r="EQ833" s="227"/>
      <c r="ER833" s="227"/>
      <c r="ES833" s="227"/>
      <c r="ET833" s="227"/>
      <c r="EU833" s="227"/>
      <c r="EV833" s="227"/>
      <c r="EW833" s="227"/>
      <c r="EX833" s="227"/>
      <c r="EY833" s="227"/>
      <c r="EZ833" s="227"/>
      <c r="FA833" s="227"/>
      <c r="FB833" s="227"/>
      <c r="FC833" s="227"/>
      <c r="FD833" s="227"/>
      <c r="FE833" s="227"/>
      <c r="FF833" s="227"/>
      <c r="FG833" s="227"/>
      <c r="FH833" s="227"/>
      <c r="FI833" s="227"/>
      <c r="FJ833" s="227"/>
      <c r="FK833" s="227"/>
      <c r="FL833" s="227"/>
      <c r="FM833" s="227"/>
      <c r="FN833" s="227"/>
      <c r="FO833" s="227"/>
      <c r="FP833" s="227"/>
      <c r="FQ833" s="227"/>
      <c r="FR833" s="227"/>
      <c r="FS833" s="227"/>
      <c r="FT833" s="227"/>
      <c r="FU833" s="227"/>
      <c r="FV833" s="227"/>
      <c r="FW833" s="227"/>
      <c r="FX833" s="227"/>
      <c r="FY833" s="227"/>
      <c r="FZ833" s="227"/>
      <c r="GA833" s="227"/>
      <c r="GB833" s="227"/>
      <c r="GC833" s="227"/>
      <c r="GD833" s="227"/>
      <c r="GE833" s="227"/>
      <c r="GF833" s="227"/>
      <c r="GG833" s="227"/>
      <c r="GH833" s="227"/>
      <c r="GI833" s="227"/>
      <c r="GJ833" s="227"/>
      <c r="GK833" s="227"/>
      <c r="GL833" s="227"/>
      <c r="GM833" s="227"/>
      <c r="GN833" s="227"/>
    </row>
    <row r="834" ht="15.75" customHeight="1">
      <c r="A834" s="212"/>
      <c r="B834" s="21"/>
      <c r="C834" s="21"/>
      <c r="D834" s="213"/>
      <c r="E834" s="214"/>
      <c r="F834" s="215"/>
      <c r="G834" s="21"/>
      <c r="H834" s="225"/>
      <c r="I834" s="110"/>
      <c r="J834" s="110"/>
      <c r="K834" s="110"/>
      <c r="L834" s="110"/>
      <c r="M834" s="110"/>
      <c r="N834" s="110"/>
      <c r="O834" s="110"/>
      <c r="P834" s="110"/>
      <c r="Q834" s="110"/>
      <c r="R834" s="21"/>
      <c r="S834" s="110"/>
      <c r="T834" s="110"/>
      <c r="U834" s="110"/>
      <c r="V834" s="110"/>
      <c r="W834" s="110"/>
      <c r="X834" s="110"/>
      <c r="Y834" s="110"/>
      <c r="Z834" s="110"/>
      <c r="AA834" s="227"/>
      <c r="AB834" s="227"/>
      <c r="AC834" s="227"/>
      <c r="AD834" s="227"/>
      <c r="AE834" s="227"/>
      <c r="AF834" s="227"/>
      <c r="AG834" s="227"/>
      <c r="AH834" s="227"/>
      <c r="AI834" s="227"/>
      <c r="AJ834" s="227"/>
      <c r="AK834" s="227"/>
      <c r="AL834" s="227"/>
      <c r="AM834" s="227"/>
      <c r="AN834" s="227"/>
      <c r="AO834" s="227"/>
      <c r="AP834" s="227"/>
      <c r="AQ834" s="227"/>
      <c r="AR834" s="227"/>
      <c r="AS834" s="227"/>
      <c r="AT834" s="227"/>
      <c r="AU834" s="227"/>
      <c r="AV834" s="227"/>
      <c r="AW834" s="227"/>
      <c r="AX834" s="227"/>
      <c r="AY834" s="227"/>
      <c r="AZ834" s="227"/>
      <c r="BA834" s="227"/>
      <c r="BB834" s="227"/>
      <c r="BC834" s="227"/>
      <c r="BD834" s="227"/>
      <c r="BE834" s="227"/>
      <c r="BF834" s="227"/>
      <c r="BG834" s="227"/>
      <c r="BH834" s="227"/>
      <c r="BI834" s="227"/>
      <c r="BJ834" s="227"/>
      <c r="BK834" s="227"/>
      <c r="BL834" s="227"/>
      <c r="BM834" s="227"/>
      <c r="BN834" s="227"/>
      <c r="BO834" s="227"/>
      <c r="BP834" s="227"/>
      <c r="BQ834" s="227"/>
      <c r="BR834" s="227"/>
      <c r="BS834" s="227"/>
      <c r="BT834" s="227"/>
      <c r="BU834" s="227"/>
      <c r="BV834" s="227"/>
      <c r="BW834" s="227"/>
      <c r="BX834" s="227"/>
      <c r="BY834" s="227"/>
      <c r="BZ834" s="227"/>
      <c r="CA834" s="227"/>
      <c r="CB834" s="227"/>
      <c r="CC834" s="227"/>
      <c r="CD834" s="227"/>
      <c r="CE834" s="227"/>
      <c r="CF834" s="227"/>
      <c r="CG834" s="227"/>
      <c r="CH834" s="227"/>
      <c r="CI834" s="227"/>
      <c r="CJ834" s="227"/>
      <c r="CK834" s="227"/>
      <c r="CL834" s="227"/>
      <c r="CM834" s="227"/>
      <c r="CN834" s="227"/>
      <c r="CO834" s="227"/>
      <c r="CP834" s="227"/>
      <c r="CQ834" s="227"/>
      <c r="CR834" s="227"/>
      <c r="CS834" s="227"/>
      <c r="CT834" s="227"/>
      <c r="CU834" s="227"/>
      <c r="CV834" s="227"/>
      <c r="CW834" s="227"/>
      <c r="CX834" s="227"/>
      <c r="CY834" s="227"/>
      <c r="CZ834" s="227"/>
      <c r="DA834" s="227"/>
      <c r="DB834" s="227"/>
      <c r="DC834" s="227"/>
      <c r="DD834" s="227"/>
      <c r="DE834" s="227"/>
      <c r="DF834" s="227"/>
      <c r="DG834" s="227"/>
      <c r="DH834" s="227"/>
      <c r="DI834" s="227"/>
      <c r="DJ834" s="227"/>
      <c r="DK834" s="227"/>
      <c r="DL834" s="227"/>
      <c r="DM834" s="227"/>
      <c r="DN834" s="227"/>
      <c r="DO834" s="227"/>
      <c r="DP834" s="227"/>
      <c r="DQ834" s="227"/>
      <c r="DR834" s="227"/>
      <c r="DS834" s="227"/>
      <c r="DT834" s="227"/>
      <c r="DU834" s="227"/>
      <c r="DV834" s="227"/>
      <c r="DW834" s="227"/>
      <c r="DX834" s="227"/>
      <c r="DY834" s="227"/>
      <c r="DZ834" s="227"/>
      <c r="EA834" s="227"/>
      <c r="EB834" s="227"/>
      <c r="EC834" s="227"/>
      <c r="ED834" s="227"/>
      <c r="EE834" s="227"/>
      <c r="EF834" s="227"/>
      <c r="EG834" s="227"/>
      <c r="EH834" s="227"/>
      <c r="EI834" s="227"/>
      <c r="EJ834" s="227"/>
      <c r="EK834" s="227"/>
      <c r="EL834" s="227"/>
      <c r="EM834" s="227"/>
      <c r="EN834" s="227"/>
      <c r="EO834" s="227"/>
      <c r="EP834" s="227"/>
      <c r="EQ834" s="227"/>
      <c r="ER834" s="227"/>
      <c r="ES834" s="227"/>
      <c r="ET834" s="227"/>
      <c r="EU834" s="227"/>
      <c r="EV834" s="227"/>
      <c r="EW834" s="227"/>
      <c r="EX834" s="227"/>
      <c r="EY834" s="227"/>
      <c r="EZ834" s="227"/>
      <c r="FA834" s="227"/>
      <c r="FB834" s="227"/>
      <c r="FC834" s="227"/>
      <c r="FD834" s="227"/>
      <c r="FE834" s="227"/>
      <c r="FF834" s="227"/>
      <c r="FG834" s="227"/>
      <c r="FH834" s="227"/>
      <c r="FI834" s="227"/>
      <c r="FJ834" s="227"/>
      <c r="FK834" s="227"/>
      <c r="FL834" s="227"/>
      <c r="FM834" s="227"/>
      <c r="FN834" s="227"/>
      <c r="FO834" s="227"/>
      <c r="FP834" s="227"/>
      <c r="FQ834" s="227"/>
      <c r="FR834" s="227"/>
      <c r="FS834" s="227"/>
      <c r="FT834" s="227"/>
      <c r="FU834" s="227"/>
      <c r="FV834" s="227"/>
      <c r="FW834" s="227"/>
      <c r="FX834" s="227"/>
      <c r="FY834" s="227"/>
      <c r="FZ834" s="227"/>
      <c r="GA834" s="227"/>
      <c r="GB834" s="227"/>
      <c r="GC834" s="227"/>
      <c r="GD834" s="227"/>
      <c r="GE834" s="227"/>
      <c r="GF834" s="227"/>
      <c r="GG834" s="227"/>
      <c r="GH834" s="227"/>
      <c r="GI834" s="227"/>
      <c r="GJ834" s="227"/>
      <c r="GK834" s="227"/>
      <c r="GL834" s="227"/>
      <c r="GM834" s="227"/>
      <c r="GN834" s="227"/>
    </row>
    <row r="835" ht="15.75" customHeight="1">
      <c r="A835" s="212"/>
      <c r="B835" s="21"/>
      <c r="C835" s="21"/>
      <c r="D835" s="213"/>
      <c r="E835" s="214"/>
      <c r="F835" s="215"/>
      <c r="G835" s="21"/>
      <c r="H835" s="225"/>
      <c r="I835" s="110"/>
      <c r="J835" s="110"/>
      <c r="K835" s="110"/>
      <c r="L835" s="110"/>
      <c r="M835" s="110"/>
      <c r="N835" s="110"/>
      <c r="O835" s="110"/>
      <c r="P835" s="110"/>
      <c r="Q835" s="110"/>
      <c r="R835" s="21"/>
      <c r="S835" s="110"/>
      <c r="T835" s="110"/>
      <c r="U835" s="110"/>
      <c r="V835" s="110"/>
      <c r="W835" s="110"/>
      <c r="X835" s="110"/>
      <c r="Y835" s="110"/>
      <c r="Z835" s="110"/>
      <c r="AA835" s="227"/>
      <c r="AB835" s="227"/>
      <c r="AC835" s="227"/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7"/>
      <c r="AR835" s="227"/>
      <c r="AS835" s="227"/>
      <c r="AT835" s="227"/>
      <c r="AU835" s="227"/>
      <c r="AV835" s="227"/>
      <c r="AW835" s="227"/>
      <c r="AX835" s="227"/>
      <c r="AY835" s="227"/>
      <c r="AZ835" s="227"/>
      <c r="BA835" s="227"/>
      <c r="BB835" s="227"/>
      <c r="BC835" s="227"/>
      <c r="BD835" s="227"/>
      <c r="BE835" s="227"/>
      <c r="BF835" s="227"/>
      <c r="BG835" s="227"/>
      <c r="BH835" s="227"/>
      <c r="BI835" s="227"/>
      <c r="BJ835" s="227"/>
      <c r="BK835" s="227"/>
      <c r="BL835" s="227"/>
      <c r="BM835" s="227"/>
      <c r="BN835" s="227"/>
      <c r="BO835" s="227"/>
      <c r="BP835" s="227"/>
      <c r="BQ835" s="227"/>
      <c r="BR835" s="227"/>
      <c r="BS835" s="227"/>
      <c r="BT835" s="227"/>
      <c r="BU835" s="227"/>
      <c r="BV835" s="227"/>
      <c r="BW835" s="227"/>
      <c r="BX835" s="227"/>
      <c r="BY835" s="227"/>
      <c r="BZ835" s="227"/>
      <c r="CA835" s="227"/>
      <c r="CB835" s="227"/>
      <c r="CC835" s="227"/>
      <c r="CD835" s="227"/>
      <c r="CE835" s="227"/>
      <c r="CF835" s="227"/>
      <c r="CG835" s="227"/>
      <c r="CH835" s="227"/>
      <c r="CI835" s="227"/>
      <c r="CJ835" s="227"/>
      <c r="CK835" s="227"/>
      <c r="CL835" s="227"/>
      <c r="CM835" s="227"/>
      <c r="CN835" s="227"/>
      <c r="CO835" s="227"/>
      <c r="CP835" s="227"/>
      <c r="CQ835" s="227"/>
      <c r="CR835" s="227"/>
      <c r="CS835" s="227"/>
      <c r="CT835" s="227"/>
      <c r="CU835" s="227"/>
      <c r="CV835" s="227"/>
      <c r="CW835" s="227"/>
      <c r="CX835" s="227"/>
      <c r="CY835" s="227"/>
      <c r="CZ835" s="227"/>
      <c r="DA835" s="227"/>
      <c r="DB835" s="227"/>
      <c r="DC835" s="227"/>
      <c r="DD835" s="227"/>
      <c r="DE835" s="227"/>
      <c r="DF835" s="227"/>
      <c r="DG835" s="227"/>
      <c r="DH835" s="227"/>
      <c r="DI835" s="227"/>
      <c r="DJ835" s="227"/>
      <c r="DK835" s="227"/>
      <c r="DL835" s="227"/>
      <c r="DM835" s="227"/>
      <c r="DN835" s="227"/>
      <c r="DO835" s="227"/>
      <c r="DP835" s="227"/>
      <c r="DQ835" s="227"/>
      <c r="DR835" s="227"/>
      <c r="DS835" s="227"/>
      <c r="DT835" s="227"/>
      <c r="DU835" s="227"/>
      <c r="DV835" s="227"/>
      <c r="DW835" s="227"/>
      <c r="DX835" s="227"/>
      <c r="DY835" s="227"/>
      <c r="DZ835" s="227"/>
      <c r="EA835" s="227"/>
      <c r="EB835" s="227"/>
      <c r="EC835" s="227"/>
      <c r="ED835" s="227"/>
      <c r="EE835" s="227"/>
      <c r="EF835" s="227"/>
      <c r="EG835" s="227"/>
      <c r="EH835" s="227"/>
      <c r="EI835" s="227"/>
      <c r="EJ835" s="227"/>
      <c r="EK835" s="227"/>
      <c r="EL835" s="227"/>
      <c r="EM835" s="227"/>
      <c r="EN835" s="227"/>
      <c r="EO835" s="227"/>
      <c r="EP835" s="227"/>
      <c r="EQ835" s="227"/>
      <c r="ER835" s="227"/>
      <c r="ES835" s="227"/>
      <c r="ET835" s="227"/>
      <c r="EU835" s="227"/>
      <c r="EV835" s="227"/>
      <c r="EW835" s="227"/>
      <c r="EX835" s="227"/>
      <c r="EY835" s="227"/>
      <c r="EZ835" s="227"/>
      <c r="FA835" s="227"/>
      <c r="FB835" s="227"/>
      <c r="FC835" s="227"/>
      <c r="FD835" s="227"/>
      <c r="FE835" s="227"/>
      <c r="FF835" s="227"/>
      <c r="FG835" s="227"/>
      <c r="FH835" s="227"/>
      <c r="FI835" s="227"/>
      <c r="FJ835" s="227"/>
      <c r="FK835" s="227"/>
      <c r="FL835" s="227"/>
      <c r="FM835" s="227"/>
      <c r="FN835" s="227"/>
      <c r="FO835" s="227"/>
      <c r="FP835" s="227"/>
      <c r="FQ835" s="227"/>
      <c r="FR835" s="227"/>
      <c r="FS835" s="227"/>
      <c r="FT835" s="227"/>
      <c r="FU835" s="227"/>
      <c r="FV835" s="227"/>
      <c r="FW835" s="227"/>
      <c r="FX835" s="227"/>
      <c r="FY835" s="227"/>
      <c r="FZ835" s="227"/>
      <c r="GA835" s="227"/>
      <c r="GB835" s="227"/>
      <c r="GC835" s="227"/>
      <c r="GD835" s="227"/>
      <c r="GE835" s="227"/>
      <c r="GF835" s="227"/>
      <c r="GG835" s="227"/>
      <c r="GH835" s="227"/>
      <c r="GI835" s="227"/>
      <c r="GJ835" s="227"/>
      <c r="GK835" s="227"/>
      <c r="GL835" s="227"/>
      <c r="GM835" s="227"/>
      <c r="GN835" s="227"/>
    </row>
    <row r="836" ht="15.75" customHeight="1">
      <c r="A836" s="212"/>
      <c r="B836" s="21"/>
      <c r="C836" s="21"/>
      <c r="D836" s="213"/>
      <c r="E836" s="214"/>
      <c r="F836" s="215"/>
      <c r="G836" s="21"/>
      <c r="H836" s="225"/>
      <c r="I836" s="110"/>
      <c r="J836" s="110"/>
      <c r="K836" s="110"/>
      <c r="L836" s="110"/>
      <c r="M836" s="110"/>
      <c r="N836" s="110"/>
      <c r="O836" s="110"/>
      <c r="P836" s="110"/>
      <c r="Q836" s="110"/>
      <c r="R836" s="21"/>
      <c r="S836" s="110"/>
      <c r="T836" s="110"/>
      <c r="U836" s="110"/>
      <c r="V836" s="110"/>
      <c r="W836" s="110"/>
      <c r="X836" s="110"/>
      <c r="Y836" s="110"/>
      <c r="Z836" s="110"/>
      <c r="AA836" s="227"/>
      <c r="AB836" s="227"/>
      <c r="AC836" s="227"/>
      <c r="AD836" s="227"/>
      <c r="AE836" s="227"/>
      <c r="AF836" s="227"/>
      <c r="AG836" s="227"/>
      <c r="AH836" s="227"/>
      <c r="AI836" s="227"/>
      <c r="AJ836" s="227"/>
      <c r="AK836" s="227"/>
      <c r="AL836" s="227"/>
      <c r="AM836" s="227"/>
      <c r="AN836" s="227"/>
      <c r="AO836" s="227"/>
      <c r="AP836" s="227"/>
      <c r="AQ836" s="227"/>
      <c r="AR836" s="227"/>
      <c r="AS836" s="227"/>
      <c r="AT836" s="227"/>
      <c r="AU836" s="227"/>
      <c r="AV836" s="227"/>
      <c r="AW836" s="227"/>
      <c r="AX836" s="227"/>
      <c r="AY836" s="227"/>
      <c r="AZ836" s="227"/>
      <c r="BA836" s="227"/>
      <c r="BB836" s="227"/>
      <c r="BC836" s="227"/>
      <c r="BD836" s="227"/>
      <c r="BE836" s="227"/>
      <c r="BF836" s="227"/>
      <c r="BG836" s="227"/>
      <c r="BH836" s="227"/>
      <c r="BI836" s="227"/>
      <c r="BJ836" s="227"/>
      <c r="BK836" s="227"/>
      <c r="BL836" s="227"/>
      <c r="BM836" s="227"/>
      <c r="BN836" s="227"/>
      <c r="BO836" s="227"/>
      <c r="BP836" s="227"/>
      <c r="BQ836" s="227"/>
      <c r="BR836" s="227"/>
      <c r="BS836" s="227"/>
      <c r="BT836" s="227"/>
      <c r="BU836" s="227"/>
      <c r="BV836" s="227"/>
      <c r="BW836" s="227"/>
      <c r="BX836" s="227"/>
      <c r="BY836" s="227"/>
      <c r="BZ836" s="227"/>
      <c r="CA836" s="227"/>
      <c r="CB836" s="227"/>
      <c r="CC836" s="227"/>
      <c r="CD836" s="227"/>
      <c r="CE836" s="227"/>
      <c r="CF836" s="227"/>
      <c r="CG836" s="227"/>
      <c r="CH836" s="227"/>
      <c r="CI836" s="227"/>
      <c r="CJ836" s="227"/>
      <c r="CK836" s="227"/>
      <c r="CL836" s="227"/>
      <c r="CM836" s="227"/>
      <c r="CN836" s="227"/>
      <c r="CO836" s="227"/>
      <c r="CP836" s="227"/>
      <c r="CQ836" s="227"/>
      <c r="CR836" s="227"/>
      <c r="CS836" s="227"/>
      <c r="CT836" s="227"/>
      <c r="CU836" s="227"/>
      <c r="CV836" s="227"/>
      <c r="CW836" s="227"/>
      <c r="CX836" s="227"/>
      <c r="CY836" s="227"/>
      <c r="CZ836" s="227"/>
      <c r="DA836" s="227"/>
      <c r="DB836" s="227"/>
      <c r="DC836" s="227"/>
      <c r="DD836" s="227"/>
      <c r="DE836" s="227"/>
      <c r="DF836" s="227"/>
      <c r="DG836" s="227"/>
      <c r="DH836" s="227"/>
      <c r="DI836" s="227"/>
      <c r="DJ836" s="227"/>
      <c r="DK836" s="227"/>
      <c r="DL836" s="227"/>
      <c r="DM836" s="227"/>
      <c r="DN836" s="227"/>
      <c r="DO836" s="227"/>
      <c r="DP836" s="227"/>
      <c r="DQ836" s="227"/>
      <c r="DR836" s="227"/>
      <c r="DS836" s="227"/>
      <c r="DT836" s="227"/>
      <c r="DU836" s="227"/>
      <c r="DV836" s="227"/>
      <c r="DW836" s="227"/>
      <c r="DX836" s="227"/>
      <c r="DY836" s="227"/>
      <c r="DZ836" s="227"/>
      <c r="EA836" s="227"/>
      <c r="EB836" s="227"/>
      <c r="EC836" s="227"/>
      <c r="ED836" s="227"/>
      <c r="EE836" s="227"/>
      <c r="EF836" s="227"/>
      <c r="EG836" s="227"/>
      <c r="EH836" s="227"/>
      <c r="EI836" s="227"/>
      <c r="EJ836" s="227"/>
      <c r="EK836" s="227"/>
      <c r="EL836" s="227"/>
      <c r="EM836" s="227"/>
      <c r="EN836" s="227"/>
      <c r="EO836" s="227"/>
      <c r="EP836" s="227"/>
      <c r="EQ836" s="227"/>
      <c r="ER836" s="227"/>
      <c r="ES836" s="227"/>
      <c r="ET836" s="227"/>
      <c r="EU836" s="227"/>
      <c r="EV836" s="227"/>
      <c r="EW836" s="227"/>
      <c r="EX836" s="227"/>
      <c r="EY836" s="227"/>
      <c r="EZ836" s="227"/>
      <c r="FA836" s="227"/>
      <c r="FB836" s="227"/>
      <c r="FC836" s="227"/>
      <c r="FD836" s="227"/>
      <c r="FE836" s="227"/>
      <c r="FF836" s="227"/>
      <c r="FG836" s="227"/>
      <c r="FH836" s="227"/>
      <c r="FI836" s="227"/>
      <c r="FJ836" s="227"/>
      <c r="FK836" s="227"/>
      <c r="FL836" s="227"/>
      <c r="FM836" s="227"/>
      <c r="FN836" s="227"/>
      <c r="FO836" s="227"/>
      <c r="FP836" s="227"/>
      <c r="FQ836" s="227"/>
      <c r="FR836" s="227"/>
      <c r="FS836" s="227"/>
      <c r="FT836" s="227"/>
      <c r="FU836" s="227"/>
      <c r="FV836" s="227"/>
      <c r="FW836" s="227"/>
      <c r="FX836" s="227"/>
      <c r="FY836" s="227"/>
      <c r="FZ836" s="227"/>
      <c r="GA836" s="227"/>
      <c r="GB836" s="227"/>
      <c r="GC836" s="227"/>
      <c r="GD836" s="227"/>
      <c r="GE836" s="227"/>
      <c r="GF836" s="227"/>
      <c r="GG836" s="227"/>
      <c r="GH836" s="227"/>
      <c r="GI836" s="227"/>
      <c r="GJ836" s="227"/>
      <c r="GK836" s="227"/>
      <c r="GL836" s="227"/>
      <c r="GM836" s="227"/>
      <c r="GN836" s="227"/>
    </row>
    <row r="837" ht="15.75" customHeight="1">
      <c r="A837" s="212"/>
      <c r="B837" s="21"/>
      <c r="C837" s="21"/>
      <c r="D837" s="213"/>
      <c r="E837" s="214"/>
      <c r="F837" s="215"/>
      <c r="G837" s="21"/>
      <c r="H837" s="225"/>
      <c r="I837" s="110"/>
      <c r="J837" s="110"/>
      <c r="K837" s="110"/>
      <c r="L837" s="110"/>
      <c r="M837" s="110"/>
      <c r="N837" s="110"/>
      <c r="O837" s="110"/>
      <c r="P837" s="110"/>
      <c r="Q837" s="110"/>
      <c r="R837" s="21"/>
      <c r="S837" s="110"/>
      <c r="T837" s="110"/>
      <c r="U837" s="110"/>
      <c r="V837" s="110"/>
      <c r="W837" s="110"/>
      <c r="X837" s="110"/>
      <c r="Y837" s="110"/>
      <c r="Z837" s="110"/>
      <c r="AA837" s="227"/>
      <c r="AB837" s="227"/>
      <c r="AC837" s="227"/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7"/>
      <c r="AR837" s="227"/>
      <c r="AS837" s="227"/>
      <c r="AT837" s="227"/>
      <c r="AU837" s="227"/>
      <c r="AV837" s="227"/>
      <c r="AW837" s="227"/>
      <c r="AX837" s="227"/>
      <c r="AY837" s="227"/>
      <c r="AZ837" s="227"/>
      <c r="BA837" s="227"/>
      <c r="BB837" s="227"/>
      <c r="BC837" s="227"/>
      <c r="BD837" s="227"/>
      <c r="BE837" s="227"/>
      <c r="BF837" s="227"/>
      <c r="BG837" s="227"/>
      <c r="BH837" s="227"/>
      <c r="BI837" s="227"/>
      <c r="BJ837" s="227"/>
      <c r="BK837" s="227"/>
      <c r="BL837" s="227"/>
      <c r="BM837" s="227"/>
      <c r="BN837" s="227"/>
      <c r="BO837" s="227"/>
      <c r="BP837" s="227"/>
      <c r="BQ837" s="227"/>
      <c r="BR837" s="227"/>
      <c r="BS837" s="227"/>
      <c r="BT837" s="227"/>
      <c r="BU837" s="227"/>
      <c r="BV837" s="227"/>
      <c r="BW837" s="227"/>
      <c r="BX837" s="227"/>
      <c r="BY837" s="227"/>
      <c r="BZ837" s="227"/>
      <c r="CA837" s="227"/>
      <c r="CB837" s="227"/>
      <c r="CC837" s="227"/>
      <c r="CD837" s="227"/>
      <c r="CE837" s="227"/>
      <c r="CF837" s="227"/>
      <c r="CG837" s="227"/>
      <c r="CH837" s="227"/>
      <c r="CI837" s="227"/>
      <c r="CJ837" s="227"/>
      <c r="CK837" s="227"/>
      <c r="CL837" s="227"/>
      <c r="CM837" s="227"/>
      <c r="CN837" s="227"/>
      <c r="CO837" s="227"/>
      <c r="CP837" s="227"/>
      <c r="CQ837" s="227"/>
      <c r="CR837" s="227"/>
      <c r="CS837" s="227"/>
      <c r="CT837" s="227"/>
      <c r="CU837" s="227"/>
      <c r="CV837" s="227"/>
      <c r="CW837" s="227"/>
      <c r="CX837" s="227"/>
      <c r="CY837" s="227"/>
      <c r="CZ837" s="227"/>
      <c r="DA837" s="227"/>
      <c r="DB837" s="227"/>
      <c r="DC837" s="227"/>
      <c r="DD837" s="227"/>
      <c r="DE837" s="227"/>
      <c r="DF837" s="227"/>
      <c r="DG837" s="227"/>
      <c r="DH837" s="227"/>
      <c r="DI837" s="227"/>
      <c r="DJ837" s="227"/>
      <c r="DK837" s="227"/>
      <c r="DL837" s="227"/>
      <c r="DM837" s="227"/>
      <c r="DN837" s="227"/>
      <c r="DO837" s="227"/>
      <c r="DP837" s="227"/>
      <c r="DQ837" s="227"/>
      <c r="DR837" s="227"/>
      <c r="DS837" s="227"/>
      <c r="DT837" s="227"/>
      <c r="DU837" s="227"/>
      <c r="DV837" s="227"/>
      <c r="DW837" s="227"/>
      <c r="DX837" s="227"/>
      <c r="DY837" s="227"/>
      <c r="DZ837" s="227"/>
      <c r="EA837" s="227"/>
      <c r="EB837" s="227"/>
      <c r="EC837" s="227"/>
      <c r="ED837" s="227"/>
      <c r="EE837" s="227"/>
      <c r="EF837" s="227"/>
      <c r="EG837" s="227"/>
      <c r="EH837" s="227"/>
      <c r="EI837" s="227"/>
      <c r="EJ837" s="227"/>
      <c r="EK837" s="227"/>
      <c r="EL837" s="227"/>
      <c r="EM837" s="227"/>
      <c r="EN837" s="227"/>
      <c r="EO837" s="227"/>
      <c r="EP837" s="227"/>
      <c r="EQ837" s="227"/>
      <c r="ER837" s="227"/>
      <c r="ES837" s="227"/>
      <c r="ET837" s="227"/>
      <c r="EU837" s="227"/>
      <c r="EV837" s="227"/>
      <c r="EW837" s="227"/>
      <c r="EX837" s="227"/>
      <c r="EY837" s="227"/>
      <c r="EZ837" s="227"/>
      <c r="FA837" s="227"/>
      <c r="FB837" s="227"/>
      <c r="FC837" s="227"/>
      <c r="FD837" s="227"/>
      <c r="FE837" s="227"/>
      <c r="FF837" s="227"/>
      <c r="FG837" s="227"/>
      <c r="FH837" s="227"/>
      <c r="FI837" s="227"/>
      <c r="FJ837" s="227"/>
      <c r="FK837" s="227"/>
      <c r="FL837" s="227"/>
      <c r="FM837" s="227"/>
      <c r="FN837" s="227"/>
      <c r="FO837" s="227"/>
      <c r="FP837" s="227"/>
      <c r="FQ837" s="227"/>
      <c r="FR837" s="227"/>
      <c r="FS837" s="227"/>
      <c r="FT837" s="227"/>
      <c r="FU837" s="227"/>
      <c r="FV837" s="227"/>
      <c r="FW837" s="227"/>
      <c r="FX837" s="227"/>
      <c r="FY837" s="227"/>
      <c r="FZ837" s="227"/>
      <c r="GA837" s="227"/>
      <c r="GB837" s="227"/>
      <c r="GC837" s="227"/>
      <c r="GD837" s="227"/>
      <c r="GE837" s="227"/>
      <c r="GF837" s="227"/>
      <c r="GG837" s="227"/>
      <c r="GH837" s="227"/>
      <c r="GI837" s="227"/>
      <c r="GJ837" s="227"/>
      <c r="GK837" s="227"/>
      <c r="GL837" s="227"/>
      <c r="GM837" s="227"/>
      <c r="GN837" s="227"/>
    </row>
    <row r="838" ht="15.75" customHeight="1">
      <c r="A838" s="212"/>
      <c r="B838" s="21"/>
      <c r="C838" s="21"/>
      <c r="D838" s="213"/>
      <c r="E838" s="214"/>
      <c r="F838" s="215"/>
      <c r="G838" s="21"/>
      <c r="H838" s="225"/>
      <c r="I838" s="110"/>
      <c r="J838" s="110"/>
      <c r="K838" s="110"/>
      <c r="L838" s="110"/>
      <c r="M838" s="110"/>
      <c r="N838" s="110"/>
      <c r="O838" s="110"/>
      <c r="P838" s="110"/>
      <c r="Q838" s="110"/>
      <c r="R838" s="21"/>
      <c r="S838" s="110"/>
      <c r="T838" s="110"/>
      <c r="U838" s="110"/>
      <c r="V838" s="110"/>
      <c r="W838" s="110"/>
      <c r="X838" s="110"/>
      <c r="Y838" s="110"/>
      <c r="Z838" s="110"/>
      <c r="AA838" s="227"/>
      <c r="AB838" s="227"/>
      <c r="AC838" s="227"/>
      <c r="AD838" s="227"/>
      <c r="AE838" s="227"/>
      <c r="AF838" s="227"/>
      <c r="AG838" s="227"/>
      <c r="AH838" s="227"/>
      <c r="AI838" s="227"/>
      <c r="AJ838" s="227"/>
      <c r="AK838" s="227"/>
      <c r="AL838" s="227"/>
      <c r="AM838" s="227"/>
      <c r="AN838" s="227"/>
      <c r="AO838" s="227"/>
      <c r="AP838" s="227"/>
      <c r="AQ838" s="227"/>
      <c r="AR838" s="227"/>
      <c r="AS838" s="227"/>
      <c r="AT838" s="227"/>
      <c r="AU838" s="227"/>
      <c r="AV838" s="227"/>
      <c r="AW838" s="227"/>
      <c r="AX838" s="227"/>
      <c r="AY838" s="227"/>
      <c r="AZ838" s="227"/>
      <c r="BA838" s="227"/>
      <c r="BB838" s="227"/>
      <c r="BC838" s="227"/>
      <c r="BD838" s="227"/>
      <c r="BE838" s="227"/>
      <c r="BF838" s="227"/>
      <c r="BG838" s="227"/>
      <c r="BH838" s="227"/>
      <c r="BI838" s="227"/>
      <c r="BJ838" s="227"/>
      <c r="BK838" s="227"/>
      <c r="BL838" s="227"/>
      <c r="BM838" s="227"/>
      <c r="BN838" s="227"/>
      <c r="BO838" s="227"/>
      <c r="BP838" s="227"/>
      <c r="BQ838" s="227"/>
      <c r="BR838" s="227"/>
      <c r="BS838" s="227"/>
      <c r="BT838" s="227"/>
      <c r="BU838" s="227"/>
      <c r="BV838" s="227"/>
      <c r="BW838" s="227"/>
      <c r="BX838" s="227"/>
      <c r="BY838" s="227"/>
      <c r="BZ838" s="227"/>
      <c r="CA838" s="227"/>
      <c r="CB838" s="227"/>
      <c r="CC838" s="227"/>
      <c r="CD838" s="227"/>
      <c r="CE838" s="227"/>
      <c r="CF838" s="227"/>
      <c r="CG838" s="227"/>
      <c r="CH838" s="227"/>
      <c r="CI838" s="227"/>
      <c r="CJ838" s="227"/>
      <c r="CK838" s="227"/>
      <c r="CL838" s="227"/>
      <c r="CM838" s="227"/>
      <c r="CN838" s="227"/>
      <c r="CO838" s="227"/>
      <c r="CP838" s="227"/>
      <c r="CQ838" s="227"/>
      <c r="CR838" s="227"/>
      <c r="CS838" s="227"/>
      <c r="CT838" s="227"/>
      <c r="CU838" s="227"/>
      <c r="CV838" s="227"/>
      <c r="CW838" s="227"/>
      <c r="CX838" s="227"/>
      <c r="CY838" s="227"/>
      <c r="CZ838" s="227"/>
      <c r="DA838" s="227"/>
      <c r="DB838" s="227"/>
      <c r="DC838" s="227"/>
      <c r="DD838" s="227"/>
      <c r="DE838" s="227"/>
      <c r="DF838" s="227"/>
      <c r="DG838" s="227"/>
      <c r="DH838" s="227"/>
      <c r="DI838" s="227"/>
      <c r="DJ838" s="227"/>
      <c r="DK838" s="227"/>
      <c r="DL838" s="227"/>
      <c r="DM838" s="227"/>
      <c r="DN838" s="227"/>
      <c r="DO838" s="227"/>
      <c r="DP838" s="227"/>
      <c r="DQ838" s="227"/>
      <c r="DR838" s="227"/>
      <c r="DS838" s="227"/>
      <c r="DT838" s="227"/>
      <c r="DU838" s="227"/>
      <c r="DV838" s="227"/>
      <c r="DW838" s="227"/>
      <c r="DX838" s="227"/>
      <c r="DY838" s="227"/>
      <c r="DZ838" s="227"/>
      <c r="EA838" s="227"/>
      <c r="EB838" s="227"/>
      <c r="EC838" s="227"/>
      <c r="ED838" s="227"/>
      <c r="EE838" s="227"/>
      <c r="EF838" s="227"/>
      <c r="EG838" s="227"/>
      <c r="EH838" s="227"/>
      <c r="EI838" s="227"/>
      <c r="EJ838" s="227"/>
      <c r="EK838" s="227"/>
      <c r="EL838" s="227"/>
      <c r="EM838" s="227"/>
      <c r="EN838" s="227"/>
      <c r="EO838" s="227"/>
      <c r="EP838" s="227"/>
      <c r="EQ838" s="227"/>
      <c r="ER838" s="227"/>
      <c r="ES838" s="227"/>
      <c r="ET838" s="227"/>
      <c r="EU838" s="227"/>
      <c r="EV838" s="227"/>
      <c r="EW838" s="227"/>
      <c r="EX838" s="227"/>
      <c r="EY838" s="227"/>
      <c r="EZ838" s="227"/>
      <c r="FA838" s="227"/>
      <c r="FB838" s="227"/>
      <c r="FC838" s="227"/>
      <c r="FD838" s="227"/>
      <c r="FE838" s="227"/>
      <c r="FF838" s="227"/>
      <c r="FG838" s="227"/>
      <c r="FH838" s="227"/>
      <c r="FI838" s="227"/>
      <c r="FJ838" s="227"/>
      <c r="FK838" s="227"/>
      <c r="FL838" s="227"/>
      <c r="FM838" s="227"/>
      <c r="FN838" s="227"/>
      <c r="FO838" s="227"/>
      <c r="FP838" s="227"/>
      <c r="FQ838" s="227"/>
      <c r="FR838" s="227"/>
      <c r="FS838" s="227"/>
      <c r="FT838" s="227"/>
      <c r="FU838" s="227"/>
      <c r="FV838" s="227"/>
      <c r="FW838" s="227"/>
      <c r="FX838" s="227"/>
      <c r="FY838" s="227"/>
      <c r="FZ838" s="227"/>
      <c r="GA838" s="227"/>
      <c r="GB838" s="227"/>
      <c r="GC838" s="227"/>
      <c r="GD838" s="227"/>
      <c r="GE838" s="227"/>
      <c r="GF838" s="227"/>
      <c r="GG838" s="227"/>
      <c r="GH838" s="227"/>
      <c r="GI838" s="227"/>
      <c r="GJ838" s="227"/>
      <c r="GK838" s="227"/>
      <c r="GL838" s="227"/>
      <c r="GM838" s="227"/>
      <c r="GN838" s="227"/>
    </row>
    <row r="839" ht="15.75" customHeight="1">
      <c r="A839" s="212"/>
      <c r="B839" s="21"/>
      <c r="C839" s="21"/>
      <c r="D839" s="213"/>
      <c r="E839" s="214"/>
      <c r="F839" s="215"/>
      <c r="G839" s="21"/>
      <c r="H839" s="225"/>
      <c r="I839" s="110"/>
      <c r="J839" s="110"/>
      <c r="K839" s="110"/>
      <c r="L839" s="110"/>
      <c r="M839" s="110"/>
      <c r="N839" s="110"/>
      <c r="O839" s="110"/>
      <c r="P839" s="110"/>
      <c r="Q839" s="110"/>
      <c r="R839" s="21"/>
      <c r="S839" s="110"/>
      <c r="T839" s="110"/>
      <c r="U839" s="110"/>
      <c r="V839" s="110"/>
      <c r="W839" s="110"/>
      <c r="X839" s="110"/>
      <c r="Y839" s="110"/>
      <c r="Z839" s="110"/>
      <c r="AA839" s="227"/>
      <c r="AB839" s="227"/>
      <c r="AC839" s="227"/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7"/>
      <c r="AR839" s="227"/>
      <c r="AS839" s="227"/>
      <c r="AT839" s="227"/>
      <c r="AU839" s="227"/>
      <c r="AV839" s="227"/>
      <c r="AW839" s="227"/>
      <c r="AX839" s="227"/>
      <c r="AY839" s="227"/>
      <c r="AZ839" s="227"/>
      <c r="BA839" s="227"/>
      <c r="BB839" s="227"/>
      <c r="BC839" s="227"/>
      <c r="BD839" s="227"/>
      <c r="BE839" s="227"/>
      <c r="BF839" s="227"/>
      <c r="BG839" s="227"/>
      <c r="BH839" s="227"/>
      <c r="BI839" s="227"/>
      <c r="BJ839" s="227"/>
      <c r="BK839" s="227"/>
      <c r="BL839" s="227"/>
      <c r="BM839" s="227"/>
      <c r="BN839" s="227"/>
      <c r="BO839" s="227"/>
      <c r="BP839" s="227"/>
      <c r="BQ839" s="227"/>
      <c r="BR839" s="227"/>
      <c r="BS839" s="227"/>
      <c r="BT839" s="227"/>
      <c r="BU839" s="227"/>
      <c r="BV839" s="227"/>
      <c r="BW839" s="227"/>
      <c r="BX839" s="227"/>
      <c r="BY839" s="227"/>
      <c r="BZ839" s="227"/>
      <c r="CA839" s="227"/>
      <c r="CB839" s="227"/>
      <c r="CC839" s="227"/>
      <c r="CD839" s="227"/>
      <c r="CE839" s="227"/>
      <c r="CF839" s="227"/>
      <c r="CG839" s="227"/>
      <c r="CH839" s="227"/>
      <c r="CI839" s="227"/>
      <c r="CJ839" s="227"/>
      <c r="CK839" s="227"/>
      <c r="CL839" s="227"/>
      <c r="CM839" s="227"/>
      <c r="CN839" s="227"/>
      <c r="CO839" s="227"/>
      <c r="CP839" s="227"/>
      <c r="CQ839" s="227"/>
      <c r="CR839" s="227"/>
      <c r="CS839" s="227"/>
      <c r="CT839" s="227"/>
      <c r="CU839" s="227"/>
      <c r="CV839" s="227"/>
      <c r="CW839" s="227"/>
      <c r="CX839" s="227"/>
      <c r="CY839" s="227"/>
      <c r="CZ839" s="227"/>
      <c r="DA839" s="227"/>
      <c r="DB839" s="227"/>
      <c r="DC839" s="227"/>
      <c r="DD839" s="227"/>
      <c r="DE839" s="227"/>
      <c r="DF839" s="227"/>
      <c r="DG839" s="227"/>
      <c r="DH839" s="227"/>
      <c r="DI839" s="227"/>
      <c r="DJ839" s="227"/>
      <c r="DK839" s="227"/>
      <c r="DL839" s="227"/>
      <c r="DM839" s="227"/>
      <c r="DN839" s="227"/>
      <c r="DO839" s="227"/>
      <c r="DP839" s="227"/>
      <c r="DQ839" s="227"/>
      <c r="DR839" s="227"/>
      <c r="DS839" s="227"/>
      <c r="DT839" s="227"/>
      <c r="DU839" s="227"/>
      <c r="DV839" s="227"/>
      <c r="DW839" s="227"/>
      <c r="DX839" s="227"/>
      <c r="DY839" s="227"/>
      <c r="DZ839" s="227"/>
      <c r="EA839" s="227"/>
      <c r="EB839" s="227"/>
      <c r="EC839" s="227"/>
      <c r="ED839" s="227"/>
      <c r="EE839" s="227"/>
      <c r="EF839" s="227"/>
      <c r="EG839" s="227"/>
      <c r="EH839" s="227"/>
      <c r="EI839" s="227"/>
      <c r="EJ839" s="227"/>
      <c r="EK839" s="227"/>
      <c r="EL839" s="227"/>
      <c r="EM839" s="227"/>
      <c r="EN839" s="227"/>
      <c r="EO839" s="227"/>
      <c r="EP839" s="227"/>
      <c r="EQ839" s="227"/>
      <c r="ER839" s="227"/>
      <c r="ES839" s="227"/>
      <c r="ET839" s="227"/>
      <c r="EU839" s="227"/>
      <c r="EV839" s="227"/>
      <c r="EW839" s="227"/>
      <c r="EX839" s="227"/>
      <c r="EY839" s="227"/>
      <c r="EZ839" s="227"/>
      <c r="FA839" s="227"/>
      <c r="FB839" s="227"/>
      <c r="FC839" s="227"/>
      <c r="FD839" s="227"/>
      <c r="FE839" s="227"/>
      <c r="FF839" s="227"/>
      <c r="FG839" s="227"/>
      <c r="FH839" s="227"/>
      <c r="FI839" s="227"/>
      <c r="FJ839" s="227"/>
      <c r="FK839" s="227"/>
      <c r="FL839" s="227"/>
      <c r="FM839" s="227"/>
      <c r="FN839" s="227"/>
      <c r="FO839" s="227"/>
      <c r="FP839" s="227"/>
      <c r="FQ839" s="227"/>
      <c r="FR839" s="227"/>
      <c r="FS839" s="227"/>
      <c r="FT839" s="227"/>
      <c r="FU839" s="227"/>
      <c r="FV839" s="227"/>
      <c r="FW839" s="227"/>
      <c r="FX839" s="227"/>
      <c r="FY839" s="227"/>
      <c r="FZ839" s="227"/>
      <c r="GA839" s="227"/>
      <c r="GB839" s="227"/>
      <c r="GC839" s="227"/>
      <c r="GD839" s="227"/>
      <c r="GE839" s="227"/>
      <c r="GF839" s="227"/>
      <c r="GG839" s="227"/>
      <c r="GH839" s="227"/>
      <c r="GI839" s="227"/>
      <c r="GJ839" s="227"/>
      <c r="GK839" s="227"/>
      <c r="GL839" s="227"/>
      <c r="GM839" s="227"/>
      <c r="GN839" s="227"/>
    </row>
    <row r="840" ht="15.75" customHeight="1">
      <c r="A840" s="212"/>
      <c r="B840" s="21"/>
      <c r="C840" s="21"/>
      <c r="D840" s="213"/>
      <c r="E840" s="214"/>
      <c r="F840" s="215"/>
      <c r="G840" s="21"/>
      <c r="H840" s="225"/>
      <c r="I840" s="110"/>
      <c r="J840" s="110"/>
      <c r="K840" s="110"/>
      <c r="L840" s="110"/>
      <c r="M840" s="110"/>
      <c r="N840" s="110"/>
      <c r="O840" s="110"/>
      <c r="P840" s="110"/>
      <c r="Q840" s="110"/>
      <c r="R840" s="21"/>
      <c r="S840" s="110"/>
      <c r="T840" s="110"/>
      <c r="U840" s="110"/>
      <c r="V840" s="110"/>
      <c r="W840" s="110"/>
      <c r="X840" s="110"/>
      <c r="Y840" s="110"/>
      <c r="Z840" s="110"/>
      <c r="AA840" s="227"/>
      <c r="AB840" s="227"/>
      <c r="AC840" s="227"/>
      <c r="AD840" s="227"/>
      <c r="AE840" s="227"/>
      <c r="AF840" s="227"/>
      <c r="AG840" s="227"/>
      <c r="AH840" s="227"/>
      <c r="AI840" s="227"/>
      <c r="AJ840" s="227"/>
      <c r="AK840" s="227"/>
      <c r="AL840" s="227"/>
      <c r="AM840" s="227"/>
      <c r="AN840" s="227"/>
      <c r="AO840" s="227"/>
      <c r="AP840" s="227"/>
      <c r="AQ840" s="227"/>
      <c r="AR840" s="227"/>
      <c r="AS840" s="227"/>
      <c r="AT840" s="227"/>
      <c r="AU840" s="227"/>
      <c r="AV840" s="227"/>
      <c r="AW840" s="227"/>
      <c r="AX840" s="227"/>
      <c r="AY840" s="227"/>
      <c r="AZ840" s="227"/>
      <c r="BA840" s="227"/>
      <c r="BB840" s="227"/>
      <c r="BC840" s="227"/>
      <c r="BD840" s="227"/>
      <c r="BE840" s="227"/>
      <c r="BF840" s="227"/>
      <c r="BG840" s="227"/>
      <c r="BH840" s="227"/>
      <c r="BI840" s="227"/>
      <c r="BJ840" s="227"/>
      <c r="BK840" s="227"/>
      <c r="BL840" s="227"/>
      <c r="BM840" s="227"/>
      <c r="BN840" s="227"/>
      <c r="BO840" s="227"/>
      <c r="BP840" s="227"/>
      <c r="BQ840" s="227"/>
      <c r="BR840" s="227"/>
      <c r="BS840" s="227"/>
      <c r="BT840" s="227"/>
      <c r="BU840" s="227"/>
      <c r="BV840" s="227"/>
      <c r="BW840" s="227"/>
      <c r="BX840" s="227"/>
      <c r="BY840" s="227"/>
      <c r="BZ840" s="227"/>
      <c r="CA840" s="227"/>
      <c r="CB840" s="227"/>
      <c r="CC840" s="227"/>
      <c r="CD840" s="227"/>
      <c r="CE840" s="227"/>
      <c r="CF840" s="227"/>
      <c r="CG840" s="227"/>
      <c r="CH840" s="227"/>
      <c r="CI840" s="227"/>
      <c r="CJ840" s="227"/>
      <c r="CK840" s="227"/>
      <c r="CL840" s="227"/>
      <c r="CM840" s="227"/>
      <c r="CN840" s="227"/>
      <c r="CO840" s="227"/>
      <c r="CP840" s="227"/>
      <c r="CQ840" s="227"/>
      <c r="CR840" s="227"/>
      <c r="CS840" s="227"/>
      <c r="CT840" s="227"/>
      <c r="CU840" s="227"/>
      <c r="CV840" s="227"/>
      <c r="CW840" s="227"/>
      <c r="CX840" s="227"/>
      <c r="CY840" s="227"/>
      <c r="CZ840" s="227"/>
      <c r="DA840" s="227"/>
      <c r="DB840" s="227"/>
      <c r="DC840" s="227"/>
      <c r="DD840" s="227"/>
      <c r="DE840" s="227"/>
      <c r="DF840" s="227"/>
      <c r="DG840" s="227"/>
      <c r="DH840" s="227"/>
      <c r="DI840" s="227"/>
      <c r="DJ840" s="227"/>
      <c r="DK840" s="227"/>
      <c r="DL840" s="227"/>
      <c r="DM840" s="227"/>
      <c r="DN840" s="227"/>
      <c r="DO840" s="227"/>
      <c r="DP840" s="227"/>
      <c r="DQ840" s="227"/>
      <c r="DR840" s="227"/>
      <c r="DS840" s="227"/>
      <c r="DT840" s="227"/>
      <c r="DU840" s="227"/>
      <c r="DV840" s="227"/>
      <c r="DW840" s="227"/>
      <c r="DX840" s="227"/>
      <c r="DY840" s="227"/>
      <c r="DZ840" s="227"/>
      <c r="EA840" s="227"/>
      <c r="EB840" s="227"/>
      <c r="EC840" s="227"/>
      <c r="ED840" s="227"/>
      <c r="EE840" s="227"/>
      <c r="EF840" s="227"/>
      <c r="EG840" s="227"/>
      <c r="EH840" s="227"/>
      <c r="EI840" s="227"/>
      <c r="EJ840" s="227"/>
      <c r="EK840" s="227"/>
      <c r="EL840" s="227"/>
      <c r="EM840" s="227"/>
      <c r="EN840" s="227"/>
      <c r="EO840" s="227"/>
      <c r="EP840" s="227"/>
      <c r="EQ840" s="227"/>
      <c r="ER840" s="227"/>
      <c r="ES840" s="227"/>
      <c r="ET840" s="227"/>
      <c r="EU840" s="227"/>
      <c r="EV840" s="227"/>
      <c r="EW840" s="227"/>
      <c r="EX840" s="227"/>
      <c r="EY840" s="227"/>
      <c r="EZ840" s="227"/>
      <c r="FA840" s="227"/>
      <c r="FB840" s="227"/>
      <c r="FC840" s="227"/>
      <c r="FD840" s="227"/>
      <c r="FE840" s="227"/>
      <c r="FF840" s="227"/>
      <c r="FG840" s="227"/>
      <c r="FH840" s="227"/>
      <c r="FI840" s="227"/>
      <c r="FJ840" s="227"/>
      <c r="FK840" s="227"/>
      <c r="FL840" s="227"/>
      <c r="FM840" s="227"/>
      <c r="FN840" s="227"/>
      <c r="FO840" s="227"/>
      <c r="FP840" s="227"/>
      <c r="FQ840" s="227"/>
      <c r="FR840" s="227"/>
      <c r="FS840" s="227"/>
      <c r="FT840" s="227"/>
      <c r="FU840" s="227"/>
      <c r="FV840" s="227"/>
      <c r="FW840" s="227"/>
      <c r="FX840" s="227"/>
      <c r="FY840" s="227"/>
      <c r="FZ840" s="227"/>
      <c r="GA840" s="227"/>
      <c r="GB840" s="227"/>
      <c r="GC840" s="227"/>
      <c r="GD840" s="227"/>
      <c r="GE840" s="227"/>
      <c r="GF840" s="227"/>
      <c r="GG840" s="227"/>
      <c r="GH840" s="227"/>
      <c r="GI840" s="227"/>
      <c r="GJ840" s="227"/>
      <c r="GK840" s="227"/>
      <c r="GL840" s="227"/>
      <c r="GM840" s="227"/>
      <c r="GN840" s="227"/>
    </row>
    <row r="841" ht="15.75" customHeight="1">
      <c r="A841" s="212"/>
      <c r="B841" s="21"/>
      <c r="C841" s="21"/>
      <c r="D841" s="213"/>
      <c r="E841" s="214"/>
      <c r="F841" s="215"/>
      <c r="G841" s="21"/>
      <c r="H841" s="225"/>
      <c r="I841" s="110"/>
      <c r="J841" s="110"/>
      <c r="K841" s="110"/>
      <c r="L841" s="110"/>
      <c r="M841" s="110"/>
      <c r="N841" s="110"/>
      <c r="O841" s="110"/>
      <c r="P841" s="110"/>
      <c r="Q841" s="110"/>
      <c r="R841" s="21"/>
      <c r="S841" s="110"/>
      <c r="T841" s="110"/>
      <c r="U841" s="110"/>
      <c r="V841" s="110"/>
      <c r="W841" s="110"/>
      <c r="X841" s="110"/>
      <c r="Y841" s="110"/>
      <c r="Z841" s="110"/>
      <c r="AA841" s="227"/>
      <c r="AB841" s="227"/>
      <c r="AC841" s="227"/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7"/>
      <c r="AR841" s="227"/>
      <c r="AS841" s="227"/>
      <c r="AT841" s="227"/>
      <c r="AU841" s="227"/>
      <c r="AV841" s="227"/>
      <c r="AW841" s="227"/>
      <c r="AX841" s="227"/>
      <c r="AY841" s="227"/>
      <c r="AZ841" s="227"/>
      <c r="BA841" s="227"/>
      <c r="BB841" s="227"/>
      <c r="BC841" s="227"/>
      <c r="BD841" s="227"/>
      <c r="BE841" s="227"/>
      <c r="BF841" s="227"/>
      <c r="BG841" s="227"/>
      <c r="BH841" s="227"/>
      <c r="BI841" s="227"/>
      <c r="BJ841" s="227"/>
      <c r="BK841" s="227"/>
      <c r="BL841" s="227"/>
      <c r="BM841" s="227"/>
      <c r="BN841" s="227"/>
      <c r="BO841" s="227"/>
      <c r="BP841" s="227"/>
      <c r="BQ841" s="227"/>
      <c r="BR841" s="227"/>
      <c r="BS841" s="227"/>
      <c r="BT841" s="227"/>
      <c r="BU841" s="227"/>
      <c r="BV841" s="227"/>
      <c r="BW841" s="227"/>
      <c r="BX841" s="227"/>
      <c r="BY841" s="227"/>
      <c r="BZ841" s="227"/>
      <c r="CA841" s="227"/>
      <c r="CB841" s="227"/>
      <c r="CC841" s="227"/>
      <c r="CD841" s="227"/>
      <c r="CE841" s="227"/>
      <c r="CF841" s="227"/>
      <c r="CG841" s="227"/>
      <c r="CH841" s="227"/>
      <c r="CI841" s="227"/>
      <c r="CJ841" s="227"/>
      <c r="CK841" s="227"/>
      <c r="CL841" s="227"/>
      <c r="CM841" s="227"/>
      <c r="CN841" s="227"/>
      <c r="CO841" s="227"/>
      <c r="CP841" s="227"/>
      <c r="CQ841" s="227"/>
      <c r="CR841" s="227"/>
      <c r="CS841" s="227"/>
      <c r="CT841" s="227"/>
      <c r="CU841" s="227"/>
      <c r="CV841" s="227"/>
      <c r="CW841" s="227"/>
      <c r="CX841" s="227"/>
      <c r="CY841" s="227"/>
      <c r="CZ841" s="227"/>
      <c r="DA841" s="227"/>
      <c r="DB841" s="227"/>
      <c r="DC841" s="227"/>
      <c r="DD841" s="227"/>
      <c r="DE841" s="227"/>
      <c r="DF841" s="227"/>
      <c r="DG841" s="227"/>
      <c r="DH841" s="227"/>
      <c r="DI841" s="227"/>
      <c r="DJ841" s="227"/>
      <c r="DK841" s="227"/>
      <c r="DL841" s="227"/>
      <c r="DM841" s="227"/>
      <c r="DN841" s="227"/>
      <c r="DO841" s="227"/>
      <c r="DP841" s="227"/>
      <c r="DQ841" s="227"/>
      <c r="DR841" s="227"/>
      <c r="DS841" s="227"/>
      <c r="DT841" s="227"/>
      <c r="DU841" s="227"/>
      <c r="DV841" s="227"/>
      <c r="DW841" s="227"/>
      <c r="DX841" s="227"/>
      <c r="DY841" s="227"/>
      <c r="DZ841" s="227"/>
      <c r="EA841" s="227"/>
      <c r="EB841" s="227"/>
      <c r="EC841" s="227"/>
      <c r="ED841" s="227"/>
      <c r="EE841" s="227"/>
      <c r="EF841" s="227"/>
      <c r="EG841" s="227"/>
      <c r="EH841" s="227"/>
      <c r="EI841" s="227"/>
      <c r="EJ841" s="227"/>
      <c r="EK841" s="227"/>
      <c r="EL841" s="227"/>
      <c r="EM841" s="227"/>
      <c r="EN841" s="227"/>
      <c r="EO841" s="227"/>
      <c r="EP841" s="227"/>
      <c r="EQ841" s="227"/>
      <c r="ER841" s="227"/>
      <c r="ES841" s="227"/>
      <c r="ET841" s="227"/>
      <c r="EU841" s="227"/>
      <c r="EV841" s="227"/>
      <c r="EW841" s="227"/>
      <c r="EX841" s="227"/>
      <c r="EY841" s="227"/>
      <c r="EZ841" s="227"/>
      <c r="FA841" s="227"/>
      <c r="FB841" s="227"/>
      <c r="FC841" s="227"/>
      <c r="FD841" s="227"/>
      <c r="FE841" s="227"/>
      <c r="FF841" s="227"/>
      <c r="FG841" s="227"/>
      <c r="FH841" s="227"/>
      <c r="FI841" s="227"/>
      <c r="FJ841" s="227"/>
      <c r="FK841" s="227"/>
      <c r="FL841" s="227"/>
      <c r="FM841" s="227"/>
      <c r="FN841" s="227"/>
      <c r="FO841" s="227"/>
      <c r="FP841" s="227"/>
      <c r="FQ841" s="227"/>
      <c r="FR841" s="227"/>
      <c r="FS841" s="227"/>
      <c r="FT841" s="227"/>
      <c r="FU841" s="227"/>
      <c r="FV841" s="227"/>
      <c r="FW841" s="227"/>
      <c r="FX841" s="227"/>
      <c r="FY841" s="227"/>
      <c r="FZ841" s="227"/>
      <c r="GA841" s="227"/>
      <c r="GB841" s="227"/>
      <c r="GC841" s="227"/>
      <c r="GD841" s="227"/>
      <c r="GE841" s="227"/>
      <c r="GF841" s="227"/>
      <c r="GG841" s="227"/>
      <c r="GH841" s="227"/>
      <c r="GI841" s="227"/>
      <c r="GJ841" s="227"/>
      <c r="GK841" s="227"/>
      <c r="GL841" s="227"/>
      <c r="GM841" s="227"/>
      <c r="GN841" s="227"/>
    </row>
    <row r="842" ht="15.75" customHeight="1">
      <c r="A842" s="212"/>
      <c r="B842" s="21"/>
      <c r="C842" s="21"/>
      <c r="D842" s="213"/>
      <c r="E842" s="214"/>
      <c r="F842" s="215"/>
      <c r="G842" s="21"/>
      <c r="H842" s="225"/>
      <c r="I842" s="110"/>
      <c r="J842" s="110"/>
      <c r="K842" s="110"/>
      <c r="L842" s="110"/>
      <c r="M842" s="110"/>
      <c r="N842" s="110"/>
      <c r="O842" s="110"/>
      <c r="P842" s="110"/>
      <c r="Q842" s="110"/>
      <c r="R842" s="21"/>
      <c r="S842" s="110"/>
      <c r="T842" s="110"/>
      <c r="U842" s="110"/>
      <c r="V842" s="110"/>
      <c r="W842" s="110"/>
      <c r="X842" s="110"/>
      <c r="Y842" s="110"/>
      <c r="Z842" s="110"/>
      <c r="AA842" s="227"/>
      <c r="AB842" s="227"/>
      <c r="AC842" s="227"/>
      <c r="AD842" s="227"/>
      <c r="AE842" s="227"/>
      <c r="AF842" s="227"/>
      <c r="AG842" s="227"/>
      <c r="AH842" s="227"/>
      <c r="AI842" s="227"/>
      <c r="AJ842" s="227"/>
      <c r="AK842" s="227"/>
      <c r="AL842" s="227"/>
      <c r="AM842" s="227"/>
      <c r="AN842" s="227"/>
      <c r="AO842" s="227"/>
      <c r="AP842" s="227"/>
      <c r="AQ842" s="227"/>
      <c r="AR842" s="227"/>
      <c r="AS842" s="227"/>
      <c r="AT842" s="227"/>
      <c r="AU842" s="227"/>
      <c r="AV842" s="227"/>
      <c r="AW842" s="227"/>
      <c r="AX842" s="227"/>
      <c r="AY842" s="227"/>
      <c r="AZ842" s="227"/>
      <c r="BA842" s="227"/>
      <c r="BB842" s="227"/>
      <c r="BC842" s="227"/>
      <c r="BD842" s="227"/>
      <c r="BE842" s="227"/>
      <c r="BF842" s="227"/>
      <c r="BG842" s="227"/>
      <c r="BH842" s="227"/>
      <c r="BI842" s="227"/>
      <c r="BJ842" s="227"/>
      <c r="BK842" s="227"/>
      <c r="BL842" s="227"/>
      <c r="BM842" s="227"/>
      <c r="BN842" s="227"/>
      <c r="BO842" s="227"/>
      <c r="BP842" s="227"/>
      <c r="BQ842" s="227"/>
      <c r="BR842" s="227"/>
      <c r="BS842" s="227"/>
      <c r="BT842" s="227"/>
      <c r="BU842" s="227"/>
      <c r="BV842" s="227"/>
      <c r="BW842" s="227"/>
      <c r="BX842" s="227"/>
      <c r="BY842" s="227"/>
      <c r="BZ842" s="227"/>
      <c r="CA842" s="227"/>
      <c r="CB842" s="227"/>
      <c r="CC842" s="227"/>
      <c r="CD842" s="227"/>
      <c r="CE842" s="227"/>
      <c r="CF842" s="227"/>
      <c r="CG842" s="227"/>
      <c r="CH842" s="227"/>
      <c r="CI842" s="227"/>
      <c r="CJ842" s="227"/>
      <c r="CK842" s="227"/>
      <c r="CL842" s="227"/>
      <c r="CM842" s="227"/>
      <c r="CN842" s="227"/>
      <c r="CO842" s="227"/>
      <c r="CP842" s="227"/>
      <c r="CQ842" s="227"/>
      <c r="CR842" s="227"/>
      <c r="CS842" s="227"/>
      <c r="CT842" s="227"/>
      <c r="CU842" s="227"/>
      <c r="CV842" s="227"/>
      <c r="CW842" s="227"/>
      <c r="CX842" s="227"/>
      <c r="CY842" s="227"/>
      <c r="CZ842" s="227"/>
      <c r="DA842" s="227"/>
      <c r="DB842" s="227"/>
      <c r="DC842" s="227"/>
      <c r="DD842" s="227"/>
      <c r="DE842" s="227"/>
      <c r="DF842" s="227"/>
      <c r="DG842" s="227"/>
      <c r="DH842" s="227"/>
      <c r="DI842" s="227"/>
      <c r="DJ842" s="227"/>
      <c r="DK842" s="227"/>
      <c r="DL842" s="227"/>
      <c r="DM842" s="227"/>
      <c r="DN842" s="227"/>
      <c r="DO842" s="227"/>
      <c r="DP842" s="227"/>
      <c r="DQ842" s="227"/>
      <c r="DR842" s="227"/>
      <c r="DS842" s="227"/>
      <c r="DT842" s="227"/>
      <c r="DU842" s="227"/>
      <c r="DV842" s="227"/>
      <c r="DW842" s="227"/>
      <c r="DX842" s="227"/>
      <c r="DY842" s="227"/>
      <c r="DZ842" s="227"/>
      <c r="EA842" s="227"/>
      <c r="EB842" s="227"/>
      <c r="EC842" s="227"/>
      <c r="ED842" s="227"/>
      <c r="EE842" s="227"/>
      <c r="EF842" s="227"/>
      <c r="EG842" s="227"/>
      <c r="EH842" s="227"/>
      <c r="EI842" s="227"/>
      <c r="EJ842" s="227"/>
      <c r="EK842" s="227"/>
      <c r="EL842" s="227"/>
      <c r="EM842" s="227"/>
      <c r="EN842" s="227"/>
      <c r="EO842" s="227"/>
      <c r="EP842" s="227"/>
      <c r="EQ842" s="227"/>
      <c r="ER842" s="227"/>
      <c r="ES842" s="227"/>
      <c r="ET842" s="227"/>
      <c r="EU842" s="227"/>
      <c r="EV842" s="227"/>
      <c r="EW842" s="227"/>
      <c r="EX842" s="227"/>
      <c r="EY842" s="227"/>
      <c r="EZ842" s="227"/>
      <c r="FA842" s="227"/>
      <c r="FB842" s="227"/>
      <c r="FC842" s="227"/>
      <c r="FD842" s="227"/>
      <c r="FE842" s="227"/>
      <c r="FF842" s="227"/>
      <c r="FG842" s="227"/>
      <c r="FH842" s="227"/>
      <c r="FI842" s="227"/>
      <c r="FJ842" s="227"/>
      <c r="FK842" s="227"/>
      <c r="FL842" s="227"/>
      <c r="FM842" s="227"/>
      <c r="FN842" s="227"/>
      <c r="FO842" s="227"/>
      <c r="FP842" s="227"/>
      <c r="FQ842" s="227"/>
      <c r="FR842" s="227"/>
      <c r="FS842" s="227"/>
      <c r="FT842" s="227"/>
      <c r="FU842" s="227"/>
      <c r="FV842" s="227"/>
      <c r="FW842" s="227"/>
      <c r="FX842" s="227"/>
      <c r="FY842" s="227"/>
      <c r="FZ842" s="227"/>
      <c r="GA842" s="227"/>
      <c r="GB842" s="227"/>
      <c r="GC842" s="227"/>
      <c r="GD842" s="227"/>
      <c r="GE842" s="227"/>
      <c r="GF842" s="227"/>
      <c r="GG842" s="227"/>
      <c r="GH842" s="227"/>
      <c r="GI842" s="227"/>
      <c r="GJ842" s="227"/>
      <c r="GK842" s="227"/>
      <c r="GL842" s="227"/>
      <c r="GM842" s="227"/>
      <c r="GN842" s="227"/>
    </row>
    <row r="843">
      <c r="A843" s="212"/>
      <c r="B843" s="21"/>
      <c r="C843" s="21"/>
      <c r="D843" s="213"/>
      <c r="E843" s="214"/>
      <c r="F843" s="215"/>
      <c r="G843" s="21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221"/>
      <c r="X843" s="221"/>
      <c r="Y843" s="221"/>
      <c r="Z843" s="221"/>
      <c r="AA843" s="228"/>
      <c r="AB843" s="228"/>
      <c r="AC843" s="228"/>
      <c r="AD843" s="228"/>
      <c r="AE843" s="228"/>
      <c r="AF843" s="228"/>
      <c r="AG843" s="228"/>
      <c r="AH843" s="228"/>
      <c r="AI843" s="228"/>
      <c r="AJ843" s="228"/>
      <c r="AK843" s="228"/>
      <c r="AL843" s="228"/>
      <c r="AM843" s="228"/>
      <c r="AN843" s="228"/>
      <c r="AO843" s="228"/>
      <c r="AP843" s="228"/>
      <c r="AQ843" s="228"/>
      <c r="AR843" s="228"/>
      <c r="AS843" s="228"/>
      <c r="AT843" s="228"/>
      <c r="AU843" s="228"/>
      <c r="AV843" s="228"/>
      <c r="AW843" s="228"/>
      <c r="AX843" s="228"/>
      <c r="AY843" s="228"/>
      <c r="AZ843" s="228"/>
      <c r="BA843" s="228"/>
      <c r="BB843" s="228"/>
      <c r="BC843" s="228"/>
      <c r="BD843" s="228"/>
      <c r="BE843" s="228"/>
      <c r="BF843" s="228"/>
      <c r="BG843" s="228"/>
      <c r="BH843" s="228"/>
      <c r="BI843" s="228"/>
      <c r="BJ843" s="228"/>
      <c r="BK843" s="228"/>
      <c r="BL843" s="228"/>
      <c r="BM843" s="228"/>
      <c r="BN843" s="228"/>
      <c r="BO843" s="228"/>
      <c r="BP843" s="228"/>
      <c r="BQ843" s="228"/>
      <c r="BR843" s="228"/>
      <c r="BS843" s="228"/>
      <c r="BT843" s="228"/>
      <c r="BU843" s="228"/>
      <c r="BV843" s="228"/>
      <c r="BW843" s="228"/>
      <c r="BX843" s="228"/>
      <c r="BY843" s="228"/>
      <c r="BZ843" s="228"/>
      <c r="CA843" s="228"/>
      <c r="CB843" s="228"/>
      <c r="CC843" s="228"/>
      <c r="CD843" s="228"/>
      <c r="CE843" s="228"/>
      <c r="CF843" s="228"/>
      <c r="CG843" s="228"/>
      <c r="CH843" s="228"/>
      <c r="CI843" s="228"/>
      <c r="CJ843" s="228"/>
      <c r="CK843" s="228"/>
      <c r="CL843" s="228"/>
      <c r="CM843" s="228"/>
      <c r="CN843" s="228"/>
      <c r="CO843" s="228"/>
      <c r="CP843" s="228"/>
      <c r="CQ843" s="228"/>
      <c r="CR843" s="228"/>
      <c r="CS843" s="228"/>
      <c r="CT843" s="228"/>
      <c r="CU843" s="228"/>
      <c r="CV843" s="228"/>
      <c r="CW843" s="228"/>
      <c r="CX843" s="228"/>
      <c r="CY843" s="228"/>
      <c r="CZ843" s="228"/>
      <c r="DA843" s="228"/>
      <c r="DB843" s="228"/>
      <c r="DC843" s="228"/>
      <c r="DD843" s="228"/>
      <c r="DE843" s="228"/>
      <c r="DF843" s="228"/>
      <c r="DG843" s="228"/>
      <c r="DH843" s="228"/>
      <c r="DI843" s="228"/>
      <c r="DJ843" s="228"/>
      <c r="DK843" s="228"/>
      <c r="DL843" s="228"/>
      <c r="DM843" s="228"/>
      <c r="DN843" s="228"/>
      <c r="DO843" s="228"/>
      <c r="DP843" s="228"/>
      <c r="DQ843" s="228"/>
      <c r="DR843" s="228"/>
      <c r="DS843" s="228"/>
      <c r="DT843" s="228"/>
      <c r="DU843" s="228"/>
      <c r="DV843" s="228"/>
      <c r="DW843" s="228"/>
      <c r="DX843" s="228"/>
      <c r="DY843" s="228"/>
      <c r="DZ843" s="228"/>
      <c r="EA843" s="228"/>
      <c r="EB843" s="228"/>
      <c r="EC843" s="228"/>
      <c r="ED843" s="228"/>
      <c r="EE843" s="228"/>
      <c r="EF843" s="228"/>
      <c r="EG843" s="228"/>
      <c r="EH843" s="228"/>
      <c r="EI843" s="228"/>
      <c r="EJ843" s="228"/>
      <c r="EK843" s="228"/>
      <c r="EL843" s="228"/>
      <c r="EM843" s="228"/>
      <c r="EN843" s="228"/>
      <c r="EO843" s="228"/>
      <c r="EP843" s="228"/>
      <c r="EQ843" s="228"/>
      <c r="ER843" s="228"/>
      <c r="ES843" s="228"/>
      <c r="ET843" s="228"/>
      <c r="EU843" s="228"/>
      <c r="EV843" s="228"/>
      <c r="EW843" s="228"/>
      <c r="EX843" s="228"/>
      <c r="EY843" s="228"/>
      <c r="EZ843" s="228"/>
      <c r="FA843" s="228"/>
      <c r="FB843" s="228"/>
      <c r="FC843" s="228"/>
      <c r="FD843" s="228"/>
      <c r="FE843" s="228"/>
      <c r="FF843" s="228"/>
      <c r="FG843" s="228"/>
      <c r="FH843" s="228"/>
      <c r="FI843" s="228"/>
      <c r="FJ843" s="228"/>
      <c r="FK843" s="228"/>
      <c r="FL843" s="228"/>
      <c r="FM843" s="228"/>
      <c r="FN843" s="228"/>
      <c r="FO843" s="228"/>
      <c r="FP843" s="228"/>
      <c r="FQ843" s="228"/>
      <c r="FR843" s="228"/>
      <c r="FS843" s="228"/>
      <c r="FT843" s="228"/>
      <c r="FU843" s="228"/>
      <c r="FV843" s="228"/>
      <c r="FW843" s="228"/>
      <c r="FX843" s="228"/>
      <c r="FY843" s="228"/>
      <c r="FZ843" s="228"/>
      <c r="GA843" s="228"/>
      <c r="GB843" s="228"/>
      <c r="GC843" s="228"/>
      <c r="GD843" s="228"/>
      <c r="GE843" s="228"/>
      <c r="GF843" s="228"/>
      <c r="GG843" s="228"/>
      <c r="GH843" s="228"/>
      <c r="GI843" s="228"/>
      <c r="GJ843" s="228"/>
      <c r="GK843" s="228"/>
      <c r="GL843" s="228"/>
      <c r="GM843" s="228"/>
      <c r="GN843" s="228"/>
    </row>
    <row r="844" ht="15.75" customHeight="1">
      <c r="A844" s="212"/>
      <c r="B844" s="21"/>
      <c r="C844" s="21"/>
      <c r="D844" s="213"/>
      <c r="E844" s="214"/>
      <c r="F844" s="215"/>
      <c r="G844" s="21"/>
      <c r="H844" s="225"/>
      <c r="I844" s="110"/>
      <c r="J844" s="110"/>
      <c r="K844" s="110"/>
      <c r="L844" s="110"/>
      <c r="M844" s="110"/>
      <c r="N844" s="110"/>
      <c r="O844" s="110"/>
      <c r="P844" s="110"/>
      <c r="Q844" s="110"/>
      <c r="R844" s="21"/>
      <c r="S844" s="110"/>
      <c r="T844" s="110"/>
      <c r="U844" s="110"/>
      <c r="V844" s="110"/>
      <c r="W844" s="110"/>
      <c r="X844" s="110"/>
      <c r="Y844" s="110"/>
      <c r="Z844" s="110"/>
      <c r="AA844" s="227"/>
      <c r="AB844" s="227"/>
      <c r="AC844" s="227"/>
      <c r="AD844" s="227"/>
      <c r="AE844" s="227"/>
      <c r="AF844" s="227"/>
      <c r="AG844" s="227"/>
      <c r="AH844" s="227"/>
      <c r="AI844" s="227"/>
      <c r="AJ844" s="227"/>
      <c r="AK844" s="227"/>
      <c r="AL844" s="227"/>
      <c r="AM844" s="227"/>
      <c r="AN844" s="227"/>
      <c r="AO844" s="227"/>
      <c r="AP844" s="227"/>
      <c r="AQ844" s="227"/>
      <c r="AR844" s="227"/>
      <c r="AS844" s="227"/>
      <c r="AT844" s="227"/>
      <c r="AU844" s="227"/>
      <c r="AV844" s="227"/>
      <c r="AW844" s="227"/>
      <c r="AX844" s="227"/>
      <c r="AY844" s="227"/>
      <c r="AZ844" s="227"/>
      <c r="BA844" s="227"/>
      <c r="BB844" s="227"/>
      <c r="BC844" s="227"/>
      <c r="BD844" s="227"/>
      <c r="BE844" s="227"/>
      <c r="BF844" s="227"/>
      <c r="BG844" s="227"/>
      <c r="BH844" s="227"/>
      <c r="BI844" s="227"/>
      <c r="BJ844" s="227"/>
      <c r="BK844" s="227"/>
      <c r="BL844" s="227"/>
      <c r="BM844" s="227"/>
      <c r="BN844" s="227"/>
      <c r="BO844" s="227"/>
      <c r="BP844" s="227"/>
      <c r="BQ844" s="227"/>
      <c r="BR844" s="227"/>
      <c r="BS844" s="227"/>
      <c r="BT844" s="227"/>
      <c r="BU844" s="227"/>
      <c r="BV844" s="227"/>
      <c r="BW844" s="227"/>
      <c r="BX844" s="227"/>
      <c r="BY844" s="227"/>
      <c r="BZ844" s="227"/>
      <c r="CA844" s="227"/>
      <c r="CB844" s="227"/>
      <c r="CC844" s="227"/>
      <c r="CD844" s="227"/>
      <c r="CE844" s="227"/>
      <c r="CF844" s="227"/>
      <c r="CG844" s="227"/>
      <c r="CH844" s="227"/>
      <c r="CI844" s="227"/>
      <c r="CJ844" s="227"/>
      <c r="CK844" s="227"/>
      <c r="CL844" s="227"/>
      <c r="CM844" s="227"/>
      <c r="CN844" s="227"/>
      <c r="CO844" s="227"/>
      <c r="CP844" s="227"/>
      <c r="CQ844" s="227"/>
      <c r="CR844" s="227"/>
      <c r="CS844" s="227"/>
      <c r="CT844" s="227"/>
      <c r="CU844" s="227"/>
      <c r="CV844" s="227"/>
      <c r="CW844" s="227"/>
      <c r="CX844" s="227"/>
      <c r="CY844" s="227"/>
      <c r="CZ844" s="227"/>
      <c r="DA844" s="227"/>
      <c r="DB844" s="227"/>
      <c r="DC844" s="227"/>
      <c r="DD844" s="227"/>
      <c r="DE844" s="227"/>
      <c r="DF844" s="227"/>
      <c r="DG844" s="227"/>
      <c r="DH844" s="227"/>
      <c r="DI844" s="227"/>
      <c r="DJ844" s="227"/>
      <c r="DK844" s="227"/>
      <c r="DL844" s="227"/>
      <c r="DM844" s="227"/>
      <c r="DN844" s="227"/>
      <c r="DO844" s="227"/>
      <c r="DP844" s="227"/>
      <c r="DQ844" s="227"/>
      <c r="DR844" s="227"/>
      <c r="DS844" s="227"/>
      <c r="DT844" s="227"/>
      <c r="DU844" s="227"/>
      <c r="DV844" s="227"/>
      <c r="DW844" s="227"/>
      <c r="DX844" s="227"/>
      <c r="DY844" s="227"/>
      <c r="DZ844" s="227"/>
      <c r="EA844" s="227"/>
      <c r="EB844" s="227"/>
      <c r="EC844" s="227"/>
      <c r="ED844" s="227"/>
      <c r="EE844" s="227"/>
      <c r="EF844" s="227"/>
      <c r="EG844" s="227"/>
      <c r="EH844" s="227"/>
      <c r="EI844" s="227"/>
      <c r="EJ844" s="227"/>
      <c r="EK844" s="227"/>
      <c r="EL844" s="227"/>
      <c r="EM844" s="227"/>
      <c r="EN844" s="227"/>
      <c r="EO844" s="227"/>
      <c r="EP844" s="227"/>
      <c r="EQ844" s="227"/>
      <c r="ER844" s="227"/>
      <c r="ES844" s="227"/>
      <c r="ET844" s="227"/>
      <c r="EU844" s="227"/>
      <c r="EV844" s="227"/>
      <c r="EW844" s="227"/>
      <c r="EX844" s="227"/>
      <c r="EY844" s="227"/>
      <c r="EZ844" s="227"/>
      <c r="FA844" s="227"/>
      <c r="FB844" s="227"/>
      <c r="FC844" s="227"/>
      <c r="FD844" s="227"/>
      <c r="FE844" s="227"/>
      <c r="FF844" s="227"/>
      <c r="FG844" s="227"/>
      <c r="FH844" s="227"/>
      <c r="FI844" s="227"/>
      <c r="FJ844" s="227"/>
      <c r="FK844" s="227"/>
      <c r="FL844" s="227"/>
      <c r="FM844" s="227"/>
      <c r="FN844" s="227"/>
      <c r="FO844" s="227"/>
      <c r="FP844" s="227"/>
      <c r="FQ844" s="227"/>
      <c r="FR844" s="227"/>
      <c r="FS844" s="227"/>
      <c r="FT844" s="227"/>
      <c r="FU844" s="227"/>
      <c r="FV844" s="227"/>
      <c r="FW844" s="227"/>
      <c r="FX844" s="227"/>
      <c r="FY844" s="227"/>
      <c r="FZ844" s="227"/>
      <c r="GA844" s="227"/>
      <c r="GB844" s="227"/>
      <c r="GC844" s="227"/>
      <c r="GD844" s="227"/>
      <c r="GE844" s="227"/>
      <c r="GF844" s="227"/>
      <c r="GG844" s="227"/>
      <c r="GH844" s="227"/>
      <c r="GI844" s="227"/>
      <c r="GJ844" s="227"/>
      <c r="GK844" s="227"/>
      <c r="GL844" s="227"/>
      <c r="GM844" s="227"/>
      <c r="GN844" s="227"/>
    </row>
    <row r="845" ht="15.75" customHeight="1">
      <c r="A845" s="212"/>
      <c r="B845" s="21"/>
      <c r="C845" s="21"/>
      <c r="D845" s="213"/>
      <c r="E845" s="214"/>
      <c r="F845" s="215"/>
      <c r="G845" s="21"/>
      <c r="H845" s="225"/>
      <c r="I845" s="110"/>
      <c r="J845" s="110"/>
      <c r="K845" s="110"/>
      <c r="L845" s="110"/>
      <c r="M845" s="110"/>
      <c r="N845" s="110"/>
      <c r="O845" s="110"/>
      <c r="P845" s="110"/>
      <c r="Q845" s="110"/>
      <c r="R845" s="21"/>
      <c r="S845" s="110"/>
      <c r="T845" s="110"/>
      <c r="U845" s="110"/>
      <c r="V845" s="110"/>
      <c r="W845" s="110"/>
      <c r="X845" s="110"/>
      <c r="Y845" s="110"/>
      <c r="Z845" s="110"/>
      <c r="AA845" s="227"/>
      <c r="AB845" s="227"/>
      <c r="AC845" s="227"/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7"/>
      <c r="AR845" s="227"/>
      <c r="AS845" s="227"/>
      <c r="AT845" s="227"/>
      <c r="AU845" s="227"/>
      <c r="AV845" s="227"/>
      <c r="AW845" s="227"/>
      <c r="AX845" s="227"/>
      <c r="AY845" s="227"/>
      <c r="AZ845" s="227"/>
      <c r="BA845" s="227"/>
      <c r="BB845" s="227"/>
      <c r="BC845" s="227"/>
      <c r="BD845" s="227"/>
      <c r="BE845" s="227"/>
      <c r="BF845" s="227"/>
      <c r="BG845" s="227"/>
      <c r="BH845" s="227"/>
      <c r="BI845" s="227"/>
      <c r="BJ845" s="227"/>
      <c r="BK845" s="227"/>
      <c r="BL845" s="227"/>
      <c r="BM845" s="227"/>
      <c r="BN845" s="227"/>
      <c r="BO845" s="227"/>
      <c r="BP845" s="227"/>
      <c r="BQ845" s="227"/>
      <c r="BR845" s="227"/>
      <c r="BS845" s="227"/>
      <c r="BT845" s="227"/>
      <c r="BU845" s="227"/>
      <c r="BV845" s="227"/>
      <c r="BW845" s="227"/>
      <c r="BX845" s="227"/>
      <c r="BY845" s="227"/>
      <c r="BZ845" s="227"/>
      <c r="CA845" s="227"/>
      <c r="CB845" s="227"/>
      <c r="CC845" s="227"/>
      <c r="CD845" s="227"/>
      <c r="CE845" s="227"/>
      <c r="CF845" s="227"/>
      <c r="CG845" s="227"/>
      <c r="CH845" s="227"/>
      <c r="CI845" s="227"/>
      <c r="CJ845" s="227"/>
      <c r="CK845" s="227"/>
      <c r="CL845" s="227"/>
      <c r="CM845" s="227"/>
      <c r="CN845" s="227"/>
      <c r="CO845" s="227"/>
      <c r="CP845" s="227"/>
      <c r="CQ845" s="227"/>
      <c r="CR845" s="227"/>
      <c r="CS845" s="227"/>
      <c r="CT845" s="227"/>
      <c r="CU845" s="227"/>
      <c r="CV845" s="227"/>
      <c r="CW845" s="227"/>
      <c r="CX845" s="227"/>
      <c r="CY845" s="227"/>
      <c r="CZ845" s="227"/>
      <c r="DA845" s="227"/>
      <c r="DB845" s="227"/>
      <c r="DC845" s="227"/>
      <c r="DD845" s="227"/>
      <c r="DE845" s="227"/>
      <c r="DF845" s="227"/>
      <c r="DG845" s="227"/>
      <c r="DH845" s="227"/>
      <c r="DI845" s="227"/>
      <c r="DJ845" s="227"/>
      <c r="DK845" s="227"/>
      <c r="DL845" s="227"/>
      <c r="DM845" s="227"/>
      <c r="DN845" s="227"/>
      <c r="DO845" s="227"/>
      <c r="DP845" s="227"/>
      <c r="DQ845" s="227"/>
      <c r="DR845" s="227"/>
      <c r="DS845" s="227"/>
      <c r="DT845" s="227"/>
      <c r="DU845" s="227"/>
      <c r="DV845" s="227"/>
      <c r="DW845" s="227"/>
      <c r="DX845" s="227"/>
      <c r="DY845" s="227"/>
      <c r="DZ845" s="227"/>
      <c r="EA845" s="227"/>
      <c r="EB845" s="227"/>
      <c r="EC845" s="227"/>
      <c r="ED845" s="227"/>
      <c r="EE845" s="227"/>
      <c r="EF845" s="227"/>
      <c r="EG845" s="227"/>
      <c r="EH845" s="227"/>
      <c r="EI845" s="227"/>
      <c r="EJ845" s="227"/>
      <c r="EK845" s="227"/>
      <c r="EL845" s="227"/>
      <c r="EM845" s="227"/>
      <c r="EN845" s="227"/>
      <c r="EO845" s="227"/>
      <c r="EP845" s="227"/>
      <c r="EQ845" s="227"/>
      <c r="ER845" s="227"/>
      <c r="ES845" s="227"/>
      <c r="ET845" s="227"/>
      <c r="EU845" s="227"/>
      <c r="EV845" s="227"/>
      <c r="EW845" s="227"/>
      <c r="EX845" s="227"/>
      <c r="EY845" s="227"/>
      <c r="EZ845" s="227"/>
      <c r="FA845" s="227"/>
      <c r="FB845" s="227"/>
      <c r="FC845" s="227"/>
      <c r="FD845" s="227"/>
      <c r="FE845" s="227"/>
      <c r="FF845" s="227"/>
      <c r="FG845" s="227"/>
      <c r="FH845" s="227"/>
      <c r="FI845" s="227"/>
      <c r="FJ845" s="227"/>
      <c r="FK845" s="227"/>
      <c r="FL845" s="227"/>
      <c r="FM845" s="227"/>
      <c r="FN845" s="227"/>
      <c r="FO845" s="227"/>
      <c r="FP845" s="227"/>
      <c r="FQ845" s="227"/>
      <c r="FR845" s="227"/>
      <c r="FS845" s="227"/>
      <c r="FT845" s="227"/>
      <c r="FU845" s="227"/>
      <c r="FV845" s="227"/>
      <c r="FW845" s="227"/>
      <c r="FX845" s="227"/>
      <c r="FY845" s="227"/>
      <c r="FZ845" s="227"/>
      <c r="GA845" s="227"/>
      <c r="GB845" s="227"/>
      <c r="GC845" s="227"/>
      <c r="GD845" s="227"/>
      <c r="GE845" s="227"/>
      <c r="GF845" s="227"/>
      <c r="GG845" s="227"/>
      <c r="GH845" s="227"/>
      <c r="GI845" s="227"/>
      <c r="GJ845" s="227"/>
      <c r="GK845" s="227"/>
      <c r="GL845" s="227"/>
      <c r="GM845" s="227"/>
      <c r="GN845" s="227"/>
    </row>
    <row r="846" ht="15.75" customHeight="1">
      <c r="A846" s="212"/>
      <c r="B846" s="21"/>
      <c r="C846" s="21"/>
      <c r="D846" s="213"/>
      <c r="E846" s="214"/>
      <c r="F846" s="215"/>
      <c r="G846" s="21"/>
      <c r="H846" s="225"/>
      <c r="I846" s="110"/>
      <c r="J846" s="110"/>
      <c r="K846" s="110"/>
      <c r="L846" s="110"/>
      <c r="M846" s="110"/>
      <c r="N846" s="110"/>
      <c r="O846" s="110"/>
      <c r="P846" s="110"/>
      <c r="Q846" s="110"/>
      <c r="R846" s="21"/>
      <c r="S846" s="110"/>
      <c r="T846" s="110"/>
      <c r="U846" s="110"/>
      <c r="V846" s="110"/>
      <c r="W846" s="110"/>
      <c r="X846" s="110"/>
      <c r="Y846" s="110"/>
      <c r="Z846" s="110"/>
      <c r="AA846" s="227"/>
      <c r="AB846" s="227"/>
      <c r="AC846" s="227"/>
      <c r="AD846" s="227"/>
      <c r="AE846" s="227"/>
      <c r="AF846" s="227"/>
      <c r="AG846" s="227"/>
      <c r="AH846" s="227"/>
      <c r="AI846" s="227"/>
      <c r="AJ846" s="227"/>
      <c r="AK846" s="227"/>
      <c r="AL846" s="227"/>
      <c r="AM846" s="227"/>
      <c r="AN846" s="227"/>
      <c r="AO846" s="227"/>
      <c r="AP846" s="227"/>
      <c r="AQ846" s="227"/>
      <c r="AR846" s="227"/>
      <c r="AS846" s="227"/>
      <c r="AT846" s="227"/>
      <c r="AU846" s="227"/>
      <c r="AV846" s="227"/>
      <c r="AW846" s="227"/>
      <c r="AX846" s="227"/>
      <c r="AY846" s="227"/>
      <c r="AZ846" s="227"/>
      <c r="BA846" s="227"/>
      <c r="BB846" s="227"/>
      <c r="BC846" s="227"/>
      <c r="BD846" s="227"/>
      <c r="BE846" s="227"/>
      <c r="BF846" s="227"/>
      <c r="BG846" s="227"/>
      <c r="BH846" s="227"/>
      <c r="BI846" s="227"/>
      <c r="BJ846" s="227"/>
      <c r="BK846" s="227"/>
      <c r="BL846" s="227"/>
      <c r="BM846" s="227"/>
      <c r="BN846" s="227"/>
      <c r="BO846" s="227"/>
      <c r="BP846" s="227"/>
      <c r="BQ846" s="227"/>
      <c r="BR846" s="227"/>
      <c r="BS846" s="227"/>
      <c r="BT846" s="227"/>
      <c r="BU846" s="227"/>
      <c r="BV846" s="227"/>
      <c r="BW846" s="227"/>
      <c r="BX846" s="227"/>
      <c r="BY846" s="227"/>
      <c r="BZ846" s="227"/>
      <c r="CA846" s="227"/>
      <c r="CB846" s="227"/>
      <c r="CC846" s="227"/>
      <c r="CD846" s="227"/>
      <c r="CE846" s="227"/>
      <c r="CF846" s="227"/>
      <c r="CG846" s="227"/>
      <c r="CH846" s="227"/>
      <c r="CI846" s="227"/>
      <c r="CJ846" s="227"/>
      <c r="CK846" s="227"/>
      <c r="CL846" s="227"/>
      <c r="CM846" s="227"/>
      <c r="CN846" s="227"/>
      <c r="CO846" s="227"/>
      <c r="CP846" s="227"/>
      <c r="CQ846" s="227"/>
      <c r="CR846" s="227"/>
      <c r="CS846" s="227"/>
      <c r="CT846" s="227"/>
      <c r="CU846" s="227"/>
      <c r="CV846" s="227"/>
      <c r="CW846" s="227"/>
      <c r="CX846" s="227"/>
      <c r="CY846" s="227"/>
      <c r="CZ846" s="227"/>
      <c r="DA846" s="227"/>
      <c r="DB846" s="227"/>
      <c r="DC846" s="227"/>
      <c r="DD846" s="227"/>
      <c r="DE846" s="227"/>
      <c r="DF846" s="227"/>
      <c r="DG846" s="227"/>
      <c r="DH846" s="227"/>
      <c r="DI846" s="227"/>
      <c r="DJ846" s="227"/>
      <c r="DK846" s="227"/>
      <c r="DL846" s="227"/>
      <c r="DM846" s="227"/>
      <c r="DN846" s="227"/>
      <c r="DO846" s="227"/>
      <c r="DP846" s="227"/>
      <c r="DQ846" s="227"/>
      <c r="DR846" s="227"/>
      <c r="DS846" s="227"/>
      <c r="DT846" s="227"/>
      <c r="DU846" s="227"/>
      <c r="DV846" s="227"/>
      <c r="DW846" s="227"/>
      <c r="DX846" s="227"/>
      <c r="DY846" s="227"/>
      <c r="DZ846" s="227"/>
      <c r="EA846" s="227"/>
      <c r="EB846" s="227"/>
      <c r="EC846" s="227"/>
      <c r="ED846" s="227"/>
      <c r="EE846" s="227"/>
      <c r="EF846" s="227"/>
      <c r="EG846" s="227"/>
      <c r="EH846" s="227"/>
      <c r="EI846" s="227"/>
      <c r="EJ846" s="227"/>
      <c r="EK846" s="227"/>
      <c r="EL846" s="227"/>
      <c r="EM846" s="227"/>
      <c r="EN846" s="227"/>
      <c r="EO846" s="227"/>
      <c r="EP846" s="227"/>
      <c r="EQ846" s="227"/>
      <c r="ER846" s="227"/>
      <c r="ES846" s="227"/>
      <c r="ET846" s="227"/>
      <c r="EU846" s="227"/>
      <c r="EV846" s="227"/>
      <c r="EW846" s="227"/>
      <c r="EX846" s="227"/>
      <c r="EY846" s="227"/>
      <c r="EZ846" s="227"/>
      <c r="FA846" s="227"/>
      <c r="FB846" s="227"/>
      <c r="FC846" s="227"/>
      <c r="FD846" s="227"/>
      <c r="FE846" s="227"/>
      <c r="FF846" s="227"/>
      <c r="FG846" s="227"/>
      <c r="FH846" s="227"/>
      <c r="FI846" s="227"/>
      <c r="FJ846" s="227"/>
      <c r="FK846" s="227"/>
      <c r="FL846" s="227"/>
      <c r="FM846" s="227"/>
      <c r="FN846" s="227"/>
      <c r="FO846" s="227"/>
      <c r="FP846" s="227"/>
      <c r="FQ846" s="227"/>
      <c r="FR846" s="227"/>
      <c r="FS846" s="227"/>
      <c r="FT846" s="227"/>
      <c r="FU846" s="227"/>
      <c r="FV846" s="227"/>
      <c r="FW846" s="227"/>
      <c r="FX846" s="227"/>
      <c r="FY846" s="227"/>
      <c r="FZ846" s="227"/>
      <c r="GA846" s="227"/>
      <c r="GB846" s="227"/>
      <c r="GC846" s="227"/>
      <c r="GD846" s="227"/>
      <c r="GE846" s="227"/>
      <c r="GF846" s="227"/>
      <c r="GG846" s="227"/>
      <c r="GH846" s="227"/>
      <c r="GI846" s="227"/>
      <c r="GJ846" s="227"/>
      <c r="GK846" s="227"/>
      <c r="GL846" s="227"/>
      <c r="GM846" s="227"/>
      <c r="GN846" s="227"/>
    </row>
    <row r="847">
      <c r="A847" s="212"/>
      <c r="B847" s="21"/>
      <c r="C847" s="21"/>
      <c r="D847" s="213"/>
      <c r="E847" s="214"/>
      <c r="F847" s="215"/>
      <c r="G847" s="21"/>
      <c r="H847" s="225"/>
      <c r="I847" s="110"/>
      <c r="J847" s="110"/>
      <c r="K847" s="110"/>
      <c r="L847" s="110"/>
      <c r="M847" s="110"/>
      <c r="N847" s="110"/>
      <c r="O847" s="110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  <c r="AA847" s="226"/>
      <c r="AB847" s="226"/>
      <c r="AC847" s="226"/>
      <c r="AD847" s="226"/>
      <c r="AE847" s="226"/>
      <c r="AF847" s="226"/>
      <c r="AG847" s="226"/>
      <c r="AH847" s="226"/>
      <c r="AI847" s="226"/>
      <c r="AJ847" s="226"/>
      <c r="AK847" s="226"/>
      <c r="AL847" s="226"/>
      <c r="AM847" s="226"/>
      <c r="AN847" s="226"/>
      <c r="AO847" s="226"/>
      <c r="AP847" s="226"/>
      <c r="AQ847" s="226"/>
      <c r="AR847" s="226"/>
      <c r="AS847" s="226"/>
      <c r="AT847" s="226"/>
      <c r="AU847" s="226"/>
      <c r="AV847" s="226"/>
      <c r="AW847" s="226"/>
      <c r="AX847" s="226"/>
      <c r="AY847" s="226"/>
      <c r="AZ847" s="226"/>
      <c r="BA847" s="226"/>
      <c r="BB847" s="226"/>
      <c r="BC847" s="226"/>
      <c r="BD847" s="226"/>
      <c r="BE847" s="226"/>
      <c r="BF847" s="226"/>
      <c r="BG847" s="226"/>
      <c r="BH847" s="226"/>
      <c r="BI847" s="226"/>
      <c r="BJ847" s="226"/>
      <c r="BK847" s="226"/>
      <c r="BL847" s="226"/>
      <c r="BM847" s="226"/>
      <c r="BN847" s="226"/>
      <c r="BO847" s="226"/>
      <c r="BP847" s="226"/>
      <c r="BQ847" s="226"/>
      <c r="BR847" s="226"/>
      <c r="BS847" s="226"/>
      <c r="BT847" s="226"/>
      <c r="BU847" s="226"/>
      <c r="BV847" s="226"/>
      <c r="BW847" s="226"/>
      <c r="BX847" s="226"/>
      <c r="BY847" s="226"/>
      <c r="BZ847" s="226"/>
      <c r="CA847" s="226"/>
      <c r="CB847" s="226"/>
      <c r="CC847" s="226"/>
      <c r="CD847" s="226"/>
      <c r="CE847" s="226"/>
      <c r="CF847" s="226"/>
      <c r="CG847" s="226"/>
      <c r="CH847" s="226"/>
      <c r="CI847" s="226"/>
      <c r="CJ847" s="226"/>
      <c r="CK847" s="226"/>
      <c r="CL847" s="226"/>
      <c r="CM847" s="226"/>
      <c r="CN847" s="226"/>
      <c r="CO847" s="226"/>
      <c r="CP847" s="226"/>
      <c r="CQ847" s="226"/>
      <c r="CR847" s="226"/>
      <c r="CS847" s="226"/>
      <c r="CT847" s="226"/>
      <c r="CU847" s="226"/>
      <c r="CV847" s="226"/>
      <c r="CW847" s="226"/>
      <c r="CX847" s="226"/>
      <c r="CY847" s="226"/>
      <c r="CZ847" s="226"/>
      <c r="DA847" s="226"/>
      <c r="DB847" s="226"/>
      <c r="DC847" s="226"/>
      <c r="DD847" s="226"/>
      <c r="DE847" s="226"/>
      <c r="DF847" s="226"/>
      <c r="DG847" s="226"/>
      <c r="DH847" s="226"/>
      <c r="DI847" s="226"/>
      <c r="DJ847" s="226"/>
      <c r="DK847" s="226"/>
      <c r="DL847" s="226"/>
      <c r="DM847" s="226"/>
      <c r="DN847" s="226"/>
      <c r="DO847" s="226"/>
      <c r="DP847" s="226"/>
      <c r="DQ847" s="226"/>
      <c r="DR847" s="226"/>
      <c r="DS847" s="226"/>
      <c r="DT847" s="226"/>
      <c r="DU847" s="226"/>
      <c r="DV847" s="226"/>
      <c r="DW847" s="226"/>
      <c r="DX847" s="226"/>
      <c r="DY847" s="226"/>
      <c r="DZ847" s="226"/>
      <c r="EA847" s="226"/>
      <c r="EB847" s="226"/>
      <c r="EC847" s="226"/>
      <c r="ED847" s="226"/>
      <c r="EE847" s="226"/>
      <c r="EF847" s="226"/>
      <c r="EG847" s="226"/>
      <c r="EH847" s="226"/>
      <c r="EI847" s="226"/>
      <c r="EJ847" s="226"/>
      <c r="EK847" s="226"/>
      <c r="EL847" s="226"/>
      <c r="EM847" s="226"/>
      <c r="EN847" s="226"/>
      <c r="EO847" s="226"/>
      <c r="EP847" s="226"/>
      <c r="EQ847" s="226"/>
      <c r="ER847" s="226"/>
      <c r="ES847" s="226"/>
      <c r="ET847" s="226"/>
      <c r="EU847" s="226"/>
      <c r="EV847" s="226"/>
      <c r="EW847" s="226"/>
      <c r="EX847" s="226"/>
      <c r="EY847" s="226"/>
      <c r="EZ847" s="226"/>
      <c r="FA847" s="226"/>
      <c r="FB847" s="226"/>
      <c r="FC847" s="226"/>
      <c r="FD847" s="226"/>
      <c r="FE847" s="226"/>
      <c r="FF847" s="226"/>
      <c r="FG847" s="226"/>
      <c r="FH847" s="226"/>
      <c r="FI847" s="226"/>
      <c r="FJ847" s="226"/>
      <c r="FK847" s="226"/>
      <c r="FL847" s="226"/>
      <c r="FM847" s="226"/>
      <c r="FN847" s="226"/>
      <c r="FO847" s="226"/>
      <c r="FP847" s="226"/>
      <c r="FQ847" s="226"/>
      <c r="FR847" s="226"/>
      <c r="FS847" s="226"/>
      <c r="FT847" s="226"/>
      <c r="FU847" s="226"/>
      <c r="FV847" s="226"/>
      <c r="FW847" s="226"/>
      <c r="FX847" s="226"/>
      <c r="FY847" s="226"/>
      <c r="FZ847" s="226"/>
      <c r="GA847" s="226"/>
      <c r="GB847" s="226"/>
      <c r="GC847" s="226"/>
      <c r="GD847" s="226"/>
      <c r="GE847" s="226"/>
      <c r="GF847" s="226"/>
      <c r="GG847" s="226"/>
      <c r="GH847" s="226"/>
      <c r="GI847" s="226"/>
      <c r="GJ847" s="226"/>
      <c r="GK847" s="226"/>
      <c r="GL847" s="226"/>
      <c r="GM847" s="226"/>
      <c r="GN847" s="226"/>
    </row>
    <row r="848">
      <c r="A848" s="212"/>
      <c r="B848" s="21"/>
      <c r="C848" s="21"/>
      <c r="D848" s="213"/>
      <c r="E848" s="214"/>
      <c r="F848" s="215"/>
      <c r="G848" s="21"/>
      <c r="H848" s="225"/>
      <c r="I848" s="110"/>
      <c r="J848" s="110"/>
      <c r="K848" s="110"/>
      <c r="L848" s="110"/>
      <c r="M848" s="110"/>
      <c r="N848" s="110"/>
      <c r="O848" s="110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  <c r="AA848" s="226"/>
      <c r="AB848" s="226"/>
      <c r="AC848" s="226"/>
      <c r="AD848" s="226"/>
      <c r="AE848" s="226"/>
      <c r="AF848" s="226"/>
      <c r="AG848" s="226"/>
      <c r="AH848" s="226"/>
      <c r="AI848" s="226"/>
      <c r="AJ848" s="226"/>
      <c r="AK848" s="226"/>
      <c r="AL848" s="226"/>
      <c r="AM848" s="226"/>
      <c r="AN848" s="226"/>
      <c r="AO848" s="226"/>
      <c r="AP848" s="226"/>
      <c r="AQ848" s="226"/>
      <c r="AR848" s="226"/>
      <c r="AS848" s="226"/>
      <c r="AT848" s="226"/>
      <c r="AU848" s="226"/>
      <c r="AV848" s="226"/>
      <c r="AW848" s="226"/>
      <c r="AX848" s="226"/>
      <c r="AY848" s="226"/>
      <c r="AZ848" s="226"/>
      <c r="BA848" s="226"/>
      <c r="BB848" s="226"/>
      <c r="BC848" s="226"/>
      <c r="BD848" s="226"/>
      <c r="BE848" s="226"/>
      <c r="BF848" s="226"/>
      <c r="BG848" s="226"/>
      <c r="BH848" s="226"/>
      <c r="BI848" s="226"/>
      <c r="BJ848" s="226"/>
      <c r="BK848" s="226"/>
      <c r="BL848" s="226"/>
      <c r="BM848" s="226"/>
      <c r="BN848" s="226"/>
      <c r="BO848" s="226"/>
      <c r="BP848" s="226"/>
      <c r="BQ848" s="226"/>
      <c r="BR848" s="226"/>
      <c r="BS848" s="226"/>
      <c r="BT848" s="226"/>
      <c r="BU848" s="226"/>
      <c r="BV848" s="226"/>
      <c r="BW848" s="226"/>
      <c r="BX848" s="226"/>
      <c r="BY848" s="226"/>
      <c r="BZ848" s="226"/>
      <c r="CA848" s="226"/>
      <c r="CB848" s="226"/>
      <c r="CC848" s="226"/>
      <c r="CD848" s="226"/>
      <c r="CE848" s="226"/>
      <c r="CF848" s="226"/>
      <c r="CG848" s="226"/>
      <c r="CH848" s="226"/>
      <c r="CI848" s="226"/>
      <c r="CJ848" s="226"/>
      <c r="CK848" s="226"/>
      <c r="CL848" s="226"/>
      <c r="CM848" s="226"/>
      <c r="CN848" s="226"/>
      <c r="CO848" s="226"/>
      <c r="CP848" s="226"/>
      <c r="CQ848" s="226"/>
      <c r="CR848" s="226"/>
      <c r="CS848" s="226"/>
      <c r="CT848" s="226"/>
      <c r="CU848" s="226"/>
      <c r="CV848" s="226"/>
      <c r="CW848" s="226"/>
      <c r="CX848" s="226"/>
      <c r="CY848" s="226"/>
      <c r="CZ848" s="226"/>
      <c r="DA848" s="226"/>
      <c r="DB848" s="226"/>
      <c r="DC848" s="226"/>
      <c r="DD848" s="226"/>
      <c r="DE848" s="226"/>
      <c r="DF848" s="226"/>
      <c r="DG848" s="226"/>
      <c r="DH848" s="226"/>
      <c r="DI848" s="226"/>
      <c r="DJ848" s="226"/>
      <c r="DK848" s="226"/>
      <c r="DL848" s="226"/>
      <c r="DM848" s="226"/>
      <c r="DN848" s="226"/>
      <c r="DO848" s="226"/>
      <c r="DP848" s="226"/>
      <c r="DQ848" s="226"/>
      <c r="DR848" s="226"/>
      <c r="DS848" s="226"/>
      <c r="DT848" s="226"/>
      <c r="DU848" s="226"/>
      <c r="DV848" s="226"/>
      <c r="DW848" s="226"/>
      <c r="DX848" s="226"/>
      <c r="DY848" s="226"/>
      <c r="DZ848" s="226"/>
      <c r="EA848" s="226"/>
      <c r="EB848" s="226"/>
      <c r="EC848" s="226"/>
      <c r="ED848" s="226"/>
      <c r="EE848" s="226"/>
      <c r="EF848" s="226"/>
      <c r="EG848" s="226"/>
      <c r="EH848" s="226"/>
      <c r="EI848" s="226"/>
      <c r="EJ848" s="226"/>
      <c r="EK848" s="226"/>
      <c r="EL848" s="226"/>
      <c r="EM848" s="226"/>
      <c r="EN848" s="226"/>
      <c r="EO848" s="226"/>
      <c r="EP848" s="226"/>
      <c r="EQ848" s="226"/>
      <c r="ER848" s="226"/>
      <c r="ES848" s="226"/>
      <c r="ET848" s="226"/>
      <c r="EU848" s="226"/>
      <c r="EV848" s="226"/>
      <c r="EW848" s="226"/>
      <c r="EX848" s="226"/>
      <c r="EY848" s="226"/>
      <c r="EZ848" s="226"/>
      <c r="FA848" s="226"/>
      <c r="FB848" s="226"/>
      <c r="FC848" s="226"/>
      <c r="FD848" s="226"/>
      <c r="FE848" s="226"/>
      <c r="FF848" s="226"/>
      <c r="FG848" s="226"/>
      <c r="FH848" s="226"/>
      <c r="FI848" s="226"/>
      <c r="FJ848" s="226"/>
      <c r="FK848" s="226"/>
      <c r="FL848" s="226"/>
      <c r="FM848" s="226"/>
      <c r="FN848" s="226"/>
      <c r="FO848" s="226"/>
      <c r="FP848" s="226"/>
      <c r="FQ848" s="226"/>
      <c r="FR848" s="226"/>
      <c r="FS848" s="226"/>
      <c r="FT848" s="226"/>
      <c r="FU848" s="226"/>
      <c r="FV848" s="226"/>
      <c r="FW848" s="226"/>
      <c r="FX848" s="226"/>
      <c r="FY848" s="226"/>
      <c r="FZ848" s="226"/>
      <c r="GA848" s="226"/>
      <c r="GB848" s="226"/>
      <c r="GC848" s="226"/>
      <c r="GD848" s="226"/>
      <c r="GE848" s="226"/>
      <c r="GF848" s="226"/>
      <c r="GG848" s="226"/>
      <c r="GH848" s="226"/>
      <c r="GI848" s="226"/>
      <c r="GJ848" s="226"/>
      <c r="GK848" s="226"/>
      <c r="GL848" s="226"/>
      <c r="GM848" s="226"/>
      <c r="GN848" s="226"/>
    </row>
    <row r="849">
      <c r="A849" s="212"/>
      <c r="B849" s="21"/>
      <c r="C849" s="21"/>
      <c r="D849" s="213"/>
      <c r="E849" s="214"/>
      <c r="F849" s="215"/>
      <c r="G849" s="21"/>
      <c r="H849" s="225"/>
      <c r="I849" s="110"/>
      <c r="J849" s="110"/>
      <c r="K849" s="110"/>
      <c r="L849" s="110"/>
      <c r="M849" s="110"/>
      <c r="N849" s="110"/>
      <c r="O849" s="110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  <c r="AA849" s="226"/>
      <c r="AB849" s="226"/>
      <c r="AC849" s="226"/>
      <c r="AD849" s="226"/>
      <c r="AE849" s="226"/>
      <c r="AF849" s="226"/>
      <c r="AG849" s="226"/>
      <c r="AH849" s="226"/>
      <c r="AI849" s="226"/>
      <c r="AJ849" s="226"/>
      <c r="AK849" s="226"/>
      <c r="AL849" s="226"/>
      <c r="AM849" s="226"/>
      <c r="AN849" s="226"/>
      <c r="AO849" s="226"/>
      <c r="AP849" s="226"/>
      <c r="AQ849" s="226"/>
      <c r="AR849" s="226"/>
      <c r="AS849" s="226"/>
      <c r="AT849" s="226"/>
      <c r="AU849" s="226"/>
      <c r="AV849" s="226"/>
      <c r="AW849" s="226"/>
      <c r="AX849" s="226"/>
      <c r="AY849" s="226"/>
      <c r="AZ849" s="226"/>
      <c r="BA849" s="226"/>
      <c r="BB849" s="226"/>
      <c r="BC849" s="226"/>
      <c r="BD849" s="226"/>
      <c r="BE849" s="226"/>
      <c r="BF849" s="226"/>
      <c r="BG849" s="226"/>
      <c r="BH849" s="226"/>
      <c r="BI849" s="226"/>
      <c r="BJ849" s="226"/>
      <c r="BK849" s="226"/>
      <c r="BL849" s="226"/>
      <c r="BM849" s="226"/>
      <c r="BN849" s="226"/>
      <c r="BO849" s="226"/>
      <c r="BP849" s="226"/>
      <c r="BQ849" s="226"/>
      <c r="BR849" s="226"/>
      <c r="BS849" s="226"/>
      <c r="BT849" s="226"/>
      <c r="BU849" s="226"/>
      <c r="BV849" s="226"/>
      <c r="BW849" s="226"/>
      <c r="BX849" s="226"/>
      <c r="BY849" s="226"/>
      <c r="BZ849" s="226"/>
      <c r="CA849" s="226"/>
      <c r="CB849" s="226"/>
      <c r="CC849" s="226"/>
      <c r="CD849" s="226"/>
      <c r="CE849" s="226"/>
      <c r="CF849" s="226"/>
      <c r="CG849" s="226"/>
      <c r="CH849" s="226"/>
      <c r="CI849" s="226"/>
      <c r="CJ849" s="226"/>
      <c r="CK849" s="226"/>
      <c r="CL849" s="226"/>
      <c r="CM849" s="226"/>
      <c r="CN849" s="226"/>
      <c r="CO849" s="226"/>
      <c r="CP849" s="226"/>
      <c r="CQ849" s="226"/>
      <c r="CR849" s="226"/>
      <c r="CS849" s="226"/>
      <c r="CT849" s="226"/>
      <c r="CU849" s="226"/>
      <c r="CV849" s="226"/>
      <c r="CW849" s="226"/>
      <c r="CX849" s="226"/>
      <c r="CY849" s="226"/>
      <c r="CZ849" s="226"/>
      <c r="DA849" s="226"/>
      <c r="DB849" s="226"/>
      <c r="DC849" s="226"/>
      <c r="DD849" s="226"/>
      <c r="DE849" s="226"/>
      <c r="DF849" s="226"/>
      <c r="DG849" s="226"/>
      <c r="DH849" s="226"/>
      <c r="DI849" s="226"/>
      <c r="DJ849" s="226"/>
      <c r="DK849" s="226"/>
      <c r="DL849" s="226"/>
      <c r="DM849" s="226"/>
      <c r="DN849" s="226"/>
      <c r="DO849" s="226"/>
      <c r="DP849" s="226"/>
      <c r="DQ849" s="226"/>
      <c r="DR849" s="226"/>
      <c r="DS849" s="226"/>
      <c r="DT849" s="226"/>
      <c r="DU849" s="226"/>
      <c r="DV849" s="226"/>
      <c r="DW849" s="226"/>
      <c r="DX849" s="226"/>
      <c r="DY849" s="226"/>
      <c r="DZ849" s="226"/>
      <c r="EA849" s="226"/>
      <c r="EB849" s="226"/>
      <c r="EC849" s="226"/>
      <c r="ED849" s="226"/>
      <c r="EE849" s="226"/>
      <c r="EF849" s="226"/>
      <c r="EG849" s="226"/>
      <c r="EH849" s="226"/>
      <c r="EI849" s="226"/>
      <c r="EJ849" s="226"/>
      <c r="EK849" s="226"/>
      <c r="EL849" s="226"/>
      <c r="EM849" s="226"/>
      <c r="EN849" s="226"/>
      <c r="EO849" s="226"/>
      <c r="EP849" s="226"/>
      <c r="EQ849" s="226"/>
      <c r="ER849" s="226"/>
      <c r="ES849" s="226"/>
      <c r="ET849" s="226"/>
      <c r="EU849" s="226"/>
      <c r="EV849" s="226"/>
      <c r="EW849" s="226"/>
      <c r="EX849" s="226"/>
      <c r="EY849" s="226"/>
      <c r="EZ849" s="226"/>
      <c r="FA849" s="226"/>
      <c r="FB849" s="226"/>
      <c r="FC849" s="226"/>
      <c r="FD849" s="226"/>
      <c r="FE849" s="226"/>
      <c r="FF849" s="226"/>
      <c r="FG849" s="226"/>
      <c r="FH849" s="226"/>
      <c r="FI849" s="226"/>
      <c r="FJ849" s="226"/>
      <c r="FK849" s="226"/>
      <c r="FL849" s="226"/>
      <c r="FM849" s="226"/>
      <c r="FN849" s="226"/>
      <c r="FO849" s="226"/>
      <c r="FP849" s="226"/>
      <c r="FQ849" s="226"/>
      <c r="FR849" s="226"/>
      <c r="FS849" s="226"/>
      <c r="FT849" s="226"/>
      <c r="FU849" s="226"/>
      <c r="FV849" s="226"/>
      <c r="FW849" s="226"/>
      <c r="FX849" s="226"/>
      <c r="FY849" s="226"/>
      <c r="FZ849" s="226"/>
      <c r="GA849" s="226"/>
      <c r="GB849" s="226"/>
      <c r="GC849" s="226"/>
      <c r="GD849" s="226"/>
      <c r="GE849" s="226"/>
      <c r="GF849" s="226"/>
      <c r="GG849" s="226"/>
      <c r="GH849" s="226"/>
      <c r="GI849" s="226"/>
      <c r="GJ849" s="226"/>
      <c r="GK849" s="226"/>
      <c r="GL849" s="226"/>
      <c r="GM849" s="226"/>
      <c r="GN849" s="226"/>
    </row>
    <row r="850">
      <c r="A850" s="212"/>
      <c r="B850" s="21"/>
      <c r="C850" s="21"/>
      <c r="D850" s="213"/>
      <c r="E850" s="214"/>
      <c r="F850" s="215"/>
      <c r="G850" s="21"/>
      <c r="H850" s="225"/>
      <c r="I850" s="110"/>
      <c r="J850" s="110"/>
      <c r="K850" s="110"/>
      <c r="L850" s="110"/>
      <c r="M850" s="110"/>
      <c r="N850" s="110"/>
      <c r="O850" s="110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  <c r="AA850" s="226"/>
      <c r="AB850" s="226"/>
      <c r="AC850" s="226"/>
      <c r="AD850" s="226"/>
      <c r="AE850" s="226"/>
      <c r="AF850" s="226"/>
      <c r="AG850" s="226"/>
      <c r="AH850" s="226"/>
      <c r="AI850" s="226"/>
      <c r="AJ850" s="226"/>
      <c r="AK850" s="226"/>
      <c r="AL850" s="226"/>
      <c r="AM850" s="226"/>
      <c r="AN850" s="226"/>
      <c r="AO850" s="226"/>
      <c r="AP850" s="226"/>
      <c r="AQ850" s="226"/>
      <c r="AR850" s="226"/>
      <c r="AS850" s="226"/>
      <c r="AT850" s="226"/>
      <c r="AU850" s="226"/>
      <c r="AV850" s="226"/>
      <c r="AW850" s="226"/>
      <c r="AX850" s="226"/>
      <c r="AY850" s="226"/>
      <c r="AZ850" s="226"/>
      <c r="BA850" s="226"/>
      <c r="BB850" s="226"/>
      <c r="BC850" s="226"/>
      <c r="BD850" s="226"/>
      <c r="BE850" s="226"/>
      <c r="BF850" s="226"/>
      <c r="BG850" s="226"/>
      <c r="BH850" s="226"/>
      <c r="BI850" s="226"/>
      <c r="BJ850" s="226"/>
      <c r="BK850" s="226"/>
      <c r="BL850" s="226"/>
      <c r="BM850" s="226"/>
      <c r="BN850" s="226"/>
      <c r="BO850" s="226"/>
      <c r="BP850" s="226"/>
      <c r="BQ850" s="226"/>
      <c r="BR850" s="226"/>
      <c r="BS850" s="226"/>
      <c r="BT850" s="226"/>
      <c r="BU850" s="226"/>
      <c r="BV850" s="226"/>
      <c r="BW850" s="226"/>
      <c r="BX850" s="226"/>
      <c r="BY850" s="226"/>
      <c r="BZ850" s="226"/>
      <c r="CA850" s="226"/>
      <c r="CB850" s="226"/>
      <c r="CC850" s="226"/>
      <c r="CD850" s="226"/>
      <c r="CE850" s="226"/>
      <c r="CF850" s="226"/>
      <c r="CG850" s="226"/>
      <c r="CH850" s="226"/>
      <c r="CI850" s="226"/>
      <c r="CJ850" s="226"/>
      <c r="CK850" s="226"/>
      <c r="CL850" s="226"/>
      <c r="CM850" s="226"/>
      <c r="CN850" s="226"/>
      <c r="CO850" s="226"/>
      <c r="CP850" s="226"/>
      <c r="CQ850" s="226"/>
      <c r="CR850" s="226"/>
      <c r="CS850" s="226"/>
      <c r="CT850" s="226"/>
      <c r="CU850" s="226"/>
      <c r="CV850" s="226"/>
      <c r="CW850" s="226"/>
      <c r="CX850" s="226"/>
      <c r="CY850" s="226"/>
      <c r="CZ850" s="226"/>
      <c r="DA850" s="226"/>
      <c r="DB850" s="226"/>
      <c r="DC850" s="226"/>
      <c r="DD850" s="226"/>
      <c r="DE850" s="226"/>
      <c r="DF850" s="226"/>
      <c r="DG850" s="226"/>
      <c r="DH850" s="226"/>
      <c r="DI850" s="226"/>
      <c r="DJ850" s="226"/>
      <c r="DK850" s="226"/>
      <c r="DL850" s="226"/>
      <c r="DM850" s="226"/>
      <c r="DN850" s="226"/>
      <c r="DO850" s="226"/>
      <c r="DP850" s="226"/>
      <c r="DQ850" s="226"/>
      <c r="DR850" s="226"/>
      <c r="DS850" s="226"/>
      <c r="DT850" s="226"/>
      <c r="DU850" s="226"/>
      <c r="DV850" s="226"/>
      <c r="DW850" s="226"/>
      <c r="DX850" s="226"/>
      <c r="DY850" s="226"/>
      <c r="DZ850" s="226"/>
      <c r="EA850" s="226"/>
      <c r="EB850" s="226"/>
      <c r="EC850" s="226"/>
      <c r="ED850" s="226"/>
      <c r="EE850" s="226"/>
      <c r="EF850" s="226"/>
      <c r="EG850" s="226"/>
      <c r="EH850" s="226"/>
      <c r="EI850" s="226"/>
      <c r="EJ850" s="226"/>
      <c r="EK850" s="226"/>
      <c r="EL850" s="226"/>
      <c r="EM850" s="226"/>
      <c r="EN850" s="226"/>
      <c r="EO850" s="226"/>
      <c r="EP850" s="226"/>
      <c r="EQ850" s="226"/>
      <c r="ER850" s="226"/>
      <c r="ES850" s="226"/>
      <c r="ET850" s="226"/>
      <c r="EU850" s="226"/>
      <c r="EV850" s="226"/>
      <c r="EW850" s="226"/>
      <c r="EX850" s="226"/>
      <c r="EY850" s="226"/>
      <c r="EZ850" s="226"/>
      <c r="FA850" s="226"/>
      <c r="FB850" s="226"/>
      <c r="FC850" s="226"/>
      <c r="FD850" s="226"/>
      <c r="FE850" s="226"/>
      <c r="FF850" s="226"/>
      <c r="FG850" s="226"/>
      <c r="FH850" s="226"/>
      <c r="FI850" s="226"/>
      <c r="FJ850" s="226"/>
      <c r="FK850" s="226"/>
      <c r="FL850" s="226"/>
      <c r="FM850" s="226"/>
      <c r="FN850" s="226"/>
      <c r="FO850" s="226"/>
      <c r="FP850" s="226"/>
      <c r="FQ850" s="226"/>
      <c r="FR850" s="226"/>
      <c r="FS850" s="226"/>
      <c r="FT850" s="226"/>
      <c r="FU850" s="226"/>
      <c r="FV850" s="226"/>
      <c r="FW850" s="226"/>
      <c r="FX850" s="226"/>
      <c r="FY850" s="226"/>
      <c r="FZ850" s="226"/>
      <c r="GA850" s="226"/>
      <c r="GB850" s="226"/>
      <c r="GC850" s="226"/>
      <c r="GD850" s="226"/>
      <c r="GE850" s="226"/>
      <c r="GF850" s="226"/>
      <c r="GG850" s="226"/>
      <c r="GH850" s="226"/>
      <c r="GI850" s="226"/>
      <c r="GJ850" s="226"/>
      <c r="GK850" s="226"/>
      <c r="GL850" s="226"/>
      <c r="GM850" s="226"/>
      <c r="GN850" s="226"/>
    </row>
    <row r="851">
      <c r="A851" s="212"/>
      <c r="B851" s="21"/>
      <c r="C851" s="21"/>
      <c r="D851" s="213"/>
      <c r="E851" s="214"/>
      <c r="F851" s="215"/>
      <c r="G851" s="21"/>
      <c r="H851" s="225"/>
      <c r="I851" s="110"/>
      <c r="J851" s="110"/>
      <c r="K851" s="110"/>
      <c r="L851" s="110"/>
      <c r="M851" s="110"/>
      <c r="N851" s="110"/>
      <c r="O851" s="110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  <c r="AA851" s="226"/>
      <c r="AB851" s="226"/>
      <c r="AC851" s="226"/>
      <c r="AD851" s="226"/>
      <c r="AE851" s="226"/>
      <c r="AF851" s="226"/>
      <c r="AG851" s="226"/>
      <c r="AH851" s="226"/>
      <c r="AI851" s="226"/>
      <c r="AJ851" s="226"/>
      <c r="AK851" s="226"/>
      <c r="AL851" s="226"/>
      <c r="AM851" s="226"/>
      <c r="AN851" s="226"/>
      <c r="AO851" s="226"/>
      <c r="AP851" s="226"/>
      <c r="AQ851" s="226"/>
      <c r="AR851" s="226"/>
      <c r="AS851" s="226"/>
      <c r="AT851" s="226"/>
      <c r="AU851" s="226"/>
      <c r="AV851" s="226"/>
      <c r="AW851" s="226"/>
      <c r="AX851" s="226"/>
      <c r="AY851" s="226"/>
      <c r="AZ851" s="226"/>
      <c r="BA851" s="226"/>
      <c r="BB851" s="226"/>
      <c r="BC851" s="226"/>
      <c r="BD851" s="226"/>
      <c r="BE851" s="226"/>
      <c r="BF851" s="226"/>
      <c r="BG851" s="226"/>
      <c r="BH851" s="226"/>
      <c r="BI851" s="226"/>
      <c r="BJ851" s="226"/>
      <c r="BK851" s="226"/>
      <c r="BL851" s="226"/>
      <c r="BM851" s="226"/>
      <c r="BN851" s="226"/>
      <c r="BO851" s="226"/>
      <c r="BP851" s="226"/>
      <c r="BQ851" s="226"/>
      <c r="BR851" s="226"/>
      <c r="BS851" s="226"/>
      <c r="BT851" s="226"/>
      <c r="BU851" s="226"/>
      <c r="BV851" s="226"/>
      <c r="BW851" s="226"/>
      <c r="BX851" s="226"/>
      <c r="BY851" s="226"/>
      <c r="BZ851" s="226"/>
      <c r="CA851" s="226"/>
      <c r="CB851" s="226"/>
      <c r="CC851" s="226"/>
      <c r="CD851" s="226"/>
      <c r="CE851" s="226"/>
      <c r="CF851" s="226"/>
      <c r="CG851" s="226"/>
      <c r="CH851" s="226"/>
      <c r="CI851" s="226"/>
      <c r="CJ851" s="226"/>
      <c r="CK851" s="226"/>
      <c r="CL851" s="226"/>
      <c r="CM851" s="226"/>
      <c r="CN851" s="226"/>
      <c r="CO851" s="226"/>
      <c r="CP851" s="226"/>
      <c r="CQ851" s="226"/>
      <c r="CR851" s="226"/>
      <c r="CS851" s="226"/>
      <c r="CT851" s="226"/>
      <c r="CU851" s="226"/>
      <c r="CV851" s="226"/>
      <c r="CW851" s="226"/>
      <c r="CX851" s="226"/>
      <c r="CY851" s="226"/>
      <c r="CZ851" s="226"/>
      <c r="DA851" s="226"/>
      <c r="DB851" s="226"/>
      <c r="DC851" s="226"/>
      <c r="DD851" s="226"/>
      <c r="DE851" s="226"/>
      <c r="DF851" s="226"/>
      <c r="DG851" s="226"/>
      <c r="DH851" s="226"/>
      <c r="DI851" s="226"/>
      <c r="DJ851" s="226"/>
      <c r="DK851" s="226"/>
      <c r="DL851" s="226"/>
      <c r="DM851" s="226"/>
      <c r="DN851" s="226"/>
      <c r="DO851" s="226"/>
      <c r="DP851" s="226"/>
      <c r="DQ851" s="226"/>
      <c r="DR851" s="226"/>
      <c r="DS851" s="226"/>
      <c r="DT851" s="226"/>
      <c r="DU851" s="226"/>
      <c r="DV851" s="226"/>
      <c r="DW851" s="226"/>
      <c r="DX851" s="226"/>
      <c r="DY851" s="226"/>
      <c r="DZ851" s="226"/>
      <c r="EA851" s="226"/>
      <c r="EB851" s="226"/>
      <c r="EC851" s="226"/>
      <c r="ED851" s="226"/>
      <c r="EE851" s="226"/>
      <c r="EF851" s="226"/>
      <c r="EG851" s="226"/>
      <c r="EH851" s="226"/>
      <c r="EI851" s="226"/>
      <c r="EJ851" s="226"/>
      <c r="EK851" s="226"/>
      <c r="EL851" s="226"/>
      <c r="EM851" s="226"/>
      <c r="EN851" s="226"/>
      <c r="EO851" s="226"/>
      <c r="EP851" s="226"/>
      <c r="EQ851" s="226"/>
      <c r="ER851" s="226"/>
      <c r="ES851" s="226"/>
      <c r="ET851" s="226"/>
      <c r="EU851" s="226"/>
      <c r="EV851" s="226"/>
      <c r="EW851" s="226"/>
      <c r="EX851" s="226"/>
      <c r="EY851" s="226"/>
      <c r="EZ851" s="226"/>
      <c r="FA851" s="226"/>
      <c r="FB851" s="226"/>
      <c r="FC851" s="226"/>
      <c r="FD851" s="226"/>
      <c r="FE851" s="226"/>
      <c r="FF851" s="226"/>
      <c r="FG851" s="226"/>
      <c r="FH851" s="226"/>
      <c r="FI851" s="226"/>
      <c r="FJ851" s="226"/>
      <c r="FK851" s="226"/>
      <c r="FL851" s="226"/>
      <c r="FM851" s="226"/>
      <c r="FN851" s="226"/>
      <c r="FO851" s="226"/>
      <c r="FP851" s="226"/>
      <c r="FQ851" s="226"/>
      <c r="FR851" s="226"/>
      <c r="FS851" s="226"/>
      <c r="FT851" s="226"/>
      <c r="FU851" s="226"/>
      <c r="FV851" s="226"/>
      <c r="FW851" s="226"/>
      <c r="FX851" s="226"/>
      <c r="FY851" s="226"/>
      <c r="FZ851" s="226"/>
      <c r="GA851" s="226"/>
      <c r="GB851" s="226"/>
      <c r="GC851" s="226"/>
      <c r="GD851" s="226"/>
      <c r="GE851" s="226"/>
      <c r="GF851" s="226"/>
      <c r="GG851" s="226"/>
      <c r="GH851" s="226"/>
      <c r="GI851" s="226"/>
      <c r="GJ851" s="226"/>
      <c r="GK851" s="226"/>
      <c r="GL851" s="226"/>
      <c r="GM851" s="226"/>
      <c r="GN851" s="226"/>
    </row>
    <row r="852">
      <c r="A852" s="212"/>
      <c r="B852" s="21"/>
      <c r="C852" s="21"/>
      <c r="D852" s="213"/>
      <c r="E852" s="214"/>
      <c r="F852" s="215"/>
      <c r="G852" s="21"/>
      <c r="H852" s="225"/>
      <c r="I852" s="110"/>
      <c r="J852" s="110"/>
      <c r="K852" s="110"/>
      <c r="L852" s="110"/>
      <c r="M852" s="110"/>
      <c r="N852" s="110"/>
      <c r="O852" s="110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  <c r="AA852" s="226"/>
      <c r="AB852" s="226"/>
      <c r="AC852" s="226"/>
      <c r="AD852" s="226"/>
      <c r="AE852" s="226"/>
      <c r="AF852" s="226"/>
      <c r="AG852" s="226"/>
      <c r="AH852" s="226"/>
      <c r="AI852" s="226"/>
      <c r="AJ852" s="226"/>
      <c r="AK852" s="226"/>
      <c r="AL852" s="226"/>
      <c r="AM852" s="226"/>
      <c r="AN852" s="226"/>
      <c r="AO852" s="226"/>
      <c r="AP852" s="226"/>
      <c r="AQ852" s="226"/>
      <c r="AR852" s="226"/>
      <c r="AS852" s="226"/>
      <c r="AT852" s="226"/>
      <c r="AU852" s="226"/>
      <c r="AV852" s="226"/>
      <c r="AW852" s="226"/>
      <c r="AX852" s="226"/>
      <c r="AY852" s="226"/>
      <c r="AZ852" s="226"/>
      <c r="BA852" s="226"/>
      <c r="BB852" s="226"/>
      <c r="BC852" s="226"/>
      <c r="BD852" s="226"/>
      <c r="BE852" s="226"/>
      <c r="BF852" s="226"/>
      <c r="BG852" s="226"/>
      <c r="BH852" s="226"/>
      <c r="BI852" s="226"/>
      <c r="BJ852" s="226"/>
      <c r="BK852" s="226"/>
      <c r="BL852" s="226"/>
      <c r="BM852" s="226"/>
      <c r="BN852" s="226"/>
      <c r="BO852" s="226"/>
      <c r="BP852" s="226"/>
      <c r="BQ852" s="226"/>
      <c r="BR852" s="226"/>
      <c r="BS852" s="226"/>
      <c r="BT852" s="226"/>
      <c r="BU852" s="226"/>
      <c r="BV852" s="226"/>
      <c r="BW852" s="226"/>
      <c r="BX852" s="226"/>
      <c r="BY852" s="226"/>
      <c r="BZ852" s="226"/>
      <c r="CA852" s="226"/>
      <c r="CB852" s="226"/>
      <c r="CC852" s="226"/>
      <c r="CD852" s="226"/>
      <c r="CE852" s="226"/>
      <c r="CF852" s="226"/>
      <c r="CG852" s="226"/>
      <c r="CH852" s="226"/>
      <c r="CI852" s="226"/>
      <c r="CJ852" s="226"/>
      <c r="CK852" s="226"/>
      <c r="CL852" s="226"/>
      <c r="CM852" s="226"/>
      <c r="CN852" s="226"/>
      <c r="CO852" s="226"/>
      <c r="CP852" s="226"/>
      <c r="CQ852" s="226"/>
      <c r="CR852" s="226"/>
      <c r="CS852" s="226"/>
      <c r="CT852" s="226"/>
      <c r="CU852" s="226"/>
      <c r="CV852" s="226"/>
      <c r="CW852" s="226"/>
      <c r="CX852" s="226"/>
      <c r="CY852" s="226"/>
      <c r="CZ852" s="226"/>
      <c r="DA852" s="226"/>
      <c r="DB852" s="226"/>
      <c r="DC852" s="226"/>
      <c r="DD852" s="226"/>
      <c r="DE852" s="226"/>
      <c r="DF852" s="226"/>
      <c r="DG852" s="226"/>
      <c r="DH852" s="226"/>
      <c r="DI852" s="226"/>
      <c r="DJ852" s="226"/>
      <c r="DK852" s="226"/>
      <c r="DL852" s="226"/>
      <c r="DM852" s="226"/>
      <c r="DN852" s="226"/>
      <c r="DO852" s="226"/>
      <c r="DP852" s="226"/>
      <c r="DQ852" s="226"/>
      <c r="DR852" s="226"/>
      <c r="DS852" s="226"/>
      <c r="DT852" s="226"/>
      <c r="DU852" s="226"/>
      <c r="DV852" s="226"/>
      <c r="DW852" s="226"/>
      <c r="DX852" s="226"/>
      <c r="DY852" s="226"/>
      <c r="DZ852" s="226"/>
      <c r="EA852" s="226"/>
      <c r="EB852" s="226"/>
      <c r="EC852" s="226"/>
      <c r="ED852" s="226"/>
      <c r="EE852" s="226"/>
      <c r="EF852" s="226"/>
      <c r="EG852" s="226"/>
      <c r="EH852" s="226"/>
      <c r="EI852" s="226"/>
      <c r="EJ852" s="226"/>
      <c r="EK852" s="226"/>
      <c r="EL852" s="226"/>
      <c r="EM852" s="226"/>
      <c r="EN852" s="226"/>
      <c r="EO852" s="226"/>
      <c r="EP852" s="226"/>
      <c r="EQ852" s="226"/>
      <c r="ER852" s="226"/>
      <c r="ES852" s="226"/>
      <c r="ET852" s="226"/>
      <c r="EU852" s="226"/>
      <c r="EV852" s="226"/>
      <c r="EW852" s="226"/>
      <c r="EX852" s="226"/>
      <c r="EY852" s="226"/>
      <c r="EZ852" s="226"/>
      <c r="FA852" s="226"/>
      <c r="FB852" s="226"/>
      <c r="FC852" s="226"/>
      <c r="FD852" s="226"/>
      <c r="FE852" s="226"/>
      <c r="FF852" s="226"/>
      <c r="FG852" s="226"/>
      <c r="FH852" s="226"/>
      <c r="FI852" s="226"/>
      <c r="FJ852" s="226"/>
      <c r="FK852" s="226"/>
      <c r="FL852" s="226"/>
      <c r="FM852" s="226"/>
      <c r="FN852" s="226"/>
      <c r="FO852" s="226"/>
      <c r="FP852" s="226"/>
      <c r="FQ852" s="226"/>
      <c r="FR852" s="226"/>
      <c r="FS852" s="226"/>
      <c r="FT852" s="226"/>
      <c r="FU852" s="226"/>
      <c r="FV852" s="226"/>
      <c r="FW852" s="226"/>
      <c r="FX852" s="226"/>
      <c r="FY852" s="226"/>
      <c r="FZ852" s="226"/>
      <c r="GA852" s="226"/>
      <c r="GB852" s="226"/>
      <c r="GC852" s="226"/>
      <c r="GD852" s="226"/>
      <c r="GE852" s="226"/>
      <c r="GF852" s="226"/>
      <c r="GG852" s="226"/>
      <c r="GH852" s="226"/>
      <c r="GI852" s="226"/>
      <c r="GJ852" s="226"/>
      <c r="GK852" s="226"/>
      <c r="GL852" s="226"/>
      <c r="GM852" s="226"/>
      <c r="GN852" s="226"/>
    </row>
    <row r="853">
      <c r="A853" s="212"/>
      <c r="B853" s="21"/>
      <c r="C853" s="21"/>
      <c r="D853" s="213"/>
      <c r="E853" s="214"/>
      <c r="F853" s="215"/>
      <c r="G853" s="21"/>
      <c r="H853" s="225"/>
      <c r="I853" s="110"/>
      <c r="J853" s="110"/>
      <c r="K853" s="110"/>
      <c r="L853" s="110"/>
      <c r="M853" s="110"/>
      <c r="N853" s="110"/>
      <c r="O853" s="110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  <c r="AA853" s="226"/>
      <c r="AB853" s="226"/>
      <c r="AC853" s="226"/>
      <c r="AD853" s="226"/>
      <c r="AE853" s="226"/>
      <c r="AF853" s="226"/>
      <c r="AG853" s="226"/>
      <c r="AH853" s="226"/>
      <c r="AI853" s="226"/>
      <c r="AJ853" s="226"/>
      <c r="AK853" s="226"/>
      <c r="AL853" s="226"/>
      <c r="AM853" s="226"/>
      <c r="AN853" s="226"/>
      <c r="AO853" s="226"/>
      <c r="AP853" s="226"/>
      <c r="AQ853" s="226"/>
      <c r="AR853" s="226"/>
      <c r="AS853" s="226"/>
      <c r="AT853" s="226"/>
      <c r="AU853" s="226"/>
      <c r="AV853" s="226"/>
      <c r="AW853" s="226"/>
      <c r="AX853" s="226"/>
      <c r="AY853" s="226"/>
      <c r="AZ853" s="226"/>
      <c r="BA853" s="226"/>
      <c r="BB853" s="226"/>
      <c r="BC853" s="226"/>
      <c r="BD853" s="226"/>
      <c r="BE853" s="226"/>
      <c r="BF853" s="226"/>
      <c r="BG853" s="226"/>
      <c r="BH853" s="226"/>
      <c r="BI853" s="226"/>
      <c r="BJ853" s="226"/>
      <c r="BK853" s="226"/>
      <c r="BL853" s="226"/>
      <c r="BM853" s="226"/>
      <c r="BN853" s="226"/>
      <c r="BO853" s="226"/>
      <c r="BP853" s="226"/>
      <c r="BQ853" s="226"/>
      <c r="BR853" s="226"/>
      <c r="BS853" s="226"/>
      <c r="BT853" s="226"/>
      <c r="BU853" s="226"/>
      <c r="BV853" s="226"/>
      <c r="BW853" s="226"/>
      <c r="BX853" s="226"/>
      <c r="BY853" s="226"/>
      <c r="BZ853" s="226"/>
      <c r="CA853" s="226"/>
      <c r="CB853" s="226"/>
      <c r="CC853" s="226"/>
      <c r="CD853" s="226"/>
      <c r="CE853" s="226"/>
      <c r="CF853" s="226"/>
      <c r="CG853" s="226"/>
      <c r="CH853" s="226"/>
      <c r="CI853" s="226"/>
      <c r="CJ853" s="226"/>
      <c r="CK853" s="226"/>
      <c r="CL853" s="226"/>
      <c r="CM853" s="226"/>
      <c r="CN853" s="226"/>
      <c r="CO853" s="226"/>
      <c r="CP853" s="226"/>
      <c r="CQ853" s="226"/>
      <c r="CR853" s="226"/>
      <c r="CS853" s="226"/>
      <c r="CT853" s="226"/>
      <c r="CU853" s="226"/>
      <c r="CV853" s="226"/>
      <c r="CW853" s="226"/>
      <c r="CX853" s="226"/>
      <c r="CY853" s="226"/>
      <c r="CZ853" s="226"/>
      <c r="DA853" s="226"/>
      <c r="DB853" s="226"/>
      <c r="DC853" s="226"/>
      <c r="DD853" s="226"/>
      <c r="DE853" s="226"/>
      <c r="DF853" s="226"/>
      <c r="DG853" s="226"/>
      <c r="DH853" s="226"/>
      <c r="DI853" s="226"/>
      <c r="DJ853" s="226"/>
      <c r="DK853" s="226"/>
      <c r="DL853" s="226"/>
      <c r="DM853" s="226"/>
      <c r="DN853" s="226"/>
      <c r="DO853" s="226"/>
      <c r="DP853" s="226"/>
      <c r="DQ853" s="226"/>
      <c r="DR853" s="226"/>
      <c r="DS853" s="226"/>
      <c r="DT853" s="226"/>
      <c r="DU853" s="226"/>
      <c r="DV853" s="226"/>
      <c r="DW853" s="226"/>
      <c r="DX853" s="226"/>
      <c r="DY853" s="226"/>
      <c r="DZ853" s="226"/>
      <c r="EA853" s="226"/>
      <c r="EB853" s="226"/>
      <c r="EC853" s="226"/>
      <c r="ED853" s="226"/>
      <c r="EE853" s="226"/>
      <c r="EF853" s="226"/>
      <c r="EG853" s="226"/>
      <c r="EH853" s="226"/>
      <c r="EI853" s="226"/>
      <c r="EJ853" s="226"/>
      <c r="EK853" s="226"/>
      <c r="EL853" s="226"/>
      <c r="EM853" s="226"/>
      <c r="EN853" s="226"/>
      <c r="EO853" s="226"/>
      <c r="EP853" s="226"/>
      <c r="EQ853" s="226"/>
      <c r="ER853" s="226"/>
      <c r="ES853" s="226"/>
      <c r="ET853" s="226"/>
      <c r="EU853" s="226"/>
      <c r="EV853" s="226"/>
      <c r="EW853" s="226"/>
      <c r="EX853" s="226"/>
      <c r="EY853" s="226"/>
      <c r="EZ853" s="226"/>
      <c r="FA853" s="226"/>
      <c r="FB853" s="226"/>
      <c r="FC853" s="226"/>
      <c r="FD853" s="226"/>
      <c r="FE853" s="226"/>
      <c r="FF853" s="226"/>
      <c r="FG853" s="226"/>
      <c r="FH853" s="226"/>
      <c r="FI853" s="226"/>
      <c r="FJ853" s="226"/>
      <c r="FK853" s="226"/>
      <c r="FL853" s="226"/>
      <c r="FM853" s="226"/>
      <c r="FN853" s="226"/>
      <c r="FO853" s="226"/>
      <c r="FP853" s="226"/>
      <c r="FQ853" s="226"/>
      <c r="FR853" s="226"/>
      <c r="FS853" s="226"/>
      <c r="FT853" s="226"/>
      <c r="FU853" s="226"/>
      <c r="FV853" s="226"/>
      <c r="FW853" s="226"/>
      <c r="FX853" s="226"/>
      <c r="FY853" s="226"/>
      <c r="FZ853" s="226"/>
      <c r="GA853" s="226"/>
      <c r="GB853" s="226"/>
      <c r="GC853" s="226"/>
      <c r="GD853" s="226"/>
      <c r="GE853" s="226"/>
      <c r="GF853" s="226"/>
      <c r="GG853" s="226"/>
      <c r="GH853" s="226"/>
      <c r="GI853" s="226"/>
      <c r="GJ853" s="226"/>
      <c r="GK853" s="226"/>
      <c r="GL853" s="226"/>
      <c r="GM853" s="226"/>
      <c r="GN853" s="226"/>
    </row>
    <row r="854">
      <c r="A854" s="212"/>
      <c r="B854" s="21"/>
      <c r="C854" s="21"/>
      <c r="D854" s="213"/>
      <c r="E854" s="214"/>
      <c r="F854" s="215"/>
      <c r="G854" s="21"/>
      <c r="H854" s="225"/>
      <c r="I854" s="110"/>
      <c r="J854" s="110"/>
      <c r="K854" s="110"/>
      <c r="L854" s="110"/>
      <c r="M854" s="110"/>
      <c r="N854" s="110"/>
      <c r="O854" s="110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  <c r="AA854" s="226"/>
      <c r="AB854" s="226"/>
      <c r="AC854" s="226"/>
      <c r="AD854" s="226"/>
      <c r="AE854" s="226"/>
      <c r="AF854" s="226"/>
      <c r="AG854" s="226"/>
      <c r="AH854" s="226"/>
      <c r="AI854" s="226"/>
      <c r="AJ854" s="226"/>
      <c r="AK854" s="226"/>
      <c r="AL854" s="226"/>
      <c r="AM854" s="226"/>
      <c r="AN854" s="226"/>
      <c r="AO854" s="226"/>
      <c r="AP854" s="226"/>
      <c r="AQ854" s="226"/>
      <c r="AR854" s="226"/>
      <c r="AS854" s="226"/>
      <c r="AT854" s="226"/>
      <c r="AU854" s="226"/>
      <c r="AV854" s="226"/>
      <c r="AW854" s="226"/>
      <c r="AX854" s="226"/>
      <c r="AY854" s="226"/>
      <c r="AZ854" s="226"/>
      <c r="BA854" s="226"/>
      <c r="BB854" s="226"/>
      <c r="BC854" s="226"/>
      <c r="BD854" s="226"/>
      <c r="BE854" s="226"/>
      <c r="BF854" s="226"/>
      <c r="BG854" s="226"/>
      <c r="BH854" s="226"/>
      <c r="BI854" s="226"/>
      <c r="BJ854" s="226"/>
      <c r="BK854" s="226"/>
      <c r="BL854" s="226"/>
      <c r="BM854" s="226"/>
      <c r="BN854" s="226"/>
      <c r="BO854" s="226"/>
      <c r="BP854" s="226"/>
      <c r="BQ854" s="226"/>
      <c r="BR854" s="226"/>
      <c r="BS854" s="226"/>
      <c r="BT854" s="226"/>
      <c r="BU854" s="226"/>
      <c r="BV854" s="226"/>
      <c r="BW854" s="226"/>
      <c r="BX854" s="226"/>
      <c r="BY854" s="226"/>
      <c r="BZ854" s="226"/>
      <c r="CA854" s="226"/>
      <c r="CB854" s="226"/>
      <c r="CC854" s="226"/>
      <c r="CD854" s="226"/>
      <c r="CE854" s="226"/>
      <c r="CF854" s="226"/>
      <c r="CG854" s="226"/>
      <c r="CH854" s="226"/>
      <c r="CI854" s="226"/>
      <c r="CJ854" s="226"/>
      <c r="CK854" s="226"/>
      <c r="CL854" s="226"/>
      <c r="CM854" s="226"/>
      <c r="CN854" s="226"/>
      <c r="CO854" s="226"/>
      <c r="CP854" s="226"/>
      <c r="CQ854" s="226"/>
      <c r="CR854" s="226"/>
      <c r="CS854" s="226"/>
      <c r="CT854" s="226"/>
      <c r="CU854" s="226"/>
      <c r="CV854" s="226"/>
      <c r="CW854" s="226"/>
      <c r="CX854" s="226"/>
      <c r="CY854" s="226"/>
      <c r="CZ854" s="226"/>
      <c r="DA854" s="226"/>
      <c r="DB854" s="226"/>
      <c r="DC854" s="226"/>
      <c r="DD854" s="226"/>
      <c r="DE854" s="226"/>
      <c r="DF854" s="226"/>
      <c r="DG854" s="226"/>
      <c r="DH854" s="226"/>
      <c r="DI854" s="226"/>
      <c r="DJ854" s="226"/>
      <c r="DK854" s="226"/>
      <c r="DL854" s="226"/>
      <c r="DM854" s="226"/>
      <c r="DN854" s="226"/>
      <c r="DO854" s="226"/>
      <c r="DP854" s="226"/>
      <c r="DQ854" s="226"/>
      <c r="DR854" s="226"/>
      <c r="DS854" s="226"/>
      <c r="DT854" s="226"/>
      <c r="DU854" s="226"/>
      <c r="DV854" s="226"/>
      <c r="DW854" s="226"/>
      <c r="DX854" s="226"/>
      <c r="DY854" s="226"/>
      <c r="DZ854" s="226"/>
      <c r="EA854" s="226"/>
      <c r="EB854" s="226"/>
      <c r="EC854" s="226"/>
      <c r="ED854" s="226"/>
      <c r="EE854" s="226"/>
      <c r="EF854" s="226"/>
      <c r="EG854" s="226"/>
      <c r="EH854" s="226"/>
      <c r="EI854" s="226"/>
      <c r="EJ854" s="226"/>
      <c r="EK854" s="226"/>
      <c r="EL854" s="226"/>
      <c r="EM854" s="226"/>
      <c r="EN854" s="226"/>
      <c r="EO854" s="226"/>
      <c r="EP854" s="226"/>
      <c r="EQ854" s="226"/>
      <c r="ER854" s="226"/>
      <c r="ES854" s="226"/>
      <c r="ET854" s="226"/>
      <c r="EU854" s="226"/>
      <c r="EV854" s="226"/>
      <c r="EW854" s="226"/>
      <c r="EX854" s="226"/>
      <c r="EY854" s="226"/>
      <c r="EZ854" s="226"/>
      <c r="FA854" s="226"/>
      <c r="FB854" s="226"/>
      <c r="FC854" s="226"/>
      <c r="FD854" s="226"/>
      <c r="FE854" s="226"/>
      <c r="FF854" s="226"/>
      <c r="FG854" s="226"/>
      <c r="FH854" s="226"/>
      <c r="FI854" s="226"/>
      <c r="FJ854" s="226"/>
      <c r="FK854" s="226"/>
      <c r="FL854" s="226"/>
      <c r="FM854" s="226"/>
      <c r="FN854" s="226"/>
      <c r="FO854" s="226"/>
      <c r="FP854" s="226"/>
      <c r="FQ854" s="226"/>
      <c r="FR854" s="226"/>
      <c r="FS854" s="226"/>
      <c r="FT854" s="226"/>
      <c r="FU854" s="226"/>
      <c r="FV854" s="226"/>
      <c r="FW854" s="226"/>
      <c r="FX854" s="226"/>
      <c r="FY854" s="226"/>
      <c r="FZ854" s="226"/>
      <c r="GA854" s="226"/>
      <c r="GB854" s="226"/>
      <c r="GC854" s="226"/>
      <c r="GD854" s="226"/>
      <c r="GE854" s="226"/>
      <c r="GF854" s="226"/>
      <c r="GG854" s="226"/>
      <c r="GH854" s="226"/>
      <c r="GI854" s="226"/>
      <c r="GJ854" s="226"/>
      <c r="GK854" s="226"/>
      <c r="GL854" s="226"/>
      <c r="GM854" s="226"/>
      <c r="GN854" s="226"/>
    </row>
    <row r="855">
      <c r="A855" s="212"/>
      <c r="B855" s="21"/>
      <c r="C855" s="21"/>
      <c r="D855" s="213"/>
      <c r="E855" s="214"/>
      <c r="F855" s="215"/>
      <c r="G855" s="21"/>
      <c r="H855" s="225"/>
      <c r="I855" s="110"/>
      <c r="J855" s="110"/>
      <c r="K855" s="110"/>
      <c r="L855" s="110"/>
      <c r="M855" s="110"/>
      <c r="N855" s="110"/>
      <c r="O855" s="110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  <c r="AA855" s="226"/>
      <c r="AB855" s="226"/>
      <c r="AC855" s="226"/>
      <c r="AD855" s="226"/>
      <c r="AE855" s="226"/>
      <c r="AF855" s="226"/>
      <c r="AG855" s="226"/>
      <c r="AH855" s="226"/>
      <c r="AI855" s="226"/>
      <c r="AJ855" s="226"/>
      <c r="AK855" s="226"/>
      <c r="AL855" s="226"/>
      <c r="AM855" s="226"/>
      <c r="AN855" s="226"/>
      <c r="AO855" s="226"/>
      <c r="AP855" s="226"/>
      <c r="AQ855" s="226"/>
      <c r="AR855" s="226"/>
      <c r="AS855" s="226"/>
      <c r="AT855" s="226"/>
      <c r="AU855" s="226"/>
      <c r="AV855" s="226"/>
      <c r="AW855" s="226"/>
      <c r="AX855" s="226"/>
      <c r="AY855" s="226"/>
      <c r="AZ855" s="226"/>
      <c r="BA855" s="226"/>
      <c r="BB855" s="226"/>
      <c r="BC855" s="226"/>
      <c r="BD855" s="226"/>
      <c r="BE855" s="226"/>
      <c r="BF855" s="226"/>
      <c r="BG855" s="226"/>
      <c r="BH855" s="226"/>
      <c r="BI855" s="226"/>
      <c r="BJ855" s="226"/>
      <c r="BK855" s="226"/>
      <c r="BL855" s="226"/>
      <c r="BM855" s="226"/>
      <c r="BN855" s="226"/>
      <c r="BO855" s="226"/>
      <c r="BP855" s="226"/>
      <c r="BQ855" s="226"/>
      <c r="BR855" s="226"/>
      <c r="BS855" s="226"/>
      <c r="BT855" s="226"/>
      <c r="BU855" s="226"/>
      <c r="BV855" s="226"/>
      <c r="BW855" s="226"/>
      <c r="BX855" s="226"/>
      <c r="BY855" s="226"/>
      <c r="BZ855" s="226"/>
      <c r="CA855" s="226"/>
      <c r="CB855" s="226"/>
      <c r="CC855" s="226"/>
      <c r="CD855" s="226"/>
      <c r="CE855" s="226"/>
      <c r="CF855" s="226"/>
      <c r="CG855" s="226"/>
      <c r="CH855" s="226"/>
      <c r="CI855" s="226"/>
      <c r="CJ855" s="226"/>
      <c r="CK855" s="226"/>
      <c r="CL855" s="226"/>
      <c r="CM855" s="226"/>
      <c r="CN855" s="226"/>
      <c r="CO855" s="226"/>
      <c r="CP855" s="226"/>
      <c r="CQ855" s="226"/>
      <c r="CR855" s="226"/>
      <c r="CS855" s="226"/>
      <c r="CT855" s="226"/>
      <c r="CU855" s="226"/>
      <c r="CV855" s="226"/>
      <c r="CW855" s="226"/>
      <c r="CX855" s="226"/>
      <c r="CY855" s="226"/>
      <c r="CZ855" s="226"/>
      <c r="DA855" s="226"/>
      <c r="DB855" s="226"/>
      <c r="DC855" s="226"/>
      <c r="DD855" s="226"/>
      <c r="DE855" s="226"/>
      <c r="DF855" s="226"/>
      <c r="DG855" s="226"/>
      <c r="DH855" s="226"/>
      <c r="DI855" s="226"/>
      <c r="DJ855" s="226"/>
      <c r="DK855" s="226"/>
      <c r="DL855" s="226"/>
      <c r="DM855" s="226"/>
      <c r="DN855" s="226"/>
      <c r="DO855" s="226"/>
      <c r="DP855" s="226"/>
      <c r="DQ855" s="226"/>
      <c r="DR855" s="226"/>
      <c r="DS855" s="226"/>
      <c r="DT855" s="226"/>
      <c r="DU855" s="226"/>
      <c r="DV855" s="226"/>
      <c r="DW855" s="226"/>
      <c r="DX855" s="226"/>
      <c r="DY855" s="226"/>
      <c r="DZ855" s="226"/>
      <c r="EA855" s="226"/>
      <c r="EB855" s="226"/>
      <c r="EC855" s="226"/>
      <c r="ED855" s="226"/>
      <c r="EE855" s="226"/>
      <c r="EF855" s="226"/>
      <c r="EG855" s="226"/>
      <c r="EH855" s="226"/>
      <c r="EI855" s="226"/>
      <c r="EJ855" s="226"/>
      <c r="EK855" s="226"/>
      <c r="EL855" s="226"/>
      <c r="EM855" s="226"/>
      <c r="EN855" s="226"/>
      <c r="EO855" s="226"/>
      <c r="EP855" s="226"/>
      <c r="EQ855" s="226"/>
      <c r="ER855" s="226"/>
      <c r="ES855" s="226"/>
      <c r="ET855" s="226"/>
      <c r="EU855" s="226"/>
      <c r="EV855" s="226"/>
      <c r="EW855" s="226"/>
      <c r="EX855" s="226"/>
      <c r="EY855" s="226"/>
      <c r="EZ855" s="226"/>
      <c r="FA855" s="226"/>
      <c r="FB855" s="226"/>
      <c r="FC855" s="226"/>
      <c r="FD855" s="226"/>
      <c r="FE855" s="226"/>
      <c r="FF855" s="226"/>
      <c r="FG855" s="226"/>
      <c r="FH855" s="226"/>
      <c r="FI855" s="226"/>
      <c r="FJ855" s="226"/>
      <c r="FK855" s="226"/>
      <c r="FL855" s="226"/>
      <c r="FM855" s="226"/>
      <c r="FN855" s="226"/>
      <c r="FO855" s="226"/>
      <c r="FP855" s="226"/>
      <c r="FQ855" s="226"/>
      <c r="FR855" s="226"/>
      <c r="FS855" s="226"/>
      <c r="FT855" s="226"/>
      <c r="FU855" s="226"/>
      <c r="FV855" s="226"/>
      <c r="FW855" s="226"/>
      <c r="FX855" s="226"/>
      <c r="FY855" s="226"/>
      <c r="FZ855" s="226"/>
      <c r="GA855" s="226"/>
      <c r="GB855" s="226"/>
      <c r="GC855" s="226"/>
      <c r="GD855" s="226"/>
      <c r="GE855" s="226"/>
      <c r="GF855" s="226"/>
      <c r="GG855" s="226"/>
      <c r="GH855" s="226"/>
      <c r="GI855" s="226"/>
      <c r="GJ855" s="226"/>
      <c r="GK855" s="226"/>
      <c r="GL855" s="226"/>
      <c r="GM855" s="226"/>
      <c r="GN855" s="226"/>
    </row>
    <row r="856">
      <c r="A856" s="212"/>
      <c r="B856" s="21"/>
      <c r="C856" s="21"/>
      <c r="D856" s="213"/>
      <c r="E856" s="214"/>
      <c r="F856" s="215"/>
      <c r="G856" s="21"/>
      <c r="H856" s="225"/>
      <c r="I856" s="110"/>
      <c r="J856" s="110"/>
      <c r="K856" s="110"/>
      <c r="L856" s="110"/>
      <c r="M856" s="110"/>
      <c r="N856" s="110"/>
      <c r="O856" s="110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  <c r="AA856" s="226"/>
      <c r="AB856" s="226"/>
      <c r="AC856" s="226"/>
      <c r="AD856" s="226"/>
      <c r="AE856" s="226"/>
      <c r="AF856" s="226"/>
      <c r="AG856" s="226"/>
      <c r="AH856" s="226"/>
      <c r="AI856" s="226"/>
      <c r="AJ856" s="226"/>
      <c r="AK856" s="226"/>
      <c r="AL856" s="226"/>
      <c r="AM856" s="226"/>
      <c r="AN856" s="226"/>
      <c r="AO856" s="226"/>
      <c r="AP856" s="226"/>
      <c r="AQ856" s="226"/>
      <c r="AR856" s="226"/>
      <c r="AS856" s="226"/>
      <c r="AT856" s="226"/>
      <c r="AU856" s="226"/>
      <c r="AV856" s="226"/>
      <c r="AW856" s="226"/>
      <c r="AX856" s="226"/>
      <c r="AY856" s="226"/>
      <c r="AZ856" s="226"/>
      <c r="BA856" s="226"/>
      <c r="BB856" s="226"/>
      <c r="BC856" s="226"/>
      <c r="BD856" s="226"/>
      <c r="BE856" s="226"/>
      <c r="BF856" s="226"/>
      <c r="BG856" s="226"/>
      <c r="BH856" s="226"/>
      <c r="BI856" s="226"/>
      <c r="BJ856" s="226"/>
      <c r="BK856" s="226"/>
      <c r="BL856" s="226"/>
      <c r="BM856" s="226"/>
      <c r="BN856" s="226"/>
      <c r="BO856" s="226"/>
      <c r="BP856" s="226"/>
      <c r="BQ856" s="226"/>
      <c r="BR856" s="226"/>
      <c r="BS856" s="226"/>
      <c r="BT856" s="226"/>
      <c r="BU856" s="226"/>
      <c r="BV856" s="226"/>
      <c r="BW856" s="226"/>
      <c r="BX856" s="226"/>
      <c r="BY856" s="226"/>
      <c r="BZ856" s="226"/>
      <c r="CA856" s="226"/>
      <c r="CB856" s="226"/>
      <c r="CC856" s="226"/>
      <c r="CD856" s="226"/>
      <c r="CE856" s="226"/>
      <c r="CF856" s="226"/>
      <c r="CG856" s="226"/>
      <c r="CH856" s="226"/>
      <c r="CI856" s="226"/>
      <c r="CJ856" s="226"/>
      <c r="CK856" s="226"/>
      <c r="CL856" s="226"/>
      <c r="CM856" s="226"/>
      <c r="CN856" s="226"/>
      <c r="CO856" s="226"/>
      <c r="CP856" s="226"/>
      <c r="CQ856" s="226"/>
      <c r="CR856" s="226"/>
      <c r="CS856" s="226"/>
      <c r="CT856" s="226"/>
      <c r="CU856" s="226"/>
      <c r="CV856" s="226"/>
      <c r="CW856" s="226"/>
      <c r="CX856" s="226"/>
      <c r="CY856" s="226"/>
      <c r="CZ856" s="226"/>
      <c r="DA856" s="226"/>
      <c r="DB856" s="226"/>
      <c r="DC856" s="226"/>
      <c r="DD856" s="226"/>
      <c r="DE856" s="226"/>
      <c r="DF856" s="226"/>
      <c r="DG856" s="226"/>
      <c r="DH856" s="226"/>
      <c r="DI856" s="226"/>
      <c r="DJ856" s="226"/>
      <c r="DK856" s="226"/>
      <c r="DL856" s="226"/>
      <c r="DM856" s="226"/>
      <c r="DN856" s="226"/>
      <c r="DO856" s="226"/>
      <c r="DP856" s="226"/>
      <c r="DQ856" s="226"/>
      <c r="DR856" s="226"/>
      <c r="DS856" s="226"/>
      <c r="DT856" s="226"/>
      <c r="DU856" s="226"/>
      <c r="DV856" s="226"/>
      <c r="DW856" s="226"/>
      <c r="DX856" s="226"/>
      <c r="DY856" s="226"/>
      <c r="DZ856" s="226"/>
      <c r="EA856" s="226"/>
      <c r="EB856" s="226"/>
      <c r="EC856" s="226"/>
      <c r="ED856" s="226"/>
      <c r="EE856" s="226"/>
      <c r="EF856" s="226"/>
      <c r="EG856" s="226"/>
      <c r="EH856" s="226"/>
      <c r="EI856" s="226"/>
      <c r="EJ856" s="226"/>
      <c r="EK856" s="226"/>
      <c r="EL856" s="226"/>
      <c r="EM856" s="226"/>
      <c r="EN856" s="226"/>
      <c r="EO856" s="226"/>
      <c r="EP856" s="226"/>
      <c r="EQ856" s="226"/>
      <c r="ER856" s="226"/>
      <c r="ES856" s="226"/>
      <c r="ET856" s="226"/>
      <c r="EU856" s="226"/>
      <c r="EV856" s="226"/>
      <c r="EW856" s="226"/>
      <c r="EX856" s="226"/>
      <c r="EY856" s="226"/>
      <c r="EZ856" s="226"/>
      <c r="FA856" s="226"/>
      <c r="FB856" s="226"/>
      <c r="FC856" s="226"/>
      <c r="FD856" s="226"/>
      <c r="FE856" s="226"/>
      <c r="FF856" s="226"/>
      <c r="FG856" s="226"/>
      <c r="FH856" s="226"/>
      <c r="FI856" s="226"/>
      <c r="FJ856" s="226"/>
      <c r="FK856" s="226"/>
      <c r="FL856" s="226"/>
      <c r="FM856" s="226"/>
      <c r="FN856" s="226"/>
      <c r="FO856" s="226"/>
      <c r="FP856" s="226"/>
      <c r="FQ856" s="226"/>
      <c r="FR856" s="226"/>
      <c r="FS856" s="226"/>
      <c r="FT856" s="226"/>
      <c r="FU856" s="226"/>
      <c r="FV856" s="226"/>
      <c r="FW856" s="226"/>
      <c r="FX856" s="226"/>
      <c r="FY856" s="226"/>
      <c r="FZ856" s="226"/>
      <c r="GA856" s="226"/>
      <c r="GB856" s="226"/>
      <c r="GC856" s="226"/>
      <c r="GD856" s="226"/>
      <c r="GE856" s="226"/>
      <c r="GF856" s="226"/>
      <c r="GG856" s="226"/>
      <c r="GH856" s="226"/>
      <c r="GI856" s="226"/>
      <c r="GJ856" s="226"/>
      <c r="GK856" s="226"/>
      <c r="GL856" s="226"/>
      <c r="GM856" s="226"/>
      <c r="GN856" s="226"/>
    </row>
    <row r="857">
      <c r="A857" s="212"/>
      <c r="B857" s="21"/>
      <c r="C857" s="21"/>
      <c r="D857" s="213"/>
      <c r="E857" s="214"/>
      <c r="F857" s="215"/>
      <c r="G857" s="21"/>
      <c r="H857" s="225"/>
      <c r="I857" s="110"/>
      <c r="J857" s="110"/>
      <c r="K857" s="110"/>
      <c r="L857" s="110"/>
      <c r="M857" s="110"/>
      <c r="N857" s="110"/>
      <c r="O857" s="110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  <c r="AA857" s="226"/>
      <c r="AB857" s="226"/>
      <c r="AC857" s="226"/>
      <c r="AD857" s="226"/>
      <c r="AE857" s="226"/>
      <c r="AF857" s="226"/>
      <c r="AG857" s="226"/>
      <c r="AH857" s="226"/>
      <c r="AI857" s="226"/>
      <c r="AJ857" s="226"/>
      <c r="AK857" s="226"/>
      <c r="AL857" s="226"/>
      <c r="AM857" s="226"/>
      <c r="AN857" s="226"/>
      <c r="AO857" s="226"/>
      <c r="AP857" s="226"/>
      <c r="AQ857" s="226"/>
      <c r="AR857" s="226"/>
      <c r="AS857" s="226"/>
      <c r="AT857" s="226"/>
      <c r="AU857" s="226"/>
      <c r="AV857" s="226"/>
      <c r="AW857" s="226"/>
      <c r="AX857" s="226"/>
      <c r="AY857" s="226"/>
      <c r="AZ857" s="226"/>
      <c r="BA857" s="226"/>
      <c r="BB857" s="226"/>
      <c r="BC857" s="226"/>
      <c r="BD857" s="226"/>
      <c r="BE857" s="226"/>
      <c r="BF857" s="226"/>
      <c r="BG857" s="226"/>
      <c r="BH857" s="226"/>
      <c r="BI857" s="226"/>
      <c r="BJ857" s="226"/>
      <c r="BK857" s="226"/>
      <c r="BL857" s="226"/>
      <c r="BM857" s="226"/>
      <c r="BN857" s="226"/>
      <c r="BO857" s="226"/>
      <c r="BP857" s="226"/>
      <c r="BQ857" s="226"/>
      <c r="BR857" s="226"/>
      <c r="BS857" s="226"/>
      <c r="BT857" s="226"/>
      <c r="BU857" s="226"/>
      <c r="BV857" s="226"/>
      <c r="BW857" s="226"/>
      <c r="BX857" s="226"/>
      <c r="BY857" s="226"/>
      <c r="BZ857" s="226"/>
      <c r="CA857" s="226"/>
      <c r="CB857" s="226"/>
      <c r="CC857" s="226"/>
      <c r="CD857" s="226"/>
      <c r="CE857" s="226"/>
      <c r="CF857" s="226"/>
      <c r="CG857" s="226"/>
      <c r="CH857" s="226"/>
      <c r="CI857" s="226"/>
      <c r="CJ857" s="226"/>
      <c r="CK857" s="226"/>
      <c r="CL857" s="226"/>
      <c r="CM857" s="226"/>
      <c r="CN857" s="226"/>
      <c r="CO857" s="226"/>
      <c r="CP857" s="226"/>
      <c r="CQ857" s="226"/>
      <c r="CR857" s="226"/>
      <c r="CS857" s="226"/>
      <c r="CT857" s="226"/>
      <c r="CU857" s="226"/>
      <c r="CV857" s="226"/>
      <c r="CW857" s="226"/>
      <c r="CX857" s="226"/>
      <c r="CY857" s="226"/>
      <c r="CZ857" s="226"/>
      <c r="DA857" s="226"/>
      <c r="DB857" s="226"/>
      <c r="DC857" s="226"/>
      <c r="DD857" s="226"/>
      <c r="DE857" s="226"/>
      <c r="DF857" s="226"/>
      <c r="DG857" s="226"/>
      <c r="DH857" s="226"/>
      <c r="DI857" s="226"/>
      <c r="DJ857" s="226"/>
      <c r="DK857" s="226"/>
      <c r="DL857" s="226"/>
      <c r="DM857" s="226"/>
      <c r="DN857" s="226"/>
      <c r="DO857" s="226"/>
      <c r="DP857" s="226"/>
      <c r="DQ857" s="226"/>
      <c r="DR857" s="226"/>
      <c r="DS857" s="226"/>
      <c r="DT857" s="226"/>
      <c r="DU857" s="226"/>
      <c r="DV857" s="226"/>
      <c r="DW857" s="226"/>
      <c r="DX857" s="226"/>
      <c r="DY857" s="226"/>
      <c r="DZ857" s="226"/>
      <c r="EA857" s="226"/>
      <c r="EB857" s="226"/>
      <c r="EC857" s="226"/>
      <c r="ED857" s="226"/>
      <c r="EE857" s="226"/>
      <c r="EF857" s="226"/>
      <c r="EG857" s="226"/>
      <c r="EH857" s="226"/>
      <c r="EI857" s="226"/>
      <c r="EJ857" s="226"/>
      <c r="EK857" s="226"/>
      <c r="EL857" s="226"/>
      <c r="EM857" s="226"/>
      <c r="EN857" s="226"/>
      <c r="EO857" s="226"/>
      <c r="EP857" s="226"/>
      <c r="EQ857" s="226"/>
      <c r="ER857" s="226"/>
      <c r="ES857" s="226"/>
      <c r="ET857" s="226"/>
      <c r="EU857" s="226"/>
      <c r="EV857" s="226"/>
      <c r="EW857" s="226"/>
      <c r="EX857" s="226"/>
      <c r="EY857" s="226"/>
      <c r="EZ857" s="226"/>
      <c r="FA857" s="226"/>
      <c r="FB857" s="226"/>
      <c r="FC857" s="226"/>
      <c r="FD857" s="226"/>
      <c r="FE857" s="226"/>
      <c r="FF857" s="226"/>
      <c r="FG857" s="226"/>
      <c r="FH857" s="226"/>
      <c r="FI857" s="226"/>
      <c r="FJ857" s="226"/>
      <c r="FK857" s="226"/>
      <c r="FL857" s="226"/>
      <c r="FM857" s="226"/>
      <c r="FN857" s="226"/>
      <c r="FO857" s="226"/>
      <c r="FP857" s="226"/>
      <c r="FQ857" s="226"/>
      <c r="FR857" s="226"/>
      <c r="FS857" s="226"/>
      <c r="FT857" s="226"/>
      <c r="FU857" s="226"/>
      <c r="FV857" s="226"/>
      <c r="FW857" s="226"/>
      <c r="FX857" s="226"/>
      <c r="FY857" s="226"/>
      <c r="FZ857" s="226"/>
      <c r="GA857" s="226"/>
      <c r="GB857" s="226"/>
      <c r="GC857" s="226"/>
      <c r="GD857" s="226"/>
      <c r="GE857" s="226"/>
      <c r="GF857" s="226"/>
      <c r="GG857" s="226"/>
      <c r="GH857" s="226"/>
      <c r="GI857" s="226"/>
      <c r="GJ857" s="226"/>
      <c r="GK857" s="226"/>
      <c r="GL857" s="226"/>
      <c r="GM857" s="226"/>
      <c r="GN857" s="226"/>
    </row>
    <row r="858">
      <c r="A858" s="212"/>
      <c r="B858" s="21"/>
      <c r="C858" s="21"/>
      <c r="D858" s="213"/>
      <c r="E858" s="214"/>
      <c r="F858" s="215"/>
      <c r="G858" s="21"/>
      <c r="H858" s="225"/>
      <c r="I858" s="110"/>
      <c r="J858" s="110"/>
      <c r="K858" s="110"/>
      <c r="L858" s="110"/>
      <c r="M858" s="110"/>
      <c r="N858" s="110"/>
      <c r="O858" s="110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  <c r="AA858" s="226"/>
      <c r="AB858" s="226"/>
      <c r="AC858" s="226"/>
      <c r="AD858" s="226"/>
      <c r="AE858" s="226"/>
      <c r="AF858" s="226"/>
      <c r="AG858" s="226"/>
      <c r="AH858" s="226"/>
      <c r="AI858" s="226"/>
      <c r="AJ858" s="226"/>
      <c r="AK858" s="226"/>
      <c r="AL858" s="226"/>
      <c r="AM858" s="226"/>
      <c r="AN858" s="226"/>
      <c r="AO858" s="226"/>
      <c r="AP858" s="226"/>
      <c r="AQ858" s="226"/>
      <c r="AR858" s="226"/>
      <c r="AS858" s="226"/>
      <c r="AT858" s="226"/>
      <c r="AU858" s="226"/>
      <c r="AV858" s="226"/>
      <c r="AW858" s="226"/>
      <c r="AX858" s="226"/>
      <c r="AY858" s="226"/>
      <c r="AZ858" s="226"/>
      <c r="BA858" s="226"/>
      <c r="BB858" s="226"/>
      <c r="BC858" s="226"/>
      <c r="BD858" s="226"/>
      <c r="BE858" s="226"/>
      <c r="BF858" s="226"/>
      <c r="BG858" s="226"/>
      <c r="BH858" s="226"/>
      <c r="BI858" s="226"/>
      <c r="BJ858" s="226"/>
      <c r="BK858" s="226"/>
      <c r="BL858" s="226"/>
      <c r="BM858" s="226"/>
      <c r="BN858" s="226"/>
      <c r="BO858" s="226"/>
      <c r="BP858" s="226"/>
      <c r="BQ858" s="226"/>
      <c r="BR858" s="226"/>
      <c r="BS858" s="226"/>
      <c r="BT858" s="226"/>
      <c r="BU858" s="226"/>
      <c r="BV858" s="226"/>
      <c r="BW858" s="226"/>
      <c r="BX858" s="226"/>
      <c r="BY858" s="226"/>
      <c r="BZ858" s="226"/>
      <c r="CA858" s="226"/>
      <c r="CB858" s="226"/>
      <c r="CC858" s="226"/>
      <c r="CD858" s="226"/>
      <c r="CE858" s="226"/>
      <c r="CF858" s="226"/>
      <c r="CG858" s="226"/>
      <c r="CH858" s="226"/>
      <c r="CI858" s="226"/>
      <c r="CJ858" s="226"/>
      <c r="CK858" s="226"/>
      <c r="CL858" s="226"/>
      <c r="CM858" s="226"/>
      <c r="CN858" s="226"/>
      <c r="CO858" s="226"/>
      <c r="CP858" s="226"/>
      <c r="CQ858" s="226"/>
      <c r="CR858" s="226"/>
      <c r="CS858" s="226"/>
      <c r="CT858" s="226"/>
      <c r="CU858" s="226"/>
      <c r="CV858" s="226"/>
      <c r="CW858" s="226"/>
      <c r="CX858" s="226"/>
      <c r="CY858" s="226"/>
      <c r="CZ858" s="226"/>
      <c r="DA858" s="226"/>
      <c r="DB858" s="226"/>
      <c r="DC858" s="226"/>
      <c r="DD858" s="226"/>
      <c r="DE858" s="226"/>
      <c r="DF858" s="226"/>
      <c r="DG858" s="226"/>
      <c r="DH858" s="226"/>
      <c r="DI858" s="226"/>
      <c r="DJ858" s="226"/>
      <c r="DK858" s="226"/>
      <c r="DL858" s="226"/>
      <c r="DM858" s="226"/>
      <c r="DN858" s="226"/>
      <c r="DO858" s="226"/>
      <c r="DP858" s="226"/>
      <c r="DQ858" s="226"/>
      <c r="DR858" s="226"/>
      <c r="DS858" s="226"/>
      <c r="DT858" s="226"/>
      <c r="DU858" s="226"/>
      <c r="DV858" s="226"/>
      <c r="DW858" s="226"/>
      <c r="DX858" s="226"/>
      <c r="DY858" s="226"/>
      <c r="DZ858" s="226"/>
      <c r="EA858" s="226"/>
      <c r="EB858" s="226"/>
      <c r="EC858" s="226"/>
      <c r="ED858" s="226"/>
      <c r="EE858" s="226"/>
      <c r="EF858" s="226"/>
      <c r="EG858" s="226"/>
      <c r="EH858" s="226"/>
      <c r="EI858" s="226"/>
      <c r="EJ858" s="226"/>
      <c r="EK858" s="226"/>
      <c r="EL858" s="226"/>
      <c r="EM858" s="226"/>
      <c r="EN858" s="226"/>
      <c r="EO858" s="226"/>
      <c r="EP858" s="226"/>
      <c r="EQ858" s="226"/>
      <c r="ER858" s="226"/>
      <c r="ES858" s="226"/>
      <c r="ET858" s="226"/>
      <c r="EU858" s="226"/>
      <c r="EV858" s="226"/>
      <c r="EW858" s="226"/>
      <c r="EX858" s="226"/>
      <c r="EY858" s="226"/>
      <c r="EZ858" s="226"/>
      <c r="FA858" s="226"/>
      <c r="FB858" s="226"/>
      <c r="FC858" s="226"/>
      <c r="FD858" s="226"/>
      <c r="FE858" s="226"/>
      <c r="FF858" s="226"/>
      <c r="FG858" s="226"/>
      <c r="FH858" s="226"/>
      <c r="FI858" s="226"/>
      <c r="FJ858" s="226"/>
      <c r="FK858" s="226"/>
      <c r="FL858" s="226"/>
      <c r="FM858" s="226"/>
      <c r="FN858" s="226"/>
      <c r="FO858" s="226"/>
      <c r="FP858" s="226"/>
      <c r="FQ858" s="226"/>
      <c r="FR858" s="226"/>
      <c r="FS858" s="226"/>
      <c r="FT858" s="226"/>
      <c r="FU858" s="226"/>
      <c r="FV858" s="226"/>
      <c r="FW858" s="226"/>
      <c r="FX858" s="226"/>
      <c r="FY858" s="226"/>
      <c r="FZ858" s="226"/>
      <c r="GA858" s="226"/>
      <c r="GB858" s="226"/>
      <c r="GC858" s="226"/>
      <c r="GD858" s="226"/>
      <c r="GE858" s="226"/>
      <c r="GF858" s="226"/>
      <c r="GG858" s="226"/>
      <c r="GH858" s="226"/>
      <c r="GI858" s="226"/>
      <c r="GJ858" s="226"/>
      <c r="GK858" s="226"/>
      <c r="GL858" s="226"/>
      <c r="GM858" s="226"/>
      <c r="GN858" s="226"/>
    </row>
    <row r="859">
      <c r="A859" s="212"/>
      <c r="B859" s="21"/>
      <c r="C859" s="21"/>
      <c r="D859" s="213"/>
      <c r="E859" s="214"/>
      <c r="F859" s="215"/>
      <c r="G859" s="21"/>
      <c r="H859" s="225"/>
      <c r="I859" s="110"/>
      <c r="J859" s="110"/>
      <c r="K859" s="110"/>
      <c r="L859" s="110"/>
      <c r="M859" s="110"/>
      <c r="N859" s="110"/>
      <c r="O859" s="110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  <c r="AA859" s="226"/>
      <c r="AB859" s="226"/>
      <c r="AC859" s="226"/>
      <c r="AD859" s="226"/>
      <c r="AE859" s="226"/>
      <c r="AF859" s="226"/>
      <c r="AG859" s="226"/>
      <c r="AH859" s="226"/>
      <c r="AI859" s="226"/>
      <c r="AJ859" s="226"/>
      <c r="AK859" s="226"/>
      <c r="AL859" s="226"/>
      <c r="AM859" s="226"/>
      <c r="AN859" s="226"/>
      <c r="AO859" s="226"/>
      <c r="AP859" s="226"/>
      <c r="AQ859" s="226"/>
      <c r="AR859" s="226"/>
      <c r="AS859" s="226"/>
      <c r="AT859" s="226"/>
      <c r="AU859" s="226"/>
      <c r="AV859" s="226"/>
      <c r="AW859" s="226"/>
      <c r="AX859" s="226"/>
      <c r="AY859" s="226"/>
      <c r="AZ859" s="226"/>
      <c r="BA859" s="226"/>
      <c r="BB859" s="226"/>
      <c r="BC859" s="226"/>
      <c r="BD859" s="226"/>
      <c r="BE859" s="226"/>
      <c r="BF859" s="226"/>
      <c r="BG859" s="226"/>
      <c r="BH859" s="226"/>
      <c r="BI859" s="226"/>
      <c r="BJ859" s="226"/>
      <c r="BK859" s="226"/>
      <c r="BL859" s="226"/>
      <c r="BM859" s="226"/>
      <c r="BN859" s="226"/>
      <c r="BO859" s="226"/>
      <c r="BP859" s="226"/>
      <c r="BQ859" s="226"/>
      <c r="BR859" s="226"/>
      <c r="BS859" s="226"/>
      <c r="BT859" s="226"/>
      <c r="BU859" s="226"/>
      <c r="BV859" s="226"/>
      <c r="BW859" s="226"/>
      <c r="BX859" s="226"/>
      <c r="BY859" s="226"/>
      <c r="BZ859" s="226"/>
      <c r="CA859" s="226"/>
      <c r="CB859" s="226"/>
      <c r="CC859" s="226"/>
      <c r="CD859" s="226"/>
      <c r="CE859" s="226"/>
      <c r="CF859" s="226"/>
      <c r="CG859" s="226"/>
      <c r="CH859" s="226"/>
      <c r="CI859" s="226"/>
      <c r="CJ859" s="226"/>
      <c r="CK859" s="226"/>
      <c r="CL859" s="226"/>
      <c r="CM859" s="226"/>
      <c r="CN859" s="226"/>
      <c r="CO859" s="226"/>
      <c r="CP859" s="226"/>
      <c r="CQ859" s="226"/>
      <c r="CR859" s="226"/>
      <c r="CS859" s="226"/>
      <c r="CT859" s="226"/>
      <c r="CU859" s="226"/>
      <c r="CV859" s="226"/>
      <c r="CW859" s="226"/>
      <c r="CX859" s="226"/>
      <c r="CY859" s="226"/>
      <c r="CZ859" s="226"/>
      <c r="DA859" s="226"/>
      <c r="DB859" s="226"/>
      <c r="DC859" s="226"/>
      <c r="DD859" s="226"/>
      <c r="DE859" s="226"/>
      <c r="DF859" s="226"/>
      <c r="DG859" s="226"/>
      <c r="DH859" s="226"/>
      <c r="DI859" s="226"/>
      <c r="DJ859" s="226"/>
      <c r="DK859" s="226"/>
      <c r="DL859" s="226"/>
      <c r="DM859" s="226"/>
      <c r="DN859" s="226"/>
      <c r="DO859" s="226"/>
      <c r="DP859" s="226"/>
      <c r="DQ859" s="226"/>
      <c r="DR859" s="226"/>
      <c r="DS859" s="226"/>
      <c r="DT859" s="226"/>
      <c r="DU859" s="226"/>
      <c r="DV859" s="226"/>
      <c r="DW859" s="226"/>
      <c r="DX859" s="226"/>
      <c r="DY859" s="226"/>
      <c r="DZ859" s="226"/>
      <c r="EA859" s="226"/>
      <c r="EB859" s="226"/>
      <c r="EC859" s="226"/>
      <c r="ED859" s="226"/>
      <c r="EE859" s="226"/>
      <c r="EF859" s="226"/>
      <c r="EG859" s="226"/>
      <c r="EH859" s="226"/>
      <c r="EI859" s="226"/>
      <c r="EJ859" s="226"/>
      <c r="EK859" s="226"/>
      <c r="EL859" s="226"/>
      <c r="EM859" s="226"/>
      <c r="EN859" s="226"/>
      <c r="EO859" s="226"/>
      <c r="EP859" s="226"/>
      <c r="EQ859" s="226"/>
      <c r="ER859" s="226"/>
      <c r="ES859" s="226"/>
      <c r="ET859" s="226"/>
      <c r="EU859" s="226"/>
      <c r="EV859" s="226"/>
      <c r="EW859" s="226"/>
      <c r="EX859" s="226"/>
      <c r="EY859" s="226"/>
      <c r="EZ859" s="226"/>
      <c r="FA859" s="226"/>
      <c r="FB859" s="226"/>
      <c r="FC859" s="226"/>
      <c r="FD859" s="226"/>
      <c r="FE859" s="226"/>
      <c r="FF859" s="226"/>
      <c r="FG859" s="226"/>
      <c r="FH859" s="226"/>
      <c r="FI859" s="226"/>
      <c r="FJ859" s="226"/>
      <c r="FK859" s="226"/>
      <c r="FL859" s="226"/>
      <c r="FM859" s="226"/>
      <c r="FN859" s="226"/>
      <c r="FO859" s="226"/>
      <c r="FP859" s="226"/>
      <c r="FQ859" s="226"/>
      <c r="FR859" s="226"/>
      <c r="FS859" s="226"/>
      <c r="FT859" s="226"/>
      <c r="FU859" s="226"/>
      <c r="FV859" s="226"/>
      <c r="FW859" s="226"/>
      <c r="FX859" s="226"/>
      <c r="FY859" s="226"/>
      <c r="FZ859" s="226"/>
      <c r="GA859" s="226"/>
      <c r="GB859" s="226"/>
      <c r="GC859" s="226"/>
      <c r="GD859" s="226"/>
      <c r="GE859" s="226"/>
      <c r="GF859" s="226"/>
      <c r="GG859" s="226"/>
      <c r="GH859" s="226"/>
      <c r="GI859" s="226"/>
      <c r="GJ859" s="226"/>
      <c r="GK859" s="226"/>
      <c r="GL859" s="226"/>
      <c r="GM859" s="226"/>
      <c r="GN859" s="226"/>
    </row>
    <row r="860">
      <c r="A860" s="212"/>
      <c r="B860" s="21"/>
      <c r="C860" s="21"/>
      <c r="D860" s="213"/>
      <c r="E860" s="214"/>
      <c r="F860" s="215"/>
      <c r="G860" s="21"/>
      <c r="H860" s="225"/>
      <c r="I860" s="110"/>
      <c r="J860" s="110"/>
      <c r="K860" s="110"/>
      <c r="L860" s="110"/>
      <c r="M860" s="110"/>
      <c r="N860" s="110"/>
      <c r="O860" s="110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  <c r="AA860" s="226"/>
      <c r="AB860" s="226"/>
      <c r="AC860" s="226"/>
      <c r="AD860" s="226"/>
      <c r="AE860" s="226"/>
      <c r="AF860" s="226"/>
      <c r="AG860" s="226"/>
      <c r="AH860" s="226"/>
      <c r="AI860" s="226"/>
      <c r="AJ860" s="226"/>
      <c r="AK860" s="226"/>
      <c r="AL860" s="226"/>
      <c r="AM860" s="226"/>
      <c r="AN860" s="226"/>
      <c r="AO860" s="226"/>
      <c r="AP860" s="226"/>
      <c r="AQ860" s="226"/>
      <c r="AR860" s="226"/>
      <c r="AS860" s="226"/>
      <c r="AT860" s="226"/>
      <c r="AU860" s="226"/>
      <c r="AV860" s="226"/>
      <c r="AW860" s="226"/>
      <c r="AX860" s="226"/>
      <c r="AY860" s="226"/>
      <c r="AZ860" s="226"/>
      <c r="BA860" s="226"/>
      <c r="BB860" s="226"/>
      <c r="BC860" s="226"/>
      <c r="BD860" s="226"/>
      <c r="BE860" s="226"/>
      <c r="BF860" s="226"/>
      <c r="BG860" s="226"/>
      <c r="BH860" s="226"/>
      <c r="BI860" s="226"/>
      <c r="BJ860" s="226"/>
      <c r="BK860" s="226"/>
      <c r="BL860" s="226"/>
      <c r="BM860" s="226"/>
      <c r="BN860" s="226"/>
      <c r="BO860" s="226"/>
      <c r="BP860" s="226"/>
      <c r="BQ860" s="226"/>
      <c r="BR860" s="226"/>
      <c r="BS860" s="226"/>
      <c r="BT860" s="226"/>
      <c r="BU860" s="226"/>
      <c r="BV860" s="226"/>
      <c r="BW860" s="226"/>
      <c r="BX860" s="226"/>
      <c r="BY860" s="226"/>
      <c r="BZ860" s="226"/>
      <c r="CA860" s="226"/>
      <c r="CB860" s="226"/>
      <c r="CC860" s="226"/>
      <c r="CD860" s="226"/>
      <c r="CE860" s="226"/>
      <c r="CF860" s="226"/>
      <c r="CG860" s="226"/>
      <c r="CH860" s="226"/>
      <c r="CI860" s="226"/>
      <c r="CJ860" s="226"/>
      <c r="CK860" s="226"/>
      <c r="CL860" s="226"/>
      <c r="CM860" s="226"/>
      <c r="CN860" s="226"/>
      <c r="CO860" s="226"/>
      <c r="CP860" s="226"/>
      <c r="CQ860" s="226"/>
      <c r="CR860" s="226"/>
      <c r="CS860" s="226"/>
      <c r="CT860" s="226"/>
      <c r="CU860" s="226"/>
      <c r="CV860" s="226"/>
      <c r="CW860" s="226"/>
      <c r="CX860" s="226"/>
      <c r="CY860" s="226"/>
      <c r="CZ860" s="226"/>
      <c r="DA860" s="226"/>
      <c r="DB860" s="226"/>
      <c r="DC860" s="226"/>
      <c r="DD860" s="226"/>
      <c r="DE860" s="226"/>
      <c r="DF860" s="226"/>
      <c r="DG860" s="226"/>
      <c r="DH860" s="226"/>
      <c r="DI860" s="226"/>
      <c r="DJ860" s="226"/>
      <c r="DK860" s="226"/>
      <c r="DL860" s="226"/>
      <c r="DM860" s="226"/>
      <c r="DN860" s="226"/>
      <c r="DO860" s="226"/>
      <c r="DP860" s="226"/>
      <c r="DQ860" s="226"/>
      <c r="DR860" s="226"/>
      <c r="DS860" s="226"/>
      <c r="DT860" s="226"/>
      <c r="DU860" s="226"/>
      <c r="DV860" s="226"/>
      <c r="DW860" s="226"/>
      <c r="DX860" s="226"/>
      <c r="DY860" s="226"/>
      <c r="DZ860" s="226"/>
      <c r="EA860" s="226"/>
      <c r="EB860" s="226"/>
      <c r="EC860" s="226"/>
      <c r="ED860" s="226"/>
      <c r="EE860" s="226"/>
      <c r="EF860" s="226"/>
      <c r="EG860" s="226"/>
      <c r="EH860" s="226"/>
      <c r="EI860" s="226"/>
      <c r="EJ860" s="226"/>
      <c r="EK860" s="226"/>
      <c r="EL860" s="226"/>
      <c r="EM860" s="226"/>
      <c r="EN860" s="226"/>
      <c r="EO860" s="226"/>
      <c r="EP860" s="226"/>
      <c r="EQ860" s="226"/>
      <c r="ER860" s="226"/>
      <c r="ES860" s="226"/>
      <c r="ET860" s="226"/>
      <c r="EU860" s="226"/>
      <c r="EV860" s="226"/>
      <c r="EW860" s="226"/>
      <c r="EX860" s="226"/>
      <c r="EY860" s="226"/>
      <c r="EZ860" s="226"/>
      <c r="FA860" s="226"/>
      <c r="FB860" s="226"/>
      <c r="FC860" s="226"/>
      <c r="FD860" s="226"/>
      <c r="FE860" s="226"/>
      <c r="FF860" s="226"/>
      <c r="FG860" s="226"/>
      <c r="FH860" s="226"/>
      <c r="FI860" s="226"/>
      <c r="FJ860" s="226"/>
      <c r="FK860" s="226"/>
      <c r="FL860" s="226"/>
      <c r="FM860" s="226"/>
      <c r="FN860" s="226"/>
      <c r="FO860" s="226"/>
      <c r="FP860" s="226"/>
      <c r="FQ860" s="226"/>
      <c r="FR860" s="226"/>
      <c r="FS860" s="226"/>
      <c r="FT860" s="226"/>
      <c r="FU860" s="226"/>
      <c r="FV860" s="226"/>
      <c r="FW860" s="226"/>
      <c r="FX860" s="226"/>
      <c r="FY860" s="226"/>
      <c r="FZ860" s="226"/>
      <c r="GA860" s="226"/>
      <c r="GB860" s="226"/>
      <c r="GC860" s="226"/>
      <c r="GD860" s="226"/>
      <c r="GE860" s="226"/>
      <c r="GF860" s="226"/>
      <c r="GG860" s="226"/>
      <c r="GH860" s="226"/>
      <c r="GI860" s="226"/>
      <c r="GJ860" s="226"/>
      <c r="GK860" s="226"/>
      <c r="GL860" s="226"/>
      <c r="GM860" s="226"/>
      <c r="GN860" s="226"/>
    </row>
    <row r="861">
      <c r="A861" s="212"/>
      <c r="B861" s="21"/>
      <c r="C861" s="21"/>
      <c r="D861" s="213"/>
      <c r="E861" s="214"/>
      <c r="F861" s="215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10"/>
      <c r="X861" s="110"/>
      <c r="Y861" s="110"/>
      <c r="Z861" s="110"/>
      <c r="AA861" s="227"/>
      <c r="AB861" s="227"/>
      <c r="AC861" s="227"/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7"/>
      <c r="AR861" s="227"/>
      <c r="AS861" s="227"/>
      <c r="AT861" s="227"/>
      <c r="AU861" s="227"/>
      <c r="AV861" s="227"/>
      <c r="AW861" s="227"/>
      <c r="AX861" s="227"/>
      <c r="AY861" s="227"/>
      <c r="AZ861" s="227"/>
      <c r="BA861" s="227"/>
      <c r="BB861" s="227"/>
      <c r="BC861" s="227"/>
      <c r="BD861" s="227"/>
      <c r="BE861" s="227"/>
      <c r="BF861" s="227"/>
      <c r="BG861" s="227"/>
      <c r="BH861" s="227"/>
      <c r="BI861" s="227"/>
      <c r="BJ861" s="227"/>
      <c r="BK861" s="227"/>
      <c r="BL861" s="227"/>
      <c r="BM861" s="227"/>
      <c r="BN861" s="227"/>
      <c r="BO861" s="227"/>
      <c r="BP861" s="227"/>
      <c r="BQ861" s="227"/>
      <c r="BR861" s="227"/>
      <c r="BS861" s="227"/>
      <c r="BT861" s="227"/>
      <c r="BU861" s="227"/>
      <c r="BV861" s="227"/>
      <c r="BW861" s="227"/>
      <c r="BX861" s="227"/>
      <c r="BY861" s="227"/>
      <c r="BZ861" s="227"/>
      <c r="CA861" s="227"/>
      <c r="CB861" s="227"/>
      <c r="CC861" s="227"/>
      <c r="CD861" s="227"/>
      <c r="CE861" s="227"/>
      <c r="CF861" s="227"/>
      <c r="CG861" s="227"/>
      <c r="CH861" s="227"/>
      <c r="CI861" s="227"/>
      <c r="CJ861" s="227"/>
      <c r="CK861" s="227"/>
      <c r="CL861" s="227"/>
      <c r="CM861" s="227"/>
      <c r="CN861" s="227"/>
      <c r="CO861" s="227"/>
      <c r="CP861" s="227"/>
      <c r="CQ861" s="227"/>
      <c r="CR861" s="227"/>
      <c r="CS861" s="227"/>
      <c r="CT861" s="227"/>
      <c r="CU861" s="227"/>
      <c r="CV861" s="227"/>
      <c r="CW861" s="227"/>
      <c r="CX861" s="227"/>
      <c r="CY861" s="227"/>
      <c r="CZ861" s="227"/>
      <c r="DA861" s="227"/>
      <c r="DB861" s="227"/>
      <c r="DC861" s="227"/>
      <c r="DD861" s="227"/>
      <c r="DE861" s="227"/>
      <c r="DF861" s="227"/>
      <c r="DG861" s="227"/>
      <c r="DH861" s="227"/>
      <c r="DI861" s="227"/>
      <c r="DJ861" s="227"/>
      <c r="DK861" s="227"/>
      <c r="DL861" s="227"/>
      <c r="DM861" s="227"/>
      <c r="DN861" s="227"/>
      <c r="DO861" s="227"/>
      <c r="DP861" s="227"/>
      <c r="DQ861" s="227"/>
      <c r="DR861" s="227"/>
      <c r="DS861" s="227"/>
      <c r="DT861" s="227"/>
      <c r="DU861" s="227"/>
      <c r="DV861" s="227"/>
      <c r="DW861" s="227"/>
      <c r="DX861" s="227"/>
      <c r="DY861" s="227"/>
      <c r="DZ861" s="227"/>
      <c r="EA861" s="227"/>
      <c r="EB861" s="227"/>
      <c r="EC861" s="227"/>
      <c r="ED861" s="227"/>
      <c r="EE861" s="227"/>
      <c r="EF861" s="227"/>
      <c r="EG861" s="227"/>
      <c r="EH861" s="227"/>
      <c r="EI861" s="227"/>
      <c r="EJ861" s="227"/>
      <c r="EK861" s="227"/>
      <c r="EL861" s="227"/>
      <c r="EM861" s="227"/>
      <c r="EN861" s="227"/>
      <c r="EO861" s="227"/>
      <c r="EP861" s="227"/>
      <c r="EQ861" s="227"/>
      <c r="ER861" s="227"/>
      <c r="ES861" s="227"/>
      <c r="ET861" s="227"/>
      <c r="EU861" s="227"/>
      <c r="EV861" s="227"/>
      <c r="EW861" s="227"/>
      <c r="EX861" s="227"/>
      <c r="EY861" s="227"/>
      <c r="EZ861" s="227"/>
      <c r="FA861" s="227"/>
      <c r="FB861" s="227"/>
      <c r="FC861" s="227"/>
      <c r="FD861" s="227"/>
      <c r="FE861" s="227"/>
      <c r="FF861" s="227"/>
      <c r="FG861" s="227"/>
      <c r="FH861" s="227"/>
      <c r="FI861" s="227"/>
      <c r="FJ861" s="227"/>
      <c r="FK861" s="227"/>
      <c r="FL861" s="227"/>
      <c r="FM861" s="227"/>
      <c r="FN861" s="227"/>
      <c r="FO861" s="227"/>
      <c r="FP861" s="227"/>
      <c r="FQ861" s="227"/>
      <c r="FR861" s="227"/>
      <c r="FS861" s="227"/>
      <c r="FT861" s="227"/>
      <c r="FU861" s="227"/>
      <c r="FV861" s="227"/>
      <c r="FW861" s="227"/>
      <c r="FX861" s="227"/>
      <c r="FY861" s="227"/>
      <c r="FZ861" s="227"/>
      <c r="GA861" s="227"/>
      <c r="GB861" s="227"/>
      <c r="GC861" s="227"/>
      <c r="GD861" s="227"/>
      <c r="GE861" s="227"/>
      <c r="GF861" s="227"/>
      <c r="GG861" s="227"/>
      <c r="GH861" s="227"/>
      <c r="GI861" s="227"/>
      <c r="GJ861" s="227"/>
      <c r="GK861" s="227"/>
      <c r="GL861" s="227"/>
      <c r="GM861" s="227"/>
      <c r="GN861" s="227"/>
    </row>
    <row r="862">
      <c r="A862" s="212"/>
      <c r="B862" s="21"/>
      <c r="C862" s="21"/>
      <c r="D862" s="213"/>
      <c r="E862" s="214"/>
      <c r="F862" s="215"/>
      <c r="G862" s="21"/>
      <c r="H862" s="225"/>
      <c r="I862" s="110"/>
      <c r="J862" s="110"/>
      <c r="K862" s="110"/>
      <c r="L862" s="110"/>
      <c r="M862" s="110"/>
      <c r="N862" s="110"/>
      <c r="O862" s="110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  <c r="AA862" s="229"/>
      <c r="AB862" s="229"/>
      <c r="AC862" s="229"/>
      <c r="AD862" s="229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229"/>
      <c r="AQ862" s="229"/>
      <c r="AR862" s="229"/>
      <c r="AS862" s="229"/>
      <c r="AT862" s="229"/>
      <c r="AU862" s="229"/>
      <c r="AV862" s="229"/>
      <c r="AW862" s="229"/>
      <c r="AX862" s="229"/>
      <c r="AY862" s="229"/>
      <c r="AZ862" s="229"/>
      <c r="BA862" s="229"/>
      <c r="BB862" s="229"/>
      <c r="BC862" s="229"/>
      <c r="BD862" s="229"/>
      <c r="BE862" s="229"/>
      <c r="BF862" s="229"/>
      <c r="BG862" s="229"/>
      <c r="BH862" s="229"/>
      <c r="BI862" s="229"/>
      <c r="BJ862" s="229"/>
      <c r="BK862" s="229"/>
      <c r="BL862" s="229"/>
      <c r="BM862" s="229"/>
      <c r="BN862" s="229"/>
      <c r="BO862" s="229"/>
      <c r="BP862" s="229"/>
      <c r="BQ862" s="229"/>
      <c r="BR862" s="229"/>
      <c r="BS862" s="229"/>
      <c r="BT862" s="229"/>
      <c r="BU862" s="229"/>
      <c r="BV862" s="229"/>
      <c r="BW862" s="229"/>
      <c r="BX862" s="229"/>
      <c r="BY862" s="229"/>
      <c r="BZ862" s="229"/>
      <c r="CA862" s="229"/>
      <c r="CB862" s="229"/>
      <c r="CC862" s="229"/>
      <c r="CD862" s="229"/>
      <c r="CE862" s="229"/>
      <c r="CF862" s="229"/>
      <c r="CG862" s="229"/>
      <c r="CH862" s="229"/>
      <c r="CI862" s="229"/>
      <c r="CJ862" s="229"/>
      <c r="CK862" s="229"/>
      <c r="CL862" s="229"/>
      <c r="CM862" s="229"/>
      <c r="CN862" s="229"/>
      <c r="CO862" s="229"/>
      <c r="CP862" s="229"/>
      <c r="CQ862" s="229"/>
      <c r="CR862" s="229"/>
      <c r="CS862" s="229"/>
      <c r="CT862" s="229"/>
      <c r="CU862" s="229"/>
      <c r="CV862" s="229"/>
      <c r="CW862" s="229"/>
      <c r="CX862" s="229"/>
      <c r="CY862" s="229"/>
      <c r="CZ862" s="229"/>
      <c r="DA862" s="229"/>
      <c r="DB862" s="229"/>
      <c r="DC862" s="229"/>
      <c r="DD862" s="229"/>
      <c r="DE862" s="229"/>
      <c r="DF862" s="229"/>
      <c r="DG862" s="229"/>
      <c r="DH862" s="229"/>
      <c r="DI862" s="229"/>
      <c r="DJ862" s="229"/>
      <c r="DK862" s="229"/>
      <c r="DL862" s="229"/>
      <c r="DM862" s="229"/>
      <c r="DN862" s="229"/>
      <c r="DO862" s="229"/>
      <c r="DP862" s="229"/>
      <c r="DQ862" s="229"/>
      <c r="DR862" s="229"/>
      <c r="DS862" s="229"/>
      <c r="DT862" s="229"/>
      <c r="DU862" s="229"/>
      <c r="DV862" s="229"/>
      <c r="DW862" s="229"/>
      <c r="DX862" s="229"/>
      <c r="DY862" s="229"/>
      <c r="DZ862" s="229"/>
      <c r="EA862" s="229"/>
      <c r="EB862" s="229"/>
      <c r="EC862" s="229"/>
      <c r="ED862" s="229"/>
      <c r="EE862" s="229"/>
      <c r="EF862" s="229"/>
      <c r="EG862" s="229"/>
      <c r="EH862" s="229"/>
      <c r="EI862" s="229"/>
      <c r="EJ862" s="229"/>
      <c r="EK862" s="229"/>
      <c r="EL862" s="229"/>
      <c r="EM862" s="229"/>
      <c r="EN862" s="229"/>
      <c r="EO862" s="229"/>
      <c r="EP862" s="229"/>
      <c r="EQ862" s="229"/>
      <c r="ER862" s="229"/>
      <c r="ES862" s="229"/>
      <c r="ET862" s="229"/>
      <c r="EU862" s="229"/>
      <c r="EV862" s="229"/>
      <c r="EW862" s="229"/>
      <c r="EX862" s="229"/>
      <c r="EY862" s="229"/>
      <c r="EZ862" s="229"/>
      <c r="FA862" s="229"/>
      <c r="FB862" s="229"/>
      <c r="FC862" s="229"/>
      <c r="FD862" s="229"/>
      <c r="FE862" s="229"/>
      <c r="FF862" s="229"/>
      <c r="FG862" s="229"/>
      <c r="FH862" s="229"/>
      <c r="FI862" s="229"/>
      <c r="FJ862" s="229"/>
      <c r="FK862" s="229"/>
      <c r="FL862" s="229"/>
      <c r="FM862" s="229"/>
      <c r="FN862" s="229"/>
      <c r="FO862" s="229"/>
      <c r="FP862" s="229"/>
      <c r="FQ862" s="229"/>
      <c r="FR862" s="229"/>
      <c r="FS862" s="229"/>
      <c r="FT862" s="229"/>
      <c r="FU862" s="229"/>
      <c r="FV862" s="229"/>
      <c r="FW862" s="229"/>
      <c r="FX862" s="229"/>
      <c r="FY862" s="229"/>
      <c r="FZ862" s="229"/>
      <c r="GA862" s="229"/>
      <c r="GB862" s="229"/>
      <c r="GC862" s="229"/>
      <c r="GD862" s="229"/>
      <c r="GE862" s="229"/>
      <c r="GF862" s="229"/>
      <c r="GG862" s="229"/>
      <c r="GH862" s="229"/>
      <c r="GI862" s="229"/>
      <c r="GJ862" s="229"/>
      <c r="GK862" s="229"/>
      <c r="GL862" s="229"/>
      <c r="GM862" s="229"/>
      <c r="GN862" s="229"/>
    </row>
    <row r="863">
      <c r="A863" s="212"/>
      <c r="B863" s="21"/>
      <c r="C863" s="21"/>
      <c r="D863" s="213"/>
      <c r="E863" s="214"/>
      <c r="F863" s="215"/>
      <c r="G863" s="21"/>
      <c r="H863" s="225"/>
      <c r="I863" s="110"/>
      <c r="J863" s="110"/>
      <c r="K863" s="110"/>
      <c r="L863" s="110"/>
      <c r="M863" s="110"/>
      <c r="N863" s="110"/>
      <c r="O863" s="110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  <c r="AA863" s="229"/>
      <c r="AB863" s="229"/>
      <c r="AC863" s="229"/>
      <c r="AD863" s="229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229"/>
      <c r="AQ863" s="229"/>
      <c r="AR863" s="229"/>
      <c r="AS863" s="229"/>
      <c r="AT863" s="229"/>
      <c r="AU863" s="229"/>
      <c r="AV863" s="229"/>
      <c r="AW863" s="229"/>
      <c r="AX863" s="229"/>
      <c r="AY863" s="229"/>
      <c r="AZ863" s="229"/>
      <c r="BA863" s="229"/>
      <c r="BB863" s="229"/>
      <c r="BC863" s="229"/>
      <c r="BD863" s="229"/>
      <c r="BE863" s="229"/>
      <c r="BF863" s="229"/>
      <c r="BG863" s="229"/>
      <c r="BH863" s="229"/>
      <c r="BI863" s="229"/>
      <c r="BJ863" s="229"/>
      <c r="BK863" s="229"/>
      <c r="BL863" s="229"/>
      <c r="BM863" s="229"/>
      <c r="BN863" s="229"/>
      <c r="BO863" s="229"/>
      <c r="BP863" s="229"/>
      <c r="BQ863" s="229"/>
      <c r="BR863" s="229"/>
      <c r="BS863" s="229"/>
      <c r="BT863" s="229"/>
      <c r="BU863" s="229"/>
      <c r="BV863" s="229"/>
      <c r="BW863" s="229"/>
      <c r="BX863" s="229"/>
      <c r="BY863" s="229"/>
      <c r="BZ863" s="229"/>
      <c r="CA863" s="229"/>
      <c r="CB863" s="229"/>
      <c r="CC863" s="229"/>
      <c r="CD863" s="229"/>
      <c r="CE863" s="229"/>
      <c r="CF863" s="229"/>
      <c r="CG863" s="229"/>
      <c r="CH863" s="229"/>
      <c r="CI863" s="229"/>
      <c r="CJ863" s="229"/>
      <c r="CK863" s="229"/>
      <c r="CL863" s="229"/>
      <c r="CM863" s="229"/>
      <c r="CN863" s="229"/>
      <c r="CO863" s="229"/>
      <c r="CP863" s="229"/>
      <c r="CQ863" s="229"/>
      <c r="CR863" s="229"/>
      <c r="CS863" s="229"/>
      <c r="CT863" s="229"/>
      <c r="CU863" s="229"/>
      <c r="CV863" s="229"/>
      <c r="CW863" s="229"/>
      <c r="CX863" s="229"/>
      <c r="CY863" s="229"/>
      <c r="CZ863" s="229"/>
      <c r="DA863" s="229"/>
      <c r="DB863" s="229"/>
      <c r="DC863" s="229"/>
      <c r="DD863" s="229"/>
      <c r="DE863" s="229"/>
      <c r="DF863" s="229"/>
      <c r="DG863" s="229"/>
      <c r="DH863" s="229"/>
      <c r="DI863" s="229"/>
      <c r="DJ863" s="229"/>
      <c r="DK863" s="229"/>
      <c r="DL863" s="229"/>
      <c r="DM863" s="229"/>
      <c r="DN863" s="229"/>
      <c r="DO863" s="229"/>
      <c r="DP863" s="229"/>
      <c r="DQ863" s="229"/>
      <c r="DR863" s="229"/>
      <c r="DS863" s="229"/>
      <c r="DT863" s="229"/>
      <c r="DU863" s="229"/>
      <c r="DV863" s="229"/>
      <c r="DW863" s="229"/>
      <c r="DX863" s="229"/>
      <c r="DY863" s="229"/>
      <c r="DZ863" s="229"/>
      <c r="EA863" s="229"/>
      <c r="EB863" s="229"/>
      <c r="EC863" s="229"/>
      <c r="ED863" s="229"/>
      <c r="EE863" s="229"/>
      <c r="EF863" s="229"/>
      <c r="EG863" s="229"/>
      <c r="EH863" s="229"/>
      <c r="EI863" s="229"/>
      <c r="EJ863" s="229"/>
      <c r="EK863" s="229"/>
      <c r="EL863" s="229"/>
      <c r="EM863" s="229"/>
      <c r="EN863" s="229"/>
      <c r="EO863" s="229"/>
      <c r="EP863" s="229"/>
      <c r="EQ863" s="229"/>
      <c r="ER863" s="229"/>
      <c r="ES863" s="229"/>
      <c r="ET863" s="229"/>
      <c r="EU863" s="229"/>
      <c r="EV863" s="229"/>
      <c r="EW863" s="229"/>
      <c r="EX863" s="229"/>
      <c r="EY863" s="229"/>
      <c r="EZ863" s="229"/>
      <c r="FA863" s="229"/>
      <c r="FB863" s="229"/>
      <c r="FC863" s="229"/>
      <c r="FD863" s="229"/>
      <c r="FE863" s="229"/>
      <c r="FF863" s="229"/>
      <c r="FG863" s="229"/>
      <c r="FH863" s="229"/>
      <c r="FI863" s="229"/>
      <c r="FJ863" s="229"/>
      <c r="FK863" s="229"/>
      <c r="FL863" s="229"/>
      <c r="FM863" s="229"/>
      <c r="FN863" s="229"/>
      <c r="FO863" s="229"/>
      <c r="FP863" s="229"/>
      <c r="FQ863" s="229"/>
      <c r="FR863" s="229"/>
      <c r="FS863" s="229"/>
      <c r="FT863" s="229"/>
      <c r="FU863" s="229"/>
      <c r="FV863" s="229"/>
      <c r="FW863" s="229"/>
      <c r="FX863" s="229"/>
      <c r="FY863" s="229"/>
      <c r="FZ863" s="229"/>
      <c r="GA863" s="229"/>
      <c r="GB863" s="229"/>
      <c r="GC863" s="229"/>
      <c r="GD863" s="229"/>
      <c r="GE863" s="229"/>
      <c r="GF863" s="229"/>
      <c r="GG863" s="229"/>
      <c r="GH863" s="229"/>
      <c r="GI863" s="229"/>
      <c r="GJ863" s="229"/>
      <c r="GK863" s="229"/>
      <c r="GL863" s="229"/>
      <c r="GM863" s="229"/>
      <c r="GN863" s="229"/>
    </row>
    <row r="864">
      <c r="A864" s="212"/>
      <c r="B864" s="21"/>
      <c r="C864" s="21"/>
      <c r="D864" s="213"/>
      <c r="E864" s="214"/>
      <c r="F864" s="215"/>
      <c r="G864" s="21"/>
      <c r="H864" s="225"/>
      <c r="I864" s="110"/>
      <c r="J864" s="110"/>
      <c r="K864" s="110"/>
      <c r="L864" s="110"/>
      <c r="M864" s="110"/>
      <c r="N864" s="110"/>
      <c r="O864" s="110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  <c r="AA864" s="229"/>
      <c r="AB864" s="229"/>
      <c r="AC864" s="229"/>
      <c r="AD864" s="229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229"/>
      <c r="AQ864" s="229"/>
      <c r="AR864" s="229"/>
      <c r="AS864" s="229"/>
      <c r="AT864" s="229"/>
      <c r="AU864" s="229"/>
      <c r="AV864" s="229"/>
      <c r="AW864" s="229"/>
      <c r="AX864" s="229"/>
      <c r="AY864" s="229"/>
      <c r="AZ864" s="229"/>
      <c r="BA864" s="229"/>
      <c r="BB864" s="229"/>
      <c r="BC864" s="229"/>
      <c r="BD864" s="229"/>
      <c r="BE864" s="229"/>
      <c r="BF864" s="229"/>
      <c r="BG864" s="229"/>
      <c r="BH864" s="229"/>
      <c r="BI864" s="229"/>
      <c r="BJ864" s="229"/>
      <c r="BK864" s="229"/>
      <c r="BL864" s="229"/>
      <c r="BM864" s="229"/>
      <c r="BN864" s="229"/>
      <c r="BO864" s="229"/>
      <c r="BP864" s="229"/>
      <c r="BQ864" s="229"/>
      <c r="BR864" s="229"/>
      <c r="BS864" s="229"/>
      <c r="BT864" s="229"/>
      <c r="BU864" s="229"/>
      <c r="BV864" s="229"/>
      <c r="BW864" s="229"/>
      <c r="BX864" s="229"/>
      <c r="BY864" s="229"/>
      <c r="BZ864" s="229"/>
      <c r="CA864" s="229"/>
      <c r="CB864" s="229"/>
      <c r="CC864" s="229"/>
      <c r="CD864" s="229"/>
      <c r="CE864" s="229"/>
      <c r="CF864" s="229"/>
      <c r="CG864" s="229"/>
      <c r="CH864" s="229"/>
      <c r="CI864" s="229"/>
      <c r="CJ864" s="229"/>
      <c r="CK864" s="229"/>
      <c r="CL864" s="229"/>
      <c r="CM864" s="229"/>
      <c r="CN864" s="229"/>
      <c r="CO864" s="229"/>
      <c r="CP864" s="229"/>
      <c r="CQ864" s="229"/>
      <c r="CR864" s="229"/>
      <c r="CS864" s="229"/>
      <c r="CT864" s="229"/>
      <c r="CU864" s="229"/>
      <c r="CV864" s="229"/>
      <c r="CW864" s="229"/>
      <c r="CX864" s="229"/>
      <c r="CY864" s="229"/>
      <c r="CZ864" s="229"/>
      <c r="DA864" s="229"/>
      <c r="DB864" s="229"/>
      <c r="DC864" s="229"/>
      <c r="DD864" s="229"/>
      <c r="DE864" s="229"/>
      <c r="DF864" s="229"/>
      <c r="DG864" s="229"/>
      <c r="DH864" s="229"/>
      <c r="DI864" s="229"/>
      <c r="DJ864" s="229"/>
      <c r="DK864" s="229"/>
      <c r="DL864" s="229"/>
      <c r="DM864" s="229"/>
      <c r="DN864" s="229"/>
      <c r="DO864" s="229"/>
      <c r="DP864" s="229"/>
      <c r="DQ864" s="229"/>
      <c r="DR864" s="229"/>
      <c r="DS864" s="229"/>
      <c r="DT864" s="229"/>
      <c r="DU864" s="229"/>
      <c r="DV864" s="229"/>
      <c r="DW864" s="229"/>
      <c r="DX864" s="229"/>
      <c r="DY864" s="229"/>
      <c r="DZ864" s="229"/>
      <c r="EA864" s="229"/>
      <c r="EB864" s="229"/>
      <c r="EC864" s="229"/>
      <c r="ED864" s="229"/>
      <c r="EE864" s="229"/>
      <c r="EF864" s="229"/>
      <c r="EG864" s="229"/>
      <c r="EH864" s="229"/>
      <c r="EI864" s="229"/>
      <c r="EJ864" s="229"/>
      <c r="EK864" s="229"/>
      <c r="EL864" s="229"/>
      <c r="EM864" s="229"/>
      <c r="EN864" s="229"/>
      <c r="EO864" s="229"/>
      <c r="EP864" s="229"/>
      <c r="EQ864" s="229"/>
      <c r="ER864" s="229"/>
      <c r="ES864" s="229"/>
      <c r="ET864" s="229"/>
      <c r="EU864" s="229"/>
      <c r="EV864" s="229"/>
      <c r="EW864" s="229"/>
      <c r="EX864" s="229"/>
      <c r="EY864" s="229"/>
      <c r="EZ864" s="229"/>
      <c r="FA864" s="229"/>
      <c r="FB864" s="229"/>
      <c r="FC864" s="229"/>
      <c r="FD864" s="229"/>
      <c r="FE864" s="229"/>
      <c r="FF864" s="229"/>
      <c r="FG864" s="229"/>
      <c r="FH864" s="229"/>
      <c r="FI864" s="229"/>
      <c r="FJ864" s="229"/>
      <c r="FK864" s="229"/>
      <c r="FL864" s="229"/>
      <c r="FM864" s="229"/>
      <c r="FN864" s="229"/>
      <c r="FO864" s="229"/>
      <c r="FP864" s="229"/>
      <c r="FQ864" s="229"/>
      <c r="FR864" s="229"/>
      <c r="FS864" s="229"/>
      <c r="FT864" s="229"/>
      <c r="FU864" s="229"/>
      <c r="FV864" s="229"/>
      <c r="FW864" s="229"/>
      <c r="FX864" s="229"/>
      <c r="FY864" s="229"/>
      <c r="FZ864" s="229"/>
      <c r="GA864" s="229"/>
      <c r="GB864" s="229"/>
      <c r="GC864" s="229"/>
      <c r="GD864" s="229"/>
      <c r="GE864" s="229"/>
      <c r="GF864" s="229"/>
      <c r="GG864" s="229"/>
      <c r="GH864" s="229"/>
      <c r="GI864" s="229"/>
      <c r="GJ864" s="229"/>
      <c r="GK864" s="229"/>
      <c r="GL864" s="229"/>
      <c r="GM864" s="229"/>
      <c r="GN864" s="229"/>
    </row>
    <row r="865">
      <c r="A865" s="212"/>
      <c r="B865" s="21"/>
      <c r="C865" s="21"/>
      <c r="D865" s="213"/>
      <c r="E865" s="214"/>
      <c r="F865" s="215"/>
      <c r="G865" s="21"/>
      <c r="H865" s="225"/>
      <c r="I865" s="110"/>
      <c r="J865" s="110"/>
      <c r="K865" s="110"/>
      <c r="L865" s="110"/>
      <c r="M865" s="110"/>
      <c r="N865" s="110"/>
      <c r="O865" s="110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  <c r="AA865" s="229"/>
      <c r="AB865" s="229"/>
      <c r="AC865" s="229"/>
      <c r="AD865" s="229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229"/>
      <c r="AQ865" s="229"/>
      <c r="AR865" s="229"/>
      <c r="AS865" s="229"/>
      <c r="AT865" s="229"/>
      <c r="AU865" s="229"/>
      <c r="AV865" s="229"/>
      <c r="AW865" s="229"/>
      <c r="AX865" s="229"/>
      <c r="AY865" s="229"/>
      <c r="AZ865" s="229"/>
      <c r="BA865" s="229"/>
      <c r="BB865" s="229"/>
      <c r="BC865" s="229"/>
      <c r="BD865" s="229"/>
      <c r="BE865" s="229"/>
      <c r="BF865" s="229"/>
      <c r="BG865" s="229"/>
      <c r="BH865" s="229"/>
      <c r="BI865" s="229"/>
      <c r="BJ865" s="229"/>
      <c r="BK865" s="229"/>
      <c r="BL865" s="229"/>
      <c r="BM865" s="229"/>
      <c r="BN865" s="229"/>
      <c r="BO865" s="229"/>
      <c r="BP865" s="229"/>
      <c r="BQ865" s="229"/>
      <c r="BR865" s="229"/>
      <c r="BS865" s="229"/>
      <c r="BT865" s="229"/>
      <c r="BU865" s="229"/>
      <c r="BV865" s="229"/>
      <c r="BW865" s="229"/>
      <c r="BX865" s="229"/>
      <c r="BY865" s="229"/>
      <c r="BZ865" s="229"/>
      <c r="CA865" s="229"/>
      <c r="CB865" s="229"/>
      <c r="CC865" s="229"/>
      <c r="CD865" s="229"/>
      <c r="CE865" s="229"/>
      <c r="CF865" s="229"/>
      <c r="CG865" s="229"/>
      <c r="CH865" s="229"/>
      <c r="CI865" s="229"/>
      <c r="CJ865" s="229"/>
      <c r="CK865" s="229"/>
      <c r="CL865" s="229"/>
      <c r="CM865" s="229"/>
      <c r="CN865" s="229"/>
      <c r="CO865" s="229"/>
      <c r="CP865" s="229"/>
      <c r="CQ865" s="229"/>
      <c r="CR865" s="229"/>
      <c r="CS865" s="229"/>
      <c r="CT865" s="229"/>
      <c r="CU865" s="229"/>
      <c r="CV865" s="229"/>
      <c r="CW865" s="229"/>
      <c r="CX865" s="229"/>
      <c r="CY865" s="229"/>
      <c r="CZ865" s="229"/>
      <c r="DA865" s="229"/>
      <c r="DB865" s="229"/>
      <c r="DC865" s="229"/>
      <c r="DD865" s="229"/>
      <c r="DE865" s="229"/>
      <c r="DF865" s="229"/>
      <c r="DG865" s="229"/>
      <c r="DH865" s="229"/>
      <c r="DI865" s="229"/>
      <c r="DJ865" s="229"/>
      <c r="DK865" s="229"/>
      <c r="DL865" s="229"/>
      <c r="DM865" s="229"/>
      <c r="DN865" s="229"/>
      <c r="DO865" s="229"/>
      <c r="DP865" s="229"/>
      <c r="DQ865" s="229"/>
      <c r="DR865" s="229"/>
      <c r="DS865" s="229"/>
      <c r="DT865" s="229"/>
      <c r="DU865" s="229"/>
      <c r="DV865" s="229"/>
      <c r="DW865" s="229"/>
      <c r="DX865" s="229"/>
      <c r="DY865" s="229"/>
      <c r="DZ865" s="229"/>
      <c r="EA865" s="229"/>
      <c r="EB865" s="229"/>
      <c r="EC865" s="229"/>
      <c r="ED865" s="229"/>
      <c r="EE865" s="229"/>
      <c r="EF865" s="229"/>
      <c r="EG865" s="229"/>
      <c r="EH865" s="229"/>
      <c r="EI865" s="229"/>
      <c r="EJ865" s="229"/>
      <c r="EK865" s="229"/>
      <c r="EL865" s="229"/>
      <c r="EM865" s="229"/>
      <c r="EN865" s="229"/>
      <c r="EO865" s="229"/>
      <c r="EP865" s="229"/>
      <c r="EQ865" s="229"/>
      <c r="ER865" s="229"/>
      <c r="ES865" s="229"/>
      <c r="ET865" s="229"/>
      <c r="EU865" s="229"/>
      <c r="EV865" s="229"/>
      <c r="EW865" s="229"/>
      <c r="EX865" s="229"/>
      <c r="EY865" s="229"/>
      <c r="EZ865" s="229"/>
      <c r="FA865" s="229"/>
      <c r="FB865" s="229"/>
      <c r="FC865" s="229"/>
      <c r="FD865" s="229"/>
      <c r="FE865" s="229"/>
      <c r="FF865" s="229"/>
      <c r="FG865" s="229"/>
      <c r="FH865" s="229"/>
      <c r="FI865" s="229"/>
      <c r="FJ865" s="229"/>
      <c r="FK865" s="229"/>
      <c r="FL865" s="229"/>
      <c r="FM865" s="229"/>
      <c r="FN865" s="229"/>
      <c r="FO865" s="229"/>
      <c r="FP865" s="229"/>
      <c r="FQ865" s="229"/>
      <c r="FR865" s="229"/>
      <c r="FS865" s="229"/>
      <c r="FT865" s="229"/>
      <c r="FU865" s="229"/>
      <c r="FV865" s="229"/>
      <c r="FW865" s="229"/>
      <c r="FX865" s="229"/>
      <c r="FY865" s="229"/>
      <c r="FZ865" s="229"/>
      <c r="GA865" s="229"/>
      <c r="GB865" s="229"/>
      <c r="GC865" s="229"/>
      <c r="GD865" s="229"/>
      <c r="GE865" s="229"/>
      <c r="GF865" s="229"/>
      <c r="GG865" s="229"/>
      <c r="GH865" s="229"/>
      <c r="GI865" s="229"/>
      <c r="GJ865" s="229"/>
      <c r="GK865" s="229"/>
      <c r="GL865" s="229"/>
      <c r="GM865" s="229"/>
      <c r="GN865" s="229"/>
    </row>
    <row r="866">
      <c r="A866" s="212"/>
      <c r="B866" s="21"/>
      <c r="C866" s="21"/>
      <c r="D866" s="213"/>
      <c r="E866" s="214"/>
      <c r="F866" s="215"/>
      <c r="G866" s="21"/>
      <c r="H866" s="225"/>
      <c r="I866" s="110"/>
      <c r="J866" s="110"/>
      <c r="K866" s="110"/>
      <c r="L866" s="110"/>
      <c r="M866" s="110"/>
      <c r="N866" s="110"/>
      <c r="O866" s="110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  <c r="AA866" s="229"/>
      <c r="AB866" s="229"/>
      <c r="AC866" s="229"/>
      <c r="AD866" s="229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229"/>
      <c r="AQ866" s="229"/>
      <c r="AR866" s="229"/>
      <c r="AS866" s="229"/>
      <c r="AT866" s="229"/>
      <c r="AU866" s="229"/>
      <c r="AV866" s="229"/>
      <c r="AW866" s="229"/>
      <c r="AX866" s="229"/>
      <c r="AY866" s="229"/>
      <c r="AZ866" s="229"/>
      <c r="BA866" s="229"/>
      <c r="BB866" s="229"/>
      <c r="BC866" s="229"/>
      <c r="BD866" s="229"/>
      <c r="BE866" s="229"/>
      <c r="BF866" s="229"/>
      <c r="BG866" s="229"/>
      <c r="BH866" s="229"/>
      <c r="BI866" s="229"/>
      <c r="BJ866" s="229"/>
      <c r="BK866" s="229"/>
      <c r="BL866" s="229"/>
      <c r="BM866" s="229"/>
      <c r="BN866" s="229"/>
      <c r="BO866" s="229"/>
      <c r="BP866" s="229"/>
      <c r="BQ866" s="229"/>
      <c r="BR866" s="229"/>
      <c r="BS866" s="229"/>
      <c r="BT866" s="229"/>
      <c r="BU866" s="229"/>
      <c r="BV866" s="229"/>
      <c r="BW866" s="229"/>
      <c r="BX866" s="229"/>
      <c r="BY866" s="229"/>
      <c r="BZ866" s="229"/>
      <c r="CA866" s="229"/>
      <c r="CB866" s="229"/>
      <c r="CC866" s="229"/>
      <c r="CD866" s="229"/>
      <c r="CE866" s="229"/>
      <c r="CF866" s="229"/>
      <c r="CG866" s="229"/>
      <c r="CH866" s="229"/>
      <c r="CI866" s="229"/>
      <c r="CJ866" s="229"/>
      <c r="CK866" s="229"/>
      <c r="CL866" s="229"/>
      <c r="CM866" s="229"/>
      <c r="CN866" s="229"/>
      <c r="CO866" s="229"/>
      <c r="CP866" s="229"/>
      <c r="CQ866" s="229"/>
      <c r="CR866" s="229"/>
      <c r="CS866" s="229"/>
      <c r="CT866" s="229"/>
      <c r="CU866" s="229"/>
      <c r="CV866" s="229"/>
      <c r="CW866" s="229"/>
      <c r="CX866" s="229"/>
      <c r="CY866" s="229"/>
      <c r="CZ866" s="229"/>
      <c r="DA866" s="229"/>
      <c r="DB866" s="229"/>
      <c r="DC866" s="229"/>
      <c r="DD866" s="229"/>
      <c r="DE866" s="229"/>
      <c r="DF866" s="229"/>
      <c r="DG866" s="229"/>
      <c r="DH866" s="229"/>
      <c r="DI866" s="229"/>
      <c r="DJ866" s="229"/>
      <c r="DK866" s="229"/>
      <c r="DL866" s="229"/>
      <c r="DM866" s="229"/>
      <c r="DN866" s="229"/>
      <c r="DO866" s="229"/>
      <c r="DP866" s="229"/>
      <c r="DQ866" s="229"/>
      <c r="DR866" s="229"/>
      <c r="DS866" s="229"/>
      <c r="DT866" s="229"/>
      <c r="DU866" s="229"/>
      <c r="DV866" s="229"/>
      <c r="DW866" s="229"/>
      <c r="DX866" s="229"/>
      <c r="DY866" s="229"/>
      <c r="DZ866" s="229"/>
      <c r="EA866" s="229"/>
      <c r="EB866" s="229"/>
      <c r="EC866" s="229"/>
      <c r="ED866" s="229"/>
      <c r="EE866" s="229"/>
      <c r="EF866" s="229"/>
      <c r="EG866" s="229"/>
      <c r="EH866" s="229"/>
      <c r="EI866" s="229"/>
      <c r="EJ866" s="229"/>
      <c r="EK866" s="229"/>
      <c r="EL866" s="229"/>
      <c r="EM866" s="229"/>
      <c r="EN866" s="229"/>
      <c r="EO866" s="229"/>
      <c r="EP866" s="229"/>
      <c r="EQ866" s="229"/>
      <c r="ER866" s="229"/>
      <c r="ES866" s="229"/>
      <c r="ET866" s="229"/>
      <c r="EU866" s="229"/>
      <c r="EV866" s="229"/>
      <c r="EW866" s="229"/>
      <c r="EX866" s="229"/>
      <c r="EY866" s="229"/>
      <c r="EZ866" s="229"/>
      <c r="FA866" s="229"/>
      <c r="FB866" s="229"/>
      <c r="FC866" s="229"/>
      <c r="FD866" s="229"/>
      <c r="FE866" s="229"/>
      <c r="FF866" s="229"/>
      <c r="FG866" s="229"/>
      <c r="FH866" s="229"/>
      <c r="FI866" s="229"/>
      <c r="FJ866" s="229"/>
      <c r="FK866" s="229"/>
      <c r="FL866" s="229"/>
      <c r="FM866" s="229"/>
      <c r="FN866" s="229"/>
      <c r="FO866" s="229"/>
      <c r="FP866" s="229"/>
      <c r="FQ866" s="229"/>
      <c r="FR866" s="229"/>
      <c r="FS866" s="229"/>
      <c r="FT866" s="229"/>
      <c r="FU866" s="229"/>
      <c r="FV866" s="229"/>
      <c r="FW866" s="229"/>
      <c r="FX866" s="229"/>
      <c r="FY866" s="229"/>
      <c r="FZ866" s="229"/>
      <c r="GA866" s="229"/>
      <c r="GB866" s="229"/>
      <c r="GC866" s="229"/>
      <c r="GD866" s="229"/>
      <c r="GE866" s="229"/>
      <c r="GF866" s="229"/>
      <c r="GG866" s="229"/>
      <c r="GH866" s="229"/>
      <c r="GI866" s="229"/>
      <c r="GJ866" s="229"/>
      <c r="GK866" s="229"/>
      <c r="GL866" s="229"/>
      <c r="GM866" s="229"/>
      <c r="GN866" s="229"/>
    </row>
    <row r="867" ht="15.75" customHeight="1">
      <c r="A867" s="212"/>
      <c r="B867" s="21"/>
      <c r="C867" s="21"/>
      <c r="D867" s="213"/>
      <c r="E867" s="214"/>
      <c r="F867" s="215"/>
      <c r="G867" s="21"/>
      <c r="H867" s="225"/>
      <c r="I867" s="110"/>
      <c r="J867" s="110"/>
      <c r="K867" s="110"/>
      <c r="L867" s="110"/>
      <c r="M867" s="110"/>
      <c r="N867" s="110"/>
      <c r="O867" s="110"/>
      <c r="P867" s="110"/>
      <c r="Q867" s="110"/>
      <c r="R867" s="21"/>
      <c r="S867" s="110"/>
      <c r="T867" s="110"/>
      <c r="U867" s="110"/>
      <c r="V867" s="110"/>
      <c r="W867" s="110"/>
      <c r="X867" s="110"/>
      <c r="Y867" s="110"/>
      <c r="Z867" s="110"/>
    </row>
    <row r="868" ht="15.75" customHeight="1">
      <c r="A868" s="212"/>
      <c r="B868" s="21"/>
      <c r="C868" s="21"/>
      <c r="D868" s="213"/>
      <c r="E868" s="214"/>
      <c r="F868" s="215"/>
      <c r="G868" s="21"/>
      <c r="H868" s="225"/>
      <c r="I868" s="110"/>
      <c r="J868" s="110"/>
      <c r="K868" s="110"/>
      <c r="L868" s="110"/>
      <c r="M868" s="110"/>
      <c r="N868" s="110"/>
      <c r="O868" s="110"/>
      <c r="P868" s="110"/>
      <c r="Q868" s="110"/>
      <c r="R868" s="21"/>
      <c r="S868" s="110"/>
      <c r="T868" s="110"/>
      <c r="U868" s="110"/>
      <c r="V868" s="110"/>
      <c r="W868" s="110"/>
      <c r="X868" s="110"/>
      <c r="Y868" s="110"/>
      <c r="Z868" s="110"/>
    </row>
    <row r="869" ht="15.75" customHeight="1">
      <c r="A869" s="212"/>
      <c r="B869" s="21"/>
      <c r="C869" s="21"/>
      <c r="D869" s="213"/>
      <c r="E869" s="214"/>
      <c r="F869" s="215"/>
      <c r="G869" s="21"/>
      <c r="H869" s="225"/>
      <c r="I869" s="110"/>
      <c r="J869" s="110"/>
      <c r="K869" s="110"/>
      <c r="L869" s="110"/>
      <c r="M869" s="110"/>
      <c r="N869" s="110"/>
      <c r="O869" s="110"/>
      <c r="P869" s="110"/>
      <c r="Q869" s="110"/>
      <c r="R869" s="21"/>
      <c r="S869" s="110"/>
      <c r="T869" s="110"/>
      <c r="U869" s="110"/>
      <c r="V869" s="110"/>
      <c r="W869" s="110"/>
      <c r="X869" s="110"/>
      <c r="Y869" s="110"/>
      <c r="Z869" s="110"/>
    </row>
    <row r="870" ht="15.75" customHeight="1">
      <c r="A870" s="212"/>
      <c r="B870" s="21"/>
      <c r="C870" s="21"/>
      <c r="D870" s="213"/>
      <c r="E870" s="214"/>
      <c r="F870" s="215"/>
      <c r="G870" s="21"/>
      <c r="H870" s="225"/>
      <c r="I870" s="110"/>
      <c r="J870" s="110"/>
      <c r="K870" s="110"/>
      <c r="L870" s="110"/>
      <c r="M870" s="110"/>
      <c r="N870" s="110"/>
      <c r="O870" s="110"/>
      <c r="P870" s="110"/>
      <c r="Q870" s="110"/>
      <c r="R870" s="21"/>
      <c r="S870" s="110"/>
      <c r="T870" s="110"/>
      <c r="U870" s="110"/>
      <c r="V870" s="110"/>
      <c r="W870" s="110"/>
      <c r="X870" s="110"/>
      <c r="Y870" s="110"/>
      <c r="Z870" s="110"/>
    </row>
    <row r="871" ht="15.75" customHeight="1">
      <c r="A871" s="212"/>
      <c r="B871" s="21"/>
      <c r="C871" s="21"/>
      <c r="D871" s="213"/>
      <c r="E871" s="214"/>
      <c r="F871" s="215"/>
      <c r="G871" s="21"/>
      <c r="H871" s="225"/>
      <c r="I871" s="110"/>
      <c r="J871" s="110"/>
      <c r="K871" s="110"/>
      <c r="L871" s="110"/>
      <c r="M871" s="110"/>
      <c r="N871" s="110"/>
      <c r="O871" s="110"/>
      <c r="P871" s="110"/>
      <c r="Q871" s="110"/>
      <c r="R871" s="21"/>
      <c r="S871" s="110"/>
      <c r="T871" s="110"/>
      <c r="U871" s="110"/>
      <c r="V871" s="110"/>
      <c r="W871" s="110"/>
      <c r="X871" s="110"/>
      <c r="Y871" s="110"/>
      <c r="Z871" s="110"/>
    </row>
    <row r="872">
      <c r="A872" s="212"/>
      <c r="B872" s="21"/>
      <c r="C872" s="21"/>
      <c r="D872" s="213"/>
      <c r="E872" s="214"/>
      <c r="F872" s="215"/>
      <c r="G872" s="21"/>
      <c r="H872" s="225"/>
      <c r="I872" s="110"/>
      <c r="J872" s="110"/>
      <c r="K872" s="110"/>
      <c r="L872" s="110"/>
      <c r="M872" s="110"/>
      <c r="N872" s="110"/>
      <c r="O872" s="110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  <c r="AA872" s="229"/>
      <c r="AB872" s="229"/>
      <c r="AC872" s="229"/>
      <c r="AD872" s="229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229"/>
      <c r="AQ872" s="229"/>
      <c r="AR872" s="229"/>
      <c r="AS872" s="229"/>
      <c r="AT872" s="229"/>
      <c r="AU872" s="229"/>
      <c r="AV872" s="229"/>
      <c r="AW872" s="229"/>
      <c r="AX872" s="229"/>
      <c r="AY872" s="229"/>
      <c r="AZ872" s="229"/>
      <c r="BA872" s="229"/>
      <c r="BB872" s="229"/>
      <c r="BC872" s="229"/>
      <c r="BD872" s="229"/>
      <c r="BE872" s="229"/>
      <c r="BF872" s="229"/>
      <c r="BG872" s="229"/>
      <c r="BH872" s="229"/>
      <c r="BI872" s="229"/>
      <c r="BJ872" s="229"/>
      <c r="BK872" s="229"/>
      <c r="BL872" s="229"/>
      <c r="BM872" s="229"/>
      <c r="BN872" s="229"/>
      <c r="BO872" s="229"/>
      <c r="BP872" s="229"/>
      <c r="BQ872" s="229"/>
      <c r="BR872" s="229"/>
      <c r="BS872" s="229"/>
      <c r="BT872" s="229"/>
      <c r="BU872" s="229"/>
      <c r="BV872" s="229"/>
      <c r="BW872" s="229"/>
      <c r="BX872" s="229"/>
      <c r="BY872" s="229"/>
      <c r="BZ872" s="229"/>
      <c r="CA872" s="229"/>
      <c r="CB872" s="229"/>
      <c r="CC872" s="229"/>
      <c r="CD872" s="229"/>
      <c r="CE872" s="229"/>
      <c r="CF872" s="229"/>
      <c r="CG872" s="229"/>
      <c r="CH872" s="229"/>
      <c r="CI872" s="229"/>
      <c r="CJ872" s="229"/>
      <c r="CK872" s="229"/>
      <c r="CL872" s="229"/>
      <c r="CM872" s="229"/>
      <c r="CN872" s="229"/>
      <c r="CO872" s="229"/>
      <c r="CP872" s="229"/>
      <c r="CQ872" s="229"/>
      <c r="CR872" s="229"/>
      <c r="CS872" s="229"/>
      <c r="CT872" s="229"/>
      <c r="CU872" s="229"/>
      <c r="CV872" s="229"/>
      <c r="CW872" s="229"/>
      <c r="CX872" s="229"/>
      <c r="CY872" s="229"/>
      <c r="CZ872" s="229"/>
      <c r="DA872" s="229"/>
      <c r="DB872" s="229"/>
      <c r="DC872" s="229"/>
      <c r="DD872" s="229"/>
      <c r="DE872" s="229"/>
      <c r="DF872" s="229"/>
      <c r="DG872" s="229"/>
      <c r="DH872" s="229"/>
      <c r="DI872" s="229"/>
      <c r="DJ872" s="229"/>
      <c r="DK872" s="229"/>
      <c r="DL872" s="229"/>
      <c r="DM872" s="229"/>
      <c r="DN872" s="229"/>
      <c r="DO872" s="229"/>
      <c r="DP872" s="229"/>
      <c r="DQ872" s="229"/>
      <c r="DR872" s="229"/>
      <c r="DS872" s="229"/>
      <c r="DT872" s="229"/>
      <c r="DU872" s="229"/>
      <c r="DV872" s="229"/>
      <c r="DW872" s="229"/>
      <c r="DX872" s="229"/>
      <c r="DY872" s="229"/>
      <c r="DZ872" s="229"/>
      <c r="EA872" s="229"/>
      <c r="EB872" s="229"/>
      <c r="EC872" s="229"/>
      <c r="ED872" s="229"/>
      <c r="EE872" s="229"/>
      <c r="EF872" s="229"/>
      <c r="EG872" s="229"/>
      <c r="EH872" s="229"/>
      <c r="EI872" s="229"/>
      <c r="EJ872" s="229"/>
      <c r="EK872" s="229"/>
      <c r="EL872" s="229"/>
      <c r="EM872" s="229"/>
      <c r="EN872" s="229"/>
      <c r="EO872" s="229"/>
      <c r="EP872" s="229"/>
      <c r="EQ872" s="229"/>
      <c r="ER872" s="229"/>
      <c r="ES872" s="229"/>
      <c r="ET872" s="229"/>
      <c r="EU872" s="229"/>
      <c r="EV872" s="229"/>
      <c r="EW872" s="229"/>
      <c r="EX872" s="229"/>
      <c r="EY872" s="229"/>
      <c r="EZ872" s="229"/>
      <c r="FA872" s="229"/>
      <c r="FB872" s="229"/>
      <c r="FC872" s="229"/>
      <c r="FD872" s="229"/>
      <c r="FE872" s="229"/>
      <c r="FF872" s="229"/>
      <c r="FG872" s="229"/>
      <c r="FH872" s="229"/>
      <c r="FI872" s="229"/>
      <c r="FJ872" s="229"/>
      <c r="FK872" s="229"/>
      <c r="FL872" s="229"/>
      <c r="FM872" s="229"/>
      <c r="FN872" s="229"/>
      <c r="FO872" s="229"/>
      <c r="FP872" s="229"/>
      <c r="FQ872" s="229"/>
      <c r="FR872" s="229"/>
      <c r="FS872" s="229"/>
      <c r="FT872" s="229"/>
      <c r="FU872" s="229"/>
      <c r="FV872" s="229"/>
      <c r="FW872" s="229"/>
      <c r="FX872" s="229"/>
      <c r="FY872" s="229"/>
      <c r="FZ872" s="229"/>
      <c r="GA872" s="229"/>
      <c r="GB872" s="229"/>
      <c r="GC872" s="229"/>
      <c r="GD872" s="229"/>
      <c r="GE872" s="229"/>
      <c r="GF872" s="229"/>
      <c r="GG872" s="229"/>
      <c r="GH872" s="229"/>
      <c r="GI872" s="229"/>
      <c r="GJ872" s="229"/>
      <c r="GK872" s="229"/>
      <c r="GL872" s="229"/>
      <c r="GM872" s="229"/>
      <c r="GN872" s="229"/>
    </row>
    <row r="873">
      <c r="A873" s="212"/>
      <c r="B873" s="21"/>
      <c r="C873" s="21"/>
      <c r="D873" s="213"/>
      <c r="E873" s="214"/>
      <c r="F873" s="215"/>
      <c r="G873" s="21"/>
      <c r="H873" s="225"/>
      <c r="I873" s="110"/>
      <c r="J873" s="110"/>
      <c r="K873" s="110"/>
      <c r="L873" s="110"/>
      <c r="M873" s="110"/>
      <c r="N873" s="110"/>
      <c r="O873" s="110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  <c r="AA873" s="229"/>
      <c r="AB873" s="229"/>
      <c r="AC873" s="229"/>
      <c r="AD873" s="229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229"/>
      <c r="AQ873" s="229"/>
      <c r="AR873" s="229"/>
      <c r="AS873" s="229"/>
      <c r="AT873" s="229"/>
      <c r="AU873" s="229"/>
      <c r="AV873" s="229"/>
      <c r="AW873" s="229"/>
      <c r="AX873" s="229"/>
      <c r="AY873" s="229"/>
      <c r="AZ873" s="229"/>
      <c r="BA873" s="229"/>
      <c r="BB873" s="229"/>
      <c r="BC873" s="229"/>
      <c r="BD873" s="229"/>
      <c r="BE873" s="229"/>
      <c r="BF873" s="229"/>
      <c r="BG873" s="229"/>
      <c r="BH873" s="229"/>
      <c r="BI873" s="229"/>
      <c r="BJ873" s="229"/>
      <c r="BK873" s="229"/>
      <c r="BL873" s="229"/>
      <c r="BM873" s="229"/>
      <c r="BN873" s="229"/>
      <c r="BO873" s="229"/>
      <c r="BP873" s="229"/>
      <c r="BQ873" s="229"/>
      <c r="BR873" s="229"/>
      <c r="BS873" s="229"/>
      <c r="BT873" s="229"/>
      <c r="BU873" s="229"/>
      <c r="BV873" s="229"/>
      <c r="BW873" s="229"/>
      <c r="BX873" s="229"/>
      <c r="BY873" s="229"/>
      <c r="BZ873" s="229"/>
      <c r="CA873" s="229"/>
      <c r="CB873" s="229"/>
      <c r="CC873" s="229"/>
      <c r="CD873" s="229"/>
      <c r="CE873" s="229"/>
      <c r="CF873" s="229"/>
      <c r="CG873" s="229"/>
      <c r="CH873" s="229"/>
      <c r="CI873" s="229"/>
      <c r="CJ873" s="229"/>
      <c r="CK873" s="229"/>
      <c r="CL873" s="229"/>
      <c r="CM873" s="229"/>
      <c r="CN873" s="229"/>
      <c r="CO873" s="229"/>
      <c r="CP873" s="229"/>
      <c r="CQ873" s="229"/>
      <c r="CR873" s="229"/>
      <c r="CS873" s="229"/>
      <c r="CT873" s="229"/>
      <c r="CU873" s="229"/>
      <c r="CV873" s="229"/>
      <c r="CW873" s="229"/>
      <c r="CX873" s="229"/>
      <c r="CY873" s="229"/>
      <c r="CZ873" s="229"/>
      <c r="DA873" s="229"/>
      <c r="DB873" s="229"/>
      <c r="DC873" s="229"/>
      <c r="DD873" s="229"/>
      <c r="DE873" s="229"/>
      <c r="DF873" s="229"/>
      <c r="DG873" s="229"/>
      <c r="DH873" s="229"/>
      <c r="DI873" s="229"/>
      <c r="DJ873" s="229"/>
      <c r="DK873" s="229"/>
      <c r="DL873" s="229"/>
      <c r="DM873" s="229"/>
      <c r="DN873" s="229"/>
      <c r="DO873" s="229"/>
      <c r="DP873" s="229"/>
      <c r="DQ873" s="229"/>
      <c r="DR873" s="229"/>
      <c r="DS873" s="229"/>
      <c r="DT873" s="229"/>
      <c r="DU873" s="229"/>
      <c r="DV873" s="229"/>
      <c r="DW873" s="229"/>
      <c r="DX873" s="229"/>
      <c r="DY873" s="229"/>
      <c r="DZ873" s="229"/>
      <c r="EA873" s="229"/>
      <c r="EB873" s="229"/>
      <c r="EC873" s="229"/>
      <c r="ED873" s="229"/>
      <c r="EE873" s="229"/>
      <c r="EF873" s="229"/>
      <c r="EG873" s="229"/>
      <c r="EH873" s="229"/>
      <c r="EI873" s="229"/>
      <c r="EJ873" s="229"/>
      <c r="EK873" s="229"/>
      <c r="EL873" s="229"/>
      <c r="EM873" s="229"/>
      <c r="EN873" s="229"/>
      <c r="EO873" s="229"/>
      <c r="EP873" s="229"/>
      <c r="EQ873" s="229"/>
      <c r="ER873" s="229"/>
      <c r="ES873" s="229"/>
      <c r="ET873" s="229"/>
      <c r="EU873" s="229"/>
      <c r="EV873" s="229"/>
      <c r="EW873" s="229"/>
      <c r="EX873" s="229"/>
      <c r="EY873" s="229"/>
      <c r="EZ873" s="229"/>
      <c r="FA873" s="229"/>
      <c r="FB873" s="229"/>
      <c r="FC873" s="229"/>
      <c r="FD873" s="229"/>
      <c r="FE873" s="229"/>
      <c r="FF873" s="229"/>
      <c r="FG873" s="229"/>
      <c r="FH873" s="229"/>
      <c r="FI873" s="229"/>
      <c r="FJ873" s="229"/>
      <c r="FK873" s="229"/>
      <c r="FL873" s="229"/>
      <c r="FM873" s="229"/>
      <c r="FN873" s="229"/>
      <c r="FO873" s="229"/>
      <c r="FP873" s="229"/>
      <c r="FQ873" s="229"/>
      <c r="FR873" s="229"/>
      <c r="FS873" s="229"/>
      <c r="FT873" s="229"/>
      <c r="FU873" s="229"/>
      <c r="FV873" s="229"/>
      <c r="FW873" s="229"/>
      <c r="FX873" s="229"/>
      <c r="FY873" s="229"/>
      <c r="FZ873" s="229"/>
      <c r="GA873" s="229"/>
      <c r="GB873" s="229"/>
      <c r="GC873" s="229"/>
      <c r="GD873" s="229"/>
      <c r="GE873" s="229"/>
      <c r="GF873" s="229"/>
      <c r="GG873" s="229"/>
      <c r="GH873" s="229"/>
      <c r="GI873" s="229"/>
      <c r="GJ873" s="229"/>
      <c r="GK873" s="229"/>
      <c r="GL873" s="229"/>
      <c r="GM873" s="229"/>
      <c r="GN873" s="229"/>
    </row>
    <row r="874">
      <c r="A874" s="212"/>
      <c r="B874" s="21"/>
      <c r="C874" s="21"/>
      <c r="D874" s="213"/>
      <c r="E874" s="214"/>
      <c r="F874" s="215"/>
      <c r="G874" s="21"/>
      <c r="H874" s="225"/>
      <c r="I874" s="110"/>
      <c r="J874" s="110"/>
      <c r="K874" s="110"/>
      <c r="L874" s="110"/>
      <c r="M874" s="110"/>
      <c r="N874" s="110"/>
      <c r="O874" s="110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  <c r="AA874" s="229"/>
      <c r="AB874" s="229"/>
      <c r="AC874" s="229"/>
      <c r="AD874" s="229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229"/>
      <c r="AQ874" s="229"/>
      <c r="AR874" s="229"/>
      <c r="AS874" s="229"/>
      <c r="AT874" s="229"/>
      <c r="AU874" s="229"/>
      <c r="AV874" s="229"/>
      <c r="AW874" s="229"/>
      <c r="AX874" s="229"/>
      <c r="AY874" s="229"/>
      <c r="AZ874" s="229"/>
      <c r="BA874" s="229"/>
      <c r="BB874" s="229"/>
      <c r="BC874" s="229"/>
      <c r="BD874" s="229"/>
      <c r="BE874" s="229"/>
      <c r="BF874" s="229"/>
      <c r="BG874" s="229"/>
      <c r="BH874" s="229"/>
      <c r="BI874" s="229"/>
      <c r="BJ874" s="229"/>
      <c r="BK874" s="229"/>
      <c r="BL874" s="229"/>
      <c r="BM874" s="229"/>
      <c r="BN874" s="229"/>
      <c r="BO874" s="229"/>
      <c r="BP874" s="229"/>
      <c r="BQ874" s="229"/>
      <c r="BR874" s="229"/>
      <c r="BS874" s="229"/>
      <c r="BT874" s="229"/>
      <c r="BU874" s="229"/>
      <c r="BV874" s="229"/>
      <c r="BW874" s="229"/>
      <c r="BX874" s="229"/>
      <c r="BY874" s="229"/>
      <c r="BZ874" s="229"/>
      <c r="CA874" s="229"/>
      <c r="CB874" s="229"/>
      <c r="CC874" s="229"/>
      <c r="CD874" s="229"/>
      <c r="CE874" s="229"/>
      <c r="CF874" s="229"/>
      <c r="CG874" s="229"/>
      <c r="CH874" s="229"/>
      <c r="CI874" s="229"/>
      <c r="CJ874" s="229"/>
      <c r="CK874" s="229"/>
      <c r="CL874" s="229"/>
      <c r="CM874" s="229"/>
      <c r="CN874" s="229"/>
      <c r="CO874" s="229"/>
      <c r="CP874" s="229"/>
      <c r="CQ874" s="229"/>
      <c r="CR874" s="229"/>
      <c r="CS874" s="229"/>
      <c r="CT874" s="229"/>
      <c r="CU874" s="229"/>
      <c r="CV874" s="229"/>
      <c r="CW874" s="229"/>
      <c r="CX874" s="229"/>
      <c r="CY874" s="229"/>
      <c r="CZ874" s="229"/>
      <c r="DA874" s="229"/>
      <c r="DB874" s="229"/>
      <c r="DC874" s="229"/>
      <c r="DD874" s="229"/>
      <c r="DE874" s="229"/>
      <c r="DF874" s="229"/>
      <c r="DG874" s="229"/>
      <c r="DH874" s="229"/>
      <c r="DI874" s="229"/>
      <c r="DJ874" s="229"/>
      <c r="DK874" s="229"/>
      <c r="DL874" s="229"/>
      <c r="DM874" s="229"/>
      <c r="DN874" s="229"/>
      <c r="DO874" s="229"/>
      <c r="DP874" s="229"/>
      <c r="DQ874" s="229"/>
      <c r="DR874" s="229"/>
      <c r="DS874" s="229"/>
      <c r="DT874" s="229"/>
      <c r="DU874" s="229"/>
      <c r="DV874" s="229"/>
      <c r="DW874" s="229"/>
      <c r="DX874" s="229"/>
      <c r="DY874" s="229"/>
      <c r="DZ874" s="229"/>
      <c r="EA874" s="229"/>
      <c r="EB874" s="229"/>
      <c r="EC874" s="229"/>
      <c r="ED874" s="229"/>
      <c r="EE874" s="229"/>
      <c r="EF874" s="229"/>
      <c r="EG874" s="229"/>
      <c r="EH874" s="229"/>
      <c r="EI874" s="229"/>
      <c r="EJ874" s="229"/>
      <c r="EK874" s="229"/>
      <c r="EL874" s="229"/>
      <c r="EM874" s="229"/>
      <c r="EN874" s="229"/>
      <c r="EO874" s="229"/>
      <c r="EP874" s="229"/>
      <c r="EQ874" s="229"/>
      <c r="ER874" s="229"/>
      <c r="ES874" s="229"/>
      <c r="ET874" s="229"/>
      <c r="EU874" s="229"/>
      <c r="EV874" s="229"/>
      <c r="EW874" s="229"/>
      <c r="EX874" s="229"/>
      <c r="EY874" s="229"/>
      <c r="EZ874" s="229"/>
      <c r="FA874" s="229"/>
      <c r="FB874" s="229"/>
      <c r="FC874" s="229"/>
      <c r="FD874" s="229"/>
      <c r="FE874" s="229"/>
      <c r="FF874" s="229"/>
      <c r="FG874" s="229"/>
      <c r="FH874" s="229"/>
      <c r="FI874" s="229"/>
      <c r="FJ874" s="229"/>
      <c r="FK874" s="229"/>
      <c r="FL874" s="229"/>
      <c r="FM874" s="229"/>
      <c r="FN874" s="229"/>
      <c r="FO874" s="229"/>
      <c r="FP874" s="229"/>
      <c r="FQ874" s="229"/>
      <c r="FR874" s="229"/>
      <c r="FS874" s="229"/>
      <c r="FT874" s="229"/>
      <c r="FU874" s="229"/>
      <c r="FV874" s="229"/>
      <c r="FW874" s="229"/>
      <c r="FX874" s="229"/>
      <c r="FY874" s="229"/>
      <c r="FZ874" s="229"/>
      <c r="GA874" s="229"/>
      <c r="GB874" s="229"/>
      <c r="GC874" s="229"/>
      <c r="GD874" s="229"/>
      <c r="GE874" s="229"/>
      <c r="GF874" s="229"/>
      <c r="GG874" s="229"/>
      <c r="GH874" s="229"/>
      <c r="GI874" s="229"/>
      <c r="GJ874" s="229"/>
      <c r="GK874" s="229"/>
      <c r="GL874" s="229"/>
      <c r="GM874" s="229"/>
      <c r="GN874" s="229"/>
    </row>
    <row r="875">
      <c r="A875" s="212"/>
      <c r="B875" s="21"/>
      <c r="C875" s="21"/>
      <c r="D875" s="213"/>
      <c r="E875" s="214"/>
      <c r="F875" s="215"/>
      <c r="G875" s="21"/>
      <c r="H875" s="225"/>
      <c r="I875" s="110"/>
      <c r="J875" s="110"/>
      <c r="K875" s="110"/>
      <c r="L875" s="110"/>
      <c r="M875" s="110"/>
      <c r="N875" s="110"/>
      <c r="O875" s="110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  <c r="AA875" s="229"/>
      <c r="AB875" s="229"/>
      <c r="AC875" s="229"/>
      <c r="AD875" s="229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229"/>
      <c r="AQ875" s="229"/>
      <c r="AR875" s="229"/>
      <c r="AS875" s="229"/>
      <c r="AT875" s="229"/>
      <c r="AU875" s="229"/>
      <c r="AV875" s="229"/>
      <c r="AW875" s="229"/>
      <c r="AX875" s="229"/>
      <c r="AY875" s="229"/>
      <c r="AZ875" s="229"/>
      <c r="BA875" s="229"/>
      <c r="BB875" s="229"/>
      <c r="BC875" s="229"/>
      <c r="BD875" s="229"/>
      <c r="BE875" s="229"/>
      <c r="BF875" s="229"/>
      <c r="BG875" s="229"/>
      <c r="BH875" s="229"/>
      <c r="BI875" s="229"/>
      <c r="BJ875" s="229"/>
      <c r="BK875" s="229"/>
      <c r="BL875" s="229"/>
      <c r="BM875" s="229"/>
      <c r="BN875" s="229"/>
      <c r="BO875" s="229"/>
      <c r="BP875" s="229"/>
      <c r="BQ875" s="229"/>
      <c r="BR875" s="229"/>
      <c r="BS875" s="229"/>
      <c r="BT875" s="229"/>
      <c r="BU875" s="229"/>
      <c r="BV875" s="229"/>
      <c r="BW875" s="229"/>
      <c r="BX875" s="229"/>
      <c r="BY875" s="229"/>
      <c r="BZ875" s="229"/>
      <c r="CA875" s="229"/>
      <c r="CB875" s="229"/>
      <c r="CC875" s="229"/>
      <c r="CD875" s="229"/>
      <c r="CE875" s="229"/>
      <c r="CF875" s="229"/>
      <c r="CG875" s="229"/>
      <c r="CH875" s="229"/>
      <c r="CI875" s="229"/>
      <c r="CJ875" s="229"/>
      <c r="CK875" s="229"/>
      <c r="CL875" s="229"/>
      <c r="CM875" s="229"/>
      <c r="CN875" s="229"/>
      <c r="CO875" s="229"/>
      <c r="CP875" s="229"/>
      <c r="CQ875" s="229"/>
      <c r="CR875" s="229"/>
      <c r="CS875" s="229"/>
      <c r="CT875" s="229"/>
      <c r="CU875" s="229"/>
      <c r="CV875" s="229"/>
      <c r="CW875" s="229"/>
      <c r="CX875" s="229"/>
      <c r="CY875" s="229"/>
      <c r="CZ875" s="229"/>
      <c r="DA875" s="229"/>
      <c r="DB875" s="229"/>
      <c r="DC875" s="229"/>
      <c r="DD875" s="229"/>
      <c r="DE875" s="229"/>
      <c r="DF875" s="229"/>
      <c r="DG875" s="229"/>
      <c r="DH875" s="229"/>
      <c r="DI875" s="229"/>
      <c r="DJ875" s="229"/>
      <c r="DK875" s="229"/>
      <c r="DL875" s="229"/>
      <c r="DM875" s="229"/>
      <c r="DN875" s="229"/>
      <c r="DO875" s="229"/>
      <c r="DP875" s="229"/>
      <c r="DQ875" s="229"/>
      <c r="DR875" s="229"/>
      <c r="DS875" s="229"/>
      <c r="DT875" s="229"/>
      <c r="DU875" s="229"/>
      <c r="DV875" s="229"/>
      <c r="DW875" s="229"/>
      <c r="DX875" s="229"/>
      <c r="DY875" s="229"/>
      <c r="DZ875" s="229"/>
      <c r="EA875" s="229"/>
      <c r="EB875" s="229"/>
      <c r="EC875" s="229"/>
      <c r="ED875" s="229"/>
      <c r="EE875" s="229"/>
      <c r="EF875" s="229"/>
      <c r="EG875" s="229"/>
      <c r="EH875" s="229"/>
      <c r="EI875" s="229"/>
      <c r="EJ875" s="229"/>
      <c r="EK875" s="229"/>
      <c r="EL875" s="229"/>
      <c r="EM875" s="229"/>
      <c r="EN875" s="229"/>
      <c r="EO875" s="229"/>
      <c r="EP875" s="229"/>
      <c r="EQ875" s="229"/>
      <c r="ER875" s="229"/>
      <c r="ES875" s="229"/>
      <c r="ET875" s="229"/>
      <c r="EU875" s="229"/>
      <c r="EV875" s="229"/>
      <c r="EW875" s="229"/>
      <c r="EX875" s="229"/>
      <c r="EY875" s="229"/>
      <c r="EZ875" s="229"/>
      <c r="FA875" s="229"/>
      <c r="FB875" s="229"/>
      <c r="FC875" s="229"/>
      <c r="FD875" s="229"/>
      <c r="FE875" s="229"/>
      <c r="FF875" s="229"/>
      <c r="FG875" s="229"/>
      <c r="FH875" s="229"/>
      <c r="FI875" s="229"/>
      <c r="FJ875" s="229"/>
      <c r="FK875" s="229"/>
      <c r="FL875" s="229"/>
      <c r="FM875" s="229"/>
      <c r="FN875" s="229"/>
      <c r="FO875" s="229"/>
      <c r="FP875" s="229"/>
      <c r="FQ875" s="229"/>
      <c r="FR875" s="229"/>
      <c r="FS875" s="229"/>
      <c r="FT875" s="229"/>
      <c r="FU875" s="229"/>
      <c r="FV875" s="229"/>
      <c r="FW875" s="229"/>
      <c r="FX875" s="229"/>
      <c r="FY875" s="229"/>
      <c r="FZ875" s="229"/>
      <c r="GA875" s="229"/>
      <c r="GB875" s="229"/>
      <c r="GC875" s="229"/>
      <c r="GD875" s="229"/>
      <c r="GE875" s="229"/>
      <c r="GF875" s="229"/>
      <c r="GG875" s="229"/>
      <c r="GH875" s="229"/>
      <c r="GI875" s="229"/>
      <c r="GJ875" s="229"/>
      <c r="GK875" s="229"/>
      <c r="GL875" s="229"/>
      <c r="GM875" s="229"/>
      <c r="GN875" s="229"/>
    </row>
    <row r="876">
      <c r="A876" s="212"/>
      <c r="B876" s="21"/>
      <c r="C876" s="21"/>
      <c r="D876" s="213"/>
      <c r="E876" s="214"/>
      <c r="F876" s="215"/>
      <c r="G876" s="21"/>
      <c r="H876" s="225"/>
      <c r="I876" s="110"/>
      <c r="J876" s="110"/>
      <c r="K876" s="110"/>
      <c r="L876" s="110"/>
      <c r="M876" s="110"/>
      <c r="N876" s="110"/>
      <c r="O876" s="110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  <c r="AA876" s="229"/>
      <c r="AB876" s="229"/>
      <c r="AC876" s="229"/>
      <c r="AD876" s="229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229"/>
      <c r="AQ876" s="229"/>
      <c r="AR876" s="229"/>
      <c r="AS876" s="229"/>
      <c r="AT876" s="229"/>
      <c r="AU876" s="229"/>
      <c r="AV876" s="229"/>
      <c r="AW876" s="229"/>
      <c r="AX876" s="229"/>
      <c r="AY876" s="229"/>
      <c r="AZ876" s="229"/>
      <c r="BA876" s="229"/>
      <c r="BB876" s="229"/>
      <c r="BC876" s="229"/>
      <c r="BD876" s="229"/>
      <c r="BE876" s="229"/>
      <c r="BF876" s="229"/>
      <c r="BG876" s="229"/>
      <c r="BH876" s="229"/>
      <c r="BI876" s="229"/>
      <c r="BJ876" s="229"/>
      <c r="BK876" s="229"/>
      <c r="BL876" s="229"/>
      <c r="BM876" s="229"/>
      <c r="BN876" s="229"/>
      <c r="BO876" s="229"/>
      <c r="BP876" s="229"/>
      <c r="BQ876" s="229"/>
      <c r="BR876" s="229"/>
      <c r="BS876" s="229"/>
      <c r="BT876" s="229"/>
      <c r="BU876" s="229"/>
      <c r="BV876" s="229"/>
      <c r="BW876" s="229"/>
      <c r="BX876" s="229"/>
      <c r="BY876" s="229"/>
      <c r="BZ876" s="229"/>
      <c r="CA876" s="229"/>
      <c r="CB876" s="229"/>
      <c r="CC876" s="229"/>
      <c r="CD876" s="229"/>
      <c r="CE876" s="229"/>
      <c r="CF876" s="229"/>
      <c r="CG876" s="229"/>
      <c r="CH876" s="229"/>
      <c r="CI876" s="229"/>
      <c r="CJ876" s="229"/>
      <c r="CK876" s="229"/>
      <c r="CL876" s="229"/>
      <c r="CM876" s="229"/>
      <c r="CN876" s="229"/>
      <c r="CO876" s="229"/>
      <c r="CP876" s="229"/>
      <c r="CQ876" s="229"/>
      <c r="CR876" s="229"/>
      <c r="CS876" s="229"/>
      <c r="CT876" s="229"/>
      <c r="CU876" s="229"/>
      <c r="CV876" s="229"/>
      <c r="CW876" s="229"/>
      <c r="CX876" s="229"/>
      <c r="CY876" s="229"/>
      <c r="CZ876" s="229"/>
      <c r="DA876" s="229"/>
      <c r="DB876" s="229"/>
      <c r="DC876" s="229"/>
      <c r="DD876" s="229"/>
      <c r="DE876" s="229"/>
      <c r="DF876" s="229"/>
      <c r="DG876" s="229"/>
      <c r="DH876" s="229"/>
      <c r="DI876" s="229"/>
      <c r="DJ876" s="229"/>
      <c r="DK876" s="229"/>
      <c r="DL876" s="229"/>
      <c r="DM876" s="229"/>
      <c r="DN876" s="229"/>
      <c r="DO876" s="229"/>
      <c r="DP876" s="229"/>
      <c r="DQ876" s="229"/>
      <c r="DR876" s="229"/>
      <c r="DS876" s="229"/>
      <c r="DT876" s="229"/>
      <c r="DU876" s="229"/>
      <c r="DV876" s="229"/>
      <c r="DW876" s="229"/>
      <c r="DX876" s="229"/>
      <c r="DY876" s="229"/>
      <c r="DZ876" s="229"/>
      <c r="EA876" s="229"/>
      <c r="EB876" s="229"/>
      <c r="EC876" s="229"/>
      <c r="ED876" s="229"/>
      <c r="EE876" s="229"/>
      <c r="EF876" s="229"/>
      <c r="EG876" s="229"/>
      <c r="EH876" s="229"/>
      <c r="EI876" s="229"/>
      <c r="EJ876" s="229"/>
      <c r="EK876" s="229"/>
      <c r="EL876" s="229"/>
      <c r="EM876" s="229"/>
      <c r="EN876" s="229"/>
      <c r="EO876" s="229"/>
      <c r="EP876" s="229"/>
      <c r="EQ876" s="229"/>
      <c r="ER876" s="229"/>
      <c r="ES876" s="229"/>
      <c r="ET876" s="229"/>
      <c r="EU876" s="229"/>
      <c r="EV876" s="229"/>
      <c r="EW876" s="229"/>
      <c r="EX876" s="229"/>
      <c r="EY876" s="229"/>
      <c r="EZ876" s="229"/>
      <c r="FA876" s="229"/>
      <c r="FB876" s="229"/>
      <c r="FC876" s="229"/>
      <c r="FD876" s="229"/>
      <c r="FE876" s="229"/>
      <c r="FF876" s="229"/>
      <c r="FG876" s="229"/>
      <c r="FH876" s="229"/>
      <c r="FI876" s="229"/>
      <c r="FJ876" s="229"/>
      <c r="FK876" s="229"/>
      <c r="FL876" s="229"/>
      <c r="FM876" s="229"/>
      <c r="FN876" s="229"/>
      <c r="FO876" s="229"/>
      <c r="FP876" s="229"/>
      <c r="FQ876" s="229"/>
      <c r="FR876" s="229"/>
      <c r="FS876" s="229"/>
      <c r="FT876" s="229"/>
      <c r="FU876" s="229"/>
      <c r="FV876" s="229"/>
      <c r="FW876" s="229"/>
      <c r="FX876" s="229"/>
      <c r="FY876" s="229"/>
      <c r="FZ876" s="229"/>
      <c r="GA876" s="229"/>
      <c r="GB876" s="229"/>
      <c r="GC876" s="229"/>
      <c r="GD876" s="229"/>
      <c r="GE876" s="229"/>
      <c r="GF876" s="229"/>
      <c r="GG876" s="229"/>
      <c r="GH876" s="229"/>
      <c r="GI876" s="229"/>
      <c r="GJ876" s="229"/>
      <c r="GK876" s="229"/>
      <c r="GL876" s="229"/>
      <c r="GM876" s="229"/>
      <c r="GN876" s="229"/>
    </row>
    <row r="877">
      <c r="A877" s="212"/>
      <c r="B877" s="21"/>
      <c r="C877" s="21"/>
      <c r="D877" s="213"/>
      <c r="E877" s="214"/>
      <c r="F877" s="215"/>
      <c r="G877" s="21"/>
      <c r="H877" s="225"/>
      <c r="I877" s="110"/>
      <c r="J877" s="110"/>
      <c r="K877" s="110"/>
      <c r="L877" s="110"/>
      <c r="M877" s="110"/>
      <c r="N877" s="110"/>
      <c r="O877" s="110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  <c r="AA877" s="229"/>
      <c r="AB877" s="229"/>
      <c r="AC877" s="229"/>
      <c r="AD877" s="229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229"/>
      <c r="AQ877" s="229"/>
      <c r="AR877" s="229"/>
      <c r="AS877" s="229"/>
      <c r="AT877" s="229"/>
      <c r="AU877" s="229"/>
      <c r="AV877" s="229"/>
      <c r="AW877" s="229"/>
      <c r="AX877" s="229"/>
      <c r="AY877" s="229"/>
      <c r="AZ877" s="229"/>
      <c r="BA877" s="229"/>
      <c r="BB877" s="229"/>
      <c r="BC877" s="229"/>
      <c r="BD877" s="229"/>
      <c r="BE877" s="229"/>
      <c r="BF877" s="229"/>
      <c r="BG877" s="229"/>
      <c r="BH877" s="229"/>
      <c r="BI877" s="229"/>
      <c r="BJ877" s="229"/>
      <c r="BK877" s="229"/>
      <c r="BL877" s="229"/>
      <c r="BM877" s="229"/>
      <c r="BN877" s="229"/>
      <c r="BO877" s="229"/>
      <c r="BP877" s="229"/>
      <c r="BQ877" s="229"/>
      <c r="BR877" s="229"/>
      <c r="BS877" s="229"/>
      <c r="BT877" s="229"/>
      <c r="BU877" s="229"/>
      <c r="BV877" s="229"/>
      <c r="BW877" s="229"/>
      <c r="BX877" s="229"/>
      <c r="BY877" s="229"/>
      <c r="BZ877" s="229"/>
      <c r="CA877" s="229"/>
      <c r="CB877" s="229"/>
      <c r="CC877" s="229"/>
      <c r="CD877" s="229"/>
      <c r="CE877" s="229"/>
      <c r="CF877" s="229"/>
      <c r="CG877" s="229"/>
      <c r="CH877" s="229"/>
      <c r="CI877" s="229"/>
      <c r="CJ877" s="229"/>
      <c r="CK877" s="229"/>
      <c r="CL877" s="229"/>
      <c r="CM877" s="229"/>
      <c r="CN877" s="229"/>
      <c r="CO877" s="229"/>
      <c r="CP877" s="229"/>
      <c r="CQ877" s="229"/>
      <c r="CR877" s="229"/>
      <c r="CS877" s="229"/>
      <c r="CT877" s="229"/>
      <c r="CU877" s="229"/>
      <c r="CV877" s="229"/>
      <c r="CW877" s="229"/>
      <c r="CX877" s="229"/>
      <c r="CY877" s="229"/>
      <c r="CZ877" s="229"/>
      <c r="DA877" s="229"/>
      <c r="DB877" s="229"/>
      <c r="DC877" s="229"/>
      <c r="DD877" s="229"/>
      <c r="DE877" s="229"/>
      <c r="DF877" s="229"/>
      <c r="DG877" s="229"/>
      <c r="DH877" s="229"/>
      <c r="DI877" s="229"/>
      <c r="DJ877" s="229"/>
      <c r="DK877" s="229"/>
      <c r="DL877" s="229"/>
      <c r="DM877" s="229"/>
      <c r="DN877" s="229"/>
      <c r="DO877" s="229"/>
      <c r="DP877" s="229"/>
      <c r="DQ877" s="229"/>
      <c r="DR877" s="229"/>
      <c r="DS877" s="229"/>
      <c r="DT877" s="229"/>
      <c r="DU877" s="229"/>
      <c r="DV877" s="229"/>
      <c r="DW877" s="229"/>
      <c r="DX877" s="229"/>
      <c r="DY877" s="229"/>
      <c r="DZ877" s="229"/>
      <c r="EA877" s="229"/>
      <c r="EB877" s="229"/>
      <c r="EC877" s="229"/>
      <c r="ED877" s="229"/>
      <c r="EE877" s="229"/>
      <c r="EF877" s="229"/>
      <c r="EG877" s="229"/>
      <c r="EH877" s="229"/>
      <c r="EI877" s="229"/>
      <c r="EJ877" s="229"/>
      <c r="EK877" s="229"/>
      <c r="EL877" s="229"/>
      <c r="EM877" s="229"/>
      <c r="EN877" s="229"/>
      <c r="EO877" s="229"/>
      <c r="EP877" s="229"/>
      <c r="EQ877" s="229"/>
      <c r="ER877" s="229"/>
      <c r="ES877" s="229"/>
      <c r="ET877" s="229"/>
      <c r="EU877" s="229"/>
      <c r="EV877" s="229"/>
      <c r="EW877" s="229"/>
      <c r="EX877" s="229"/>
      <c r="EY877" s="229"/>
      <c r="EZ877" s="229"/>
      <c r="FA877" s="229"/>
      <c r="FB877" s="229"/>
      <c r="FC877" s="229"/>
      <c r="FD877" s="229"/>
      <c r="FE877" s="229"/>
      <c r="FF877" s="229"/>
      <c r="FG877" s="229"/>
      <c r="FH877" s="229"/>
      <c r="FI877" s="229"/>
      <c r="FJ877" s="229"/>
      <c r="FK877" s="229"/>
      <c r="FL877" s="229"/>
      <c r="FM877" s="229"/>
      <c r="FN877" s="229"/>
      <c r="FO877" s="229"/>
      <c r="FP877" s="229"/>
      <c r="FQ877" s="229"/>
      <c r="FR877" s="229"/>
      <c r="FS877" s="229"/>
      <c r="FT877" s="229"/>
      <c r="FU877" s="229"/>
      <c r="FV877" s="229"/>
      <c r="FW877" s="229"/>
      <c r="FX877" s="229"/>
      <c r="FY877" s="229"/>
      <c r="FZ877" s="229"/>
      <c r="GA877" s="229"/>
      <c r="GB877" s="229"/>
      <c r="GC877" s="229"/>
      <c r="GD877" s="229"/>
      <c r="GE877" s="229"/>
      <c r="GF877" s="229"/>
      <c r="GG877" s="229"/>
      <c r="GH877" s="229"/>
      <c r="GI877" s="229"/>
      <c r="GJ877" s="229"/>
      <c r="GK877" s="229"/>
      <c r="GL877" s="229"/>
      <c r="GM877" s="229"/>
      <c r="GN877" s="229"/>
    </row>
    <row r="878">
      <c r="A878" s="212"/>
      <c r="B878" s="21"/>
      <c r="C878" s="21"/>
      <c r="D878" s="213"/>
      <c r="E878" s="214"/>
      <c r="F878" s="215"/>
      <c r="G878" s="21"/>
      <c r="H878" s="225"/>
      <c r="I878" s="110"/>
      <c r="J878" s="110"/>
      <c r="K878" s="110"/>
      <c r="L878" s="110"/>
      <c r="M878" s="110"/>
      <c r="N878" s="110"/>
      <c r="O878" s="110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  <c r="AA878" s="229"/>
      <c r="AB878" s="229"/>
      <c r="AC878" s="229"/>
      <c r="AD878" s="229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229"/>
      <c r="AQ878" s="229"/>
      <c r="AR878" s="229"/>
      <c r="AS878" s="229"/>
      <c r="AT878" s="229"/>
      <c r="AU878" s="229"/>
      <c r="AV878" s="229"/>
      <c r="AW878" s="229"/>
      <c r="AX878" s="229"/>
      <c r="AY878" s="229"/>
      <c r="AZ878" s="229"/>
      <c r="BA878" s="229"/>
      <c r="BB878" s="229"/>
      <c r="BC878" s="229"/>
      <c r="BD878" s="229"/>
      <c r="BE878" s="229"/>
      <c r="BF878" s="229"/>
      <c r="BG878" s="229"/>
      <c r="BH878" s="229"/>
      <c r="BI878" s="229"/>
      <c r="BJ878" s="229"/>
      <c r="BK878" s="229"/>
      <c r="BL878" s="229"/>
      <c r="BM878" s="229"/>
      <c r="BN878" s="229"/>
      <c r="BO878" s="229"/>
      <c r="BP878" s="229"/>
      <c r="BQ878" s="229"/>
      <c r="BR878" s="229"/>
      <c r="BS878" s="229"/>
      <c r="BT878" s="229"/>
      <c r="BU878" s="229"/>
      <c r="BV878" s="229"/>
      <c r="BW878" s="229"/>
      <c r="BX878" s="229"/>
      <c r="BY878" s="229"/>
      <c r="BZ878" s="229"/>
      <c r="CA878" s="229"/>
      <c r="CB878" s="229"/>
      <c r="CC878" s="229"/>
      <c r="CD878" s="229"/>
      <c r="CE878" s="229"/>
      <c r="CF878" s="229"/>
      <c r="CG878" s="229"/>
      <c r="CH878" s="229"/>
      <c r="CI878" s="229"/>
      <c r="CJ878" s="229"/>
      <c r="CK878" s="229"/>
      <c r="CL878" s="229"/>
      <c r="CM878" s="229"/>
      <c r="CN878" s="229"/>
      <c r="CO878" s="229"/>
      <c r="CP878" s="229"/>
      <c r="CQ878" s="229"/>
      <c r="CR878" s="229"/>
      <c r="CS878" s="229"/>
      <c r="CT878" s="229"/>
      <c r="CU878" s="229"/>
      <c r="CV878" s="229"/>
      <c r="CW878" s="229"/>
      <c r="CX878" s="229"/>
      <c r="CY878" s="229"/>
      <c r="CZ878" s="229"/>
      <c r="DA878" s="229"/>
      <c r="DB878" s="229"/>
      <c r="DC878" s="229"/>
      <c r="DD878" s="229"/>
      <c r="DE878" s="229"/>
      <c r="DF878" s="229"/>
      <c r="DG878" s="229"/>
      <c r="DH878" s="229"/>
      <c r="DI878" s="229"/>
      <c r="DJ878" s="229"/>
      <c r="DK878" s="229"/>
      <c r="DL878" s="229"/>
      <c r="DM878" s="229"/>
      <c r="DN878" s="229"/>
      <c r="DO878" s="229"/>
      <c r="DP878" s="229"/>
      <c r="DQ878" s="229"/>
      <c r="DR878" s="229"/>
      <c r="DS878" s="229"/>
      <c r="DT878" s="229"/>
      <c r="DU878" s="229"/>
      <c r="DV878" s="229"/>
      <c r="DW878" s="229"/>
      <c r="DX878" s="229"/>
      <c r="DY878" s="229"/>
      <c r="DZ878" s="229"/>
      <c r="EA878" s="229"/>
      <c r="EB878" s="229"/>
      <c r="EC878" s="229"/>
      <c r="ED878" s="229"/>
      <c r="EE878" s="229"/>
      <c r="EF878" s="229"/>
      <c r="EG878" s="229"/>
      <c r="EH878" s="229"/>
      <c r="EI878" s="229"/>
      <c r="EJ878" s="229"/>
      <c r="EK878" s="229"/>
      <c r="EL878" s="229"/>
      <c r="EM878" s="229"/>
      <c r="EN878" s="229"/>
      <c r="EO878" s="229"/>
      <c r="EP878" s="229"/>
      <c r="EQ878" s="229"/>
      <c r="ER878" s="229"/>
      <c r="ES878" s="229"/>
      <c r="ET878" s="229"/>
      <c r="EU878" s="229"/>
      <c r="EV878" s="229"/>
      <c r="EW878" s="229"/>
      <c r="EX878" s="229"/>
      <c r="EY878" s="229"/>
      <c r="EZ878" s="229"/>
      <c r="FA878" s="229"/>
      <c r="FB878" s="229"/>
      <c r="FC878" s="229"/>
      <c r="FD878" s="229"/>
      <c r="FE878" s="229"/>
      <c r="FF878" s="229"/>
      <c r="FG878" s="229"/>
      <c r="FH878" s="229"/>
      <c r="FI878" s="229"/>
      <c r="FJ878" s="229"/>
      <c r="FK878" s="229"/>
      <c r="FL878" s="229"/>
      <c r="FM878" s="229"/>
      <c r="FN878" s="229"/>
      <c r="FO878" s="229"/>
      <c r="FP878" s="229"/>
      <c r="FQ878" s="229"/>
      <c r="FR878" s="229"/>
      <c r="FS878" s="229"/>
      <c r="FT878" s="229"/>
      <c r="FU878" s="229"/>
      <c r="FV878" s="229"/>
      <c r="FW878" s="229"/>
      <c r="FX878" s="229"/>
      <c r="FY878" s="229"/>
      <c r="FZ878" s="229"/>
      <c r="GA878" s="229"/>
      <c r="GB878" s="229"/>
      <c r="GC878" s="229"/>
      <c r="GD878" s="229"/>
      <c r="GE878" s="229"/>
      <c r="GF878" s="229"/>
      <c r="GG878" s="229"/>
      <c r="GH878" s="229"/>
      <c r="GI878" s="229"/>
      <c r="GJ878" s="229"/>
      <c r="GK878" s="229"/>
      <c r="GL878" s="229"/>
      <c r="GM878" s="229"/>
      <c r="GN878" s="229"/>
    </row>
    <row r="879">
      <c r="A879" s="212"/>
      <c r="B879" s="21"/>
      <c r="C879" s="21"/>
      <c r="D879" s="213"/>
      <c r="E879" s="214"/>
      <c r="F879" s="215"/>
      <c r="G879" s="21"/>
      <c r="H879" s="225"/>
      <c r="I879" s="110"/>
      <c r="J879" s="110"/>
      <c r="K879" s="110"/>
      <c r="L879" s="110"/>
      <c r="M879" s="110"/>
      <c r="N879" s="110"/>
      <c r="O879" s="110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  <c r="AA879" s="229"/>
      <c r="AB879" s="229"/>
      <c r="AC879" s="229"/>
      <c r="AD879" s="229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229"/>
      <c r="AQ879" s="229"/>
      <c r="AR879" s="229"/>
      <c r="AS879" s="229"/>
      <c r="AT879" s="229"/>
      <c r="AU879" s="229"/>
      <c r="AV879" s="229"/>
      <c r="AW879" s="229"/>
      <c r="AX879" s="229"/>
      <c r="AY879" s="229"/>
      <c r="AZ879" s="229"/>
      <c r="BA879" s="229"/>
      <c r="BB879" s="229"/>
      <c r="BC879" s="229"/>
      <c r="BD879" s="229"/>
      <c r="BE879" s="229"/>
      <c r="BF879" s="229"/>
      <c r="BG879" s="229"/>
      <c r="BH879" s="229"/>
      <c r="BI879" s="229"/>
      <c r="BJ879" s="229"/>
      <c r="BK879" s="229"/>
      <c r="BL879" s="229"/>
      <c r="BM879" s="229"/>
      <c r="BN879" s="229"/>
      <c r="BO879" s="229"/>
      <c r="BP879" s="229"/>
      <c r="BQ879" s="229"/>
      <c r="BR879" s="229"/>
      <c r="BS879" s="229"/>
      <c r="BT879" s="229"/>
      <c r="BU879" s="229"/>
      <c r="BV879" s="229"/>
      <c r="BW879" s="229"/>
      <c r="BX879" s="229"/>
      <c r="BY879" s="229"/>
      <c r="BZ879" s="229"/>
      <c r="CA879" s="229"/>
      <c r="CB879" s="229"/>
      <c r="CC879" s="229"/>
      <c r="CD879" s="229"/>
      <c r="CE879" s="229"/>
      <c r="CF879" s="229"/>
      <c r="CG879" s="229"/>
      <c r="CH879" s="229"/>
      <c r="CI879" s="229"/>
      <c r="CJ879" s="229"/>
      <c r="CK879" s="229"/>
      <c r="CL879" s="229"/>
      <c r="CM879" s="229"/>
      <c r="CN879" s="229"/>
      <c r="CO879" s="229"/>
      <c r="CP879" s="229"/>
      <c r="CQ879" s="229"/>
      <c r="CR879" s="229"/>
      <c r="CS879" s="229"/>
      <c r="CT879" s="229"/>
      <c r="CU879" s="229"/>
      <c r="CV879" s="229"/>
      <c r="CW879" s="229"/>
      <c r="CX879" s="229"/>
      <c r="CY879" s="229"/>
      <c r="CZ879" s="229"/>
      <c r="DA879" s="229"/>
      <c r="DB879" s="229"/>
      <c r="DC879" s="229"/>
      <c r="DD879" s="229"/>
      <c r="DE879" s="229"/>
      <c r="DF879" s="229"/>
      <c r="DG879" s="229"/>
      <c r="DH879" s="229"/>
      <c r="DI879" s="229"/>
      <c r="DJ879" s="229"/>
      <c r="DK879" s="229"/>
      <c r="DL879" s="229"/>
      <c r="DM879" s="229"/>
      <c r="DN879" s="229"/>
      <c r="DO879" s="229"/>
      <c r="DP879" s="229"/>
      <c r="DQ879" s="229"/>
      <c r="DR879" s="229"/>
      <c r="DS879" s="229"/>
      <c r="DT879" s="229"/>
      <c r="DU879" s="229"/>
      <c r="DV879" s="229"/>
      <c r="DW879" s="229"/>
      <c r="DX879" s="229"/>
      <c r="DY879" s="229"/>
      <c r="DZ879" s="229"/>
      <c r="EA879" s="229"/>
      <c r="EB879" s="229"/>
      <c r="EC879" s="229"/>
      <c r="ED879" s="229"/>
      <c r="EE879" s="229"/>
      <c r="EF879" s="229"/>
      <c r="EG879" s="229"/>
      <c r="EH879" s="229"/>
      <c r="EI879" s="229"/>
      <c r="EJ879" s="229"/>
      <c r="EK879" s="229"/>
      <c r="EL879" s="229"/>
      <c r="EM879" s="229"/>
      <c r="EN879" s="229"/>
      <c r="EO879" s="229"/>
      <c r="EP879" s="229"/>
      <c r="EQ879" s="229"/>
      <c r="ER879" s="229"/>
      <c r="ES879" s="229"/>
      <c r="ET879" s="229"/>
      <c r="EU879" s="229"/>
      <c r="EV879" s="229"/>
      <c r="EW879" s="229"/>
      <c r="EX879" s="229"/>
      <c r="EY879" s="229"/>
      <c r="EZ879" s="229"/>
      <c r="FA879" s="229"/>
      <c r="FB879" s="229"/>
      <c r="FC879" s="229"/>
      <c r="FD879" s="229"/>
      <c r="FE879" s="229"/>
      <c r="FF879" s="229"/>
      <c r="FG879" s="229"/>
      <c r="FH879" s="229"/>
      <c r="FI879" s="229"/>
      <c r="FJ879" s="229"/>
      <c r="FK879" s="229"/>
      <c r="FL879" s="229"/>
      <c r="FM879" s="229"/>
      <c r="FN879" s="229"/>
      <c r="FO879" s="229"/>
      <c r="FP879" s="229"/>
      <c r="FQ879" s="229"/>
      <c r="FR879" s="229"/>
      <c r="FS879" s="229"/>
      <c r="FT879" s="229"/>
      <c r="FU879" s="229"/>
      <c r="FV879" s="229"/>
      <c r="FW879" s="229"/>
      <c r="FX879" s="229"/>
      <c r="FY879" s="229"/>
      <c r="FZ879" s="229"/>
      <c r="GA879" s="229"/>
      <c r="GB879" s="229"/>
      <c r="GC879" s="229"/>
      <c r="GD879" s="229"/>
      <c r="GE879" s="229"/>
      <c r="GF879" s="229"/>
      <c r="GG879" s="229"/>
      <c r="GH879" s="229"/>
      <c r="GI879" s="229"/>
      <c r="GJ879" s="229"/>
      <c r="GK879" s="229"/>
      <c r="GL879" s="229"/>
      <c r="GM879" s="229"/>
      <c r="GN879" s="229"/>
    </row>
    <row r="880">
      <c r="A880" s="212"/>
      <c r="B880" s="21"/>
      <c r="C880" s="21"/>
      <c r="D880" s="213"/>
      <c r="E880" s="214"/>
      <c r="F880" s="215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10"/>
      <c r="X880" s="110"/>
      <c r="Y880" s="110"/>
      <c r="Z880" s="110"/>
    </row>
    <row r="881">
      <c r="A881" s="212"/>
      <c r="B881" s="21"/>
      <c r="C881" s="21"/>
      <c r="D881" s="213"/>
      <c r="E881" s="214"/>
      <c r="F881" s="215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10"/>
      <c r="X881" s="110"/>
      <c r="Y881" s="110"/>
      <c r="Z881" s="110"/>
    </row>
    <row r="882">
      <c r="A882" s="212"/>
      <c r="B882" s="21"/>
      <c r="C882" s="21"/>
      <c r="D882" s="213"/>
      <c r="E882" s="214"/>
      <c r="F882" s="215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>
      <c r="A883" s="212"/>
      <c r="B883" s="21"/>
      <c r="C883" s="21"/>
      <c r="D883" s="213"/>
      <c r="E883" s="214"/>
      <c r="F883" s="215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>
      <c r="A884" s="212"/>
      <c r="B884" s="21"/>
      <c r="C884" s="21"/>
      <c r="D884" s="213"/>
      <c r="E884" s="214"/>
      <c r="F884" s="215"/>
      <c r="G884" s="162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  <c r="AA884" s="226"/>
      <c r="AB884" s="226"/>
      <c r="AC884" s="226"/>
      <c r="AD884" s="226"/>
      <c r="AE884" s="226"/>
      <c r="AF884" s="226"/>
      <c r="AG884" s="226"/>
      <c r="AH884" s="226"/>
      <c r="AI884" s="226"/>
      <c r="AJ884" s="226"/>
      <c r="AK884" s="226"/>
      <c r="AL884" s="226"/>
      <c r="AM884" s="226"/>
      <c r="AN884" s="226"/>
      <c r="AO884" s="226"/>
      <c r="AP884" s="226"/>
      <c r="AQ884" s="226"/>
      <c r="AR884" s="226"/>
      <c r="AS884" s="226"/>
      <c r="AT884" s="226"/>
      <c r="AU884" s="226"/>
      <c r="AV884" s="226"/>
      <c r="AW884" s="226"/>
      <c r="AX884" s="226"/>
      <c r="AY884" s="226"/>
      <c r="AZ884" s="226"/>
      <c r="BA884" s="226"/>
      <c r="BB884" s="226"/>
      <c r="BC884" s="226"/>
      <c r="BD884" s="226"/>
      <c r="BE884" s="226"/>
      <c r="BF884" s="226"/>
      <c r="BG884" s="226"/>
      <c r="BH884" s="226"/>
      <c r="BI884" s="226"/>
      <c r="BJ884" s="226"/>
      <c r="BK884" s="226"/>
      <c r="BL884" s="226"/>
      <c r="BM884" s="226"/>
      <c r="BN884" s="226"/>
      <c r="BO884" s="226"/>
      <c r="BP884" s="226"/>
      <c r="BQ884" s="226"/>
      <c r="BR884" s="226"/>
      <c r="BS884" s="226"/>
      <c r="BT884" s="226"/>
      <c r="BU884" s="226"/>
      <c r="BV884" s="226"/>
      <c r="BW884" s="226"/>
      <c r="BX884" s="226"/>
      <c r="BY884" s="226"/>
      <c r="BZ884" s="226"/>
      <c r="CA884" s="226"/>
      <c r="CB884" s="226"/>
      <c r="CC884" s="226"/>
      <c r="CD884" s="226"/>
      <c r="CE884" s="226"/>
      <c r="CF884" s="226"/>
      <c r="CG884" s="226"/>
      <c r="CH884" s="226"/>
      <c r="CI884" s="226"/>
      <c r="CJ884" s="226"/>
      <c r="CK884" s="226"/>
      <c r="CL884" s="226"/>
      <c r="CM884" s="226"/>
      <c r="CN884" s="226"/>
      <c r="CO884" s="226"/>
      <c r="CP884" s="226"/>
      <c r="CQ884" s="226"/>
      <c r="CR884" s="226"/>
      <c r="CS884" s="226"/>
      <c r="CT884" s="226"/>
      <c r="CU884" s="226"/>
      <c r="CV884" s="226"/>
      <c r="CW884" s="226"/>
      <c r="CX884" s="226"/>
      <c r="CY884" s="226"/>
      <c r="CZ884" s="226"/>
      <c r="DA884" s="226"/>
      <c r="DB884" s="226"/>
      <c r="DC884" s="226"/>
      <c r="DD884" s="226"/>
      <c r="DE884" s="226"/>
      <c r="DF884" s="226"/>
      <c r="DG884" s="226"/>
      <c r="DH884" s="226"/>
      <c r="DI884" s="226"/>
      <c r="DJ884" s="226"/>
      <c r="DK884" s="226"/>
      <c r="DL884" s="226"/>
      <c r="DM884" s="226"/>
      <c r="DN884" s="226"/>
      <c r="DO884" s="226"/>
      <c r="DP884" s="226"/>
      <c r="DQ884" s="226"/>
      <c r="DR884" s="226"/>
      <c r="DS884" s="226"/>
      <c r="DT884" s="226"/>
      <c r="DU884" s="226"/>
      <c r="DV884" s="226"/>
      <c r="DW884" s="226"/>
      <c r="DX884" s="226"/>
      <c r="DY884" s="226"/>
      <c r="DZ884" s="226"/>
      <c r="EA884" s="226"/>
      <c r="EB884" s="226"/>
      <c r="EC884" s="226"/>
      <c r="ED884" s="226"/>
      <c r="EE884" s="226"/>
      <c r="EF884" s="226"/>
      <c r="EG884" s="226"/>
      <c r="EH884" s="226"/>
      <c r="EI884" s="226"/>
      <c r="EJ884" s="226"/>
      <c r="EK884" s="226"/>
      <c r="EL884" s="226"/>
      <c r="EM884" s="226"/>
      <c r="EN884" s="226"/>
      <c r="EO884" s="226"/>
      <c r="EP884" s="226"/>
      <c r="EQ884" s="226"/>
      <c r="ER884" s="226"/>
      <c r="ES884" s="226"/>
      <c r="ET884" s="226"/>
      <c r="EU884" s="226"/>
      <c r="EV884" s="226"/>
      <c r="EW884" s="226"/>
      <c r="EX884" s="226"/>
      <c r="EY884" s="226"/>
      <c r="EZ884" s="226"/>
      <c r="FA884" s="226"/>
      <c r="FB884" s="226"/>
      <c r="FC884" s="226"/>
      <c r="FD884" s="226"/>
      <c r="FE884" s="226"/>
      <c r="FF884" s="226"/>
      <c r="FG884" s="226"/>
      <c r="FH884" s="226"/>
      <c r="FI884" s="226"/>
      <c r="FJ884" s="226"/>
      <c r="FK884" s="226"/>
      <c r="FL884" s="226"/>
      <c r="FM884" s="226"/>
      <c r="FN884" s="226"/>
      <c r="FO884" s="226"/>
      <c r="FP884" s="226"/>
      <c r="FQ884" s="226"/>
      <c r="FR884" s="226"/>
      <c r="FS884" s="226"/>
      <c r="FT884" s="226"/>
      <c r="FU884" s="226"/>
      <c r="FV884" s="226"/>
      <c r="FW884" s="226"/>
      <c r="FX884" s="226"/>
      <c r="FY884" s="226"/>
      <c r="FZ884" s="226"/>
      <c r="GA884" s="226"/>
      <c r="GB884" s="226"/>
      <c r="GC884" s="226"/>
      <c r="GD884" s="226"/>
      <c r="GE884" s="226"/>
      <c r="GF884" s="226"/>
      <c r="GG884" s="226"/>
      <c r="GH884" s="226"/>
      <c r="GI884" s="226"/>
      <c r="GJ884" s="226"/>
      <c r="GK884" s="226"/>
      <c r="GL884" s="226"/>
      <c r="GM884" s="226"/>
      <c r="GN884" s="226"/>
    </row>
    <row r="885">
      <c r="A885" s="212"/>
      <c r="B885" s="21"/>
      <c r="C885" s="21"/>
      <c r="D885" s="213"/>
      <c r="E885" s="214"/>
      <c r="F885" s="215"/>
      <c r="G885" s="21"/>
      <c r="H885" s="225"/>
      <c r="I885" s="110"/>
      <c r="J885" s="110"/>
      <c r="K885" s="110"/>
      <c r="L885" s="110"/>
      <c r="M885" s="110"/>
      <c r="N885" s="110"/>
      <c r="O885" s="110"/>
      <c r="P885" s="225"/>
      <c r="Q885" s="212"/>
      <c r="R885" s="24"/>
      <c r="S885" s="21"/>
      <c r="T885" s="21"/>
      <c r="U885" s="180"/>
      <c r="V885" s="214"/>
      <c r="W885" s="21"/>
      <c r="X885" s="225"/>
      <c r="Y885" s="225"/>
      <c r="Z885" s="225"/>
      <c r="AA885" s="226"/>
      <c r="AB885" s="226"/>
      <c r="AC885" s="226"/>
      <c r="AD885" s="226"/>
      <c r="AE885" s="226"/>
      <c r="AF885" s="226"/>
      <c r="AG885" s="226"/>
      <c r="AH885" s="226"/>
      <c r="AI885" s="226"/>
      <c r="AJ885" s="226"/>
      <c r="AK885" s="226"/>
      <c r="AL885" s="226"/>
      <c r="AM885" s="226"/>
      <c r="AN885" s="226"/>
      <c r="AO885" s="226"/>
      <c r="AP885" s="226"/>
      <c r="AQ885" s="226"/>
      <c r="AR885" s="226"/>
      <c r="AS885" s="226"/>
      <c r="AT885" s="226"/>
      <c r="AU885" s="226"/>
      <c r="AV885" s="226"/>
      <c r="AW885" s="226"/>
      <c r="AX885" s="226"/>
      <c r="AY885" s="226"/>
      <c r="AZ885" s="226"/>
      <c r="BA885" s="226"/>
      <c r="BB885" s="226"/>
      <c r="BC885" s="226"/>
      <c r="BD885" s="226"/>
      <c r="BE885" s="226"/>
      <c r="BF885" s="226"/>
      <c r="BG885" s="226"/>
      <c r="BH885" s="226"/>
      <c r="BI885" s="226"/>
      <c r="BJ885" s="226"/>
      <c r="BK885" s="226"/>
      <c r="BL885" s="226"/>
      <c r="BM885" s="226"/>
      <c r="BN885" s="226"/>
      <c r="BO885" s="226"/>
      <c r="BP885" s="226"/>
      <c r="BQ885" s="226"/>
      <c r="BR885" s="226"/>
      <c r="BS885" s="226"/>
      <c r="BT885" s="226"/>
      <c r="BU885" s="226"/>
      <c r="BV885" s="226"/>
      <c r="BW885" s="226"/>
      <c r="BX885" s="226"/>
      <c r="BY885" s="226"/>
      <c r="BZ885" s="226"/>
      <c r="CA885" s="226"/>
      <c r="CB885" s="226"/>
      <c r="CC885" s="226"/>
      <c r="CD885" s="226"/>
      <c r="CE885" s="226"/>
      <c r="CF885" s="226"/>
      <c r="CG885" s="226"/>
      <c r="CH885" s="226"/>
      <c r="CI885" s="226"/>
      <c r="CJ885" s="226"/>
      <c r="CK885" s="226"/>
      <c r="CL885" s="226"/>
      <c r="CM885" s="226"/>
      <c r="CN885" s="226"/>
      <c r="CO885" s="226"/>
      <c r="CP885" s="226"/>
      <c r="CQ885" s="226"/>
      <c r="CR885" s="226"/>
      <c r="CS885" s="226"/>
      <c r="CT885" s="226"/>
      <c r="CU885" s="226"/>
      <c r="CV885" s="226"/>
      <c r="CW885" s="226"/>
      <c r="CX885" s="226"/>
      <c r="CY885" s="226"/>
      <c r="CZ885" s="226"/>
      <c r="DA885" s="226"/>
      <c r="DB885" s="226"/>
      <c r="DC885" s="226"/>
      <c r="DD885" s="226"/>
      <c r="DE885" s="226"/>
      <c r="DF885" s="226"/>
      <c r="DG885" s="226"/>
      <c r="DH885" s="226"/>
      <c r="DI885" s="226"/>
      <c r="DJ885" s="226"/>
      <c r="DK885" s="226"/>
      <c r="DL885" s="226"/>
      <c r="DM885" s="226"/>
      <c r="DN885" s="226"/>
      <c r="DO885" s="226"/>
      <c r="DP885" s="226"/>
      <c r="DQ885" s="226"/>
      <c r="DR885" s="226"/>
      <c r="DS885" s="226"/>
      <c r="DT885" s="226"/>
      <c r="DU885" s="226"/>
      <c r="DV885" s="226"/>
      <c r="DW885" s="226"/>
      <c r="DX885" s="226"/>
      <c r="DY885" s="226"/>
      <c r="DZ885" s="226"/>
      <c r="EA885" s="226"/>
      <c r="EB885" s="226"/>
      <c r="EC885" s="226"/>
      <c r="ED885" s="226"/>
      <c r="EE885" s="226"/>
      <c r="EF885" s="226"/>
      <c r="EG885" s="226"/>
      <c r="EH885" s="226"/>
      <c r="EI885" s="226"/>
      <c r="EJ885" s="226"/>
      <c r="EK885" s="226"/>
      <c r="EL885" s="226"/>
      <c r="EM885" s="226"/>
      <c r="EN885" s="226"/>
      <c r="EO885" s="226"/>
      <c r="EP885" s="226"/>
      <c r="EQ885" s="226"/>
      <c r="ER885" s="226"/>
      <c r="ES885" s="226"/>
      <c r="ET885" s="226"/>
      <c r="EU885" s="226"/>
      <c r="EV885" s="226"/>
      <c r="EW885" s="226"/>
      <c r="EX885" s="226"/>
      <c r="EY885" s="226"/>
      <c r="EZ885" s="226"/>
      <c r="FA885" s="226"/>
      <c r="FB885" s="226"/>
      <c r="FC885" s="226"/>
      <c r="FD885" s="226"/>
      <c r="FE885" s="226"/>
      <c r="FF885" s="226"/>
      <c r="FG885" s="226"/>
      <c r="FH885" s="226"/>
      <c r="FI885" s="226"/>
      <c r="FJ885" s="226"/>
      <c r="FK885" s="226"/>
      <c r="FL885" s="226"/>
      <c r="FM885" s="226"/>
      <c r="FN885" s="226"/>
      <c r="FO885" s="226"/>
      <c r="FP885" s="226"/>
      <c r="FQ885" s="226"/>
      <c r="FR885" s="226"/>
      <c r="FS885" s="226"/>
      <c r="FT885" s="226"/>
      <c r="FU885" s="226"/>
      <c r="FV885" s="226"/>
      <c r="FW885" s="226"/>
      <c r="FX885" s="226"/>
      <c r="FY885" s="226"/>
      <c r="FZ885" s="226"/>
      <c r="GA885" s="226"/>
      <c r="GB885" s="226"/>
      <c r="GC885" s="226"/>
      <c r="GD885" s="226"/>
      <c r="GE885" s="226"/>
      <c r="GF885" s="226"/>
      <c r="GG885" s="226"/>
      <c r="GH885" s="226"/>
      <c r="GI885" s="226"/>
      <c r="GJ885" s="226"/>
      <c r="GK885" s="226"/>
      <c r="GL885" s="226"/>
      <c r="GM885" s="226"/>
      <c r="GN885" s="226"/>
    </row>
    <row r="886">
      <c r="A886" s="212"/>
      <c r="B886" s="21"/>
      <c r="C886" s="21"/>
      <c r="D886" s="213"/>
      <c r="E886" s="214"/>
      <c r="F886" s="215"/>
      <c r="G886" s="21"/>
      <c r="H886" s="225"/>
      <c r="I886" s="110"/>
      <c r="J886" s="110"/>
      <c r="K886" s="110"/>
      <c r="L886" s="110"/>
      <c r="M886" s="110"/>
      <c r="N886" s="110"/>
      <c r="O886" s="110"/>
      <c r="P886" s="225"/>
      <c r="Q886" s="212"/>
      <c r="R886" s="24"/>
      <c r="S886" s="21"/>
      <c r="T886" s="21"/>
      <c r="U886" s="180"/>
      <c r="V886" s="214"/>
      <c r="W886" s="21"/>
      <c r="X886" s="225"/>
      <c r="Y886" s="225"/>
      <c r="Z886" s="225"/>
      <c r="AA886" s="226"/>
      <c r="AB886" s="226"/>
      <c r="AC886" s="226"/>
      <c r="AD886" s="226"/>
      <c r="AE886" s="226"/>
      <c r="AF886" s="226"/>
      <c r="AG886" s="226"/>
      <c r="AH886" s="226"/>
      <c r="AI886" s="226"/>
      <c r="AJ886" s="226"/>
      <c r="AK886" s="226"/>
      <c r="AL886" s="226"/>
      <c r="AM886" s="226"/>
      <c r="AN886" s="226"/>
      <c r="AO886" s="226"/>
      <c r="AP886" s="226"/>
      <c r="AQ886" s="226"/>
      <c r="AR886" s="226"/>
      <c r="AS886" s="226"/>
      <c r="AT886" s="226"/>
      <c r="AU886" s="226"/>
      <c r="AV886" s="226"/>
      <c r="AW886" s="226"/>
      <c r="AX886" s="226"/>
      <c r="AY886" s="226"/>
      <c r="AZ886" s="226"/>
      <c r="BA886" s="226"/>
      <c r="BB886" s="226"/>
      <c r="BC886" s="226"/>
      <c r="BD886" s="226"/>
      <c r="BE886" s="226"/>
      <c r="BF886" s="226"/>
      <c r="BG886" s="226"/>
      <c r="BH886" s="226"/>
      <c r="BI886" s="226"/>
      <c r="BJ886" s="226"/>
      <c r="BK886" s="226"/>
      <c r="BL886" s="226"/>
      <c r="BM886" s="226"/>
      <c r="BN886" s="226"/>
      <c r="BO886" s="226"/>
      <c r="BP886" s="226"/>
      <c r="BQ886" s="226"/>
      <c r="BR886" s="226"/>
      <c r="BS886" s="226"/>
      <c r="BT886" s="226"/>
      <c r="BU886" s="226"/>
      <c r="BV886" s="226"/>
      <c r="BW886" s="226"/>
      <c r="BX886" s="226"/>
      <c r="BY886" s="226"/>
      <c r="BZ886" s="226"/>
      <c r="CA886" s="226"/>
      <c r="CB886" s="226"/>
      <c r="CC886" s="226"/>
      <c r="CD886" s="226"/>
      <c r="CE886" s="226"/>
      <c r="CF886" s="226"/>
      <c r="CG886" s="226"/>
      <c r="CH886" s="226"/>
      <c r="CI886" s="226"/>
      <c r="CJ886" s="226"/>
      <c r="CK886" s="226"/>
      <c r="CL886" s="226"/>
      <c r="CM886" s="226"/>
      <c r="CN886" s="226"/>
      <c r="CO886" s="226"/>
      <c r="CP886" s="226"/>
      <c r="CQ886" s="226"/>
      <c r="CR886" s="226"/>
      <c r="CS886" s="226"/>
      <c r="CT886" s="226"/>
      <c r="CU886" s="226"/>
      <c r="CV886" s="226"/>
      <c r="CW886" s="226"/>
      <c r="CX886" s="226"/>
      <c r="CY886" s="226"/>
      <c r="CZ886" s="226"/>
      <c r="DA886" s="226"/>
      <c r="DB886" s="226"/>
      <c r="DC886" s="226"/>
      <c r="DD886" s="226"/>
      <c r="DE886" s="226"/>
      <c r="DF886" s="226"/>
      <c r="DG886" s="226"/>
      <c r="DH886" s="226"/>
      <c r="DI886" s="226"/>
      <c r="DJ886" s="226"/>
      <c r="DK886" s="226"/>
      <c r="DL886" s="226"/>
      <c r="DM886" s="226"/>
      <c r="DN886" s="226"/>
      <c r="DO886" s="226"/>
      <c r="DP886" s="226"/>
      <c r="DQ886" s="226"/>
      <c r="DR886" s="226"/>
      <c r="DS886" s="226"/>
      <c r="DT886" s="226"/>
      <c r="DU886" s="226"/>
      <c r="DV886" s="226"/>
      <c r="DW886" s="226"/>
      <c r="DX886" s="226"/>
      <c r="DY886" s="226"/>
      <c r="DZ886" s="226"/>
      <c r="EA886" s="226"/>
      <c r="EB886" s="226"/>
      <c r="EC886" s="226"/>
      <c r="ED886" s="226"/>
      <c r="EE886" s="226"/>
      <c r="EF886" s="226"/>
      <c r="EG886" s="226"/>
      <c r="EH886" s="226"/>
      <c r="EI886" s="226"/>
      <c r="EJ886" s="226"/>
      <c r="EK886" s="226"/>
      <c r="EL886" s="226"/>
      <c r="EM886" s="226"/>
      <c r="EN886" s="226"/>
      <c r="EO886" s="226"/>
      <c r="EP886" s="226"/>
      <c r="EQ886" s="226"/>
      <c r="ER886" s="226"/>
      <c r="ES886" s="226"/>
      <c r="ET886" s="226"/>
      <c r="EU886" s="226"/>
      <c r="EV886" s="226"/>
      <c r="EW886" s="226"/>
      <c r="EX886" s="226"/>
      <c r="EY886" s="226"/>
      <c r="EZ886" s="226"/>
      <c r="FA886" s="226"/>
      <c r="FB886" s="226"/>
      <c r="FC886" s="226"/>
      <c r="FD886" s="226"/>
      <c r="FE886" s="226"/>
      <c r="FF886" s="226"/>
      <c r="FG886" s="226"/>
      <c r="FH886" s="226"/>
      <c r="FI886" s="226"/>
      <c r="FJ886" s="226"/>
      <c r="FK886" s="226"/>
      <c r="FL886" s="226"/>
      <c r="FM886" s="226"/>
      <c r="FN886" s="226"/>
      <c r="FO886" s="226"/>
      <c r="FP886" s="226"/>
      <c r="FQ886" s="226"/>
      <c r="FR886" s="226"/>
      <c r="FS886" s="226"/>
      <c r="FT886" s="226"/>
      <c r="FU886" s="226"/>
      <c r="FV886" s="226"/>
      <c r="FW886" s="226"/>
      <c r="FX886" s="226"/>
      <c r="FY886" s="226"/>
      <c r="FZ886" s="226"/>
      <c r="GA886" s="226"/>
      <c r="GB886" s="226"/>
      <c r="GC886" s="226"/>
      <c r="GD886" s="226"/>
      <c r="GE886" s="226"/>
      <c r="GF886" s="226"/>
      <c r="GG886" s="226"/>
      <c r="GH886" s="226"/>
      <c r="GI886" s="226"/>
      <c r="GJ886" s="226"/>
      <c r="GK886" s="226"/>
      <c r="GL886" s="226"/>
      <c r="GM886" s="226"/>
      <c r="GN886" s="226"/>
    </row>
    <row r="887">
      <c r="A887" s="212"/>
      <c r="B887" s="21"/>
      <c r="C887" s="21"/>
      <c r="D887" s="213"/>
      <c r="E887" s="214"/>
      <c r="F887" s="215"/>
      <c r="G887" s="21"/>
      <c r="H887" s="225"/>
      <c r="I887" s="110"/>
      <c r="J887" s="110"/>
      <c r="K887" s="110"/>
      <c r="L887" s="110"/>
      <c r="M887" s="110"/>
      <c r="N887" s="110"/>
      <c r="O887" s="110"/>
      <c r="P887" s="225"/>
      <c r="Q887" s="212"/>
      <c r="R887" s="24"/>
      <c r="S887" s="21"/>
      <c r="T887" s="21"/>
      <c r="U887" s="180"/>
      <c r="V887" s="214"/>
      <c r="W887" s="21"/>
      <c r="X887" s="225"/>
      <c r="Y887" s="225"/>
      <c r="Z887" s="225"/>
      <c r="AA887" s="226"/>
      <c r="AB887" s="226"/>
      <c r="AC887" s="226"/>
      <c r="AD887" s="226"/>
      <c r="AE887" s="226"/>
      <c r="AF887" s="226"/>
      <c r="AG887" s="226"/>
      <c r="AH887" s="226"/>
      <c r="AI887" s="226"/>
      <c r="AJ887" s="226"/>
      <c r="AK887" s="226"/>
      <c r="AL887" s="226"/>
      <c r="AM887" s="226"/>
      <c r="AN887" s="226"/>
      <c r="AO887" s="226"/>
      <c r="AP887" s="226"/>
      <c r="AQ887" s="226"/>
      <c r="AR887" s="226"/>
      <c r="AS887" s="226"/>
      <c r="AT887" s="226"/>
      <c r="AU887" s="226"/>
      <c r="AV887" s="226"/>
      <c r="AW887" s="226"/>
      <c r="AX887" s="226"/>
      <c r="AY887" s="226"/>
      <c r="AZ887" s="226"/>
      <c r="BA887" s="226"/>
      <c r="BB887" s="226"/>
      <c r="BC887" s="226"/>
      <c r="BD887" s="226"/>
      <c r="BE887" s="226"/>
      <c r="BF887" s="226"/>
      <c r="BG887" s="226"/>
      <c r="BH887" s="226"/>
      <c r="BI887" s="226"/>
      <c r="BJ887" s="226"/>
      <c r="BK887" s="226"/>
      <c r="BL887" s="226"/>
      <c r="BM887" s="226"/>
      <c r="BN887" s="226"/>
      <c r="BO887" s="226"/>
      <c r="BP887" s="226"/>
      <c r="BQ887" s="226"/>
      <c r="BR887" s="226"/>
      <c r="BS887" s="226"/>
      <c r="BT887" s="226"/>
      <c r="BU887" s="226"/>
      <c r="BV887" s="226"/>
      <c r="BW887" s="226"/>
      <c r="BX887" s="226"/>
      <c r="BY887" s="226"/>
      <c r="BZ887" s="226"/>
      <c r="CA887" s="226"/>
      <c r="CB887" s="226"/>
      <c r="CC887" s="226"/>
      <c r="CD887" s="226"/>
      <c r="CE887" s="226"/>
      <c r="CF887" s="226"/>
      <c r="CG887" s="226"/>
      <c r="CH887" s="226"/>
      <c r="CI887" s="226"/>
      <c r="CJ887" s="226"/>
      <c r="CK887" s="226"/>
      <c r="CL887" s="226"/>
      <c r="CM887" s="226"/>
      <c r="CN887" s="226"/>
      <c r="CO887" s="226"/>
      <c r="CP887" s="226"/>
      <c r="CQ887" s="226"/>
      <c r="CR887" s="226"/>
      <c r="CS887" s="226"/>
      <c r="CT887" s="226"/>
      <c r="CU887" s="226"/>
      <c r="CV887" s="226"/>
      <c r="CW887" s="226"/>
      <c r="CX887" s="226"/>
      <c r="CY887" s="226"/>
      <c r="CZ887" s="226"/>
      <c r="DA887" s="226"/>
      <c r="DB887" s="226"/>
      <c r="DC887" s="226"/>
      <c r="DD887" s="226"/>
      <c r="DE887" s="226"/>
      <c r="DF887" s="226"/>
      <c r="DG887" s="226"/>
      <c r="DH887" s="226"/>
      <c r="DI887" s="226"/>
      <c r="DJ887" s="226"/>
      <c r="DK887" s="226"/>
      <c r="DL887" s="226"/>
      <c r="DM887" s="226"/>
      <c r="DN887" s="226"/>
      <c r="DO887" s="226"/>
      <c r="DP887" s="226"/>
      <c r="DQ887" s="226"/>
      <c r="DR887" s="226"/>
      <c r="DS887" s="226"/>
      <c r="DT887" s="226"/>
      <c r="DU887" s="226"/>
      <c r="DV887" s="226"/>
      <c r="DW887" s="226"/>
      <c r="DX887" s="226"/>
      <c r="DY887" s="226"/>
      <c r="DZ887" s="226"/>
      <c r="EA887" s="226"/>
      <c r="EB887" s="226"/>
      <c r="EC887" s="226"/>
      <c r="ED887" s="226"/>
      <c r="EE887" s="226"/>
      <c r="EF887" s="226"/>
      <c r="EG887" s="226"/>
      <c r="EH887" s="226"/>
      <c r="EI887" s="226"/>
      <c r="EJ887" s="226"/>
      <c r="EK887" s="226"/>
      <c r="EL887" s="226"/>
      <c r="EM887" s="226"/>
      <c r="EN887" s="226"/>
      <c r="EO887" s="226"/>
      <c r="EP887" s="226"/>
      <c r="EQ887" s="226"/>
      <c r="ER887" s="226"/>
      <c r="ES887" s="226"/>
      <c r="ET887" s="226"/>
      <c r="EU887" s="226"/>
      <c r="EV887" s="226"/>
      <c r="EW887" s="226"/>
      <c r="EX887" s="226"/>
      <c r="EY887" s="226"/>
      <c r="EZ887" s="226"/>
      <c r="FA887" s="226"/>
      <c r="FB887" s="226"/>
      <c r="FC887" s="226"/>
      <c r="FD887" s="226"/>
      <c r="FE887" s="226"/>
      <c r="FF887" s="226"/>
      <c r="FG887" s="226"/>
      <c r="FH887" s="226"/>
      <c r="FI887" s="226"/>
      <c r="FJ887" s="226"/>
      <c r="FK887" s="226"/>
      <c r="FL887" s="226"/>
      <c r="FM887" s="226"/>
      <c r="FN887" s="226"/>
      <c r="FO887" s="226"/>
      <c r="FP887" s="226"/>
      <c r="FQ887" s="226"/>
      <c r="FR887" s="226"/>
      <c r="FS887" s="226"/>
      <c r="FT887" s="226"/>
      <c r="FU887" s="226"/>
      <c r="FV887" s="226"/>
      <c r="FW887" s="226"/>
      <c r="FX887" s="226"/>
      <c r="FY887" s="226"/>
      <c r="FZ887" s="226"/>
      <c r="GA887" s="226"/>
      <c r="GB887" s="226"/>
      <c r="GC887" s="226"/>
      <c r="GD887" s="226"/>
      <c r="GE887" s="226"/>
      <c r="GF887" s="226"/>
      <c r="GG887" s="226"/>
      <c r="GH887" s="226"/>
      <c r="GI887" s="226"/>
      <c r="GJ887" s="226"/>
      <c r="GK887" s="226"/>
      <c r="GL887" s="226"/>
      <c r="GM887" s="226"/>
      <c r="GN887" s="226"/>
    </row>
    <row r="888">
      <c r="A888" s="212"/>
      <c r="B888" s="21"/>
      <c r="C888" s="21"/>
      <c r="D888" s="213"/>
      <c r="E888" s="214"/>
      <c r="F888" s="215"/>
      <c r="G888" s="21"/>
      <c r="H888" s="225"/>
      <c r="I888" s="110"/>
      <c r="J888" s="110"/>
      <c r="K888" s="110"/>
      <c r="L888" s="110"/>
      <c r="M888" s="110"/>
      <c r="N888" s="110"/>
      <c r="O888" s="110"/>
      <c r="P888" s="225"/>
      <c r="Q888" s="212"/>
      <c r="R888" s="24"/>
      <c r="S888" s="21"/>
      <c r="T888" s="21"/>
      <c r="U888" s="180"/>
      <c r="V888" s="214"/>
      <c r="W888" s="21"/>
      <c r="X888" s="225"/>
      <c r="Y888" s="225"/>
      <c r="Z888" s="225"/>
      <c r="AA888" s="226"/>
      <c r="AB888" s="226"/>
      <c r="AC888" s="226"/>
      <c r="AD888" s="226"/>
      <c r="AE888" s="226"/>
      <c r="AF888" s="226"/>
      <c r="AG888" s="226"/>
      <c r="AH888" s="226"/>
      <c r="AI888" s="226"/>
      <c r="AJ888" s="226"/>
      <c r="AK888" s="226"/>
      <c r="AL888" s="226"/>
      <c r="AM888" s="226"/>
      <c r="AN888" s="226"/>
      <c r="AO888" s="226"/>
      <c r="AP888" s="226"/>
      <c r="AQ888" s="226"/>
      <c r="AR888" s="226"/>
      <c r="AS888" s="226"/>
      <c r="AT888" s="226"/>
      <c r="AU888" s="226"/>
      <c r="AV888" s="226"/>
      <c r="AW888" s="226"/>
      <c r="AX888" s="226"/>
      <c r="AY888" s="226"/>
      <c r="AZ888" s="226"/>
      <c r="BA888" s="226"/>
      <c r="BB888" s="226"/>
      <c r="BC888" s="226"/>
      <c r="BD888" s="226"/>
      <c r="BE888" s="226"/>
      <c r="BF888" s="226"/>
      <c r="BG888" s="226"/>
      <c r="BH888" s="226"/>
      <c r="BI888" s="226"/>
      <c r="BJ888" s="226"/>
      <c r="BK888" s="226"/>
      <c r="BL888" s="226"/>
      <c r="BM888" s="226"/>
      <c r="BN888" s="226"/>
      <c r="BO888" s="226"/>
      <c r="BP888" s="226"/>
      <c r="BQ888" s="226"/>
      <c r="BR888" s="226"/>
      <c r="BS888" s="226"/>
      <c r="BT888" s="226"/>
      <c r="BU888" s="226"/>
      <c r="BV888" s="226"/>
      <c r="BW888" s="226"/>
      <c r="BX888" s="226"/>
      <c r="BY888" s="226"/>
      <c r="BZ888" s="226"/>
      <c r="CA888" s="226"/>
      <c r="CB888" s="226"/>
      <c r="CC888" s="226"/>
      <c r="CD888" s="226"/>
      <c r="CE888" s="226"/>
      <c r="CF888" s="226"/>
      <c r="CG888" s="226"/>
      <c r="CH888" s="226"/>
      <c r="CI888" s="226"/>
      <c r="CJ888" s="226"/>
      <c r="CK888" s="226"/>
      <c r="CL888" s="226"/>
      <c r="CM888" s="226"/>
      <c r="CN888" s="226"/>
      <c r="CO888" s="226"/>
      <c r="CP888" s="226"/>
      <c r="CQ888" s="226"/>
      <c r="CR888" s="226"/>
      <c r="CS888" s="226"/>
      <c r="CT888" s="226"/>
      <c r="CU888" s="226"/>
      <c r="CV888" s="226"/>
      <c r="CW888" s="226"/>
      <c r="CX888" s="226"/>
      <c r="CY888" s="226"/>
      <c r="CZ888" s="226"/>
      <c r="DA888" s="226"/>
      <c r="DB888" s="226"/>
      <c r="DC888" s="226"/>
      <c r="DD888" s="226"/>
      <c r="DE888" s="226"/>
      <c r="DF888" s="226"/>
      <c r="DG888" s="226"/>
      <c r="DH888" s="226"/>
      <c r="DI888" s="226"/>
      <c r="DJ888" s="226"/>
      <c r="DK888" s="226"/>
      <c r="DL888" s="226"/>
      <c r="DM888" s="226"/>
      <c r="DN888" s="226"/>
      <c r="DO888" s="226"/>
      <c r="DP888" s="226"/>
      <c r="DQ888" s="226"/>
      <c r="DR888" s="226"/>
      <c r="DS888" s="226"/>
      <c r="DT888" s="226"/>
      <c r="DU888" s="226"/>
      <c r="DV888" s="226"/>
      <c r="DW888" s="226"/>
      <c r="DX888" s="226"/>
      <c r="DY888" s="226"/>
      <c r="DZ888" s="226"/>
      <c r="EA888" s="226"/>
      <c r="EB888" s="226"/>
      <c r="EC888" s="226"/>
      <c r="ED888" s="226"/>
      <c r="EE888" s="226"/>
      <c r="EF888" s="226"/>
      <c r="EG888" s="226"/>
      <c r="EH888" s="226"/>
      <c r="EI888" s="226"/>
      <c r="EJ888" s="226"/>
      <c r="EK888" s="226"/>
      <c r="EL888" s="226"/>
      <c r="EM888" s="226"/>
      <c r="EN888" s="226"/>
      <c r="EO888" s="226"/>
      <c r="EP888" s="226"/>
      <c r="EQ888" s="226"/>
      <c r="ER888" s="226"/>
      <c r="ES888" s="226"/>
      <c r="ET888" s="226"/>
      <c r="EU888" s="226"/>
      <c r="EV888" s="226"/>
      <c r="EW888" s="226"/>
      <c r="EX888" s="226"/>
      <c r="EY888" s="226"/>
      <c r="EZ888" s="226"/>
      <c r="FA888" s="226"/>
      <c r="FB888" s="226"/>
      <c r="FC888" s="226"/>
      <c r="FD888" s="226"/>
      <c r="FE888" s="226"/>
      <c r="FF888" s="226"/>
      <c r="FG888" s="226"/>
      <c r="FH888" s="226"/>
      <c r="FI888" s="226"/>
      <c r="FJ888" s="226"/>
      <c r="FK888" s="226"/>
      <c r="FL888" s="226"/>
      <c r="FM888" s="226"/>
      <c r="FN888" s="226"/>
      <c r="FO888" s="226"/>
      <c r="FP888" s="226"/>
      <c r="FQ888" s="226"/>
      <c r="FR888" s="226"/>
      <c r="FS888" s="226"/>
      <c r="FT888" s="226"/>
      <c r="FU888" s="226"/>
      <c r="FV888" s="226"/>
      <c r="FW888" s="226"/>
      <c r="FX888" s="226"/>
      <c r="FY888" s="226"/>
      <c r="FZ888" s="226"/>
      <c r="GA888" s="226"/>
      <c r="GB888" s="226"/>
      <c r="GC888" s="226"/>
      <c r="GD888" s="226"/>
      <c r="GE888" s="226"/>
      <c r="GF888" s="226"/>
      <c r="GG888" s="226"/>
      <c r="GH888" s="226"/>
      <c r="GI888" s="226"/>
      <c r="GJ888" s="226"/>
      <c r="GK888" s="226"/>
      <c r="GL888" s="226"/>
      <c r="GM888" s="226"/>
      <c r="GN888" s="226"/>
    </row>
    <row r="889">
      <c r="A889" s="212"/>
      <c r="B889" s="21"/>
      <c r="C889" s="21"/>
      <c r="D889" s="213"/>
      <c r="E889" s="214"/>
      <c r="F889" s="215"/>
      <c r="G889" s="21"/>
      <c r="H889" s="225"/>
      <c r="I889" s="110"/>
      <c r="J889" s="110"/>
      <c r="K889" s="110"/>
      <c r="L889" s="110"/>
      <c r="M889" s="110"/>
      <c r="N889" s="110"/>
      <c r="O889" s="110"/>
      <c r="P889" s="225"/>
      <c r="Q889" s="212"/>
      <c r="R889" s="24"/>
      <c r="S889" s="21"/>
      <c r="T889" s="21"/>
      <c r="U889" s="180"/>
      <c r="V889" s="214"/>
      <c r="W889" s="21"/>
      <c r="X889" s="225"/>
      <c r="Y889" s="225"/>
      <c r="Z889" s="225"/>
      <c r="AA889" s="226"/>
      <c r="AB889" s="226"/>
      <c r="AC889" s="226"/>
      <c r="AD889" s="226"/>
      <c r="AE889" s="226"/>
      <c r="AF889" s="226"/>
      <c r="AG889" s="226"/>
      <c r="AH889" s="226"/>
      <c r="AI889" s="226"/>
      <c r="AJ889" s="226"/>
      <c r="AK889" s="226"/>
      <c r="AL889" s="226"/>
      <c r="AM889" s="226"/>
      <c r="AN889" s="226"/>
      <c r="AO889" s="226"/>
      <c r="AP889" s="226"/>
      <c r="AQ889" s="226"/>
      <c r="AR889" s="226"/>
      <c r="AS889" s="226"/>
      <c r="AT889" s="226"/>
      <c r="AU889" s="226"/>
      <c r="AV889" s="226"/>
      <c r="AW889" s="226"/>
      <c r="AX889" s="226"/>
      <c r="AY889" s="226"/>
      <c r="AZ889" s="226"/>
      <c r="BA889" s="226"/>
      <c r="BB889" s="226"/>
      <c r="BC889" s="226"/>
      <c r="BD889" s="226"/>
      <c r="BE889" s="226"/>
      <c r="BF889" s="226"/>
      <c r="BG889" s="226"/>
      <c r="BH889" s="226"/>
      <c r="BI889" s="226"/>
      <c r="BJ889" s="226"/>
      <c r="BK889" s="226"/>
      <c r="BL889" s="226"/>
      <c r="BM889" s="226"/>
      <c r="BN889" s="226"/>
      <c r="BO889" s="226"/>
      <c r="BP889" s="226"/>
      <c r="BQ889" s="226"/>
      <c r="BR889" s="226"/>
      <c r="BS889" s="226"/>
      <c r="BT889" s="226"/>
      <c r="BU889" s="226"/>
      <c r="BV889" s="226"/>
      <c r="BW889" s="226"/>
      <c r="BX889" s="226"/>
      <c r="BY889" s="226"/>
      <c r="BZ889" s="226"/>
      <c r="CA889" s="226"/>
      <c r="CB889" s="226"/>
      <c r="CC889" s="226"/>
      <c r="CD889" s="226"/>
      <c r="CE889" s="226"/>
      <c r="CF889" s="226"/>
      <c r="CG889" s="226"/>
      <c r="CH889" s="226"/>
      <c r="CI889" s="226"/>
      <c r="CJ889" s="226"/>
      <c r="CK889" s="226"/>
      <c r="CL889" s="226"/>
      <c r="CM889" s="226"/>
      <c r="CN889" s="226"/>
      <c r="CO889" s="226"/>
      <c r="CP889" s="226"/>
      <c r="CQ889" s="226"/>
      <c r="CR889" s="226"/>
      <c r="CS889" s="226"/>
      <c r="CT889" s="226"/>
      <c r="CU889" s="226"/>
      <c r="CV889" s="226"/>
      <c r="CW889" s="226"/>
      <c r="CX889" s="226"/>
      <c r="CY889" s="226"/>
      <c r="CZ889" s="226"/>
      <c r="DA889" s="226"/>
      <c r="DB889" s="226"/>
      <c r="DC889" s="226"/>
      <c r="DD889" s="226"/>
      <c r="DE889" s="226"/>
      <c r="DF889" s="226"/>
      <c r="DG889" s="226"/>
      <c r="DH889" s="226"/>
      <c r="DI889" s="226"/>
      <c r="DJ889" s="226"/>
      <c r="DK889" s="226"/>
      <c r="DL889" s="226"/>
      <c r="DM889" s="226"/>
      <c r="DN889" s="226"/>
      <c r="DO889" s="226"/>
      <c r="DP889" s="226"/>
      <c r="DQ889" s="226"/>
      <c r="DR889" s="226"/>
      <c r="DS889" s="226"/>
      <c r="DT889" s="226"/>
      <c r="DU889" s="226"/>
      <c r="DV889" s="226"/>
      <c r="DW889" s="226"/>
      <c r="DX889" s="226"/>
      <c r="DY889" s="226"/>
      <c r="DZ889" s="226"/>
      <c r="EA889" s="226"/>
      <c r="EB889" s="226"/>
      <c r="EC889" s="226"/>
      <c r="ED889" s="226"/>
      <c r="EE889" s="226"/>
      <c r="EF889" s="226"/>
      <c r="EG889" s="226"/>
      <c r="EH889" s="226"/>
      <c r="EI889" s="226"/>
      <c r="EJ889" s="226"/>
      <c r="EK889" s="226"/>
      <c r="EL889" s="226"/>
      <c r="EM889" s="226"/>
      <c r="EN889" s="226"/>
      <c r="EO889" s="226"/>
      <c r="EP889" s="226"/>
      <c r="EQ889" s="226"/>
      <c r="ER889" s="226"/>
      <c r="ES889" s="226"/>
      <c r="ET889" s="226"/>
      <c r="EU889" s="226"/>
      <c r="EV889" s="226"/>
      <c r="EW889" s="226"/>
      <c r="EX889" s="226"/>
      <c r="EY889" s="226"/>
      <c r="EZ889" s="226"/>
      <c r="FA889" s="226"/>
      <c r="FB889" s="226"/>
      <c r="FC889" s="226"/>
      <c r="FD889" s="226"/>
      <c r="FE889" s="226"/>
      <c r="FF889" s="226"/>
      <c r="FG889" s="226"/>
      <c r="FH889" s="226"/>
      <c r="FI889" s="226"/>
      <c r="FJ889" s="226"/>
      <c r="FK889" s="226"/>
      <c r="FL889" s="226"/>
      <c r="FM889" s="226"/>
      <c r="FN889" s="226"/>
      <c r="FO889" s="226"/>
      <c r="FP889" s="226"/>
      <c r="FQ889" s="226"/>
      <c r="FR889" s="226"/>
      <c r="FS889" s="226"/>
      <c r="FT889" s="226"/>
      <c r="FU889" s="226"/>
      <c r="FV889" s="226"/>
      <c r="FW889" s="226"/>
      <c r="FX889" s="226"/>
      <c r="FY889" s="226"/>
      <c r="FZ889" s="226"/>
      <c r="GA889" s="226"/>
      <c r="GB889" s="226"/>
      <c r="GC889" s="226"/>
      <c r="GD889" s="226"/>
      <c r="GE889" s="226"/>
      <c r="GF889" s="226"/>
      <c r="GG889" s="226"/>
      <c r="GH889" s="226"/>
      <c r="GI889" s="226"/>
      <c r="GJ889" s="226"/>
      <c r="GK889" s="226"/>
      <c r="GL889" s="226"/>
      <c r="GM889" s="226"/>
      <c r="GN889" s="226"/>
    </row>
    <row r="890">
      <c r="A890" s="212"/>
      <c r="B890" s="21"/>
      <c r="C890" s="21"/>
      <c r="D890" s="213"/>
      <c r="E890" s="214"/>
      <c r="F890" s="215"/>
      <c r="G890" s="21"/>
      <c r="H890" s="225"/>
      <c r="I890" s="110"/>
      <c r="J890" s="110"/>
      <c r="K890" s="110"/>
      <c r="L890" s="110"/>
      <c r="M890" s="110"/>
      <c r="N890" s="110"/>
      <c r="O890" s="110"/>
      <c r="P890" s="225"/>
      <c r="Q890" s="212"/>
      <c r="R890" s="24"/>
      <c r="S890" s="21"/>
      <c r="T890" s="21"/>
      <c r="U890" s="180"/>
      <c r="V890" s="214"/>
      <c r="W890" s="21"/>
      <c r="X890" s="225"/>
      <c r="Y890" s="225"/>
      <c r="Z890" s="225"/>
      <c r="AA890" s="226"/>
      <c r="AB890" s="226"/>
      <c r="AC890" s="226"/>
      <c r="AD890" s="226"/>
      <c r="AE890" s="226"/>
      <c r="AF890" s="226"/>
      <c r="AG890" s="226"/>
      <c r="AH890" s="226"/>
      <c r="AI890" s="226"/>
      <c r="AJ890" s="226"/>
      <c r="AK890" s="226"/>
      <c r="AL890" s="226"/>
      <c r="AM890" s="226"/>
      <c r="AN890" s="226"/>
      <c r="AO890" s="226"/>
      <c r="AP890" s="226"/>
      <c r="AQ890" s="226"/>
      <c r="AR890" s="226"/>
      <c r="AS890" s="226"/>
      <c r="AT890" s="226"/>
      <c r="AU890" s="226"/>
      <c r="AV890" s="226"/>
      <c r="AW890" s="226"/>
      <c r="AX890" s="226"/>
      <c r="AY890" s="226"/>
      <c r="AZ890" s="226"/>
      <c r="BA890" s="226"/>
      <c r="BB890" s="226"/>
      <c r="BC890" s="226"/>
      <c r="BD890" s="226"/>
      <c r="BE890" s="226"/>
      <c r="BF890" s="226"/>
      <c r="BG890" s="226"/>
      <c r="BH890" s="226"/>
      <c r="BI890" s="226"/>
      <c r="BJ890" s="226"/>
      <c r="BK890" s="226"/>
      <c r="BL890" s="226"/>
      <c r="BM890" s="226"/>
      <c r="BN890" s="226"/>
      <c r="BO890" s="226"/>
      <c r="BP890" s="226"/>
      <c r="BQ890" s="226"/>
      <c r="BR890" s="226"/>
      <c r="BS890" s="226"/>
      <c r="BT890" s="226"/>
      <c r="BU890" s="226"/>
      <c r="BV890" s="226"/>
      <c r="BW890" s="226"/>
      <c r="BX890" s="226"/>
      <c r="BY890" s="226"/>
      <c r="BZ890" s="226"/>
      <c r="CA890" s="226"/>
      <c r="CB890" s="226"/>
      <c r="CC890" s="226"/>
      <c r="CD890" s="226"/>
      <c r="CE890" s="226"/>
      <c r="CF890" s="226"/>
      <c r="CG890" s="226"/>
      <c r="CH890" s="226"/>
      <c r="CI890" s="226"/>
      <c r="CJ890" s="226"/>
      <c r="CK890" s="226"/>
      <c r="CL890" s="226"/>
      <c r="CM890" s="226"/>
      <c r="CN890" s="226"/>
      <c r="CO890" s="226"/>
      <c r="CP890" s="226"/>
      <c r="CQ890" s="226"/>
      <c r="CR890" s="226"/>
      <c r="CS890" s="226"/>
      <c r="CT890" s="226"/>
      <c r="CU890" s="226"/>
      <c r="CV890" s="226"/>
      <c r="CW890" s="226"/>
      <c r="CX890" s="226"/>
      <c r="CY890" s="226"/>
      <c r="CZ890" s="226"/>
      <c r="DA890" s="226"/>
      <c r="DB890" s="226"/>
      <c r="DC890" s="226"/>
      <c r="DD890" s="226"/>
      <c r="DE890" s="226"/>
      <c r="DF890" s="226"/>
      <c r="DG890" s="226"/>
      <c r="DH890" s="226"/>
      <c r="DI890" s="226"/>
      <c r="DJ890" s="226"/>
      <c r="DK890" s="226"/>
      <c r="DL890" s="226"/>
      <c r="DM890" s="226"/>
      <c r="DN890" s="226"/>
      <c r="DO890" s="226"/>
      <c r="DP890" s="226"/>
      <c r="DQ890" s="226"/>
      <c r="DR890" s="226"/>
      <c r="DS890" s="226"/>
      <c r="DT890" s="226"/>
      <c r="DU890" s="226"/>
      <c r="DV890" s="226"/>
      <c r="DW890" s="226"/>
      <c r="DX890" s="226"/>
      <c r="DY890" s="226"/>
      <c r="DZ890" s="226"/>
      <c r="EA890" s="226"/>
      <c r="EB890" s="226"/>
      <c r="EC890" s="226"/>
      <c r="ED890" s="226"/>
      <c r="EE890" s="226"/>
      <c r="EF890" s="226"/>
      <c r="EG890" s="226"/>
      <c r="EH890" s="226"/>
      <c r="EI890" s="226"/>
      <c r="EJ890" s="226"/>
      <c r="EK890" s="226"/>
      <c r="EL890" s="226"/>
      <c r="EM890" s="226"/>
      <c r="EN890" s="226"/>
      <c r="EO890" s="226"/>
      <c r="EP890" s="226"/>
      <c r="EQ890" s="226"/>
      <c r="ER890" s="226"/>
      <c r="ES890" s="226"/>
      <c r="ET890" s="226"/>
      <c r="EU890" s="226"/>
      <c r="EV890" s="226"/>
      <c r="EW890" s="226"/>
      <c r="EX890" s="226"/>
      <c r="EY890" s="226"/>
      <c r="EZ890" s="226"/>
      <c r="FA890" s="226"/>
      <c r="FB890" s="226"/>
      <c r="FC890" s="226"/>
      <c r="FD890" s="226"/>
      <c r="FE890" s="226"/>
      <c r="FF890" s="226"/>
      <c r="FG890" s="226"/>
      <c r="FH890" s="226"/>
      <c r="FI890" s="226"/>
      <c r="FJ890" s="226"/>
      <c r="FK890" s="226"/>
      <c r="FL890" s="226"/>
      <c r="FM890" s="226"/>
      <c r="FN890" s="226"/>
      <c r="FO890" s="226"/>
      <c r="FP890" s="226"/>
      <c r="FQ890" s="226"/>
      <c r="FR890" s="226"/>
      <c r="FS890" s="226"/>
      <c r="FT890" s="226"/>
      <c r="FU890" s="226"/>
      <c r="FV890" s="226"/>
      <c r="FW890" s="226"/>
      <c r="FX890" s="226"/>
      <c r="FY890" s="226"/>
      <c r="FZ890" s="226"/>
      <c r="GA890" s="226"/>
      <c r="GB890" s="226"/>
      <c r="GC890" s="226"/>
      <c r="GD890" s="226"/>
      <c r="GE890" s="226"/>
      <c r="GF890" s="226"/>
      <c r="GG890" s="226"/>
      <c r="GH890" s="226"/>
      <c r="GI890" s="226"/>
      <c r="GJ890" s="226"/>
      <c r="GK890" s="226"/>
      <c r="GL890" s="226"/>
      <c r="GM890" s="226"/>
      <c r="GN890" s="226"/>
    </row>
    <row r="891">
      <c r="A891" s="212"/>
      <c r="B891" s="21"/>
      <c r="C891" s="21"/>
      <c r="D891" s="213"/>
      <c r="E891" s="214"/>
      <c r="F891" s="215"/>
      <c r="G891" s="21"/>
      <c r="H891" s="225"/>
      <c r="I891" s="110"/>
      <c r="J891" s="110"/>
      <c r="K891" s="110"/>
      <c r="L891" s="110"/>
      <c r="M891" s="110"/>
      <c r="N891" s="110"/>
      <c r="O891" s="110"/>
      <c r="P891" s="225"/>
      <c r="Q891" s="212"/>
      <c r="R891" s="24"/>
      <c r="S891" s="21"/>
      <c r="T891" s="21"/>
      <c r="U891" s="180"/>
      <c r="V891" s="214"/>
      <c r="W891" s="21"/>
      <c r="X891" s="225"/>
      <c r="Y891" s="225"/>
      <c r="Z891" s="225"/>
      <c r="AA891" s="226"/>
      <c r="AB891" s="226"/>
      <c r="AC891" s="226"/>
      <c r="AD891" s="226"/>
      <c r="AE891" s="226"/>
      <c r="AF891" s="226"/>
      <c r="AG891" s="226"/>
      <c r="AH891" s="226"/>
      <c r="AI891" s="226"/>
      <c r="AJ891" s="226"/>
      <c r="AK891" s="226"/>
      <c r="AL891" s="226"/>
      <c r="AM891" s="226"/>
      <c r="AN891" s="226"/>
      <c r="AO891" s="226"/>
      <c r="AP891" s="226"/>
      <c r="AQ891" s="226"/>
      <c r="AR891" s="226"/>
      <c r="AS891" s="226"/>
      <c r="AT891" s="226"/>
      <c r="AU891" s="226"/>
      <c r="AV891" s="226"/>
      <c r="AW891" s="226"/>
      <c r="AX891" s="226"/>
      <c r="AY891" s="226"/>
      <c r="AZ891" s="226"/>
      <c r="BA891" s="226"/>
      <c r="BB891" s="226"/>
      <c r="BC891" s="226"/>
      <c r="BD891" s="226"/>
      <c r="BE891" s="226"/>
      <c r="BF891" s="226"/>
      <c r="BG891" s="226"/>
      <c r="BH891" s="226"/>
      <c r="BI891" s="226"/>
      <c r="BJ891" s="226"/>
      <c r="BK891" s="226"/>
      <c r="BL891" s="226"/>
      <c r="BM891" s="226"/>
      <c r="BN891" s="226"/>
      <c r="BO891" s="226"/>
      <c r="BP891" s="226"/>
      <c r="BQ891" s="226"/>
      <c r="BR891" s="226"/>
      <c r="BS891" s="226"/>
      <c r="BT891" s="226"/>
      <c r="BU891" s="226"/>
      <c r="BV891" s="226"/>
      <c r="BW891" s="226"/>
      <c r="BX891" s="226"/>
      <c r="BY891" s="226"/>
      <c r="BZ891" s="226"/>
      <c r="CA891" s="226"/>
      <c r="CB891" s="226"/>
      <c r="CC891" s="226"/>
      <c r="CD891" s="226"/>
      <c r="CE891" s="226"/>
      <c r="CF891" s="226"/>
      <c r="CG891" s="226"/>
      <c r="CH891" s="226"/>
      <c r="CI891" s="226"/>
      <c r="CJ891" s="226"/>
      <c r="CK891" s="226"/>
      <c r="CL891" s="226"/>
      <c r="CM891" s="226"/>
      <c r="CN891" s="226"/>
      <c r="CO891" s="226"/>
      <c r="CP891" s="226"/>
      <c r="CQ891" s="226"/>
      <c r="CR891" s="226"/>
      <c r="CS891" s="226"/>
      <c r="CT891" s="226"/>
      <c r="CU891" s="226"/>
      <c r="CV891" s="226"/>
      <c r="CW891" s="226"/>
      <c r="CX891" s="226"/>
      <c r="CY891" s="226"/>
      <c r="CZ891" s="226"/>
      <c r="DA891" s="226"/>
      <c r="DB891" s="226"/>
      <c r="DC891" s="226"/>
      <c r="DD891" s="226"/>
      <c r="DE891" s="226"/>
      <c r="DF891" s="226"/>
      <c r="DG891" s="226"/>
      <c r="DH891" s="226"/>
      <c r="DI891" s="226"/>
      <c r="DJ891" s="226"/>
      <c r="DK891" s="226"/>
      <c r="DL891" s="226"/>
      <c r="DM891" s="226"/>
      <c r="DN891" s="226"/>
      <c r="DO891" s="226"/>
      <c r="DP891" s="226"/>
      <c r="DQ891" s="226"/>
      <c r="DR891" s="226"/>
      <c r="DS891" s="226"/>
      <c r="DT891" s="226"/>
      <c r="DU891" s="226"/>
      <c r="DV891" s="226"/>
      <c r="DW891" s="226"/>
      <c r="DX891" s="226"/>
      <c r="DY891" s="226"/>
      <c r="DZ891" s="226"/>
      <c r="EA891" s="226"/>
      <c r="EB891" s="226"/>
      <c r="EC891" s="226"/>
      <c r="ED891" s="226"/>
      <c r="EE891" s="226"/>
      <c r="EF891" s="226"/>
      <c r="EG891" s="226"/>
      <c r="EH891" s="226"/>
      <c r="EI891" s="226"/>
      <c r="EJ891" s="226"/>
      <c r="EK891" s="226"/>
      <c r="EL891" s="226"/>
      <c r="EM891" s="226"/>
      <c r="EN891" s="226"/>
      <c r="EO891" s="226"/>
      <c r="EP891" s="226"/>
      <c r="EQ891" s="226"/>
      <c r="ER891" s="226"/>
      <c r="ES891" s="226"/>
      <c r="ET891" s="226"/>
      <c r="EU891" s="226"/>
      <c r="EV891" s="226"/>
      <c r="EW891" s="226"/>
      <c r="EX891" s="226"/>
      <c r="EY891" s="226"/>
      <c r="EZ891" s="226"/>
      <c r="FA891" s="226"/>
      <c r="FB891" s="226"/>
      <c r="FC891" s="226"/>
      <c r="FD891" s="226"/>
      <c r="FE891" s="226"/>
      <c r="FF891" s="226"/>
      <c r="FG891" s="226"/>
      <c r="FH891" s="226"/>
      <c r="FI891" s="226"/>
      <c r="FJ891" s="226"/>
      <c r="FK891" s="226"/>
      <c r="FL891" s="226"/>
      <c r="FM891" s="226"/>
      <c r="FN891" s="226"/>
      <c r="FO891" s="226"/>
      <c r="FP891" s="226"/>
      <c r="FQ891" s="226"/>
      <c r="FR891" s="226"/>
      <c r="FS891" s="226"/>
      <c r="FT891" s="226"/>
      <c r="FU891" s="226"/>
      <c r="FV891" s="226"/>
      <c r="FW891" s="226"/>
      <c r="FX891" s="226"/>
      <c r="FY891" s="226"/>
      <c r="FZ891" s="226"/>
      <c r="GA891" s="226"/>
      <c r="GB891" s="226"/>
      <c r="GC891" s="226"/>
      <c r="GD891" s="226"/>
      <c r="GE891" s="226"/>
      <c r="GF891" s="226"/>
      <c r="GG891" s="226"/>
      <c r="GH891" s="226"/>
      <c r="GI891" s="226"/>
      <c r="GJ891" s="226"/>
      <c r="GK891" s="226"/>
      <c r="GL891" s="226"/>
      <c r="GM891" s="226"/>
      <c r="GN891" s="226"/>
    </row>
    <row r="892">
      <c r="A892" s="212"/>
      <c r="B892" s="21"/>
      <c r="C892" s="21"/>
      <c r="D892" s="213"/>
      <c r="E892" s="214"/>
      <c r="F892" s="215"/>
      <c r="G892" s="21"/>
      <c r="H892" s="225"/>
      <c r="I892" s="110"/>
      <c r="J892" s="110"/>
      <c r="K892" s="110"/>
      <c r="L892" s="110"/>
      <c r="M892" s="110"/>
      <c r="N892" s="110"/>
      <c r="O892" s="110"/>
      <c r="P892" s="225"/>
      <c r="Q892" s="212"/>
      <c r="R892" s="24"/>
      <c r="S892" s="21"/>
      <c r="T892" s="21"/>
      <c r="U892" s="180"/>
      <c r="V892" s="214"/>
      <c r="W892" s="21"/>
      <c r="X892" s="225"/>
      <c r="Y892" s="225"/>
      <c r="Z892" s="225"/>
      <c r="AA892" s="226"/>
      <c r="AB892" s="226"/>
      <c r="AC892" s="226"/>
      <c r="AD892" s="226"/>
      <c r="AE892" s="226"/>
      <c r="AF892" s="226"/>
      <c r="AG892" s="226"/>
      <c r="AH892" s="226"/>
      <c r="AI892" s="226"/>
      <c r="AJ892" s="226"/>
      <c r="AK892" s="226"/>
      <c r="AL892" s="226"/>
      <c r="AM892" s="226"/>
      <c r="AN892" s="226"/>
      <c r="AO892" s="226"/>
      <c r="AP892" s="226"/>
      <c r="AQ892" s="226"/>
      <c r="AR892" s="226"/>
      <c r="AS892" s="226"/>
      <c r="AT892" s="226"/>
      <c r="AU892" s="226"/>
      <c r="AV892" s="226"/>
      <c r="AW892" s="226"/>
      <c r="AX892" s="226"/>
      <c r="AY892" s="226"/>
      <c r="AZ892" s="226"/>
      <c r="BA892" s="226"/>
      <c r="BB892" s="226"/>
      <c r="BC892" s="226"/>
      <c r="BD892" s="226"/>
      <c r="BE892" s="226"/>
      <c r="BF892" s="226"/>
      <c r="BG892" s="226"/>
      <c r="BH892" s="226"/>
      <c r="BI892" s="226"/>
      <c r="BJ892" s="226"/>
      <c r="BK892" s="226"/>
      <c r="BL892" s="226"/>
      <c r="BM892" s="226"/>
      <c r="BN892" s="226"/>
      <c r="BO892" s="226"/>
      <c r="BP892" s="226"/>
      <c r="BQ892" s="226"/>
      <c r="BR892" s="226"/>
      <c r="BS892" s="226"/>
      <c r="BT892" s="226"/>
      <c r="BU892" s="226"/>
      <c r="BV892" s="226"/>
      <c r="BW892" s="226"/>
      <c r="BX892" s="226"/>
      <c r="BY892" s="226"/>
      <c r="BZ892" s="226"/>
      <c r="CA892" s="226"/>
      <c r="CB892" s="226"/>
      <c r="CC892" s="226"/>
      <c r="CD892" s="226"/>
      <c r="CE892" s="226"/>
      <c r="CF892" s="226"/>
      <c r="CG892" s="226"/>
      <c r="CH892" s="226"/>
      <c r="CI892" s="226"/>
      <c r="CJ892" s="226"/>
      <c r="CK892" s="226"/>
      <c r="CL892" s="226"/>
      <c r="CM892" s="226"/>
      <c r="CN892" s="226"/>
      <c r="CO892" s="226"/>
      <c r="CP892" s="226"/>
      <c r="CQ892" s="226"/>
      <c r="CR892" s="226"/>
      <c r="CS892" s="226"/>
      <c r="CT892" s="226"/>
      <c r="CU892" s="226"/>
      <c r="CV892" s="226"/>
      <c r="CW892" s="226"/>
      <c r="CX892" s="226"/>
      <c r="CY892" s="226"/>
      <c r="CZ892" s="226"/>
      <c r="DA892" s="226"/>
      <c r="DB892" s="226"/>
      <c r="DC892" s="226"/>
      <c r="DD892" s="226"/>
      <c r="DE892" s="226"/>
      <c r="DF892" s="226"/>
      <c r="DG892" s="226"/>
      <c r="DH892" s="226"/>
      <c r="DI892" s="226"/>
      <c r="DJ892" s="226"/>
      <c r="DK892" s="226"/>
      <c r="DL892" s="226"/>
      <c r="DM892" s="226"/>
      <c r="DN892" s="226"/>
      <c r="DO892" s="226"/>
      <c r="DP892" s="226"/>
      <c r="DQ892" s="226"/>
      <c r="DR892" s="226"/>
      <c r="DS892" s="226"/>
      <c r="DT892" s="226"/>
      <c r="DU892" s="226"/>
      <c r="DV892" s="226"/>
      <c r="DW892" s="226"/>
      <c r="DX892" s="226"/>
      <c r="DY892" s="226"/>
      <c r="DZ892" s="226"/>
      <c r="EA892" s="226"/>
      <c r="EB892" s="226"/>
      <c r="EC892" s="226"/>
      <c r="ED892" s="226"/>
      <c r="EE892" s="226"/>
      <c r="EF892" s="226"/>
      <c r="EG892" s="226"/>
      <c r="EH892" s="226"/>
      <c r="EI892" s="226"/>
      <c r="EJ892" s="226"/>
      <c r="EK892" s="226"/>
      <c r="EL892" s="226"/>
      <c r="EM892" s="226"/>
      <c r="EN892" s="226"/>
      <c r="EO892" s="226"/>
      <c r="EP892" s="226"/>
      <c r="EQ892" s="226"/>
      <c r="ER892" s="226"/>
      <c r="ES892" s="226"/>
      <c r="ET892" s="226"/>
      <c r="EU892" s="226"/>
      <c r="EV892" s="226"/>
      <c r="EW892" s="226"/>
      <c r="EX892" s="226"/>
      <c r="EY892" s="226"/>
      <c r="EZ892" s="226"/>
      <c r="FA892" s="226"/>
      <c r="FB892" s="226"/>
      <c r="FC892" s="226"/>
      <c r="FD892" s="226"/>
      <c r="FE892" s="226"/>
      <c r="FF892" s="226"/>
      <c r="FG892" s="226"/>
      <c r="FH892" s="226"/>
      <c r="FI892" s="226"/>
      <c r="FJ892" s="226"/>
      <c r="FK892" s="226"/>
      <c r="FL892" s="226"/>
      <c r="FM892" s="226"/>
      <c r="FN892" s="226"/>
      <c r="FO892" s="226"/>
      <c r="FP892" s="226"/>
      <c r="FQ892" s="226"/>
      <c r="FR892" s="226"/>
      <c r="FS892" s="226"/>
      <c r="FT892" s="226"/>
      <c r="FU892" s="226"/>
      <c r="FV892" s="226"/>
      <c r="FW892" s="226"/>
      <c r="FX892" s="226"/>
      <c r="FY892" s="226"/>
      <c r="FZ892" s="226"/>
      <c r="GA892" s="226"/>
      <c r="GB892" s="226"/>
      <c r="GC892" s="226"/>
      <c r="GD892" s="226"/>
      <c r="GE892" s="226"/>
      <c r="GF892" s="226"/>
      <c r="GG892" s="226"/>
      <c r="GH892" s="226"/>
      <c r="GI892" s="226"/>
      <c r="GJ892" s="226"/>
      <c r="GK892" s="226"/>
      <c r="GL892" s="226"/>
      <c r="GM892" s="226"/>
      <c r="GN892" s="226"/>
    </row>
    <row r="893">
      <c r="A893" s="212"/>
      <c r="B893" s="21"/>
      <c r="C893" s="21"/>
      <c r="D893" s="213"/>
      <c r="E893" s="214"/>
      <c r="F893" s="215"/>
      <c r="G893" s="21"/>
      <c r="H893" s="225"/>
      <c r="I893" s="110"/>
      <c r="J893" s="110"/>
      <c r="K893" s="110"/>
      <c r="L893" s="110"/>
      <c r="M893" s="110"/>
      <c r="N893" s="110"/>
      <c r="O893" s="110"/>
      <c r="P893" s="225"/>
      <c r="Q893" s="212"/>
      <c r="R893" s="24"/>
      <c r="S893" s="21"/>
      <c r="T893" s="21"/>
      <c r="U893" s="180"/>
      <c r="V893" s="214"/>
      <c r="W893" s="21"/>
      <c r="X893" s="225"/>
      <c r="Y893" s="225"/>
      <c r="Z893" s="225"/>
      <c r="AA893" s="226"/>
      <c r="AB893" s="226"/>
      <c r="AC893" s="226"/>
      <c r="AD893" s="226"/>
      <c r="AE893" s="226"/>
      <c r="AF893" s="226"/>
      <c r="AG893" s="226"/>
      <c r="AH893" s="226"/>
      <c r="AI893" s="226"/>
      <c r="AJ893" s="226"/>
      <c r="AK893" s="226"/>
      <c r="AL893" s="226"/>
      <c r="AM893" s="226"/>
      <c r="AN893" s="226"/>
      <c r="AO893" s="226"/>
      <c r="AP893" s="226"/>
      <c r="AQ893" s="226"/>
      <c r="AR893" s="226"/>
      <c r="AS893" s="226"/>
      <c r="AT893" s="226"/>
      <c r="AU893" s="226"/>
      <c r="AV893" s="226"/>
      <c r="AW893" s="226"/>
      <c r="AX893" s="226"/>
      <c r="AY893" s="226"/>
      <c r="AZ893" s="226"/>
      <c r="BA893" s="226"/>
      <c r="BB893" s="226"/>
      <c r="BC893" s="226"/>
      <c r="BD893" s="226"/>
      <c r="BE893" s="226"/>
      <c r="BF893" s="226"/>
      <c r="BG893" s="226"/>
      <c r="BH893" s="226"/>
      <c r="BI893" s="226"/>
      <c r="BJ893" s="226"/>
      <c r="BK893" s="226"/>
      <c r="BL893" s="226"/>
      <c r="BM893" s="226"/>
      <c r="BN893" s="226"/>
      <c r="BO893" s="226"/>
      <c r="BP893" s="226"/>
      <c r="BQ893" s="226"/>
      <c r="BR893" s="226"/>
      <c r="BS893" s="226"/>
      <c r="BT893" s="226"/>
      <c r="BU893" s="226"/>
      <c r="BV893" s="226"/>
      <c r="BW893" s="226"/>
      <c r="BX893" s="226"/>
      <c r="BY893" s="226"/>
      <c r="BZ893" s="226"/>
      <c r="CA893" s="226"/>
      <c r="CB893" s="226"/>
      <c r="CC893" s="226"/>
      <c r="CD893" s="226"/>
      <c r="CE893" s="226"/>
      <c r="CF893" s="226"/>
      <c r="CG893" s="226"/>
      <c r="CH893" s="226"/>
      <c r="CI893" s="226"/>
      <c r="CJ893" s="226"/>
      <c r="CK893" s="226"/>
      <c r="CL893" s="226"/>
      <c r="CM893" s="226"/>
      <c r="CN893" s="226"/>
      <c r="CO893" s="226"/>
      <c r="CP893" s="226"/>
      <c r="CQ893" s="226"/>
      <c r="CR893" s="226"/>
      <c r="CS893" s="226"/>
      <c r="CT893" s="226"/>
      <c r="CU893" s="226"/>
      <c r="CV893" s="226"/>
      <c r="CW893" s="226"/>
      <c r="CX893" s="226"/>
      <c r="CY893" s="226"/>
      <c r="CZ893" s="226"/>
      <c r="DA893" s="226"/>
      <c r="DB893" s="226"/>
      <c r="DC893" s="226"/>
      <c r="DD893" s="226"/>
      <c r="DE893" s="226"/>
      <c r="DF893" s="226"/>
      <c r="DG893" s="226"/>
      <c r="DH893" s="226"/>
      <c r="DI893" s="226"/>
      <c r="DJ893" s="226"/>
      <c r="DK893" s="226"/>
      <c r="DL893" s="226"/>
      <c r="DM893" s="226"/>
      <c r="DN893" s="226"/>
      <c r="DO893" s="226"/>
      <c r="DP893" s="226"/>
      <c r="DQ893" s="226"/>
      <c r="DR893" s="226"/>
      <c r="DS893" s="226"/>
      <c r="DT893" s="226"/>
      <c r="DU893" s="226"/>
      <c r="DV893" s="226"/>
      <c r="DW893" s="226"/>
      <c r="DX893" s="226"/>
      <c r="DY893" s="226"/>
      <c r="DZ893" s="226"/>
      <c r="EA893" s="226"/>
      <c r="EB893" s="226"/>
      <c r="EC893" s="226"/>
      <c r="ED893" s="226"/>
      <c r="EE893" s="226"/>
      <c r="EF893" s="226"/>
      <c r="EG893" s="226"/>
      <c r="EH893" s="226"/>
      <c r="EI893" s="226"/>
      <c r="EJ893" s="226"/>
      <c r="EK893" s="226"/>
      <c r="EL893" s="226"/>
      <c r="EM893" s="226"/>
      <c r="EN893" s="226"/>
      <c r="EO893" s="226"/>
      <c r="EP893" s="226"/>
      <c r="EQ893" s="226"/>
      <c r="ER893" s="226"/>
      <c r="ES893" s="226"/>
      <c r="ET893" s="226"/>
      <c r="EU893" s="226"/>
      <c r="EV893" s="226"/>
      <c r="EW893" s="226"/>
      <c r="EX893" s="226"/>
      <c r="EY893" s="226"/>
      <c r="EZ893" s="226"/>
      <c r="FA893" s="226"/>
      <c r="FB893" s="226"/>
      <c r="FC893" s="226"/>
      <c r="FD893" s="226"/>
      <c r="FE893" s="226"/>
      <c r="FF893" s="226"/>
      <c r="FG893" s="226"/>
      <c r="FH893" s="226"/>
      <c r="FI893" s="226"/>
      <c r="FJ893" s="226"/>
      <c r="FK893" s="226"/>
      <c r="FL893" s="226"/>
      <c r="FM893" s="226"/>
      <c r="FN893" s="226"/>
      <c r="FO893" s="226"/>
      <c r="FP893" s="226"/>
      <c r="FQ893" s="226"/>
      <c r="FR893" s="226"/>
      <c r="FS893" s="226"/>
      <c r="FT893" s="226"/>
      <c r="FU893" s="226"/>
      <c r="FV893" s="226"/>
      <c r="FW893" s="226"/>
      <c r="FX893" s="226"/>
      <c r="FY893" s="226"/>
      <c r="FZ893" s="226"/>
      <c r="GA893" s="226"/>
      <c r="GB893" s="226"/>
      <c r="GC893" s="226"/>
      <c r="GD893" s="226"/>
      <c r="GE893" s="226"/>
      <c r="GF893" s="226"/>
      <c r="GG893" s="226"/>
      <c r="GH893" s="226"/>
      <c r="GI893" s="226"/>
      <c r="GJ893" s="226"/>
      <c r="GK893" s="226"/>
      <c r="GL893" s="226"/>
      <c r="GM893" s="226"/>
      <c r="GN893" s="226"/>
    </row>
    <row r="894">
      <c r="A894" s="212"/>
      <c r="B894" s="21"/>
      <c r="C894" s="21"/>
      <c r="D894" s="213"/>
      <c r="E894" s="214"/>
      <c r="F894" s="215"/>
      <c r="G894" s="21"/>
      <c r="H894" s="225"/>
      <c r="I894" s="110"/>
      <c r="J894" s="110"/>
      <c r="K894" s="110"/>
      <c r="L894" s="110"/>
      <c r="M894" s="110"/>
      <c r="N894" s="110"/>
      <c r="O894" s="110"/>
      <c r="P894" s="225"/>
      <c r="Q894" s="212"/>
      <c r="R894" s="24"/>
      <c r="S894" s="21"/>
      <c r="T894" s="21"/>
      <c r="U894" s="180"/>
      <c r="V894" s="214"/>
      <c r="W894" s="21"/>
      <c r="X894" s="225"/>
      <c r="Y894" s="225"/>
      <c r="Z894" s="225"/>
      <c r="AA894" s="226"/>
      <c r="AB894" s="226"/>
      <c r="AC894" s="226"/>
      <c r="AD894" s="226"/>
      <c r="AE894" s="226"/>
      <c r="AF894" s="226"/>
      <c r="AG894" s="226"/>
      <c r="AH894" s="226"/>
      <c r="AI894" s="226"/>
      <c r="AJ894" s="226"/>
      <c r="AK894" s="226"/>
      <c r="AL894" s="226"/>
      <c r="AM894" s="226"/>
      <c r="AN894" s="226"/>
      <c r="AO894" s="226"/>
      <c r="AP894" s="226"/>
      <c r="AQ894" s="226"/>
      <c r="AR894" s="226"/>
      <c r="AS894" s="226"/>
      <c r="AT894" s="226"/>
      <c r="AU894" s="226"/>
      <c r="AV894" s="226"/>
      <c r="AW894" s="226"/>
      <c r="AX894" s="226"/>
      <c r="AY894" s="226"/>
      <c r="AZ894" s="226"/>
      <c r="BA894" s="226"/>
      <c r="BB894" s="226"/>
      <c r="BC894" s="226"/>
      <c r="BD894" s="226"/>
      <c r="BE894" s="226"/>
      <c r="BF894" s="226"/>
      <c r="BG894" s="226"/>
      <c r="BH894" s="226"/>
      <c r="BI894" s="226"/>
      <c r="BJ894" s="226"/>
      <c r="BK894" s="226"/>
      <c r="BL894" s="226"/>
      <c r="BM894" s="226"/>
      <c r="BN894" s="226"/>
      <c r="BO894" s="226"/>
      <c r="BP894" s="226"/>
      <c r="BQ894" s="226"/>
      <c r="BR894" s="226"/>
      <c r="BS894" s="226"/>
      <c r="BT894" s="226"/>
      <c r="BU894" s="226"/>
      <c r="BV894" s="226"/>
      <c r="BW894" s="226"/>
      <c r="BX894" s="226"/>
      <c r="BY894" s="226"/>
      <c r="BZ894" s="226"/>
      <c r="CA894" s="226"/>
      <c r="CB894" s="226"/>
      <c r="CC894" s="226"/>
      <c r="CD894" s="226"/>
      <c r="CE894" s="226"/>
      <c r="CF894" s="226"/>
      <c r="CG894" s="226"/>
      <c r="CH894" s="226"/>
      <c r="CI894" s="226"/>
      <c r="CJ894" s="226"/>
      <c r="CK894" s="226"/>
      <c r="CL894" s="226"/>
      <c r="CM894" s="226"/>
      <c r="CN894" s="226"/>
      <c r="CO894" s="226"/>
      <c r="CP894" s="226"/>
      <c r="CQ894" s="226"/>
      <c r="CR894" s="226"/>
      <c r="CS894" s="226"/>
      <c r="CT894" s="226"/>
      <c r="CU894" s="226"/>
      <c r="CV894" s="226"/>
      <c r="CW894" s="226"/>
      <c r="CX894" s="226"/>
      <c r="CY894" s="226"/>
      <c r="CZ894" s="226"/>
      <c r="DA894" s="226"/>
      <c r="DB894" s="226"/>
      <c r="DC894" s="226"/>
      <c r="DD894" s="226"/>
      <c r="DE894" s="226"/>
      <c r="DF894" s="226"/>
      <c r="DG894" s="226"/>
      <c r="DH894" s="226"/>
      <c r="DI894" s="226"/>
      <c r="DJ894" s="226"/>
      <c r="DK894" s="226"/>
      <c r="DL894" s="226"/>
      <c r="DM894" s="226"/>
      <c r="DN894" s="226"/>
      <c r="DO894" s="226"/>
      <c r="DP894" s="226"/>
      <c r="DQ894" s="226"/>
      <c r="DR894" s="226"/>
      <c r="DS894" s="226"/>
      <c r="DT894" s="226"/>
      <c r="DU894" s="226"/>
      <c r="DV894" s="226"/>
      <c r="DW894" s="226"/>
      <c r="DX894" s="226"/>
      <c r="DY894" s="226"/>
      <c r="DZ894" s="226"/>
      <c r="EA894" s="226"/>
      <c r="EB894" s="226"/>
      <c r="EC894" s="226"/>
      <c r="ED894" s="226"/>
      <c r="EE894" s="226"/>
      <c r="EF894" s="226"/>
      <c r="EG894" s="226"/>
      <c r="EH894" s="226"/>
      <c r="EI894" s="226"/>
      <c r="EJ894" s="226"/>
      <c r="EK894" s="226"/>
      <c r="EL894" s="226"/>
      <c r="EM894" s="226"/>
      <c r="EN894" s="226"/>
      <c r="EO894" s="226"/>
      <c r="EP894" s="226"/>
      <c r="EQ894" s="226"/>
      <c r="ER894" s="226"/>
      <c r="ES894" s="226"/>
      <c r="ET894" s="226"/>
      <c r="EU894" s="226"/>
      <c r="EV894" s="226"/>
      <c r="EW894" s="226"/>
      <c r="EX894" s="226"/>
      <c r="EY894" s="226"/>
      <c r="EZ894" s="226"/>
      <c r="FA894" s="226"/>
      <c r="FB894" s="226"/>
      <c r="FC894" s="226"/>
      <c r="FD894" s="226"/>
      <c r="FE894" s="226"/>
      <c r="FF894" s="226"/>
      <c r="FG894" s="226"/>
      <c r="FH894" s="226"/>
      <c r="FI894" s="226"/>
      <c r="FJ894" s="226"/>
      <c r="FK894" s="226"/>
      <c r="FL894" s="226"/>
      <c r="FM894" s="226"/>
      <c r="FN894" s="226"/>
      <c r="FO894" s="226"/>
      <c r="FP894" s="226"/>
      <c r="FQ894" s="226"/>
      <c r="FR894" s="226"/>
      <c r="FS894" s="226"/>
      <c r="FT894" s="226"/>
      <c r="FU894" s="226"/>
      <c r="FV894" s="226"/>
      <c r="FW894" s="226"/>
      <c r="FX894" s="226"/>
      <c r="FY894" s="226"/>
      <c r="FZ894" s="226"/>
      <c r="GA894" s="226"/>
      <c r="GB894" s="226"/>
      <c r="GC894" s="226"/>
      <c r="GD894" s="226"/>
      <c r="GE894" s="226"/>
      <c r="GF894" s="226"/>
      <c r="GG894" s="226"/>
      <c r="GH894" s="226"/>
      <c r="GI894" s="226"/>
      <c r="GJ894" s="226"/>
      <c r="GK894" s="226"/>
      <c r="GL894" s="226"/>
      <c r="GM894" s="226"/>
      <c r="GN894" s="226"/>
    </row>
    <row r="895">
      <c r="A895" s="212"/>
      <c r="B895" s="21"/>
      <c r="C895" s="21"/>
      <c r="D895" s="213"/>
      <c r="E895" s="214"/>
      <c r="F895" s="215"/>
      <c r="G895" s="21"/>
      <c r="H895" s="225"/>
      <c r="I895" s="110"/>
      <c r="J895" s="110"/>
      <c r="K895" s="110"/>
      <c r="L895" s="110"/>
      <c r="M895" s="110"/>
      <c r="N895" s="110"/>
      <c r="O895" s="110"/>
      <c r="P895" s="225"/>
      <c r="Q895" s="212"/>
      <c r="R895" s="24"/>
      <c r="S895" s="21"/>
      <c r="T895" s="21"/>
      <c r="U895" s="180"/>
      <c r="V895" s="214"/>
      <c r="W895" s="21"/>
      <c r="X895" s="225"/>
      <c r="Y895" s="225"/>
      <c r="Z895" s="225"/>
      <c r="AA895" s="226"/>
      <c r="AB895" s="226"/>
      <c r="AC895" s="226"/>
      <c r="AD895" s="226"/>
      <c r="AE895" s="226"/>
      <c r="AF895" s="226"/>
      <c r="AG895" s="226"/>
      <c r="AH895" s="226"/>
      <c r="AI895" s="226"/>
      <c r="AJ895" s="226"/>
      <c r="AK895" s="226"/>
      <c r="AL895" s="226"/>
      <c r="AM895" s="226"/>
      <c r="AN895" s="226"/>
      <c r="AO895" s="226"/>
      <c r="AP895" s="226"/>
      <c r="AQ895" s="226"/>
      <c r="AR895" s="226"/>
      <c r="AS895" s="226"/>
      <c r="AT895" s="226"/>
      <c r="AU895" s="226"/>
      <c r="AV895" s="226"/>
      <c r="AW895" s="226"/>
      <c r="AX895" s="226"/>
      <c r="AY895" s="226"/>
      <c r="AZ895" s="226"/>
      <c r="BA895" s="226"/>
      <c r="BB895" s="226"/>
      <c r="BC895" s="226"/>
      <c r="BD895" s="226"/>
      <c r="BE895" s="226"/>
      <c r="BF895" s="226"/>
      <c r="BG895" s="226"/>
      <c r="BH895" s="226"/>
      <c r="BI895" s="226"/>
      <c r="BJ895" s="226"/>
      <c r="BK895" s="226"/>
      <c r="BL895" s="226"/>
      <c r="BM895" s="226"/>
      <c r="BN895" s="226"/>
      <c r="BO895" s="226"/>
      <c r="BP895" s="226"/>
      <c r="BQ895" s="226"/>
      <c r="BR895" s="226"/>
      <c r="BS895" s="226"/>
      <c r="BT895" s="226"/>
      <c r="BU895" s="226"/>
      <c r="BV895" s="226"/>
      <c r="BW895" s="226"/>
      <c r="BX895" s="226"/>
      <c r="BY895" s="226"/>
      <c r="BZ895" s="226"/>
      <c r="CA895" s="226"/>
      <c r="CB895" s="226"/>
      <c r="CC895" s="226"/>
      <c r="CD895" s="226"/>
      <c r="CE895" s="226"/>
      <c r="CF895" s="226"/>
      <c r="CG895" s="226"/>
      <c r="CH895" s="226"/>
      <c r="CI895" s="226"/>
      <c r="CJ895" s="226"/>
      <c r="CK895" s="226"/>
      <c r="CL895" s="226"/>
      <c r="CM895" s="226"/>
      <c r="CN895" s="226"/>
      <c r="CO895" s="226"/>
      <c r="CP895" s="226"/>
      <c r="CQ895" s="226"/>
      <c r="CR895" s="226"/>
      <c r="CS895" s="226"/>
      <c r="CT895" s="226"/>
      <c r="CU895" s="226"/>
      <c r="CV895" s="226"/>
      <c r="CW895" s="226"/>
      <c r="CX895" s="226"/>
      <c r="CY895" s="226"/>
      <c r="CZ895" s="226"/>
      <c r="DA895" s="226"/>
      <c r="DB895" s="226"/>
      <c r="DC895" s="226"/>
      <c r="DD895" s="226"/>
      <c r="DE895" s="226"/>
      <c r="DF895" s="226"/>
      <c r="DG895" s="226"/>
      <c r="DH895" s="226"/>
      <c r="DI895" s="226"/>
      <c r="DJ895" s="226"/>
      <c r="DK895" s="226"/>
      <c r="DL895" s="226"/>
      <c r="DM895" s="226"/>
      <c r="DN895" s="226"/>
      <c r="DO895" s="226"/>
      <c r="DP895" s="226"/>
      <c r="DQ895" s="226"/>
      <c r="DR895" s="226"/>
      <c r="DS895" s="226"/>
      <c r="DT895" s="226"/>
      <c r="DU895" s="226"/>
      <c r="DV895" s="226"/>
      <c r="DW895" s="226"/>
      <c r="DX895" s="226"/>
      <c r="DY895" s="226"/>
      <c r="DZ895" s="226"/>
      <c r="EA895" s="226"/>
      <c r="EB895" s="226"/>
      <c r="EC895" s="226"/>
      <c r="ED895" s="226"/>
      <c r="EE895" s="226"/>
      <c r="EF895" s="226"/>
      <c r="EG895" s="226"/>
      <c r="EH895" s="226"/>
      <c r="EI895" s="226"/>
      <c r="EJ895" s="226"/>
      <c r="EK895" s="226"/>
      <c r="EL895" s="226"/>
      <c r="EM895" s="226"/>
      <c r="EN895" s="226"/>
      <c r="EO895" s="226"/>
      <c r="EP895" s="226"/>
      <c r="EQ895" s="226"/>
      <c r="ER895" s="226"/>
      <c r="ES895" s="226"/>
      <c r="ET895" s="226"/>
      <c r="EU895" s="226"/>
      <c r="EV895" s="226"/>
      <c r="EW895" s="226"/>
      <c r="EX895" s="226"/>
      <c r="EY895" s="226"/>
      <c r="EZ895" s="226"/>
      <c r="FA895" s="226"/>
      <c r="FB895" s="226"/>
      <c r="FC895" s="226"/>
      <c r="FD895" s="226"/>
      <c r="FE895" s="226"/>
      <c r="FF895" s="226"/>
      <c r="FG895" s="226"/>
      <c r="FH895" s="226"/>
      <c r="FI895" s="226"/>
      <c r="FJ895" s="226"/>
      <c r="FK895" s="226"/>
      <c r="FL895" s="226"/>
      <c r="FM895" s="226"/>
      <c r="FN895" s="226"/>
      <c r="FO895" s="226"/>
      <c r="FP895" s="226"/>
      <c r="FQ895" s="226"/>
      <c r="FR895" s="226"/>
      <c r="FS895" s="226"/>
      <c r="FT895" s="226"/>
      <c r="FU895" s="226"/>
      <c r="FV895" s="226"/>
      <c r="FW895" s="226"/>
      <c r="FX895" s="226"/>
      <c r="FY895" s="226"/>
      <c r="FZ895" s="226"/>
      <c r="GA895" s="226"/>
      <c r="GB895" s="226"/>
      <c r="GC895" s="226"/>
      <c r="GD895" s="226"/>
      <c r="GE895" s="226"/>
      <c r="GF895" s="226"/>
      <c r="GG895" s="226"/>
      <c r="GH895" s="226"/>
      <c r="GI895" s="226"/>
      <c r="GJ895" s="226"/>
      <c r="GK895" s="226"/>
      <c r="GL895" s="226"/>
      <c r="GM895" s="226"/>
      <c r="GN895" s="226"/>
    </row>
    <row r="896">
      <c r="A896" s="212"/>
      <c r="B896" s="21"/>
      <c r="C896" s="21"/>
      <c r="D896" s="213"/>
      <c r="E896" s="214"/>
      <c r="F896" s="215"/>
      <c r="G896" s="21"/>
      <c r="H896" s="225"/>
      <c r="I896" s="110"/>
      <c r="J896" s="110"/>
      <c r="K896" s="110"/>
      <c r="L896" s="110"/>
      <c r="M896" s="110"/>
      <c r="N896" s="110"/>
      <c r="O896" s="110"/>
      <c r="P896" s="225"/>
      <c r="Q896" s="212"/>
      <c r="R896" s="24"/>
      <c r="S896" s="21"/>
      <c r="T896" s="21"/>
      <c r="U896" s="180"/>
      <c r="V896" s="214"/>
      <c r="W896" s="21"/>
      <c r="X896" s="225"/>
      <c r="Y896" s="225"/>
      <c r="Z896" s="225"/>
      <c r="AA896" s="226"/>
      <c r="AB896" s="226"/>
      <c r="AC896" s="226"/>
      <c r="AD896" s="226"/>
      <c r="AE896" s="226"/>
      <c r="AF896" s="226"/>
      <c r="AG896" s="226"/>
      <c r="AH896" s="226"/>
      <c r="AI896" s="226"/>
      <c r="AJ896" s="226"/>
      <c r="AK896" s="226"/>
      <c r="AL896" s="226"/>
      <c r="AM896" s="226"/>
      <c r="AN896" s="226"/>
      <c r="AO896" s="226"/>
      <c r="AP896" s="226"/>
      <c r="AQ896" s="226"/>
      <c r="AR896" s="226"/>
      <c r="AS896" s="226"/>
      <c r="AT896" s="226"/>
      <c r="AU896" s="226"/>
      <c r="AV896" s="226"/>
      <c r="AW896" s="226"/>
      <c r="AX896" s="226"/>
      <c r="AY896" s="226"/>
      <c r="AZ896" s="226"/>
      <c r="BA896" s="226"/>
      <c r="BB896" s="226"/>
      <c r="BC896" s="226"/>
      <c r="BD896" s="226"/>
      <c r="BE896" s="226"/>
      <c r="BF896" s="226"/>
      <c r="BG896" s="226"/>
      <c r="BH896" s="226"/>
      <c r="BI896" s="226"/>
      <c r="BJ896" s="226"/>
      <c r="BK896" s="226"/>
      <c r="BL896" s="226"/>
      <c r="BM896" s="226"/>
      <c r="BN896" s="226"/>
      <c r="BO896" s="226"/>
      <c r="BP896" s="226"/>
      <c r="BQ896" s="226"/>
      <c r="BR896" s="226"/>
      <c r="BS896" s="226"/>
      <c r="BT896" s="226"/>
      <c r="BU896" s="226"/>
      <c r="BV896" s="226"/>
      <c r="BW896" s="226"/>
      <c r="BX896" s="226"/>
      <c r="BY896" s="226"/>
      <c r="BZ896" s="226"/>
      <c r="CA896" s="226"/>
      <c r="CB896" s="226"/>
      <c r="CC896" s="226"/>
      <c r="CD896" s="226"/>
      <c r="CE896" s="226"/>
      <c r="CF896" s="226"/>
      <c r="CG896" s="226"/>
      <c r="CH896" s="226"/>
      <c r="CI896" s="226"/>
      <c r="CJ896" s="226"/>
      <c r="CK896" s="226"/>
      <c r="CL896" s="226"/>
      <c r="CM896" s="226"/>
      <c r="CN896" s="226"/>
      <c r="CO896" s="226"/>
      <c r="CP896" s="226"/>
      <c r="CQ896" s="226"/>
      <c r="CR896" s="226"/>
      <c r="CS896" s="226"/>
      <c r="CT896" s="226"/>
      <c r="CU896" s="226"/>
      <c r="CV896" s="226"/>
      <c r="CW896" s="226"/>
      <c r="CX896" s="226"/>
      <c r="CY896" s="226"/>
      <c r="CZ896" s="226"/>
      <c r="DA896" s="226"/>
      <c r="DB896" s="226"/>
      <c r="DC896" s="226"/>
      <c r="DD896" s="226"/>
      <c r="DE896" s="226"/>
      <c r="DF896" s="226"/>
      <c r="DG896" s="226"/>
      <c r="DH896" s="226"/>
      <c r="DI896" s="226"/>
      <c r="DJ896" s="226"/>
      <c r="DK896" s="226"/>
      <c r="DL896" s="226"/>
      <c r="DM896" s="226"/>
      <c r="DN896" s="226"/>
      <c r="DO896" s="226"/>
      <c r="DP896" s="226"/>
      <c r="DQ896" s="226"/>
      <c r="DR896" s="226"/>
      <c r="DS896" s="226"/>
      <c r="DT896" s="226"/>
      <c r="DU896" s="226"/>
      <c r="DV896" s="226"/>
      <c r="DW896" s="226"/>
      <c r="DX896" s="226"/>
      <c r="DY896" s="226"/>
      <c r="DZ896" s="226"/>
      <c r="EA896" s="226"/>
      <c r="EB896" s="226"/>
      <c r="EC896" s="226"/>
      <c r="ED896" s="226"/>
      <c r="EE896" s="226"/>
      <c r="EF896" s="226"/>
      <c r="EG896" s="226"/>
      <c r="EH896" s="226"/>
      <c r="EI896" s="226"/>
      <c r="EJ896" s="226"/>
      <c r="EK896" s="226"/>
      <c r="EL896" s="226"/>
      <c r="EM896" s="226"/>
      <c r="EN896" s="226"/>
      <c r="EO896" s="226"/>
      <c r="EP896" s="226"/>
      <c r="EQ896" s="226"/>
      <c r="ER896" s="226"/>
      <c r="ES896" s="226"/>
      <c r="ET896" s="226"/>
      <c r="EU896" s="226"/>
      <c r="EV896" s="226"/>
      <c r="EW896" s="226"/>
      <c r="EX896" s="226"/>
      <c r="EY896" s="226"/>
      <c r="EZ896" s="226"/>
      <c r="FA896" s="226"/>
      <c r="FB896" s="226"/>
      <c r="FC896" s="226"/>
      <c r="FD896" s="226"/>
      <c r="FE896" s="226"/>
      <c r="FF896" s="226"/>
      <c r="FG896" s="226"/>
      <c r="FH896" s="226"/>
      <c r="FI896" s="226"/>
      <c r="FJ896" s="226"/>
      <c r="FK896" s="226"/>
      <c r="FL896" s="226"/>
      <c r="FM896" s="226"/>
      <c r="FN896" s="226"/>
      <c r="FO896" s="226"/>
      <c r="FP896" s="226"/>
      <c r="FQ896" s="226"/>
      <c r="FR896" s="226"/>
      <c r="FS896" s="226"/>
      <c r="FT896" s="226"/>
      <c r="FU896" s="226"/>
      <c r="FV896" s="226"/>
      <c r="FW896" s="226"/>
      <c r="FX896" s="226"/>
      <c r="FY896" s="226"/>
      <c r="FZ896" s="226"/>
      <c r="GA896" s="226"/>
      <c r="GB896" s="226"/>
      <c r="GC896" s="226"/>
      <c r="GD896" s="226"/>
      <c r="GE896" s="226"/>
      <c r="GF896" s="226"/>
      <c r="GG896" s="226"/>
      <c r="GH896" s="226"/>
      <c r="GI896" s="226"/>
      <c r="GJ896" s="226"/>
      <c r="GK896" s="226"/>
      <c r="GL896" s="226"/>
      <c r="GM896" s="226"/>
      <c r="GN896" s="226"/>
    </row>
    <row r="897">
      <c r="A897" s="212"/>
      <c r="B897" s="21"/>
      <c r="C897" s="21"/>
      <c r="D897" s="213"/>
      <c r="E897" s="214"/>
      <c r="F897" s="215"/>
      <c r="G897" s="21"/>
      <c r="H897" s="225"/>
      <c r="I897" s="110"/>
      <c r="J897" s="110"/>
      <c r="K897" s="110"/>
      <c r="L897" s="110"/>
      <c r="M897" s="110"/>
      <c r="N897" s="110"/>
      <c r="O897" s="110"/>
      <c r="P897" s="225"/>
      <c r="Q897" s="212"/>
      <c r="R897" s="24"/>
      <c r="S897" s="21"/>
      <c r="T897" s="21"/>
      <c r="U897" s="180"/>
      <c r="V897" s="214"/>
      <c r="W897" s="21"/>
      <c r="X897" s="225"/>
      <c r="Y897" s="225"/>
      <c r="Z897" s="225"/>
      <c r="AA897" s="226"/>
      <c r="AB897" s="226"/>
      <c r="AC897" s="226"/>
      <c r="AD897" s="226"/>
      <c r="AE897" s="226"/>
      <c r="AF897" s="226"/>
      <c r="AG897" s="226"/>
      <c r="AH897" s="226"/>
      <c r="AI897" s="226"/>
      <c r="AJ897" s="226"/>
      <c r="AK897" s="226"/>
      <c r="AL897" s="226"/>
      <c r="AM897" s="226"/>
      <c r="AN897" s="226"/>
      <c r="AO897" s="226"/>
      <c r="AP897" s="226"/>
      <c r="AQ897" s="226"/>
      <c r="AR897" s="226"/>
      <c r="AS897" s="226"/>
      <c r="AT897" s="226"/>
      <c r="AU897" s="226"/>
      <c r="AV897" s="226"/>
      <c r="AW897" s="226"/>
      <c r="AX897" s="226"/>
      <c r="AY897" s="226"/>
      <c r="AZ897" s="226"/>
      <c r="BA897" s="226"/>
      <c r="BB897" s="226"/>
      <c r="BC897" s="226"/>
      <c r="BD897" s="226"/>
      <c r="BE897" s="226"/>
      <c r="BF897" s="226"/>
      <c r="BG897" s="226"/>
      <c r="BH897" s="226"/>
      <c r="BI897" s="226"/>
      <c r="BJ897" s="226"/>
      <c r="BK897" s="226"/>
      <c r="BL897" s="226"/>
      <c r="BM897" s="226"/>
      <c r="BN897" s="226"/>
      <c r="BO897" s="226"/>
      <c r="BP897" s="226"/>
      <c r="BQ897" s="226"/>
      <c r="BR897" s="226"/>
      <c r="BS897" s="226"/>
      <c r="BT897" s="226"/>
      <c r="BU897" s="226"/>
      <c r="BV897" s="226"/>
      <c r="BW897" s="226"/>
      <c r="BX897" s="226"/>
      <c r="BY897" s="226"/>
      <c r="BZ897" s="226"/>
      <c r="CA897" s="226"/>
      <c r="CB897" s="226"/>
      <c r="CC897" s="226"/>
      <c r="CD897" s="226"/>
      <c r="CE897" s="226"/>
      <c r="CF897" s="226"/>
      <c r="CG897" s="226"/>
      <c r="CH897" s="226"/>
      <c r="CI897" s="226"/>
      <c r="CJ897" s="226"/>
      <c r="CK897" s="226"/>
      <c r="CL897" s="226"/>
      <c r="CM897" s="226"/>
      <c r="CN897" s="226"/>
      <c r="CO897" s="226"/>
      <c r="CP897" s="226"/>
      <c r="CQ897" s="226"/>
      <c r="CR897" s="226"/>
      <c r="CS897" s="226"/>
      <c r="CT897" s="226"/>
      <c r="CU897" s="226"/>
      <c r="CV897" s="226"/>
      <c r="CW897" s="226"/>
      <c r="CX897" s="226"/>
      <c r="CY897" s="226"/>
      <c r="CZ897" s="226"/>
      <c r="DA897" s="226"/>
      <c r="DB897" s="226"/>
      <c r="DC897" s="226"/>
      <c r="DD897" s="226"/>
      <c r="DE897" s="226"/>
      <c r="DF897" s="226"/>
      <c r="DG897" s="226"/>
      <c r="DH897" s="226"/>
      <c r="DI897" s="226"/>
      <c r="DJ897" s="226"/>
      <c r="DK897" s="226"/>
      <c r="DL897" s="226"/>
      <c r="DM897" s="226"/>
      <c r="DN897" s="226"/>
      <c r="DO897" s="226"/>
      <c r="DP897" s="226"/>
      <c r="DQ897" s="226"/>
      <c r="DR897" s="226"/>
      <c r="DS897" s="226"/>
      <c r="DT897" s="226"/>
      <c r="DU897" s="226"/>
      <c r="DV897" s="226"/>
      <c r="DW897" s="226"/>
      <c r="DX897" s="226"/>
      <c r="DY897" s="226"/>
      <c r="DZ897" s="226"/>
      <c r="EA897" s="226"/>
      <c r="EB897" s="226"/>
      <c r="EC897" s="226"/>
      <c r="ED897" s="226"/>
      <c r="EE897" s="226"/>
      <c r="EF897" s="226"/>
      <c r="EG897" s="226"/>
      <c r="EH897" s="226"/>
      <c r="EI897" s="226"/>
      <c r="EJ897" s="226"/>
      <c r="EK897" s="226"/>
      <c r="EL897" s="226"/>
      <c r="EM897" s="226"/>
      <c r="EN897" s="226"/>
      <c r="EO897" s="226"/>
      <c r="EP897" s="226"/>
      <c r="EQ897" s="226"/>
      <c r="ER897" s="226"/>
      <c r="ES897" s="226"/>
      <c r="ET897" s="226"/>
      <c r="EU897" s="226"/>
      <c r="EV897" s="226"/>
      <c r="EW897" s="226"/>
      <c r="EX897" s="226"/>
      <c r="EY897" s="226"/>
      <c r="EZ897" s="226"/>
      <c r="FA897" s="226"/>
      <c r="FB897" s="226"/>
      <c r="FC897" s="226"/>
      <c r="FD897" s="226"/>
      <c r="FE897" s="226"/>
      <c r="FF897" s="226"/>
      <c r="FG897" s="226"/>
      <c r="FH897" s="226"/>
      <c r="FI897" s="226"/>
      <c r="FJ897" s="226"/>
      <c r="FK897" s="226"/>
      <c r="FL897" s="226"/>
      <c r="FM897" s="226"/>
      <c r="FN897" s="226"/>
      <c r="FO897" s="226"/>
      <c r="FP897" s="226"/>
      <c r="FQ897" s="226"/>
      <c r="FR897" s="226"/>
      <c r="FS897" s="226"/>
      <c r="FT897" s="226"/>
      <c r="FU897" s="226"/>
      <c r="FV897" s="226"/>
      <c r="FW897" s="226"/>
      <c r="FX897" s="226"/>
      <c r="FY897" s="226"/>
      <c r="FZ897" s="226"/>
      <c r="GA897" s="226"/>
      <c r="GB897" s="226"/>
      <c r="GC897" s="226"/>
      <c r="GD897" s="226"/>
      <c r="GE897" s="226"/>
      <c r="GF897" s="226"/>
      <c r="GG897" s="226"/>
      <c r="GH897" s="226"/>
      <c r="GI897" s="226"/>
      <c r="GJ897" s="226"/>
      <c r="GK897" s="226"/>
      <c r="GL897" s="226"/>
      <c r="GM897" s="226"/>
      <c r="GN897" s="226"/>
    </row>
    <row r="898">
      <c r="A898" s="212"/>
      <c r="B898" s="21"/>
      <c r="C898" s="21"/>
      <c r="D898" s="213"/>
      <c r="E898" s="214"/>
      <c r="F898" s="215"/>
      <c r="G898" s="21"/>
      <c r="H898" s="225"/>
      <c r="I898" s="110"/>
      <c r="J898" s="110"/>
      <c r="K898" s="110"/>
      <c r="L898" s="110"/>
      <c r="M898" s="110"/>
      <c r="N898" s="110"/>
      <c r="O898" s="110"/>
      <c r="P898" s="225"/>
      <c r="Q898" s="212"/>
      <c r="R898" s="24"/>
      <c r="S898" s="21"/>
      <c r="T898" s="21"/>
      <c r="U898" s="180"/>
      <c r="V898" s="214"/>
      <c r="W898" s="21"/>
      <c r="X898" s="225"/>
      <c r="Y898" s="225"/>
      <c r="Z898" s="225"/>
      <c r="AA898" s="226"/>
      <c r="AB898" s="226"/>
      <c r="AC898" s="226"/>
      <c r="AD898" s="226"/>
      <c r="AE898" s="226"/>
      <c r="AF898" s="226"/>
      <c r="AG898" s="226"/>
      <c r="AH898" s="226"/>
      <c r="AI898" s="226"/>
      <c r="AJ898" s="226"/>
      <c r="AK898" s="226"/>
      <c r="AL898" s="226"/>
      <c r="AM898" s="226"/>
      <c r="AN898" s="226"/>
      <c r="AO898" s="226"/>
      <c r="AP898" s="226"/>
      <c r="AQ898" s="226"/>
      <c r="AR898" s="226"/>
      <c r="AS898" s="226"/>
      <c r="AT898" s="226"/>
      <c r="AU898" s="226"/>
      <c r="AV898" s="226"/>
      <c r="AW898" s="226"/>
      <c r="AX898" s="226"/>
      <c r="AY898" s="226"/>
      <c r="AZ898" s="226"/>
      <c r="BA898" s="226"/>
      <c r="BB898" s="226"/>
      <c r="BC898" s="226"/>
      <c r="BD898" s="226"/>
      <c r="BE898" s="226"/>
      <c r="BF898" s="226"/>
      <c r="BG898" s="226"/>
      <c r="BH898" s="226"/>
      <c r="BI898" s="226"/>
      <c r="BJ898" s="226"/>
      <c r="BK898" s="226"/>
      <c r="BL898" s="226"/>
      <c r="BM898" s="226"/>
      <c r="BN898" s="226"/>
      <c r="BO898" s="226"/>
      <c r="BP898" s="226"/>
      <c r="BQ898" s="226"/>
      <c r="BR898" s="226"/>
      <c r="BS898" s="226"/>
      <c r="BT898" s="226"/>
      <c r="BU898" s="226"/>
      <c r="BV898" s="226"/>
      <c r="BW898" s="226"/>
      <c r="BX898" s="226"/>
      <c r="BY898" s="226"/>
      <c r="BZ898" s="226"/>
      <c r="CA898" s="226"/>
      <c r="CB898" s="226"/>
      <c r="CC898" s="226"/>
      <c r="CD898" s="226"/>
      <c r="CE898" s="226"/>
      <c r="CF898" s="226"/>
      <c r="CG898" s="226"/>
      <c r="CH898" s="226"/>
      <c r="CI898" s="226"/>
      <c r="CJ898" s="226"/>
      <c r="CK898" s="226"/>
      <c r="CL898" s="226"/>
      <c r="CM898" s="226"/>
      <c r="CN898" s="226"/>
      <c r="CO898" s="226"/>
      <c r="CP898" s="226"/>
      <c r="CQ898" s="226"/>
      <c r="CR898" s="226"/>
      <c r="CS898" s="226"/>
      <c r="CT898" s="226"/>
      <c r="CU898" s="226"/>
      <c r="CV898" s="226"/>
      <c r="CW898" s="226"/>
      <c r="CX898" s="226"/>
      <c r="CY898" s="226"/>
      <c r="CZ898" s="226"/>
      <c r="DA898" s="226"/>
      <c r="DB898" s="226"/>
      <c r="DC898" s="226"/>
      <c r="DD898" s="226"/>
      <c r="DE898" s="226"/>
      <c r="DF898" s="226"/>
      <c r="DG898" s="226"/>
      <c r="DH898" s="226"/>
      <c r="DI898" s="226"/>
      <c r="DJ898" s="226"/>
      <c r="DK898" s="226"/>
      <c r="DL898" s="226"/>
      <c r="DM898" s="226"/>
      <c r="DN898" s="226"/>
      <c r="DO898" s="226"/>
      <c r="DP898" s="226"/>
      <c r="DQ898" s="226"/>
      <c r="DR898" s="226"/>
      <c r="DS898" s="226"/>
      <c r="DT898" s="226"/>
      <c r="DU898" s="226"/>
      <c r="DV898" s="226"/>
      <c r="DW898" s="226"/>
      <c r="DX898" s="226"/>
      <c r="DY898" s="226"/>
      <c r="DZ898" s="226"/>
      <c r="EA898" s="226"/>
      <c r="EB898" s="226"/>
      <c r="EC898" s="226"/>
      <c r="ED898" s="226"/>
      <c r="EE898" s="226"/>
      <c r="EF898" s="226"/>
      <c r="EG898" s="226"/>
      <c r="EH898" s="226"/>
      <c r="EI898" s="226"/>
      <c r="EJ898" s="226"/>
      <c r="EK898" s="226"/>
      <c r="EL898" s="226"/>
      <c r="EM898" s="226"/>
      <c r="EN898" s="226"/>
      <c r="EO898" s="226"/>
      <c r="EP898" s="226"/>
      <c r="EQ898" s="226"/>
      <c r="ER898" s="226"/>
      <c r="ES898" s="226"/>
      <c r="ET898" s="226"/>
      <c r="EU898" s="226"/>
      <c r="EV898" s="226"/>
      <c r="EW898" s="226"/>
      <c r="EX898" s="226"/>
      <c r="EY898" s="226"/>
      <c r="EZ898" s="226"/>
      <c r="FA898" s="226"/>
      <c r="FB898" s="226"/>
      <c r="FC898" s="226"/>
      <c r="FD898" s="226"/>
      <c r="FE898" s="226"/>
      <c r="FF898" s="226"/>
      <c r="FG898" s="226"/>
      <c r="FH898" s="226"/>
      <c r="FI898" s="226"/>
      <c r="FJ898" s="226"/>
      <c r="FK898" s="226"/>
      <c r="FL898" s="226"/>
      <c r="FM898" s="226"/>
      <c r="FN898" s="226"/>
      <c r="FO898" s="226"/>
      <c r="FP898" s="226"/>
      <c r="FQ898" s="226"/>
      <c r="FR898" s="226"/>
      <c r="FS898" s="226"/>
      <c r="FT898" s="226"/>
      <c r="FU898" s="226"/>
      <c r="FV898" s="226"/>
      <c r="FW898" s="226"/>
      <c r="FX898" s="226"/>
      <c r="FY898" s="226"/>
      <c r="FZ898" s="226"/>
      <c r="GA898" s="226"/>
      <c r="GB898" s="226"/>
      <c r="GC898" s="226"/>
      <c r="GD898" s="226"/>
      <c r="GE898" s="226"/>
      <c r="GF898" s="226"/>
      <c r="GG898" s="226"/>
      <c r="GH898" s="226"/>
      <c r="GI898" s="226"/>
      <c r="GJ898" s="226"/>
      <c r="GK898" s="226"/>
      <c r="GL898" s="226"/>
      <c r="GM898" s="226"/>
      <c r="GN898" s="226"/>
    </row>
    <row r="899">
      <c r="A899" s="212"/>
      <c r="B899" s="21"/>
      <c r="C899" s="21"/>
      <c r="D899" s="213"/>
      <c r="E899" s="214"/>
      <c r="F899" s="215"/>
      <c r="G899" s="21"/>
      <c r="H899" s="225"/>
      <c r="I899" s="110"/>
      <c r="J899" s="110"/>
      <c r="K899" s="110"/>
      <c r="L899" s="110"/>
      <c r="M899" s="110"/>
      <c r="N899" s="110"/>
      <c r="O899" s="110"/>
      <c r="P899" s="225"/>
      <c r="Q899" s="212"/>
      <c r="R899" s="24"/>
      <c r="S899" s="21"/>
      <c r="T899" s="21"/>
      <c r="U899" s="180"/>
      <c r="V899" s="214"/>
      <c r="W899" s="21"/>
      <c r="X899" s="225"/>
      <c r="Y899" s="225"/>
      <c r="Z899" s="225"/>
      <c r="AA899" s="226"/>
      <c r="AB899" s="226"/>
      <c r="AC899" s="226"/>
      <c r="AD899" s="226"/>
      <c r="AE899" s="226"/>
      <c r="AF899" s="226"/>
      <c r="AG899" s="226"/>
      <c r="AH899" s="226"/>
      <c r="AI899" s="226"/>
      <c r="AJ899" s="226"/>
      <c r="AK899" s="226"/>
      <c r="AL899" s="226"/>
      <c r="AM899" s="226"/>
      <c r="AN899" s="226"/>
      <c r="AO899" s="226"/>
      <c r="AP899" s="226"/>
      <c r="AQ899" s="226"/>
      <c r="AR899" s="226"/>
      <c r="AS899" s="226"/>
      <c r="AT899" s="226"/>
      <c r="AU899" s="226"/>
      <c r="AV899" s="226"/>
      <c r="AW899" s="226"/>
      <c r="AX899" s="226"/>
      <c r="AY899" s="226"/>
      <c r="AZ899" s="226"/>
      <c r="BA899" s="226"/>
      <c r="BB899" s="226"/>
      <c r="BC899" s="226"/>
      <c r="BD899" s="226"/>
      <c r="BE899" s="226"/>
      <c r="BF899" s="226"/>
      <c r="BG899" s="226"/>
      <c r="BH899" s="226"/>
      <c r="BI899" s="226"/>
      <c r="BJ899" s="226"/>
      <c r="BK899" s="226"/>
      <c r="BL899" s="226"/>
      <c r="BM899" s="226"/>
      <c r="BN899" s="226"/>
      <c r="BO899" s="226"/>
      <c r="BP899" s="226"/>
      <c r="BQ899" s="226"/>
      <c r="BR899" s="226"/>
      <c r="BS899" s="226"/>
      <c r="BT899" s="226"/>
      <c r="BU899" s="226"/>
      <c r="BV899" s="226"/>
      <c r="BW899" s="226"/>
      <c r="BX899" s="226"/>
      <c r="BY899" s="226"/>
      <c r="BZ899" s="226"/>
      <c r="CA899" s="226"/>
      <c r="CB899" s="226"/>
      <c r="CC899" s="226"/>
      <c r="CD899" s="226"/>
      <c r="CE899" s="226"/>
      <c r="CF899" s="226"/>
      <c r="CG899" s="226"/>
      <c r="CH899" s="226"/>
      <c r="CI899" s="226"/>
      <c r="CJ899" s="226"/>
      <c r="CK899" s="226"/>
      <c r="CL899" s="226"/>
      <c r="CM899" s="226"/>
      <c r="CN899" s="226"/>
      <c r="CO899" s="226"/>
      <c r="CP899" s="226"/>
      <c r="CQ899" s="226"/>
      <c r="CR899" s="226"/>
      <c r="CS899" s="226"/>
      <c r="CT899" s="226"/>
      <c r="CU899" s="226"/>
      <c r="CV899" s="226"/>
      <c r="CW899" s="226"/>
      <c r="CX899" s="226"/>
      <c r="CY899" s="226"/>
      <c r="CZ899" s="226"/>
      <c r="DA899" s="226"/>
      <c r="DB899" s="226"/>
      <c r="DC899" s="226"/>
      <c r="DD899" s="226"/>
      <c r="DE899" s="226"/>
      <c r="DF899" s="226"/>
      <c r="DG899" s="226"/>
      <c r="DH899" s="226"/>
      <c r="DI899" s="226"/>
      <c r="DJ899" s="226"/>
      <c r="DK899" s="226"/>
      <c r="DL899" s="226"/>
      <c r="DM899" s="226"/>
      <c r="DN899" s="226"/>
      <c r="DO899" s="226"/>
      <c r="DP899" s="226"/>
      <c r="DQ899" s="226"/>
      <c r="DR899" s="226"/>
      <c r="DS899" s="226"/>
      <c r="DT899" s="226"/>
      <c r="DU899" s="226"/>
      <c r="DV899" s="226"/>
      <c r="DW899" s="226"/>
      <c r="DX899" s="226"/>
      <c r="DY899" s="226"/>
      <c r="DZ899" s="226"/>
      <c r="EA899" s="226"/>
      <c r="EB899" s="226"/>
      <c r="EC899" s="226"/>
      <c r="ED899" s="226"/>
      <c r="EE899" s="226"/>
      <c r="EF899" s="226"/>
      <c r="EG899" s="226"/>
      <c r="EH899" s="226"/>
      <c r="EI899" s="226"/>
      <c r="EJ899" s="226"/>
      <c r="EK899" s="226"/>
      <c r="EL899" s="226"/>
      <c r="EM899" s="226"/>
      <c r="EN899" s="226"/>
      <c r="EO899" s="226"/>
      <c r="EP899" s="226"/>
      <c r="EQ899" s="226"/>
      <c r="ER899" s="226"/>
      <c r="ES899" s="226"/>
      <c r="ET899" s="226"/>
      <c r="EU899" s="226"/>
      <c r="EV899" s="226"/>
      <c r="EW899" s="226"/>
      <c r="EX899" s="226"/>
      <c r="EY899" s="226"/>
      <c r="EZ899" s="226"/>
      <c r="FA899" s="226"/>
      <c r="FB899" s="226"/>
      <c r="FC899" s="226"/>
      <c r="FD899" s="226"/>
      <c r="FE899" s="226"/>
      <c r="FF899" s="226"/>
      <c r="FG899" s="226"/>
      <c r="FH899" s="226"/>
      <c r="FI899" s="226"/>
      <c r="FJ899" s="226"/>
      <c r="FK899" s="226"/>
      <c r="FL899" s="226"/>
      <c r="FM899" s="226"/>
      <c r="FN899" s="226"/>
      <c r="FO899" s="226"/>
      <c r="FP899" s="226"/>
      <c r="FQ899" s="226"/>
      <c r="FR899" s="226"/>
      <c r="FS899" s="226"/>
      <c r="FT899" s="226"/>
      <c r="FU899" s="226"/>
      <c r="FV899" s="226"/>
      <c r="FW899" s="226"/>
      <c r="FX899" s="226"/>
      <c r="FY899" s="226"/>
      <c r="FZ899" s="226"/>
      <c r="GA899" s="226"/>
      <c r="GB899" s="226"/>
      <c r="GC899" s="226"/>
      <c r="GD899" s="226"/>
      <c r="GE899" s="226"/>
      <c r="GF899" s="226"/>
      <c r="GG899" s="226"/>
      <c r="GH899" s="226"/>
      <c r="GI899" s="226"/>
      <c r="GJ899" s="226"/>
      <c r="GK899" s="226"/>
      <c r="GL899" s="226"/>
      <c r="GM899" s="226"/>
      <c r="GN899" s="226"/>
    </row>
    <row r="900">
      <c r="A900" s="212"/>
      <c r="B900" s="21"/>
      <c r="C900" s="21"/>
      <c r="D900" s="213"/>
      <c r="E900" s="214"/>
      <c r="F900" s="215"/>
      <c r="G900" s="21"/>
      <c r="H900" s="225"/>
      <c r="I900" s="110"/>
      <c r="J900" s="110"/>
      <c r="K900" s="110"/>
      <c r="L900" s="110"/>
      <c r="M900" s="110"/>
      <c r="N900" s="110"/>
      <c r="O900" s="110"/>
      <c r="P900" s="225"/>
      <c r="Q900" s="212"/>
      <c r="R900" s="24"/>
      <c r="S900" s="21"/>
      <c r="T900" s="21"/>
      <c r="U900" s="180"/>
      <c r="V900" s="214"/>
      <c r="W900" s="21"/>
      <c r="X900" s="225"/>
      <c r="Y900" s="225"/>
      <c r="Z900" s="225"/>
      <c r="AA900" s="226"/>
      <c r="AB900" s="226"/>
      <c r="AC900" s="226"/>
      <c r="AD900" s="226"/>
      <c r="AE900" s="226"/>
      <c r="AF900" s="226"/>
      <c r="AG900" s="226"/>
      <c r="AH900" s="226"/>
      <c r="AI900" s="226"/>
      <c r="AJ900" s="226"/>
      <c r="AK900" s="226"/>
      <c r="AL900" s="226"/>
      <c r="AM900" s="226"/>
      <c r="AN900" s="226"/>
      <c r="AO900" s="226"/>
      <c r="AP900" s="226"/>
      <c r="AQ900" s="226"/>
      <c r="AR900" s="226"/>
      <c r="AS900" s="226"/>
      <c r="AT900" s="226"/>
      <c r="AU900" s="226"/>
      <c r="AV900" s="226"/>
      <c r="AW900" s="226"/>
      <c r="AX900" s="226"/>
      <c r="AY900" s="226"/>
      <c r="AZ900" s="226"/>
      <c r="BA900" s="226"/>
      <c r="BB900" s="226"/>
      <c r="BC900" s="226"/>
      <c r="BD900" s="226"/>
      <c r="BE900" s="226"/>
      <c r="BF900" s="226"/>
      <c r="BG900" s="226"/>
      <c r="BH900" s="226"/>
      <c r="BI900" s="226"/>
      <c r="BJ900" s="226"/>
      <c r="BK900" s="226"/>
      <c r="BL900" s="226"/>
      <c r="BM900" s="226"/>
      <c r="BN900" s="226"/>
      <c r="BO900" s="226"/>
      <c r="BP900" s="226"/>
      <c r="BQ900" s="226"/>
      <c r="BR900" s="226"/>
      <c r="BS900" s="226"/>
      <c r="BT900" s="226"/>
      <c r="BU900" s="226"/>
      <c r="BV900" s="226"/>
      <c r="BW900" s="226"/>
      <c r="BX900" s="226"/>
      <c r="BY900" s="226"/>
      <c r="BZ900" s="226"/>
      <c r="CA900" s="226"/>
      <c r="CB900" s="226"/>
      <c r="CC900" s="226"/>
      <c r="CD900" s="226"/>
      <c r="CE900" s="226"/>
      <c r="CF900" s="226"/>
      <c r="CG900" s="226"/>
      <c r="CH900" s="226"/>
      <c r="CI900" s="226"/>
      <c r="CJ900" s="226"/>
      <c r="CK900" s="226"/>
      <c r="CL900" s="226"/>
      <c r="CM900" s="226"/>
      <c r="CN900" s="226"/>
      <c r="CO900" s="226"/>
      <c r="CP900" s="226"/>
      <c r="CQ900" s="226"/>
      <c r="CR900" s="226"/>
      <c r="CS900" s="226"/>
      <c r="CT900" s="226"/>
      <c r="CU900" s="226"/>
      <c r="CV900" s="226"/>
      <c r="CW900" s="226"/>
      <c r="CX900" s="226"/>
      <c r="CY900" s="226"/>
      <c r="CZ900" s="226"/>
      <c r="DA900" s="226"/>
      <c r="DB900" s="226"/>
      <c r="DC900" s="226"/>
      <c r="DD900" s="226"/>
      <c r="DE900" s="226"/>
      <c r="DF900" s="226"/>
      <c r="DG900" s="226"/>
      <c r="DH900" s="226"/>
      <c r="DI900" s="226"/>
      <c r="DJ900" s="226"/>
      <c r="DK900" s="226"/>
      <c r="DL900" s="226"/>
      <c r="DM900" s="226"/>
      <c r="DN900" s="226"/>
      <c r="DO900" s="226"/>
      <c r="DP900" s="226"/>
      <c r="DQ900" s="226"/>
      <c r="DR900" s="226"/>
      <c r="DS900" s="226"/>
      <c r="DT900" s="226"/>
      <c r="DU900" s="226"/>
      <c r="DV900" s="226"/>
      <c r="DW900" s="226"/>
      <c r="DX900" s="226"/>
      <c r="DY900" s="226"/>
      <c r="DZ900" s="226"/>
      <c r="EA900" s="226"/>
      <c r="EB900" s="226"/>
      <c r="EC900" s="226"/>
      <c r="ED900" s="226"/>
      <c r="EE900" s="226"/>
      <c r="EF900" s="226"/>
      <c r="EG900" s="226"/>
      <c r="EH900" s="226"/>
      <c r="EI900" s="226"/>
      <c r="EJ900" s="226"/>
      <c r="EK900" s="226"/>
      <c r="EL900" s="226"/>
      <c r="EM900" s="226"/>
      <c r="EN900" s="226"/>
      <c r="EO900" s="226"/>
      <c r="EP900" s="226"/>
      <c r="EQ900" s="226"/>
      <c r="ER900" s="226"/>
      <c r="ES900" s="226"/>
      <c r="ET900" s="226"/>
      <c r="EU900" s="226"/>
      <c r="EV900" s="226"/>
      <c r="EW900" s="226"/>
      <c r="EX900" s="226"/>
      <c r="EY900" s="226"/>
      <c r="EZ900" s="226"/>
      <c r="FA900" s="226"/>
      <c r="FB900" s="226"/>
      <c r="FC900" s="226"/>
      <c r="FD900" s="226"/>
      <c r="FE900" s="226"/>
      <c r="FF900" s="226"/>
      <c r="FG900" s="226"/>
      <c r="FH900" s="226"/>
      <c r="FI900" s="226"/>
      <c r="FJ900" s="226"/>
      <c r="FK900" s="226"/>
      <c r="FL900" s="226"/>
      <c r="FM900" s="226"/>
      <c r="FN900" s="226"/>
      <c r="FO900" s="226"/>
      <c r="FP900" s="226"/>
      <c r="FQ900" s="226"/>
      <c r="FR900" s="226"/>
      <c r="FS900" s="226"/>
      <c r="FT900" s="226"/>
      <c r="FU900" s="226"/>
      <c r="FV900" s="226"/>
      <c r="FW900" s="226"/>
      <c r="FX900" s="226"/>
      <c r="FY900" s="226"/>
      <c r="FZ900" s="226"/>
      <c r="GA900" s="226"/>
      <c r="GB900" s="226"/>
      <c r="GC900" s="226"/>
      <c r="GD900" s="226"/>
      <c r="GE900" s="226"/>
      <c r="GF900" s="226"/>
      <c r="GG900" s="226"/>
      <c r="GH900" s="226"/>
      <c r="GI900" s="226"/>
      <c r="GJ900" s="226"/>
      <c r="GK900" s="226"/>
      <c r="GL900" s="226"/>
      <c r="GM900" s="226"/>
      <c r="GN900" s="226"/>
    </row>
    <row r="901">
      <c r="A901" s="212"/>
      <c r="B901" s="21"/>
      <c r="C901" s="21"/>
      <c r="D901" s="213"/>
      <c r="E901" s="214"/>
      <c r="F901" s="215"/>
      <c r="G901" s="21"/>
      <c r="H901" s="225"/>
      <c r="I901" s="110"/>
      <c r="J901" s="110"/>
      <c r="K901" s="110"/>
      <c r="L901" s="110"/>
      <c r="M901" s="110"/>
      <c r="N901" s="110"/>
      <c r="O901" s="110"/>
      <c r="P901" s="225"/>
      <c r="Q901" s="212"/>
      <c r="R901" s="24"/>
      <c r="S901" s="21"/>
      <c r="T901" s="21"/>
      <c r="U901" s="180"/>
      <c r="V901" s="214"/>
      <c r="W901" s="21"/>
      <c r="X901" s="225"/>
      <c r="Y901" s="225"/>
      <c r="Z901" s="225"/>
      <c r="AA901" s="226"/>
      <c r="AB901" s="226"/>
      <c r="AC901" s="226"/>
      <c r="AD901" s="226"/>
      <c r="AE901" s="226"/>
      <c r="AF901" s="226"/>
      <c r="AG901" s="226"/>
      <c r="AH901" s="226"/>
      <c r="AI901" s="226"/>
      <c r="AJ901" s="226"/>
      <c r="AK901" s="226"/>
      <c r="AL901" s="226"/>
      <c r="AM901" s="226"/>
      <c r="AN901" s="226"/>
      <c r="AO901" s="226"/>
      <c r="AP901" s="226"/>
      <c r="AQ901" s="226"/>
      <c r="AR901" s="226"/>
      <c r="AS901" s="226"/>
      <c r="AT901" s="226"/>
      <c r="AU901" s="226"/>
      <c r="AV901" s="226"/>
      <c r="AW901" s="226"/>
      <c r="AX901" s="226"/>
      <c r="AY901" s="226"/>
      <c r="AZ901" s="226"/>
      <c r="BA901" s="226"/>
      <c r="BB901" s="226"/>
      <c r="BC901" s="226"/>
      <c r="BD901" s="226"/>
      <c r="BE901" s="226"/>
      <c r="BF901" s="226"/>
      <c r="BG901" s="226"/>
      <c r="BH901" s="226"/>
      <c r="BI901" s="226"/>
      <c r="BJ901" s="226"/>
      <c r="BK901" s="226"/>
      <c r="BL901" s="226"/>
      <c r="BM901" s="226"/>
      <c r="BN901" s="226"/>
      <c r="BO901" s="226"/>
      <c r="BP901" s="226"/>
      <c r="BQ901" s="226"/>
      <c r="BR901" s="226"/>
      <c r="BS901" s="226"/>
      <c r="BT901" s="226"/>
      <c r="BU901" s="226"/>
      <c r="BV901" s="226"/>
      <c r="BW901" s="226"/>
      <c r="BX901" s="226"/>
      <c r="BY901" s="226"/>
      <c r="BZ901" s="226"/>
      <c r="CA901" s="226"/>
      <c r="CB901" s="226"/>
      <c r="CC901" s="226"/>
      <c r="CD901" s="226"/>
      <c r="CE901" s="226"/>
      <c r="CF901" s="226"/>
      <c r="CG901" s="226"/>
      <c r="CH901" s="226"/>
      <c r="CI901" s="226"/>
      <c r="CJ901" s="226"/>
      <c r="CK901" s="226"/>
      <c r="CL901" s="226"/>
      <c r="CM901" s="226"/>
      <c r="CN901" s="226"/>
      <c r="CO901" s="226"/>
      <c r="CP901" s="226"/>
      <c r="CQ901" s="226"/>
      <c r="CR901" s="226"/>
      <c r="CS901" s="226"/>
      <c r="CT901" s="226"/>
      <c r="CU901" s="226"/>
      <c r="CV901" s="226"/>
      <c r="CW901" s="226"/>
      <c r="CX901" s="226"/>
      <c r="CY901" s="226"/>
      <c r="CZ901" s="226"/>
      <c r="DA901" s="226"/>
      <c r="DB901" s="226"/>
      <c r="DC901" s="226"/>
      <c r="DD901" s="226"/>
      <c r="DE901" s="226"/>
      <c r="DF901" s="226"/>
      <c r="DG901" s="226"/>
      <c r="DH901" s="226"/>
      <c r="DI901" s="226"/>
      <c r="DJ901" s="226"/>
      <c r="DK901" s="226"/>
      <c r="DL901" s="226"/>
      <c r="DM901" s="226"/>
      <c r="DN901" s="226"/>
      <c r="DO901" s="226"/>
      <c r="DP901" s="226"/>
      <c r="DQ901" s="226"/>
      <c r="DR901" s="226"/>
      <c r="DS901" s="226"/>
      <c r="DT901" s="226"/>
      <c r="DU901" s="226"/>
      <c r="DV901" s="226"/>
      <c r="DW901" s="226"/>
      <c r="DX901" s="226"/>
      <c r="DY901" s="226"/>
      <c r="DZ901" s="226"/>
      <c r="EA901" s="226"/>
      <c r="EB901" s="226"/>
      <c r="EC901" s="226"/>
      <c r="ED901" s="226"/>
      <c r="EE901" s="226"/>
      <c r="EF901" s="226"/>
      <c r="EG901" s="226"/>
      <c r="EH901" s="226"/>
      <c r="EI901" s="226"/>
      <c r="EJ901" s="226"/>
      <c r="EK901" s="226"/>
      <c r="EL901" s="226"/>
      <c r="EM901" s="226"/>
      <c r="EN901" s="226"/>
      <c r="EO901" s="226"/>
      <c r="EP901" s="226"/>
      <c r="EQ901" s="226"/>
      <c r="ER901" s="226"/>
      <c r="ES901" s="226"/>
      <c r="ET901" s="226"/>
      <c r="EU901" s="226"/>
      <c r="EV901" s="226"/>
      <c r="EW901" s="226"/>
      <c r="EX901" s="226"/>
      <c r="EY901" s="226"/>
      <c r="EZ901" s="226"/>
      <c r="FA901" s="226"/>
      <c r="FB901" s="226"/>
      <c r="FC901" s="226"/>
      <c r="FD901" s="226"/>
      <c r="FE901" s="226"/>
      <c r="FF901" s="226"/>
      <c r="FG901" s="226"/>
      <c r="FH901" s="226"/>
      <c r="FI901" s="226"/>
      <c r="FJ901" s="226"/>
      <c r="FK901" s="226"/>
      <c r="FL901" s="226"/>
      <c r="FM901" s="226"/>
      <c r="FN901" s="226"/>
      <c r="FO901" s="226"/>
      <c r="FP901" s="226"/>
      <c r="FQ901" s="226"/>
      <c r="FR901" s="226"/>
      <c r="FS901" s="226"/>
      <c r="FT901" s="226"/>
      <c r="FU901" s="226"/>
      <c r="FV901" s="226"/>
      <c r="FW901" s="226"/>
      <c r="FX901" s="226"/>
      <c r="FY901" s="226"/>
      <c r="FZ901" s="226"/>
      <c r="GA901" s="226"/>
      <c r="GB901" s="226"/>
      <c r="GC901" s="226"/>
      <c r="GD901" s="226"/>
      <c r="GE901" s="226"/>
      <c r="GF901" s="226"/>
      <c r="GG901" s="226"/>
      <c r="GH901" s="226"/>
      <c r="GI901" s="226"/>
      <c r="GJ901" s="226"/>
      <c r="GK901" s="226"/>
      <c r="GL901" s="226"/>
      <c r="GM901" s="226"/>
      <c r="GN901" s="226"/>
    </row>
    <row r="902">
      <c r="A902" s="212"/>
      <c r="B902" s="21"/>
      <c r="C902" s="21"/>
      <c r="D902" s="213"/>
      <c r="E902" s="214"/>
      <c r="F902" s="215"/>
      <c r="G902" s="21"/>
      <c r="H902" s="225"/>
      <c r="I902" s="110"/>
      <c r="J902" s="110"/>
      <c r="K902" s="110"/>
      <c r="L902" s="110"/>
      <c r="M902" s="110"/>
      <c r="N902" s="110"/>
      <c r="O902" s="110"/>
      <c r="P902" s="225"/>
      <c r="Q902" s="212"/>
      <c r="R902" s="24"/>
      <c r="S902" s="21"/>
      <c r="T902" s="21"/>
      <c r="U902" s="180"/>
      <c r="V902" s="214"/>
      <c r="W902" s="21"/>
      <c r="X902" s="225"/>
      <c r="Y902" s="225"/>
      <c r="Z902" s="225"/>
      <c r="AA902" s="226"/>
      <c r="AB902" s="226"/>
      <c r="AC902" s="226"/>
      <c r="AD902" s="226"/>
      <c r="AE902" s="226"/>
      <c r="AF902" s="226"/>
      <c r="AG902" s="226"/>
      <c r="AH902" s="226"/>
      <c r="AI902" s="226"/>
      <c r="AJ902" s="226"/>
      <c r="AK902" s="226"/>
      <c r="AL902" s="226"/>
      <c r="AM902" s="226"/>
      <c r="AN902" s="226"/>
      <c r="AO902" s="226"/>
      <c r="AP902" s="226"/>
      <c r="AQ902" s="226"/>
      <c r="AR902" s="226"/>
      <c r="AS902" s="226"/>
      <c r="AT902" s="226"/>
      <c r="AU902" s="226"/>
      <c r="AV902" s="226"/>
      <c r="AW902" s="226"/>
      <c r="AX902" s="226"/>
      <c r="AY902" s="226"/>
      <c r="AZ902" s="226"/>
      <c r="BA902" s="226"/>
      <c r="BB902" s="226"/>
      <c r="BC902" s="226"/>
      <c r="BD902" s="226"/>
      <c r="BE902" s="226"/>
      <c r="BF902" s="226"/>
      <c r="BG902" s="226"/>
      <c r="BH902" s="226"/>
      <c r="BI902" s="226"/>
      <c r="BJ902" s="226"/>
      <c r="BK902" s="226"/>
      <c r="BL902" s="226"/>
      <c r="BM902" s="226"/>
      <c r="BN902" s="226"/>
      <c r="BO902" s="226"/>
      <c r="BP902" s="226"/>
      <c r="BQ902" s="226"/>
      <c r="BR902" s="226"/>
      <c r="BS902" s="226"/>
      <c r="BT902" s="226"/>
      <c r="BU902" s="226"/>
      <c r="BV902" s="226"/>
      <c r="BW902" s="226"/>
      <c r="BX902" s="226"/>
      <c r="BY902" s="226"/>
      <c r="BZ902" s="226"/>
      <c r="CA902" s="226"/>
      <c r="CB902" s="226"/>
      <c r="CC902" s="226"/>
      <c r="CD902" s="226"/>
      <c r="CE902" s="226"/>
      <c r="CF902" s="226"/>
      <c r="CG902" s="226"/>
      <c r="CH902" s="226"/>
      <c r="CI902" s="226"/>
      <c r="CJ902" s="226"/>
      <c r="CK902" s="226"/>
      <c r="CL902" s="226"/>
      <c r="CM902" s="226"/>
      <c r="CN902" s="226"/>
      <c r="CO902" s="226"/>
      <c r="CP902" s="226"/>
      <c r="CQ902" s="226"/>
      <c r="CR902" s="226"/>
      <c r="CS902" s="226"/>
      <c r="CT902" s="226"/>
      <c r="CU902" s="226"/>
      <c r="CV902" s="226"/>
      <c r="CW902" s="226"/>
      <c r="CX902" s="226"/>
      <c r="CY902" s="226"/>
      <c r="CZ902" s="226"/>
      <c r="DA902" s="226"/>
      <c r="DB902" s="226"/>
      <c r="DC902" s="226"/>
      <c r="DD902" s="226"/>
      <c r="DE902" s="226"/>
      <c r="DF902" s="226"/>
      <c r="DG902" s="226"/>
      <c r="DH902" s="226"/>
      <c r="DI902" s="226"/>
      <c r="DJ902" s="226"/>
      <c r="DK902" s="226"/>
      <c r="DL902" s="226"/>
      <c r="DM902" s="226"/>
      <c r="DN902" s="226"/>
      <c r="DO902" s="226"/>
      <c r="DP902" s="226"/>
      <c r="DQ902" s="226"/>
      <c r="DR902" s="226"/>
      <c r="DS902" s="226"/>
      <c r="DT902" s="226"/>
      <c r="DU902" s="226"/>
      <c r="DV902" s="226"/>
      <c r="DW902" s="226"/>
      <c r="DX902" s="226"/>
      <c r="DY902" s="226"/>
      <c r="DZ902" s="226"/>
      <c r="EA902" s="226"/>
      <c r="EB902" s="226"/>
      <c r="EC902" s="226"/>
      <c r="ED902" s="226"/>
      <c r="EE902" s="226"/>
      <c r="EF902" s="226"/>
      <c r="EG902" s="226"/>
      <c r="EH902" s="226"/>
      <c r="EI902" s="226"/>
      <c r="EJ902" s="226"/>
      <c r="EK902" s="226"/>
      <c r="EL902" s="226"/>
      <c r="EM902" s="226"/>
      <c r="EN902" s="226"/>
      <c r="EO902" s="226"/>
      <c r="EP902" s="226"/>
      <c r="EQ902" s="226"/>
      <c r="ER902" s="226"/>
      <c r="ES902" s="226"/>
      <c r="ET902" s="226"/>
      <c r="EU902" s="226"/>
      <c r="EV902" s="226"/>
      <c r="EW902" s="226"/>
      <c r="EX902" s="226"/>
      <c r="EY902" s="226"/>
      <c r="EZ902" s="226"/>
      <c r="FA902" s="226"/>
      <c r="FB902" s="226"/>
      <c r="FC902" s="226"/>
      <c r="FD902" s="226"/>
      <c r="FE902" s="226"/>
      <c r="FF902" s="226"/>
      <c r="FG902" s="226"/>
      <c r="FH902" s="226"/>
      <c r="FI902" s="226"/>
      <c r="FJ902" s="226"/>
      <c r="FK902" s="226"/>
      <c r="FL902" s="226"/>
      <c r="FM902" s="226"/>
      <c r="FN902" s="226"/>
      <c r="FO902" s="226"/>
      <c r="FP902" s="226"/>
      <c r="FQ902" s="226"/>
      <c r="FR902" s="226"/>
      <c r="FS902" s="226"/>
      <c r="FT902" s="226"/>
      <c r="FU902" s="226"/>
      <c r="FV902" s="226"/>
      <c r="FW902" s="226"/>
      <c r="FX902" s="226"/>
      <c r="FY902" s="226"/>
      <c r="FZ902" s="226"/>
      <c r="GA902" s="226"/>
      <c r="GB902" s="226"/>
      <c r="GC902" s="226"/>
      <c r="GD902" s="226"/>
      <c r="GE902" s="226"/>
      <c r="GF902" s="226"/>
      <c r="GG902" s="226"/>
      <c r="GH902" s="226"/>
      <c r="GI902" s="226"/>
      <c r="GJ902" s="226"/>
      <c r="GK902" s="226"/>
      <c r="GL902" s="226"/>
      <c r="GM902" s="226"/>
      <c r="GN902" s="226"/>
    </row>
    <row r="903">
      <c r="A903" s="212"/>
      <c r="B903" s="21"/>
      <c r="C903" s="21"/>
      <c r="D903" s="213"/>
      <c r="E903" s="214"/>
      <c r="F903" s="215"/>
      <c r="G903" s="21"/>
      <c r="H903" s="225"/>
      <c r="I903" s="110"/>
      <c r="J903" s="110"/>
      <c r="K903" s="110"/>
      <c r="L903" s="110"/>
      <c r="M903" s="110"/>
      <c r="N903" s="110"/>
      <c r="O903" s="110"/>
      <c r="P903" s="225"/>
      <c r="Q903" s="212"/>
      <c r="R903" s="24"/>
      <c r="S903" s="21"/>
      <c r="T903" s="21"/>
      <c r="U903" s="180"/>
      <c r="V903" s="214"/>
      <c r="W903" s="21"/>
      <c r="X903" s="225"/>
      <c r="Y903" s="225"/>
      <c r="Z903" s="225"/>
      <c r="AA903" s="226"/>
      <c r="AB903" s="226"/>
      <c r="AC903" s="226"/>
      <c r="AD903" s="226"/>
      <c r="AE903" s="226"/>
      <c r="AF903" s="226"/>
      <c r="AG903" s="226"/>
      <c r="AH903" s="226"/>
      <c r="AI903" s="226"/>
      <c r="AJ903" s="226"/>
      <c r="AK903" s="226"/>
      <c r="AL903" s="226"/>
      <c r="AM903" s="226"/>
      <c r="AN903" s="226"/>
      <c r="AO903" s="226"/>
      <c r="AP903" s="226"/>
      <c r="AQ903" s="226"/>
      <c r="AR903" s="226"/>
      <c r="AS903" s="226"/>
      <c r="AT903" s="226"/>
      <c r="AU903" s="226"/>
      <c r="AV903" s="226"/>
      <c r="AW903" s="226"/>
      <c r="AX903" s="226"/>
      <c r="AY903" s="226"/>
      <c r="AZ903" s="226"/>
      <c r="BA903" s="226"/>
      <c r="BB903" s="226"/>
      <c r="BC903" s="226"/>
      <c r="BD903" s="226"/>
      <c r="BE903" s="226"/>
      <c r="BF903" s="226"/>
      <c r="BG903" s="226"/>
      <c r="BH903" s="226"/>
      <c r="BI903" s="226"/>
      <c r="BJ903" s="226"/>
      <c r="BK903" s="226"/>
      <c r="BL903" s="226"/>
      <c r="BM903" s="226"/>
      <c r="BN903" s="226"/>
      <c r="BO903" s="226"/>
      <c r="BP903" s="226"/>
      <c r="BQ903" s="226"/>
      <c r="BR903" s="226"/>
      <c r="BS903" s="226"/>
      <c r="BT903" s="226"/>
      <c r="BU903" s="226"/>
      <c r="BV903" s="226"/>
      <c r="BW903" s="226"/>
      <c r="BX903" s="226"/>
      <c r="BY903" s="226"/>
      <c r="BZ903" s="226"/>
      <c r="CA903" s="226"/>
      <c r="CB903" s="226"/>
      <c r="CC903" s="226"/>
      <c r="CD903" s="226"/>
      <c r="CE903" s="226"/>
      <c r="CF903" s="226"/>
      <c r="CG903" s="226"/>
      <c r="CH903" s="226"/>
      <c r="CI903" s="226"/>
      <c r="CJ903" s="226"/>
      <c r="CK903" s="226"/>
      <c r="CL903" s="226"/>
      <c r="CM903" s="226"/>
      <c r="CN903" s="226"/>
      <c r="CO903" s="226"/>
      <c r="CP903" s="226"/>
      <c r="CQ903" s="226"/>
      <c r="CR903" s="226"/>
      <c r="CS903" s="226"/>
      <c r="CT903" s="226"/>
      <c r="CU903" s="226"/>
      <c r="CV903" s="226"/>
      <c r="CW903" s="226"/>
      <c r="CX903" s="226"/>
      <c r="CY903" s="226"/>
      <c r="CZ903" s="226"/>
      <c r="DA903" s="226"/>
      <c r="DB903" s="226"/>
      <c r="DC903" s="226"/>
      <c r="DD903" s="226"/>
      <c r="DE903" s="226"/>
      <c r="DF903" s="226"/>
      <c r="DG903" s="226"/>
      <c r="DH903" s="226"/>
      <c r="DI903" s="226"/>
      <c r="DJ903" s="226"/>
      <c r="DK903" s="226"/>
      <c r="DL903" s="226"/>
      <c r="DM903" s="226"/>
      <c r="DN903" s="226"/>
      <c r="DO903" s="226"/>
      <c r="DP903" s="226"/>
      <c r="DQ903" s="226"/>
      <c r="DR903" s="226"/>
      <c r="DS903" s="226"/>
      <c r="DT903" s="226"/>
      <c r="DU903" s="226"/>
      <c r="DV903" s="226"/>
      <c r="DW903" s="226"/>
      <c r="DX903" s="226"/>
      <c r="DY903" s="226"/>
      <c r="DZ903" s="226"/>
      <c r="EA903" s="226"/>
      <c r="EB903" s="226"/>
      <c r="EC903" s="226"/>
      <c r="ED903" s="226"/>
      <c r="EE903" s="226"/>
      <c r="EF903" s="226"/>
      <c r="EG903" s="226"/>
      <c r="EH903" s="226"/>
      <c r="EI903" s="226"/>
      <c r="EJ903" s="226"/>
      <c r="EK903" s="226"/>
      <c r="EL903" s="226"/>
      <c r="EM903" s="226"/>
      <c r="EN903" s="226"/>
      <c r="EO903" s="226"/>
      <c r="EP903" s="226"/>
      <c r="EQ903" s="226"/>
      <c r="ER903" s="226"/>
      <c r="ES903" s="226"/>
      <c r="ET903" s="226"/>
      <c r="EU903" s="226"/>
      <c r="EV903" s="226"/>
      <c r="EW903" s="226"/>
      <c r="EX903" s="226"/>
      <c r="EY903" s="226"/>
      <c r="EZ903" s="226"/>
      <c r="FA903" s="226"/>
      <c r="FB903" s="226"/>
      <c r="FC903" s="226"/>
      <c r="FD903" s="226"/>
      <c r="FE903" s="226"/>
      <c r="FF903" s="226"/>
      <c r="FG903" s="226"/>
      <c r="FH903" s="226"/>
      <c r="FI903" s="226"/>
      <c r="FJ903" s="226"/>
      <c r="FK903" s="226"/>
      <c r="FL903" s="226"/>
      <c r="FM903" s="226"/>
      <c r="FN903" s="226"/>
      <c r="FO903" s="226"/>
      <c r="FP903" s="226"/>
      <c r="FQ903" s="226"/>
      <c r="FR903" s="226"/>
      <c r="FS903" s="226"/>
      <c r="FT903" s="226"/>
      <c r="FU903" s="226"/>
      <c r="FV903" s="226"/>
      <c r="FW903" s="226"/>
      <c r="FX903" s="226"/>
      <c r="FY903" s="226"/>
      <c r="FZ903" s="226"/>
      <c r="GA903" s="226"/>
      <c r="GB903" s="226"/>
      <c r="GC903" s="226"/>
      <c r="GD903" s="226"/>
      <c r="GE903" s="226"/>
      <c r="GF903" s="226"/>
      <c r="GG903" s="226"/>
      <c r="GH903" s="226"/>
      <c r="GI903" s="226"/>
      <c r="GJ903" s="226"/>
      <c r="GK903" s="226"/>
      <c r="GL903" s="226"/>
      <c r="GM903" s="226"/>
      <c r="GN903" s="226"/>
    </row>
    <row r="904">
      <c r="A904" s="212"/>
      <c r="B904" s="21"/>
      <c r="C904" s="21"/>
      <c r="D904" s="213"/>
      <c r="E904" s="214"/>
      <c r="F904" s="215"/>
      <c r="G904" s="21"/>
      <c r="H904" s="225"/>
      <c r="I904" s="110"/>
      <c r="J904" s="110"/>
      <c r="K904" s="110"/>
      <c r="L904" s="110"/>
      <c r="M904" s="110"/>
      <c r="N904" s="110"/>
      <c r="O904" s="110"/>
      <c r="P904" s="225"/>
      <c r="Q904" s="212"/>
      <c r="R904" s="24"/>
      <c r="S904" s="21"/>
      <c r="T904" s="21"/>
      <c r="U904" s="180"/>
      <c r="V904" s="214"/>
      <c r="W904" s="21"/>
      <c r="X904" s="225"/>
      <c r="Y904" s="225"/>
      <c r="Z904" s="225"/>
      <c r="AA904" s="226"/>
      <c r="AB904" s="226"/>
      <c r="AC904" s="226"/>
      <c r="AD904" s="226"/>
      <c r="AE904" s="226"/>
      <c r="AF904" s="226"/>
      <c r="AG904" s="226"/>
      <c r="AH904" s="226"/>
      <c r="AI904" s="226"/>
      <c r="AJ904" s="226"/>
      <c r="AK904" s="226"/>
      <c r="AL904" s="226"/>
      <c r="AM904" s="226"/>
      <c r="AN904" s="226"/>
      <c r="AO904" s="226"/>
      <c r="AP904" s="226"/>
      <c r="AQ904" s="226"/>
      <c r="AR904" s="226"/>
      <c r="AS904" s="226"/>
      <c r="AT904" s="226"/>
      <c r="AU904" s="226"/>
      <c r="AV904" s="226"/>
      <c r="AW904" s="226"/>
      <c r="AX904" s="226"/>
      <c r="AY904" s="226"/>
      <c r="AZ904" s="226"/>
      <c r="BA904" s="226"/>
      <c r="BB904" s="226"/>
      <c r="BC904" s="226"/>
      <c r="BD904" s="226"/>
      <c r="BE904" s="226"/>
      <c r="BF904" s="226"/>
      <c r="BG904" s="226"/>
      <c r="BH904" s="226"/>
      <c r="BI904" s="226"/>
      <c r="BJ904" s="226"/>
      <c r="BK904" s="226"/>
      <c r="BL904" s="226"/>
      <c r="BM904" s="226"/>
      <c r="BN904" s="226"/>
      <c r="BO904" s="226"/>
      <c r="BP904" s="226"/>
      <c r="BQ904" s="226"/>
      <c r="BR904" s="226"/>
      <c r="BS904" s="226"/>
      <c r="BT904" s="226"/>
      <c r="BU904" s="226"/>
      <c r="BV904" s="226"/>
      <c r="BW904" s="226"/>
      <c r="BX904" s="226"/>
      <c r="BY904" s="226"/>
      <c r="BZ904" s="226"/>
      <c r="CA904" s="226"/>
      <c r="CB904" s="226"/>
      <c r="CC904" s="226"/>
      <c r="CD904" s="226"/>
      <c r="CE904" s="226"/>
      <c r="CF904" s="226"/>
      <c r="CG904" s="226"/>
      <c r="CH904" s="226"/>
      <c r="CI904" s="226"/>
      <c r="CJ904" s="226"/>
      <c r="CK904" s="226"/>
      <c r="CL904" s="226"/>
      <c r="CM904" s="226"/>
      <c r="CN904" s="226"/>
      <c r="CO904" s="226"/>
      <c r="CP904" s="226"/>
      <c r="CQ904" s="226"/>
      <c r="CR904" s="226"/>
      <c r="CS904" s="226"/>
      <c r="CT904" s="226"/>
      <c r="CU904" s="226"/>
      <c r="CV904" s="226"/>
      <c r="CW904" s="226"/>
      <c r="CX904" s="226"/>
      <c r="CY904" s="226"/>
      <c r="CZ904" s="226"/>
      <c r="DA904" s="226"/>
      <c r="DB904" s="226"/>
      <c r="DC904" s="226"/>
      <c r="DD904" s="226"/>
      <c r="DE904" s="226"/>
      <c r="DF904" s="226"/>
      <c r="DG904" s="226"/>
      <c r="DH904" s="226"/>
      <c r="DI904" s="226"/>
      <c r="DJ904" s="226"/>
      <c r="DK904" s="226"/>
      <c r="DL904" s="226"/>
      <c r="DM904" s="226"/>
      <c r="DN904" s="226"/>
      <c r="DO904" s="226"/>
      <c r="DP904" s="226"/>
      <c r="DQ904" s="226"/>
      <c r="DR904" s="226"/>
      <c r="DS904" s="226"/>
      <c r="DT904" s="226"/>
      <c r="DU904" s="226"/>
      <c r="DV904" s="226"/>
      <c r="DW904" s="226"/>
      <c r="DX904" s="226"/>
      <c r="DY904" s="226"/>
      <c r="DZ904" s="226"/>
      <c r="EA904" s="226"/>
      <c r="EB904" s="226"/>
      <c r="EC904" s="226"/>
      <c r="ED904" s="226"/>
      <c r="EE904" s="226"/>
      <c r="EF904" s="226"/>
      <c r="EG904" s="226"/>
      <c r="EH904" s="226"/>
      <c r="EI904" s="226"/>
      <c r="EJ904" s="226"/>
      <c r="EK904" s="226"/>
      <c r="EL904" s="226"/>
      <c r="EM904" s="226"/>
      <c r="EN904" s="226"/>
      <c r="EO904" s="226"/>
      <c r="EP904" s="226"/>
      <c r="EQ904" s="226"/>
      <c r="ER904" s="226"/>
      <c r="ES904" s="226"/>
      <c r="ET904" s="226"/>
      <c r="EU904" s="226"/>
      <c r="EV904" s="226"/>
      <c r="EW904" s="226"/>
      <c r="EX904" s="226"/>
      <c r="EY904" s="226"/>
      <c r="EZ904" s="226"/>
      <c r="FA904" s="226"/>
      <c r="FB904" s="226"/>
      <c r="FC904" s="226"/>
      <c r="FD904" s="226"/>
      <c r="FE904" s="226"/>
      <c r="FF904" s="226"/>
      <c r="FG904" s="226"/>
      <c r="FH904" s="226"/>
      <c r="FI904" s="226"/>
      <c r="FJ904" s="226"/>
      <c r="FK904" s="226"/>
      <c r="FL904" s="226"/>
      <c r="FM904" s="226"/>
      <c r="FN904" s="226"/>
      <c r="FO904" s="226"/>
      <c r="FP904" s="226"/>
      <c r="FQ904" s="226"/>
      <c r="FR904" s="226"/>
      <c r="FS904" s="226"/>
      <c r="FT904" s="226"/>
      <c r="FU904" s="226"/>
      <c r="FV904" s="226"/>
      <c r="FW904" s="226"/>
      <c r="FX904" s="226"/>
      <c r="FY904" s="226"/>
      <c r="FZ904" s="226"/>
      <c r="GA904" s="226"/>
      <c r="GB904" s="226"/>
      <c r="GC904" s="226"/>
      <c r="GD904" s="226"/>
      <c r="GE904" s="226"/>
      <c r="GF904" s="226"/>
      <c r="GG904" s="226"/>
      <c r="GH904" s="226"/>
      <c r="GI904" s="226"/>
      <c r="GJ904" s="226"/>
      <c r="GK904" s="226"/>
      <c r="GL904" s="226"/>
      <c r="GM904" s="226"/>
      <c r="GN904" s="226"/>
    </row>
    <row r="905">
      <c r="A905" s="212"/>
      <c r="B905" s="21"/>
      <c r="C905" s="21"/>
      <c r="D905" s="213"/>
      <c r="E905" s="214"/>
      <c r="F905" s="215"/>
      <c r="G905" s="21"/>
      <c r="H905" s="225"/>
      <c r="I905" s="110"/>
      <c r="J905" s="110"/>
      <c r="K905" s="110"/>
      <c r="L905" s="110"/>
      <c r="M905" s="110"/>
      <c r="N905" s="110"/>
      <c r="O905" s="110"/>
      <c r="P905" s="225"/>
      <c r="Q905" s="212"/>
      <c r="R905" s="24"/>
      <c r="S905" s="21"/>
      <c r="T905" s="21"/>
      <c r="U905" s="180"/>
      <c r="V905" s="214"/>
      <c r="W905" s="21"/>
      <c r="X905" s="225"/>
      <c r="Y905" s="225"/>
      <c r="Z905" s="225"/>
      <c r="AA905" s="226"/>
      <c r="AB905" s="226"/>
      <c r="AC905" s="226"/>
      <c r="AD905" s="226"/>
      <c r="AE905" s="226"/>
      <c r="AF905" s="226"/>
      <c r="AG905" s="226"/>
      <c r="AH905" s="226"/>
      <c r="AI905" s="226"/>
      <c r="AJ905" s="226"/>
      <c r="AK905" s="226"/>
      <c r="AL905" s="226"/>
      <c r="AM905" s="226"/>
      <c r="AN905" s="226"/>
      <c r="AO905" s="226"/>
      <c r="AP905" s="226"/>
      <c r="AQ905" s="226"/>
      <c r="AR905" s="226"/>
      <c r="AS905" s="226"/>
      <c r="AT905" s="226"/>
      <c r="AU905" s="226"/>
      <c r="AV905" s="226"/>
      <c r="AW905" s="226"/>
      <c r="AX905" s="226"/>
      <c r="AY905" s="226"/>
      <c r="AZ905" s="226"/>
      <c r="BA905" s="226"/>
      <c r="BB905" s="226"/>
      <c r="BC905" s="226"/>
      <c r="BD905" s="226"/>
      <c r="BE905" s="226"/>
      <c r="BF905" s="226"/>
      <c r="BG905" s="226"/>
      <c r="BH905" s="226"/>
      <c r="BI905" s="226"/>
      <c r="BJ905" s="226"/>
      <c r="BK905" s="226"/>
      <c r="BL905" s="226"/>
      <c r="BM905" s="226"/>
      <c r="BN905" s="226"/>
      <c r="BO905" s="226"/>
      <c r="BP905" s="226"/>
      <c r="BQ905" s="226"/>
      <c r="BR905" s="226"/>
      <c r="BS905" s="226"/>
      <c r="BT905" s="226"/>
      <c r="BU905" s="226"/>
      <c r="BV905" s="226"/>
      <c r="BW905" s="226"/>
      <c r="BX905" s="226"/>
      <c r="BY905" s="226"/>
      <c r="BZ905" s="226"/>
      <c r="CA905" s="226"/>
      <c r="CB905" s="226"/>
      <c r="CC905" s="226"/>
      <c r="CD905" s="226"/>
      <c r="CE905" s="226"/>
      <c r="CF905" s="226"/>
      <c r="CG905" s="226"/>
      <c r="CH905" s="226"/>
      <c r="CI905" s="226"/>
      <c r="CJ905" s="226"/>
      <c r="CK905" s="226"/>
      <c r="CL905" s="226"/>
      <c r="CM905" s="226"/>
      <c r="CN905" s="226"/>
      <c r="CO905" s="226"/>
      <c r="CP905" s="226"/>
      <c r="CQ905" s="226"/>
      <c r="CR905" s="226"/>
      <c r="CS905" s="226"/>
      <c r="CT905" s="226"/>
      <c r="CU905" s="226"/>
      <c r="CV905" s="226"/>
      <c r="CW905" s="226"/>
      <c r="CX905" s="226"/>
      <c r="CY905" s="226"/>
      <c r="CZ905" s="226"/>
      <c r="DA905" s="226"/>
      <c r="DB905" s="226"/>
      <c r="DC905" s="226"/>
      <c r="DD905" s="226"/>
      <c r="DE905" s="226"/>
      <c r="DF905" s="226"/>
      <c r="DG905" s="226"/>
      <c r="DH905" s="226"/>
      <c r="DI905" s="226"/>
      <c r="DJ905" s="226"/>
      <c r="DK905" s="226"/>
      <c r="DL905" s="226"/>
      <c r="DM905" s="226"/>
      <c r="DN905" s="226"/>
      <c r="DO905" s="226"/>
      <c r="DP905" s="226"/>
      <c r="DQ905" s="226"/>
      <c r="DR905" s="226"/>
      <c r="DS905" s="226"/>
      <c r="DT905" s="226"/>
      <c r="DU905" s="226"/>
      <c r="DV905" s="226"/>
      <c r="DW905" s="226"/>
      <c r="DX905" s="226"/>
      <c r="DY905" s="226"/>
      <c r="DZ905" s="226"/>
      <c r="EA905" s="226"/>
      <c r="EB905" s="226"/>
      <c r="EC905" s="226"/>
      <c r="ED905" s="226"/>
      <c r="EE905" s="226"/>
      <c r="EF905" s="226"/>
      <c r="EG905" s="226"/>
      <c r="EH905" s="226"/>
      <c r="EI905" s="226"/>
      <c r="EJ905" s="226"/>
      <c r="EK905" s="226"/>
      <c r="EL905" s="226"/>
      <c r="EM905" s="226"/>
      <c r="EN905" s="226"/>
      <c r="EO905" s="226"/>
      <c r="EP905" s="226"/>
      <c r="EQ905" s="226"/>
      <c r="ER905" s="226"/>
      <c r="ES905" s="226"/>
      <c r="ET905" s="226"/>
      <c r="EU905" s="226"/>
      <c r="EV905" s="226"/>
      <c r="EW905" s="226"/>
      <c r="EX905" s="226"/>
      <c r="EY905" s="226"/>
      <c r="EZ905" s="226"/>
      <c r="FA905" s="226"/>
      <c r="FB905" s="226"/>
      <c r="FC905" s="226"/>
      <c r="FD905" s="226"/>
      <c r="FE905" s="226"/>
      <c r="FF905" s="226"/>
      <c r="FG905" s="226"/>
      <c r="FH905" s="226"/>
      <c r="FI905" s="226"/>
      <c r="FJ905" s="226"/>
      <c r="FK905" s="226"/>
      <c r="FL905" s="226"/>
      <c r="FM905" s="226"/>
      <c r="FN905" s="226"/>
      <c r="FO905" s="226"/>
      <c r="FP905" s="226"/>
      <c r="FQ905" s="226"/>
      <c r="FR905" s="226"/>
      <c r="FS905" s="226"/>
      <c r="FT905" s="226"/>
      <c r="FU905" s="226"/>
      <c r="FV905" s="226"/>
      <c r="FW905" s="226"/>
      <c r="FX905" s="226"/>
      <c r="FY905" s="226"/>
      <c r="FZ905" s="226"/>
      <c r="GA905" s="226"/>
      <c r="GB905" s="226"/>
      <c r="GC905" s="226"/>
      <c r="GD905" s="226"/>
      <c r="GE905" s="226"/>
      <c r="GF905" s="226"/>
      <c r="GG905" s="226"/>
      <c r="GH905" s="226"/>
      <c r="GI905" s="226"/>
      <c r="GJ905" s="226"/>
      <c r="GK905" s="226"/>
      <c r="GL905" s="226"/>
      <c r="GM905" s="226"/>
      <c r="GN905" s="226"/>
    </row>
    <row r="906">
      <c r="A906" s="212"/>
      <c r="B906" s="21"/>
      <c r="C906" s="21"/>
      <c r="D906" s="213"/>
      <c r="E906" s="214"/>
      <c r="F906" s="215"/>
      <c r="G906" s="21"/>
      <c r="H906" s="225"/>
      <c r="I906" s="110"/>
      <c r="J906" s="110"/>
      <c r="K906" s="110"/>
      <c r="L906" s="110"/>
      <c r="M906" s="110"/>
      <c r="N906" s="110"/>
      <c r="O906" s="110"/>
      <c r="P906" s="225"/>
      <c r="Q906" s="212"/>
      <c r="R906" s="24"/>
      <c r="S906" s="21"/>
      <c r="T906" s="21"/>
      <c r="U906" s="180"/>
      <c r="V906" s="214"/>
      <c r="W906" s="21"/>
      <c r="X906" s="225"/>
      <c r="Y906" s="225"/>
      <c r="Z906" s="225"/>
      <c r="AA906" s="226"/>
      <c r="AB906" s="226"/>
      <c r="AC906" s="226"/>
      <c r="AD906" s="226"/>
      <c r="AE906" s="226"/>
      <c r="AF906" s="226"/>
      <c r="AG906" s="226"/>
      <c r="AH906" s="226"/>
      <c r="AI906" s="226"/>
      <c r="AJ906" s="226"/>
      <c r="AK906" s="226"/>
      <c r="AL906" s="226"/>
      <c r="AM906" s="226"/>
      <c r="AN906" s="226"/>
      <c r="AO906" s="226"/>
      <c r="AP906" s="226"/>
      <c r="AQ906" s="226"/>
      <c r="AR906" s="226"/>
      <c r="AS906" s="226"/>
      <c r="AT906" s="226"/>
      <c r="AU906" s="226"/>
      <c r="AV906" s="226"/>
      <c r="AW906" s="226"/>
      <c r="AX906" s="226"/>
      <c r="AY906" s="226"/>
      <c r="AZ906" s="226"/>
      <c r="BA906" s="226"/>
      <c r="BB906" s="226"/>
      <c r="BC906" s="226"/>
      <c r="BD906" s="226"/>
      <c r="BE906" s="226"/>
      <c r="BF906" s="226"/>
      <c r="BG906" s="226"/>
      <c r="BH906" s="226"/>
      <c r="BI906" s="226"/>
      <c r="BJ906" s="226"/>
      <c r="BK906" s="226"/>
      <c r="BL906" s="226"/>
      <c r="BM906" s="226"/>
      <c r="BN906" s="226"/>
      <c r="BO906" s="226"/>
      <c r="BP906" s="226"/>
      <c r="BQ906" s="226"/>
      <c r="BR906" s="226"/>
      <c r="BS906" s="226"/>
      <c r="BT906" s="226"/>
      <c r="BU906" s="226"/>
      <c r="BV906" s="226"/>
      <c r="BW906" s="226"/>
      <c r="BX906" s="226"/>
      <c r="BY906" s="226"/>
      <c r="BZ906" s="226"/>
      <c r="CA906" s="226"/>
      <c r="CB906" s="226"/>
      <c r="CC906" s="226"/>
      <c r="CD906" s="226"/>
      <c r="CE906" s="226"/>
      <c r="CF906" s="226"/>
      <c r="CG906" s="226"/>
      <c r="CH906" s="226"/>
      <c r="CI906" s="226"/>
      <c r="CJ906" s="226"/>
      <c r="CK906" s="226"/>
      <c r="CL906" s="226"/>
      <c r="CM906" s="226"/>
      <c r="CN906" s="226"/>
      <c r="CO906" s="226"/>
      <c r="CP906" s="226"/>
      <c r="CQ906" s="226"/>
      <c r="CR906" s="226"/>
      <c r="CS906" s="226"/>
      <c r="CT906" s="226"/>
      <c r="CU906" s="226"/>
      <c r="CV906" s="226"/>
      <c r="CW906" s="226"/>
      <c r="CX906" s="226"/>
      <c r="CY906" s="226"/>
      <c r="CZ906" s="226"/>
      <c r="DA906" s="226"/>
      <c r="DB906" s="226"/>
      <c r="DC906" s="226"/>
      <c r="DD906" s="226"/>
      <c r="DE906" s="226"/>
      <c r="DF906" s="226"/>
      <c r="DG906" s="226"/>
      <c r="DH906" s="226"/>
      <c r="DI906" s="226"/>
      <c r="DJ906" s="226"/>
      <c r="DK906" s="226"/>
      <c r="DL906" s="226"/>
      <c r="DM906" s="226"/>
      <c r="DN906" s="226"/>
      <c r="DO906" s="226"/>
      <c r="DP906" s="226"/>
      <c r="DQ906" s="226"/>
      <c r="DR906" s="226"/>
      <c r="DS906" s="226"/>
      <c r="DT906" s="226"/>
      <c r="DU906" s="226"/>
      <c r="DV906" s="226"/>
      <c r="DW906" s="226"/>
      <c r="DX906" s="226"/>
      <c r="DY906" s="226"/>
      <c r="DZ906" s="226"/>
      <c r="EA906" s="226"/>
      <c r="EB906" s="226"/>
      <c r="EC906" s="226"/>
      <c r="ED906" s="226"/>
      <c r="EE906" s="226"/>
      <c r="EF906" s="226"/>
      <c r="EG906" s="226"/>
      <c r="EH906" s="226"/>
      <c r="EI906" s="226"/>
      <c r="EJ906" s="226"/>
      <c r="EK906" s="226"/>
      <c r="EL906" s="226"/>
      <c r="EM906" s="226"/>
      <c r="EN906" s="226"/>
      <c r="EO906" s="226"/>
      <c r="EP906" s="226"/>
      <c r="EQ906" s="226"/>
      <c r="ER906" s="226"/>
      <c r="ES906" s="226"/>
      <c r="ET906" s="226"/>
      <c r="EU906" s="226"/>
      <c r="EV906" s="226"/>
      <c r="EW906" s="226"/>
      <c r="EX906" s="226"/>
      <c r="EY906" s="226"/>
      <c r="EZ906" s="226"/>
      <c r="FA906" s="226"/>
      <c r="FB906" s="226"/>
      <c r="FC906" s="226"/>
      <c r="FD906" s="226"/>
      <c r="FE906" s="226"/>
      <c r="FF906" s="226"/>
      <c r="FG906" s="226"/>
      <c r="FH906" s="226"/>
      <c r="FI906" s="226"/>
      <c r="FJ906" s="226"/>
      <c r="FK906" s="226"/>
      <c r="FL906" s="226"/>
      <c r="FM906" s="226"/>
      <c r="FN906" s="226"/>
      <c r="FO906" s="226"/>
      <c r="FP906" s="226"/>
      <c r="FQ906" s="226"/>
      <c r="FR906" s="226"/>
      <c r="FS906" s="226"/>
      <c r="FT906" s="226"/>
      <c r="FU906" s="226"/>
      <c r="FV906" s="226"/>
      <c r="FW906" s="226"/>
      <c r="FX906" s="226"/>
      <c r="FY906" s="226"/>
      <c r="FZ906" s="226"/>
      <c r="GA906" s="226"/>
      <c r="GB906" s="226"/>
      <c r="GC906" s="226"/>
      <c r="GD906" s="226"/>
      <c r="GE906" s="226"/>
      <c r="GF906" s="226"/>
      <c r="GG906" s="226"/>
      <c r="GH906" s="226"/>
      <c r="GI906" s="226"/>
      <c r="GJ906" s="226"/>
      <c r="GK906" s="226"/>
      <c r="GL906" s="226"/>
      <c r="GM906" s="226"/>
      <c r="GN906" s="226"/>
    </row>
    <row r="907">
      <c r="A907" s="212"/>
      <c r="B907" s="21"/>
      <c r="C907" s="21"/>
      <c r="D907" s="213"/>
      <c r="E907" s="214"/>
      <c r="F907" s="215"/>
      <c r="G907" s="21"/>
      <c r="H907" s="225"/>
      <c r="I907" s="110"/>
      <c r="J907" s="110"/>
      <c r="K907" s="110"/>
      <c r="L907" s="110"/>
      <c r="M907" s="110"/>
      <c r="N907" s="110"/>
      <c r="O907" s="110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  <c r="AA907" s="226"/>
      <c r="AB907" s="226"/>
      <c r="AC907" s="226"/>
      <c r="AD907" s="226"/>
      <c r="AE907" s="226"/>
      <c r="AF907" s="226"/>
      <c r="AG907" s="226"/>
      <c r="AH907" s="226"/>
      <c r="AI907" s="226"/>
      <c r="AJ907" s="226"/>
      <c r="AK907" s="226"/>
      <c r="AL907" s="226"/>
      <c r="AM907" s="226"/>
      <c r="AN907" s="226"/>
      <c r="AO907" s="226"/>
      <c r="AP907" s="226"/>
      <c r="AQ907" s="226"/>
      <c r="AR907" s="226"/>
      <c r="AS907" s="226"/>
      <c r="AT907" s="226"/>
      <c r="AU907" s="226"/>
      <c r="AV907" s="226"/>
      <c r="AW907" s="226"/>
      <c r="AX907" s="226"/>
      <c r="AY907" s="226"/>
      <c r="AZ907" s="226"/>
      <c r="BA907" s="226"/>
      <c r="BB907" s="226"/>
      <c r="BC907" s="226"/>
      <c r="BD907" s="226"/>
      <c r="BE907" s="226"/>
      <c r="BF907" s="226"/>
      <c r="BG907" s="226"/>
      <c r="BH907" s="226"/>
      <c r="BI907" s="226"/>
      <c r="BJ907" s="226"/>
      <c r="BK907" s="226"/>
      <c r="BL907" s="226"/>
      <c r="BM907" s="226"/>
      <c r="BN907" s="226"/>
      <c r="BO907" s="226"/>
      <c r="BP907" s="226"/>
      <c r="BQ907" s="226"/>
      <c r="BR907" s="226"/>
      <c r="BS907" s="226"/>
      <c r="BT907" s="226"/>
      <c r="BU907" s="226"/>
      <c r="BV907" s="226"/>
      <c r="BW907" s="226"/>
      <c r="BX907" s="226"/>
      <c r="BY907" s="226"/>
      <c r="BZ907" s="226"/>
      <c r="CA907" s="226"/>
      <c r="CB907" s="226"/>
      <c r="CC907" s="226"/>
      <c r="CD907" s="226"/>
      <c r="CE907" s="226"/>
      <c r="CF907" s="226"/>
      <c r="CG907" s="226"/>
      <c r="CH907" s="226"/>
      <c r="CI907" s="226"/>
      <c r="CJ907" s="226"/>
      <c r="CK907" s="226"/>
      <c r="CL907" s="226"/>
      <c r="CM907" s="226"/>
      <c r="CN907" s="226"/>
      <c r="CO907" s="226"/>
      <c r="CP907" s="226"/>
      <c r="CQ907" s="226"/>
      <c r="CR907" s="226"/>
      <c r="CS907" s="226"/>
      <c r="CT907" s="226"/>
      <c r="CU907" s="226"/>
      <c r="CV907" s="226"/>
      <c r="CW907" s="226"/>
      <c r="CX907" s="226"/>
      <c r="CY907" s="226"/>
      <c r="CZ907" s="226"/>
      <c r="DA907" s="226"/>
      <c r="DB907" s="226"/>
      <c r="DC907" s="226"/>
      <c r="DD907" s="226"/>
      <c r="DE907" s="226"/>
      <c r="DF907" s="226"/>
      <c r="DG907" s="226"/>
      <c r="DH907" s="226"/>
      <c r="DI907" s="226"/>
      <c r="DJ907" s="226"/>
      <c r="DK907" s="226"/>
      <c r="DL907" s="226"/>
      <c r="DM907" s="226"/>
      <c r="DN907" s="226"/>
      <c r="DO907" s="226"/>
      <c r="DP907" s="226"/>
      <c r="DQ907" s="226"/>
      <c r="DR907" s="226"/>
      <c r="DS907" s="226"/>
      <c r="DT907" s="226"/>
      <c r="DU907" s="226"/>
      <c r="DV907" s="226"/>
      <c r="DW907" s="226"/>
      <c r="DX907" s="226"/>
      <c r="DY907" s="226"/>
      <c r="DZ907" s="226"/>
      <c r="EA907" s="226"/>
      <c r="EB907" s="226"/>
      <c r="EC907" s="226"/>
      <c r="ED907" s="226"/>
      <c r="EE907" s="226"/>
      <c r="EF907" s="226"/>
      <c r="EG907" s="226"/>
      <c r="EH907" s="226"/>
      <c r="EI907" s="226"/>
      <c r="EJ907" s="226"/>
      <c r="EK907" s="226"/>
      <c r="EL907" s="226"/>
      <c r="EM907" s="226"/>
      <c r="EN907" s="226"/>
      <c r="EO907" s="226"/>
      <c r="EP907" s="226"/>
      <c r="EQ907" s="226"/>
      <c r="ER907" s="226"/>
      <c r="ES907" s="226"/>
      <c r="ET907" s="226"/>
      <c r="EU907" s="226"/>
      <c r="EV907" s="226"/>
      <c r="EW907" s="226"/>
      <c r="EX907" s="226"/>
      <c r="EY907" s="226"/>
      <c r="EZ907" s="226"/>
      <c r="FA907" s="226"/>
      <c r="FB907" s="226"/>
      <c r="FC907" s="226"/>
      <c r="FD907" s="226"/>
      <c r="FE907" s="226"/>
      <c r="FF907" s="226"/>
      <c r="FG907" s="226"/>
      <c r="FH907" s="226"/>
      <c r="FI907" s="226"/>
      <c r="FJ907" s="226"/>
      <c r="FK907" s="226"/>
      <c r="FL907" s="226"/>
      <c r="FM907" s="226"/>
      <c r="FN907" s="226"/>
      <c r="FO907" s="226"/>
      <c r="FP907" s="226"/>
      <c r="FQ907" s="226"/>
      <c r="FR907" s="226"/>
      <c r="FS907" s="226"/>
      <c r="FT907" s="226"/>
      <c r="FU907" s="226"/>
      <c r="FV907" s="226"/>
      <c r="FW907" s="226"/>
      <c r="FX907" s="226"/>
      <c r="FY907" s="226"/>
      <c r="FZ907" s="226"/>
      <c r="GA907" s="226"/>
      <c r="GB907" s="226"/>
      <c r="GC907" s="226"/>
      <c r="GD907" s="226"/>
      <c r="GE907" s="226"/>
      <c r="GF907" s="226"/>
      <c r="GG907" s="226"/>
      <c r="GH907" s="226"/>
      <c r="GI907" s="226"/>
      <c r="GJ907" s="226"/>
      <c r="GK907" s="226"/>
      <c r="GL907" s="226"/>
      <c r="GM907" s="226"/>
      <c r="GN907" s="226"/>
    </row>
    <row r="908">
      <c r="A908" s="212"/>
      <c r="B908" s="21"/>
      <c r="C908" s="21"/>
      <c r="D908" s="213"/>
      <c r="E908" s="214"/>
      <c r="F908" s="215"/>
      <c r="G908" s="21"/>
      <c r="H908" s="225"/>
      <c r="I908" s="110"/>
      <c r="J908" s="110"/>
      <c r="K908" s="110"/>
      <c r="L908" s="110"/>
      <c r="M908" s="110"/>
      <c r="N908" s="110"/>
      <c r="O908" s="110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  <c r="AA908" s="226"/>
      <c r="AB908" s="226"/>
      <c r="AC908" s="226"/>
      <c r="AD908" s="226"/>
      <c r="AE908" s="226"/>
      <c r="AF908" s="226"/>
      <c r="AG908" s="226"/>
      <c r="AH908" s="226"/>
      <c r="AI908" s="226"/>
      <c r="AJ908" s="226"/>
      <c r="AK908" s="226"/>
      <c r="AL908" s="226"/>
      <c r="AM908" s="226"/>
      <c r="AN908" s="226"/>
      <c r="AO908" s="226"/>
      <c r="AP908" s="226"/>
      <c r="AQ908" s="226"/>
      <c r="AR908" s="226"/>
      <c r="AS908" s="226"/>
      <c r="AT908" s="226"/>
      <c r="AU908" s="226"/>
      <c r="AV908" s="226"/>
      <c r="AW908" s="226"/>
      <c r="AX908" s="226"/>
      <c r="AY908" s="226"/>
      <c r="AZ908" s="226"/>
      <c r="BA908" s="226"/>
      <c r="BB908" s="226"/>
      <c r="BC908" s="226"/>
      <c r="BD908" s="226"/>
      <c r="BE908" s="226"/>
      <c r="BF908" s="226"/>
      <c r="BG908" s="226"/>
      <c r="BH908" s="226"/>
      <c r="BI908" s="226"/>
      <c r="BJ908" s="226"/>
      <c r="BK908" s="226"/>
      <c r="BL908" s="226"/>
      <c r="BM908" s="226"/>
      <c r="BN908" s="226"/>
      <c r="BO908" s="226"/>
      <c r="BP908" s="226"/>
      <c r="BQ908" s="226"/>
      <c r="BR908" s="226"/>
      <c r="BS908" s="226"/>
      <c r="BT908" s="226"/>
      <c r="BU908" s="226"/>
      <c r="BV908" s="226"/>
      <c r="BW908" s="226"/>
      <c r="BX908" s="226"/>
      <c r="BY908" s="226"/>
      <c r="BZ908" s="226"/>
      <c r="CA908" s="226"/>
      <c r="CB908" s="226"/>
      <c r="CC908" s="226"/>
      <c r="CD908" s="226"/>
      <c r="CE908" s="226"/>
      <c r="CF908" s="226"/>
      <c r="CG908" s="226"/>
      <c r="CH908" s="226"/>
      <c r="CI908" s="226"/>
      <c r="CJ908" s="226"/>
      <c r="CK908" s="226"/>
      <c r="CL908" s="226"/>
      <c r="CM908" s="226"/>
      <c r="CN908" s="226"/>
      <c r="CO908" s="226"/>
      <c r="CP908" s="226"/>
      <c r="CQ908" s="226"/>
      <c r="CR908" s="226"/>
      <c r="CS908" s="226"/>
      <c r="CT908" s="226"/>
      <c r="CU908" s="226"/>
      <c r="CV908" s="226"/>
      <c r="CW908" s="226"/>
      <c r="CX908" s="226"/>
      <c r="CY908" s="226"/>
      <c r="CZ908" s="226"/>
      <c r="DA908" s="226"/>
      <c r="DB908" s="226"/>
      <c r="DC908" s="226"/>
      <c r="DD908" s="226"/>
      <c r="DE908" s="226"/>
      <c r="DF908" s="226"/>
      <c r="DG908" s="226"/>
      <c r="DH908" s="226"/>
      <c r="DI908" s="226"/>
      <c r="DJ908" s="226"/>
      <c r="DK908" s="226"/>
      <c r="DL908" s="226"/>
      <c r="DM908" s="226"/>
      <c r="DN908" s="226"/>
      <c r="DO908" s="226"/>
      <c r="DP908" s="226"/>
      <c r="DQ908" s="226"/>
      <c r="DR908" s="226"/>
      <c r="DS908" s="226"/>
      <c r="DT908" s="226"/>
      <c r="DU908" s="226"/>
      <c r="DV908" s="226"/>
      <c r="DW908" s="226"/>
      <c r="DX908" s="226"/>
      <c r="DY908" s="226"/>
      <c r="DZ908" s="226"/>
      <c r="EA908" s="226"/>
      <c r="EB908" s="226"/>
      <c r="EC908" s="226"/>
      <c r="ED908" s="226"/>
      <c r="EE908" s="226"/>
      <c r="EF908" s="226"/>
      <c r="EG908" s="226"/>
      <c r="EH908" s="226"/>
      <c r="EI908" s="226"/>
      <c r="EJ908" s="226"/>
      <c r="EK908" s="226"/>
      <c r="EL908" s="226"/>
      <c r="EM908" s="226"/>
      <c r="EN908" s="226"/>
      <c r="EO908" s="226"/>
      <c r="EP908" s="226"/>
      <c r="EQ908" s="226"/>
      <c r="ER908" s="226"/>
      <c r="ES908" s="226"/>
      <c r="ET908" s="226"/>
      <c r="EU908" s="226"/>
      <c r="EV908" s="226"/>
      <c r="EW908" s="226"/>
      <c r="EX908" s="226"/>
      <c r="EY908" s="226"/>
      <c r="EZ908" s="226"/>
      <c r="FA908" s="226"/>
      <c r="FB908" s="226"/>
      <c r="FC908" s="226"/>
      <c r="FD908" s="226"/>
      <c r="FE908" s="226"/>
      <c r="FF908" s="226"/>
      <c r="FG908" s="226"/>
      <c r="FH908" s="226"/>
      <c r="FI908" s="226"/>
      <c r="FJ908" s="226"/>
      <c r="FK908" s="226"/>
      <c r="FL908" s="226"/>
      <c r="FM908" s="226"/>
      <c r="FN908" s="226"/>
      <c r="FO908" s="226"/>
      <c r="FP908" s="226"/>
      <c r="FQ908" s="226"/>
      <c r="FR908" s="226"/>
      <c r="FS908" s="226"/>
      <c r="FT908" s="226"/>
      <c r="FU908" s="226"/>
      <c r="FV908" s="226"/>
      <c r="FW908" s="226"/>
      <c r="FX908" s="226"/>
      <c r="FY908" s="226"/>
      <c r="FZ908" s="226"/>
      <c r="GA908" s="226"/>
      <c r="GB908" s="226"/>
      <c r="GC908" s="226"/>
      <c r="GD908" s="226"/>
      <c r="GE908" s="226"/>
      <c r="GF908" s="226"/>
      <c r="GG908" s="226"/>
      <c r="GH908" s="226"/>
      <c r="GI908" s="226"/>
      <c r="GJ908" s="226"/>
      <c r="GK908" s="226"/>
      <c r="GL908" s="226"/>
      <c r="GM908" s="226"/>
      <c r="GN908" s="226"/>
    </row>
    <row r="909">
      <c r="A909" s="212"/>
      <c r="B909" s="21"/>
      <c r="C909" s="21"/>
      <c r="D909" s="213"/>
      <c r="E909" s="214"/>
      <c r="F909" s="215"/>
      <c r="G909" s="21"/>
      <c r="H909" s="225"/>
      <c r="I909" s="110"/>
      <c r="J909" s="110"/>
      <c r="K909" s="110"/>
      <c r="L909" s="110"/>
      <c r="M909" s="110"/>
      <c r="N909" s="110"/>
      <c r="O909" s="110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  <c r="AA909" s="226"/>
      <c r="AB909" s="226"/>
      <c r="AC909" s="226"/>
      <c r="AD909" s="226"/>
      <c r="AE909" s="226"/>
      <c r="AF909" s="226"/>
      <c r="AG909" s="226"/>
      <c r="AH909" s="226"/>
      <c r="AI909" s="226"/>
      <c r="AJ909" s="226"/>
      <c r="AK909" s="226"/>
      <c r="AL909" s="226"/>
      <c r="AM909" s="226"/>
      <c r="AN909" s="226"/>
      <c r="AO909" s="226"/>
      <c r="AP909" s="226"/>
      <c r="AQ909" s="226"/>
      <c r="AR909" s="226"/>
      <c r="AS909" s="226"/>
      <c r="AT909" s="226"/>
      <c r="AU909" s="226"/>
      <c r="AV909" s="226"/>
      <c r="AW909" s="226"/>
      <c r="AX909" s="226"/>
      <c r="AY909" s="226"/>
      <c r="AZ909" s="226"/>
      <c r="BA909" s="226"/>
      <c r="BB909" s="226"/>
      <c r="BC909" s="226"/>
      <c r="BD909" s="226"/>
      <c r="BE909" s="226"/>
      <c r="BF909" s="226"/>
      <c r="BG909" s="226"/>
      <c r="BH909" s="226"/>
      <c r="BI909" s="226"/>
      <c r="BJ909" s="226"/>
      <c r="BK909" s="226"/>
      <c r="BL909" s="226"/>
      <c r="BM909" s="226"/>
      <c r="BN909" s="226"/>
      <c r="BO909" s="226"/>
      <c r="BP909" s="226"/>
      <c r="BQ909" s="226"/>
      <c r="BR909" s="226"/>
      <c r="BS909" s="226"/>
      <c r="BT909" s="226"/>
      <c r="BU909" s="226"/>
      <c r="BV909" s="226"/>
      <c r="BW909" s="226"/>
      <c r="BX909" s="226"/>
      <c r="BY909" s="226"/>
      <c r="BZ909" s="226"/>
      <c r="CA909" s="226"/>
      <c r="CB909" s="226"/>
      <c r="CC909" s="226"/>
      <c r="CD909" s="226"/>
      <c r="CE909" s="226"/>
      <c r="CF909" s="226"/>
      <c r="CG909" s="226"/>
      <c r="CH909" s="226"/>
      <c r="CI909" s="226"/>
      <c r="CJ909" s="226"/>
      <c r="CK909" s="226"/>
      <c r="CL909" s="226"/>
      <c r="CM909" s="226"/>
      <c r="CN909" s="226"/>
      <c r="CO909" s="226"/>
      <c r="CP909" s="226"/>
      <c r="CQ909" s="226"/>
      <c r="CR909" s="226"/>
      <c r="CS909" s="226"/>
      <c r="CT909" s="226"/>
      <c r="CU909" s="226"/>
      <c r="CV909" s="226"/>
      <c r="CW909" s="226"/>
      <c r="CX909" s="226"/>
      <c r="CY909" s="226"/>
      <c r="CZ909" s="226"/>
      <c r="DA909" s="226"/>
      <c r="DB909" s="226"/>
      <c r="DC909" s="226"/>
      <c r="DD909" s="226"/>
      <c r="DE909" s="226"/>
      <c r="DF909" s="226"/>
      <c r="DG909" s="226"/>
      <c r="DH909" s="226"/>
      <c r="DI909" s="226"/>
      <c r="DJ909" s="226"/>
      <c r="DK909" s="226"/>
      <c r="DL909" s="226"/>
      <c r="DM909" s="226"/>
      <c r="DN909" s="226"/>
      <c r="DO909" s="226"/>
      <c r="DP909" s="226"/>
      <c r="DQ909" s="226"/>
      <c r="DR909" s="226"/>
      <c r="DS909" s="226"/>
      <c r="DT909" s="226"/>
      <c r="DU909" s="226"/>
      <c r="DV909" s="226"/>
      <c r="DW909" s="226"/>
      <c r="DX909" s="226"/>
      <c r="DY909" s="226"/>
      <c r="DZ909" s="226"/>
      <c r="EA909" s="226"/>
      <c r="EB909" s="226"/>
      <c r="EC909" s="226"/>
      <c r="ED909" s="226"/>
      <c r="EE909" s="226"/>
      <c r="EF909" s="226"/>
      <c r="EG909" s="226"/>
      <c r="EH909" s="226"/>
      <c r="EI909" s="226"/>
      <c r="EJ909" s="226"/>
      <c r="EK909" s="226"/>
      <c r="EL909" s="226"/>
      <c r="EM909" s="226"/>
      <c r="EN909" s="226"/>
      <c r="EO909" s="226"/>
      <c r="EP909" s="226"/>
      <c r="EQ909" s="226"/>
      <c r="ER909" s="226"/>
      <c r="ES909" s="226"/>
      <c r="ET909" s="226"/>
      <c r="EU909" s="226"/>
      <c r="EV909" s="226"/>
      <c r="EW909" s="226"/>
      <c r="EX909" s="226"/>
      <c r="EY909" s="226"/>
      <c r="EZ909" s="226"/>
      <c r="FA909" s="226"/>
      <c r="FB909" s="226"/>
      <c r="FC909" s="226"/>
      <c r="FD909" s="226"/>
      <c r="FE909" s="226"/>
      <c r="FF909" s="226"/>
      <c r="FG909" s="226"/>
      <c r="FH909" s="226"/>
      <c r="FI909" s="226"/>
      <c r="FJ909" s="226"/>
      <c r="FK909" s="226"/>
      <c r="FL909" s="226"/>
      <c r="FM909" s="226"/>
      <c r="FN909" s="226"/>
      <c r="FO909" s="226"/>
      <c r="FP909" s="226"/>
      <c r="FQ909" s="226"/>
      <c r="FR909" s="226"/>
      <c r="FS909" s="226"/>
      <c r="FT909" s="226"/>
      <c r="FU909" s="226"/>
      <c r="FV909" s="226"/>
      <c r="FW909" s="226"/>
      <c r="FX909" s="226"/>
      <c r="FY909" s="226"/>
      <c r="FZ909" s="226"/>
      <c r="GA909" s="226"/>
      <c r="GB909" s="226"/>
      <c r="GC909" s="226"/>
      <c r="GD909" s="226"/>
      <c r="GE909" s="226"/>
      <c r="GF909" s="226"/>
      <c r="GG909" s="226"/>
      <c r="GH909" s="226"/>
      <c r="GI909" s="226"/>
      <c r="GJ909" s="226"/>
      <c r="GK909" s="226"/>
      <c r="GL909" s="226"/>
      <c r="GM909" s="226"/>
      <c r="GN909" s="226"/>
    </row>
    <row r="910">
      <c r="A910" s="212"/>
      <c r="B910" s="21"/>
      <c r="C910" s="21"/>
      <c r="D910" s="213"/>
      <c r="E910" s="214"/>
      <c r="F910" s="215"/>
      <c r="G910" s="21"/>
      <c r="H910" s="225"/>
      <c r="I910" s="110"/>
      <c r="J910" s="110"/>
      <c r="K910" s="110"/>
      <c r="L910" s="110"/>
      <c r="M910" s="110"/>
      <c r="N910" s="110"/>
      <c r="O910" s="110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  <c r="AA910" s="226"/>
      <c r="AB910" s="226"/>
      <c r="AC910" s="226"/>
      <c r="AD910" s="226"/>
      <c r="AE910" s="226"/>
      <c r="AF910" s="226"/>
      <c r="AG910" s="226"/>
      <c r="AH910" s="226"/>
      <c r="AI910" s="226"/>
      <c r="AJ910" s="226"/>
      <c r="AK910" s="226"/>
      <c r="AL910" s="226"/>
      <c r="AM910" s="226"/>
      <c r="AN910" s="226"/>
      <c r="AO910" s="226"/>
      <c r="AP910" s="226"/>
      <c r="AQ910" s="226"/>
      <c r="AR910" s="226"/>
      <c r="AS910" s="226"/>
      <c r="AT910" s="226"/>
      <c r="AU910" s="226"/>
      <c r="AV910" s="226"/>
      <c r="AW910" s="226"/>
      <c r="AX910" s="226"/>
      <c r="AY910" s="226"/>
      <c r="AZ910" s="226"/>
      <c r="BA910" s="226"/>
      <c r="BB910" s="226"/>
      <c r="BC910" s="226"/>
      <c r="BD910" s="226"/>
      <c r="BE910" s="226"/>
      <c r="BF910" s="226"/>
      <c r="BG910" s="226"/>
      <c r="BH910" s="226"/>
      <c r="BI910" s="226"/>
      <c r="BJ910" s="226"/>
      <c r="BK910" s="226"/>
      <c r="BL910" s="226"/>
      <c r="BM910" s="226"/>
      <c r="BN910" s="226"/>
      <c r="BO910" s="226"/>
      <c r="BP910" s="226"/>
      <c r="BQ910" s="226"/>
      <c r="BR910" s="226"/>
      <c r="BS910" s="226"/>
      <c r="BT910" s="226"/>
      <c r="BU910" s="226"/>
      <c r="BV910" s="226"/>
      <c r="BW910" s="226"/>
      <c r="BX910" s="226"/>
      <c r="BY910" s="226"/>
      <c r="BZ910" s="226"/>
      <c r="CA910" s="226"/>
      <c r="CB910" s="226"/>
      <c r="CC910" s="226"/>
      <c r="CD910" s="226"/>
      <c r="CE910" s="226"/>
      <c r="CF910" s="226"/>
      <c r="CG910" s="226"/>
      <c r="CH910" s="226"/>
      <c r="CI910" s="226"/>
      <c r="CJ910" s="226"/>
      <c r="CK910" s="226"/>
      <c r="CL910" s="226"/>
      <c r="CM910" s="226"/>
      <c r="CN910" s="226"/>
      <c r="CO910" s="226"/>
      <c r="CP910" s="226"/>
      <c r="CQ910" s="226"/>
      <c r="CR910" s="226"/>
      <c r="CS910" s="226"/>
      <c r="CT910" s="226"/>
      <c r="CU910" s="226"/>
      <c r="CV910" s="226"/>
      <c r="CW910" s="226"/>
      <c r="CX910" s="226"/>
      <c r="CY910" s="226"/>
      <c r="CZ910" s="226"/>
      <c r="DA910" s="226"/>
      <c r="DB910" s="226"/>
      <c r="DC910" s="226"/>
      <c r="DD910" s="226"/>
      <c r="DE910" s="226"/>
      <c r="DF910" s="226"/>
      <c r="DG910" s="226"/>
      <c r="DH910" s="226"/>
      <c r="DI910" s="226"/>
      <c r="DJ910" s="226"/>
      <c r="DK910" s="226"/>
      <c r="DL910" s="226"/>
      <c r="DM910" s="226"/>
      <c r="DN910" s="226"/>
      <c r="DO910" s="226"/>
      <c r="DP910" s="226"/>
      <c r="DQ910" s="226"/>
      <c r="DR910" s="226"/>
      <c r="DS910" s="226"/>
      <c r="DT910" s="226"/>
      <c r="DU910" s="226"/>
      <c r="DV910" s="226"/>
      <c r="DW910" s="226"/>
      <c r="DX910" s="226"/>
      <c r="DY910" s="226"/>
      <c r="DZ910" s="226"/>
      <c r="EA910" s="226"/>
      <c r="EB910" s="226"/>
      <c r="EC910" s="226"/>
      <c r="ED910" s="226"/>
      <c r="EE910" s="226"/>
      <c r="EF910" s="226"/>
      <c r="EG910" s="226"/>
      <c r="EH910" s="226"/>
      <c r="EI910" s="226"/>
      <c r="EJ910" s="226"/>
      <c r="EK910" s="226"/>
      <c r="EL910" s="226"/>
      <c r="EM910" s="226"/>
      <c r="EN910" s="226"/>
      <c r="EO910" s="226"/>
      <c r="EP910" s="226"/>
      <c r="EQ910" s="226"/>
      <c r="ER910" s="226"/>
      <c r="ES910" s="226"/>
      <c r="ET910" s="226"/>
      <c r="EU910" s="226"/>
      <c r="EV910" s="226"/>
      <c r="EW910" s="226"/>
      <c r="EX910" s="226"/>
      <c r="EY910" s="226"/>
      <c r="EZ910" s="226"/>
      <c r="FA910" s="226"/>
      <c r="FB910" s="226"/>
      <c r="FC910" s="226"/>
      <c r="FD910" s="226"/>
      <c r="FE910" s="226"/>
      <c r="FF910" s="226"/>
      <c r="FG910" s="226"/>
      <c r="FH910" s="226"/>
      <c r="FI910" s="226"/>
      <c r="FJ910" s="226"/>
      <c r="FK910" s="226"/>
      <c r="FL910" s="226"/>
      <c r="FM910" s="226"/>
      <c r="FN910" s="226"/>
      <c r="FO910" s="226"/>
      <c r="FP910" s="226"/>
      <c r="FQ910" s="226"/>
      <c r="FR910" s="226"/>
      <c r="FS910" s="226"/>
      <c r="FT910" s="226"/>
      <c r="FU910" s="226"/>
      <c r="FV910" s="226"/>
      <c r="FW910" s="226"/>
      <c r="FX910" s="226"/>
      <c r="FY910" s="226"/>
      <c r="FZ910" s="226"/>
      <c r="GA910" s="226"/>
      <c r="GB910" s="226"/>
      <c r="GC910" s="226"/>
      <c r="GD910" s="226"/>
      <c r="GE910" s="226"/>
      <c r="GF910" s="226"/>
      <c r="GG910" s="226"/>
      <c r="GH910" s="226"/>
      <c r="GI910" s="226"/>
      <c r="GJ910" s="226"/>
      <c r="GK910" s="226"/>
      <c r="GL910" s="226"/>
      <c r="GM910" s="226"/>
      <c r="GN910" s="226"/>
    </row>
    <row r="911">
      <c r="A911" s="212"/>
      <c r="B911" s="21"/>
      <c r="C911" s="21"/>
      <c r="D911" s="213"/>
      <c r="E911" s="214"/>
      <c r="F911" s="215"/>
      <c r="G911" s="21"/>
      <c r="H911" s="225"/>
      <c r="I911" s="110"/>
      <c r="J911" s="110"/>
      <c r="K911" s="110"/>
      <c r="L911" s="110"/>
      <c r="M911" s="110"/>
      <c r="N911" s="110"/>
      <c r="O911" s="110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  <c r="AA911" s="226"/>
      <c r="AB911" s="226"/>
      <c r="AC911" s="226"/>
      <c r="AD911" s="226"/>
      <c r="AE911" s="226"/>
      <c r="AF911" s="226"/>
      <c r="AG911" s="226"/>
      <c r="AH911" s="226"/>
      <c r="AI911" s="226"/>
      <c r="AJ911" s="226"/>
      <c r="AK911" s="226"/>
      <c r="AL911" s="226"/>
      <c r="AM911" s="226"/>
      <c r="AN911" s="226"/>
      <c r="AO911" s="226"/>
      <c r="AP911" s="226"/>
      <c r="AQ911" s="226"/>
      <c r="AR911" s="226"/>
      <c r="AS911" s="226"/>
      <c r="AT911" s="226"/>
      <c r="AU911" s="226"/>
      <c r="AV911" s="226"/>
      <c r="AW911" s="226"/>
      <c r="AX911" s="226"/>
      <c r="AY911" s="226"/>
      <c r="AZ911" s="226"/>
      <c r="BA911" s="226"/>
      <c r="BB911" s="226"/>
      <c r="BC911" s="226"/>
      <c r="BD911" s="226"/>
      <c r="BE911" s="226"/>
      <c r="BF911" s="226"/>
      <c r="BG911" s="226"/>
      <c r="BH911" s="226"/>
      <c r="BI911" s="226"/>
      <c r="BJ911" s="226"/>
      <c r="BK911" s="226"/>
      <c r="BL911" s="226"/>
      <c r="BM911" s="226"/>
      <c r="BN911" s="226"/>
      <c r="BO911" s="226"/>
      <c r="BP911" s="226"/>
      <c r="BQ911" s="226"/>
      <c r="BR911" s="226"/>
      <c r="BS911" s="226"/>
      <c r="BT911" s="226"/>
      <c r="BU911" s="226"/>
      <c r="BV911" s="226"/>
      <c r="BW911" s="226"/>
      <c r="BX911" s="226"/>
      <c r="BY911" s="226"/>
      <c r="BZ911" s="226"/>
      <c r="CA911" s="226"/>
      <c r="CB911" s="226"/>
      <c r="CC911" s="226"/>
      <c r="CD911" s="226"/>
      <c r="CE911" s="226"/>
      <c r="CF911" s="226"/>
      <c r="CG911" s="226"/>
      <c r="CH911" s="226"/>
      <c r="CI911" s="226"/>
      <c r="CJ911" s="226"/>
      <c r="CK911" s="226"/>
      <c r="CL911" s="226"/>
      <c r="CM911" s="226"/>
      <c r="CN911" s="226"/>
      <c r="CO911" s="226"/>
      <c r="CP911" s="226"/>
      <c r="CQ911" s="226"/>
      <c r="CR911" s="226"/>
      <c r="CS911" s="226"/>
      <c r="CT911" s="226"/>
      <c r="CU911" s="226"/>
      <c r="CV911" s="226"/>
      <c r="CW911" s="226"/>
      <c r="CX911" s="226"/>
      <c r="CY911" s="226"/>
      <c r="CZ911" s="226"/>
      <c r="DA911" s="226"/>
      <c r="DB911" s="226"/>
      <c r="DC911" s="226"/>
      <c r="DD911" s="226"/>
      <c r="DE911" s="226"/>
      <c r="DF911" s="226"/>
      <c r="DG911" s="226"/>
      <c r="DH911" s="226"/>
      <c r="DI911" s="226"/>
      <c r="DJ911" s="226"/>
      <c r="DK911" s="226"/>
      <c r="DL911" s="226"/>
      <c r="DM911" s="226"/>
      <c r="DN911" s="226"/>
      <c r="DO911" s="226"/>
      <c r="DP911" s="226"/>
      <c r="DQ911" s="226"/>
      <c r="DR911" s="226"/>
      <c r="DS911" s="226"/>
      <c r="DT911" s="226"/>
      <c r="DU911" s="226"/>
      <c r="DV911" s="226"/>
      <c r="DW911" s="226"/>
      <c r="DX911" s="226"/>
      <c r="DY911" s="226"/>
      <c r="DZ911" s="226"/>
      <c r="EA911" s="226"/>
      <c r="EB911" s="226"/>
      <c r="EC911" s="226"/>
      <c r="ED911" s="226"/>
      <c r="EE911" s="226"/>
      <c r="EF911" s="226"/>
      <c r="EG911" s="226"/>
      <c r="EH911" s="226"/>
      <c r="EI911" s="226"/>
      <c r="EJ911" s="226"/>
      <c r="EK911" s="226"/>
      <c r="EL911" s="226"/>
      <c r="EM911" s="226"/>
      <c r="EN911" s="226"/>
      <c r="EO911" s="226"/>
      <c r="EP911" s="226"/>
      <c r="EQ911" s="226"/>
      <c r="ER911" s="226"/>
      <c r="ES911" s="226"/>
      <c r="ET911" s="226"/>
      <c r="EU911" s="226"/>
      <c r="EV911" s="226"/>
      <c r="EW911" s="226"/>
      <c r="EX911" s="226"/>
      <c r="EY911" s="226"/>
      <c r="EZ911" s="226"/>
      <c r="FA911" s="226"/>
      <c r="FB911" s="226"/>
      <c r="FC911" s="226"/>
      <c r="FD911" s="226"/>
      <c r="FE911" s="226"/>
      <c r="FF911" s="226"/>
      <c r="FG911" s="226"/>
      <c r="FH911" s="226"/>
      <c r="FI911" s="226"/>
      <c r="FJ911" s="226"/>
      <c r="FK911" s="226"/>
      <c r="FL911" s="226"/>
      <c r="FM911" s="226"/>
      <c r="FN911" s="226"/>
      <c r="FO911" s="226"/>
      <c r="FP911" s="226"/>
      <c r="FQ911" s="226"/>
      <c r="FR911" s="226"/>
      <c r="FS911" s="226"/>
      <c r="FT911" s="226"/>
      <c r="FU911" s="226"/>
      <c r="FV911" s="226"/>
      <c r="FW911" s="226"/>
      <c r="FX911" s="226"/>
      <c r="FY911" s="226"/>
      <c r="FZ911" s="226"/>
      <c r="GA911" s="226"/>
      <c r="GB911" s="226"/>
      <c r="GC911" s="226"/>
      <c r="GD911" s="226"/>
      <c r="GE911" s="226"/>
      <c r="GF911" s="226"/>
      <c r="GG911" s="226"/>
      <c r="GH911" s="226"/>
      <c r="GI911" s="226"/>
      <c r="GJ911" s="226"/>
      <c r="GK911" s="226"/>
      <c r="GL911" s="226"/>
      <c r="GM911" s="226"/>
      <c r="GN911" s="226"/>
    </row>
    <row r="912">
      <c r="A912" s="212"/>
      <c r="B912" s="21"/>
      <c r="C912" s="21"/>
      <c r="D912" s="213"/>
      <c r="E912" s="214"/>
      <c r="F912" s="215"/>
      <c r="G912" s="21"/>
      <c r="H912" s="225"/>
      <c r="I912" s="110"/>
      <c r="J912" s="110"/>
      <c r="K912" s="110"/>
      <c r="L912" s="110"/>
      <c r="M912" s="110"/>
      <c r="N912" s="110"/>
      <c r="O912" s="110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  <c r="AA912" s="226"/>
      <c r="AB912" s="226"/>
      <c r="AC912" s="226"/>
      <c r="AD912" s="226"/>
      <c r="AE912" s="226"/>
      <c r="AF912" s="226"/>
      <c r="AG912" s="226"/>
      <c r="AH912" s="226"/>
      <c r="AI912" s="226"/>
      <c r="AJ912" s="226"/>
      <c r="AK912" s="226"/>
      <c r="AL912" s="226"/>
      <c r="AM912" s="226"/>
      <c r="AN912" s="226"/>
      <c r="AO912" s="226"/>
      <c r="AP912" s="226"/>
      <c r="AQ912" s="226"/>
      <c r="AR912" s="226"/>
      <c r="AS912" s="226"/>
      <c r="AT912" s="226"/>
      <c r="AU912" s="226"/>
      <c r="AV912" s="226"/>
      <c r="AW912" s="226"/>
      <c r="AX912" s="226"/>
      <c r="AY912" s="226"/>
      <c r="AZ912" s="226"/>
      <c r="BA912" s="226"/>
      <c r="BB912" s="226"/>
      <c r="BC912" s="226"/>
      <c r="BD912" s="226"/>
      <c r="BE912" s="226"/>
      <c r="BF912" s="226"/>
      <c r="BG912" s="226"/>
      <c r="BH912" s="226"/>
      <c r="BI912" s="226"/>
      <c r="BJ912" s="226"/>
      <c r="BK912" s="226"/>
      <c r="BL912" s="226"/>
      <c r="BM912" s="226"/>
      <c r="BN912" s="226"/>
      <c r="BO912" s="226"/>
      <c r="BP912" s="226"/>
      <c r="BQ912" s="226"/>
      <c r="BR912" s="226"/>
      <c r="BS912" s="226"/>
      <c r="BT912" s="226"/>
      <c r="BU912" s="226"/>
      <c r="BV912" s="226"/>
      <c r="BW912" s="226"/>
      <c r="BX912" s="226"/>
      <c r="BY912" s="226"/>
      <c r="BZ912" s="226"/>
      <c r="CA912" s="226"/>
      <c r="CB912" s="226"/>
      <c r="CC912" s="226"/>
      <c r="CD912" s="226"/>
      <c r="CE912" s="226"/>
      <c r="CF912" s="226"/>
      <c r="CG912" s="226"/>
      <c r="CH912" s="226"/>
      <c r="CI912" s="226"/>
      <c r="CJ912" s="226"/>
      <c r="CK912" s="226"/>
      <c r="CL912" s="226"/>
      <c r="CM912" s="226"/>
      <c r="CN912" s="226"/>
      <c r="CO912" s="226"/>
      <c r="CP912" s="226"/>
      <c r="CQ912" s="226"/>
      <c r="CR912" s="226"/>
      <c r="CS912" s="226"/>
      <c r="CT912" s="226"/>
      <c r="CU912" s="226"/>
      <c r="CV912" s="226"/>
      <c r="CW912" s="226"/>
      <c r="CX912" s="226"/>
      <c r="CY912" s="226"/>
      <c r="CZ912" s="226"/>
      <c r="DA912" s="226"/>
      <c r="DB912" s="226"/>
      <c r="DC912" s="226"/>
      <c r="DD912" s="226"/>
      <c r="DE912" s="226"/>
      <c r="DF912" s="226"/>
      <c r="DG912" s="226"/>
      <c r="DH912" s="226"/>
      <c r="DI912" s="226"/>
      <c r="DJ912" s="226"/>
      <c r="DK912" s="226"/>
      <c r="DL912" s="226"/>
      <c r="DM912" s="226"/>
      <c r="DN912" s="226"/>
      <c r="DO912" s="226"/>
      <c r="DP912" s="226"/>
      <c r="DQ912" s="226"/>
      <c r="DR912" s="226"/>
      <c r="DS912" s="226"/>
      <c r="DT912" s="226"/>
      <c r="DU912" s="226"/>
      <c r="DV912" s="226"/>
      <c r="DW912" s="226"/>
      <c r="DX912" s="226"/>
      <c r="DY912" s="226"/>
      <c r="DZ912" s="226"/>
      <c r="EA912" s="226"/>
      <c r="EB912" s="226"/>
      <c r="EC912" s="226"/>
      <c r="ED912" s="226"/>
      <c r="EE912" s="226"/>
      <c r="EF912" s="226"/>
      <c r="EG912" s="226"/>
      <c r="EH912" s="226"/>
      <c r="EI912" s="226"/>
      <c r="EJ912" s="226"/>
      <c r="EK912" s="226"/>
      <c r="EL912" s="226"/>
      <c r="EM912" s="226"/>
      <c r="EN912" s="226"/>
      <c r="EO912" s="226"/>
      <c r="EP912" s="226"/>
      <c r="EQ912" s="226"/>
      <c r="ER912" s="226"/>
      <c r="ES912" s="226"/>
      <c r="ET912" s="226"/>
      <c r="EU912" s="226"/>
      <c r="EV912" s="226"/>
      <c r="EW912" s="226"/>
      <c r="EX912" s="226"/>
      <c r="EY912" s="226"/>
      <c r="EZ912" s="226"/>
      <c r="FA912" s="226"/>
      <c r="FB912" s="226"/>
      <c r="FC912" s="226"/>
      <c r="FD912" s="226"/>
      <c r="FE912" s="226"/>
      <c r="FF912" s="226"/>
      <c r="FG912" s="226"/>
      <c r="FH912" s="226"/>
      <c r="FI912" s="226"/>
      <c r="FJ912" s="226"/>
      <c r="FK912" s="226"/>
      <c r="FL912" s="226"/>
      <c r="FM912" s="226"/>
      <c r="FN912" s="226"/>
      <c r="FO912" s="226"/>
      <c r="FP912" s="226"/>
      <c r="FQ912" s="226"/>
      <c r="FR912" s="226"/>
      <c r="FS912" s="226"/>
      <c r="FT912" s="226"/>
      <c r="FU912" s="226"/>
      <c r="FV912" s="226"/>
      <c r="FW912" s="226"/>
      <c r="FX912" s="226"/>
      <c r="FY912" s="226"/>
      <c r="FZ912" s="226"/>
      <c r="GA912" s="226"/>
      <c r="GB912" s="226"/>
      <c r="GC912" s="226"/>
      <c r="GD912" s="226"/>
      <c r="GE912" s="226"/>
      <c r="GF912" s="226"/>
      <c r="GG912" s="226"/>
      <c r="GH912" s="226"/>
      <c r="GI912" s="226"/>
      <c r="GJ912" s="226"/>
      <c r="GK912" s="226"/>
      <c r="GL912" s="226"/>
      <c r="GM912" s="226"/>
      <c r="GN912" s="226"/>
    </row>
    <row r="913">
      <c r="A913" s="212"/>
      <c r="B913" s="21"/>
      <c r="C913" s="21"/>
      <c r="D913" s="213"/>
      <c r="E913" s="214"/>
      <c r="F913" s="215"/>
      <c r="G913" s="21"/>
      <c r="H913" s="225"/>
      <c r="I913" s="110"/>
      <c r="J913" s="110"/>
      <c r="K913" s="110"/>
      <c r="L913" s="110"/>
      <c r="M913" s="110"/>
      <c r="N913" s="110"/>
      <c r="O913" s="110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  <c r="AA913" s="226"/>
      <c r="AB913" s="226"/>
      <c r="AC913" s="226"/>
      <c r="AD913" s="226"/>
      <c r="AE913" s="226"/>
      <c r="AF913" s="226"/>
      <c r="AG913" s="226"/>
      <c r="AH913" s="226"/>
      <c r="AI913" s="226"/>
      <c r="AJ913" s="226"/>
      <c r="AK913" s="226"/>
      <c r="AL913" s="226"/>
      <c r="AM913" s="226"/>
      <c r="AN913" s="226"/>
      <c r="AO913" s="226"/>
      <c r="AP913" s="226"/>
      <c r="AQ913" s="226"/>
      <c r="AR913" s="226"/>
      <c r="AS913" s="226"/>
      <c r="AT913" s="226"/>
      <c r="AU913" s="226"/>
      <c r="AV913" s="226"/>
      <c r="AW913" s="226"/>
      <c r="AX913" s="226"/>
      <c r="AY913" s="226"/>
      <c r="AZ913" s="226"/>
      <c r="BA913" s="226"/>
      <c r="BB913" s="226"/>
      <c r="BC913" s="226"/>
      <c r="BD913" s="226"/>
      <c r="BE913" s="226"/>
      <c r="BF913" s="226"/>
      <c r="BG913" s="226"/>
      <c r="BH913" s="226"/>
      <c r="BI913" s="226"/>
      <c r="BJ913" s="226"/>
      <c r="BK913" s="226"/>
      <c r="BL913" s="226"/>
      <c r="BM913" s="226"/>
      <c r="BN913" s="226"/>
      <c r="BO913" s="226"/>
      <c r="BP913" s="226"/>
      <c r="BQ913" s="226"/>
      <c r="BR913" s="226"/>
      <c r="BS913" s="226"/>
      <c r="BT913" s="226"/>
      <c r="BU913" s="226"/>
      <c r="BV913" s="226"/>
      <c r="BW913" s="226"/>
      <c r="BX913" s="226"/>
      <c r="BY913" s="226"/>
      <c r="BZ913" s="226"/>
      <c r="CA913" s="226"/>
      <c r="CB913" s="226"/>
      <c r="CC913" s="226"/>
      <c r="CD913" s="226"/>
      <c r="CE913" s="226"/>
      <c r="CF913" s="226"/>
      <c r="CG913" s="226"/>
      <c r="CH913" s="226"/>
      <c r="CI913" s="226"/>
      <c r="CJ913" s="226"/>
      <c r="CK913" s="226"/>
      <c r="CL913" s="226"/>
      <c r="CM913" s="226"/>
      <c r="CN913" s="226"/>
      <c r="CO913" s="226"/>
      <c r="CP913" s="226"/>
      <c r="CQ913" s="226"/>
      <c r="CR913" s="226"/>
      <c r="CS913" s="226"/>
      <c r="CT913" s="226"/>
      <c r="CU913" s="226"/>
      <c r="CV913" s="226"/>
      <c r="CW913" s="226"/>
      <c r="CX913" s="226"/>
      <c r="CY913" s="226"/>
      <c r="CZ913" s="226"/>
      <c r="DA913" s="226"/>
      <c r="DB913" s="226"/>
      <c r="DC913" s="226"/>
      <c r="DD913" s="226"/>
      <c r="DE913" s="226"/>
      <c r="DF913" s="226"/>
      <c r="DG913" s="226"/>
      <c r="DH913" s="226"/>
      <c r="DI913" s="226"/>
      <c r="DJ913" s="226"/>
      <c r="DK913" s="226"/>
      <c r="DL913" s="226"/>
      <c r="DM913" s="226"/>
      <c r="DN913" s="226"/>
      <c r="DO913" s="226"/>
      <c r="DP913" s="226"/>
      <c r="DQ913" s="226"/>
      <c r="DR913" s="226"/>
      <c r="DS913" s="226"/>
      <c r="DT913" s="226"/>
      <c r="DU913" s="226"/>
      <c r="DV913" s="226"/>
      <c r="DW913" s="226"/>
      <c r="DX913" s="226"/>
      <c r="DY913" s="226"/>
      <c r="DZ913" s="226"/>
      <c r="EA913" s="226"/>
      <c r="EB913" s="226"/>
      <c r="EC913" s="226"/>
      <c r="ED913" s="226"/>
      <c r="EE913" s="226"/>
      <c r="EF913" s="226"/>
      <c r="EG913" s="226"/>
      <c r="EH913" s="226"/>
      <c r="EI913" s="226"/>
      <c r="EJ913" s="226"/>
      <c r="EK913" s="226"/>
      <c r="EL913" s="226"/>
      <c r="EM913" s="226"/>
      <c r="EN913" s="226"/>
      <c r="EO913" s="226"/>
      <c r="EP913" s="226"/>
      <c r="EQ913" s="226"/>
      <c r="ER913" s="226"/>
      <c r="ES913" s="226"/>
      <c r="ET913" s="226"/>
      <c r="EU913" s="226"/>
      <c r="EV913" s="226"/>
      <c r="EW913" s="226"/>
      <c r="EX913" s="226"/>
      <c r="EY913" s="226"/>
      <c r="EZ913" s="226"/>
      <c r="FA913" s="226"/>
      <c r="FB913" s="226"/>
      <c r="FC913" s="226"/>
      <c r="FD913" s="226"/>
      <c r="FE913" s="226"/>
      <c r="FF913" s="226"/>
      <c r="FG913" s="226"/>
      <c r="FH913" s="226"/>
      <c r="FI913" s="226"/>
      <c r="FJ913" s="226"/>
      <c r="FK913" s="226"/>
      <c r="FL913" s="226"/>
      <c r="FM913" s="226"/>
      <c r="FN913" s="226"/>
      <c r="FO913" s="226"/>
      <c r="FP913" s="226"/>
      <c r="FQ913" s="226"/>
      <c r="FR913" s="226"/>
      <c r="FS913" s="226"/>
      <c r="FT913" s="226"/>
      <c r="FU913" s="226"/>
      <c r="FV913" s="226"/>
      <c r="FW913" s="226"/>
      <c r="FX913" s="226"/>
      <c r="FY913" s="226"/>
      <c r="FZ913" s="226"/>
      <c r="GA913" s="226"/>
      <c r="GB913" s="226"/>
      <c r="GC913" s="226"/>
      <c r="GD913" s="226"/>
      <c r="GE913" s="226"/>
      <c r="GF913" s="226"/>
      <c r="GG913" s="226"/>
      <c r="GH913" s="226"/>
      <c r="GI913" s="226"/>
      <c r="GJ913" s="226"/>
      <c r="GK913" s="226"/>
      <c r="GL913" s="226"/>
      <c r="GM913" s="226"/>
      <c r="GN913" s="226"/>
    </row>
    <row r="914">
      <c r="A914" s="212"/>
      <c r="B914" s="21"/>
      <c r="C914" s="21"/>
      <c r="D914" s="213"/>
      <c r="E914" s="214"/>
      <c r="F914" s="215"/>
      <c r="G914" s="21"/>
      <c r="H914" s="225"/>
      <c r="I914" s="110"/>
      <c r="J914" s="110"/>
      <c r="K914" s="110"/>
      <c r="L914" s="110"/>
      <c r="M914" s="110"/>
      <c r="N914" s="110"/>
      <c r="O914" s="110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  <c r="AA914" s="226"/>
      <c r="AB914" s="226"/>
      <c r="AC914" s="226"/>
      <c r="AD914" s="226"/>
      <c r="AE914" s="226"/>
      <c r="AF914" s="226"/>
      <c r="AG914" s="226"/>
      <c r="AH914" s="226"/>
      <c r="AI914" s="226"/>
      <c r="AJ914" s="226"/>
      <c r="AK914" s="226"/>
      <c r="AL914" s="226"/>
      <c r="AM914" s="226"/>
      <c r="AN914" s="226"/>
      <c r="AO914" s="226"/>
      <c r="AP914" s="226"/>
      <c r="AQ914" s="226"/>
      <c r="AR914" s="226"/>
      <c r="AS914" s="226"/>
      <c r="AT914" s="226"/>
      <c r="AU914" s="226"/>
      <c r="AV914" s="226"/>
      <c r="AW914" s="226"/>
      <c r="AX914" s="226"/>
      <c r="AY914" s="226"/>
      <c r="AZ914" s="226"/>
      <c r="BA914" s="226"/>
      <c r="BB914" s="226"/>
      <c r="BC914" s="226"/>
      <c r="BD914" s="226"/>
      <c r="BE914" s="226"/>
      <c r="BF914" s="226"/>
      <c r="BG914" s="226"/>
      <c r="BH914" s="226"/>
      <c r="BI914" s="226"/>
      <c r="BJ914" s="226"/>
      <c r="BK914" s="226"/>
      <c r="BL914" s="226"/>
      <c r="BM914" s="226"/>
      <c r="BN914" s="226"/>
      <c r="BO914" s="226"/>
      <c r="BP914" s="226"/>
      <c r="BQ914" s="226"/>
      <c r="BR914" s="226"/>
      <c r="BS914" s="226"/>
      <c r="BT914" s="226"/>
      <c r="BU914" s="226"/>
      <c r="BV914" s="226"/>
      <c r="BW914" s="226"/>
      <c r="BX914" s="226"/>
      <c r="BY914" s="226"/>
      <c r="BZ914" s="226"/>
      <c r="CA914" s="226"/>
      <c r="CB914" s="226"/>
      <c r="CC914" s="226"/>
      <c r="CD914" s="226"/>
      <c r="CE914" s="226"/>
      <c r="CF914" s="226"/>
      <c r="CG914" s="226"/>
      <c r="CH914" s="226"/>
      <c r="CI914" s="226"/>
      <c r="CJ914" s="226"/>
      <c r="CK914" s="226"/>
      <c r="CL914" s="226"/>
      <c r="CM914" s="226"/>
      <c r="CN914" s="226"/>
      <c r="CO914" s="226"/>
      <c r="CP914" s="226"/>
      <c r="CQ914" s="226"/>
      <c r="CR914" s="226"/>
      <c r="CS914" s="226"/>
      <c r="CT914" s="226"/>
      <c r="CU914" s="226"/>
      <c r="CV914" s="226"/>
      <c r="CW914" s="226"/>
      <c r="CX914" s="226"/>
      <c r="CY914" s="226"/>
      <c r="CZ914" s="226"/>
      <c r="DA914" s="226"/>
      <c r="DB914" s="226"/>
      <c r="DC914" s="226"/>
      <c r="DD914" s="226"/>
      <c r="DE914" s="226"/>
      <c r="DF914" s="226"/>
      <c r="DG914" s="226"/>
      <c r="DH914" s="226"/>
      <c r="DI914" s="226"/>
      <c r="DJ914" s="226"/>
      <c r="DK914" s="226"/>
      <c r="DL914" s="226"/>
      <c r="DM914" s="226"/>
      <c r="DN914" s="226"/>
      <c r="DO914" s="226"/>
      <c r="DP914" s="226"/>
      <c r="DQ914" s="226"/>
      <c r="DR914" s="226"/>
      <c r="DS914" s="226"/>
      <c r="DT914" s="226"/>
      <c r="DU914" s="226"/>
      <c r="DV914" s="226"/>
      <c r="DW914" s="226"/>
      <c r="DX914" s="226"/>
      <c r="DY914" s="226"/>
      <c r="DZ914" s="226"/>
      <c r="EA914" s="226"/>
      <c r="EB914" s="226"/>
      <c r="EC914" s="226"/>
      <c r="ED914" s="226"/>
      <c r="EE914" s="226"/>
      <c r="EF914" s="226"/>
      <c r="EG914" s="226"/>
      <c r="EH914" s="226"/>
      <c r="EI914" s="226"/>
      <c r="EJ914" s="226"/>
      <c r="EK914" s="226"/>
      <c r="EL914" s="226"/>
      <c r="EM914" s="226"/>
      <c r="EN914" s="226"/>
      <c r="EO914" s="226"/>
      <c r="EP914" s="226"/>
      <c r="EQ914" s="226"/>
      <c r="ER914" s="226"/>
      <c r="ES914" s="226"/>
      <c r="ET914" s="226"/>
      <c r="EU914" s="226"/>
      <c r="EV914" s="226"/>
      <c r="EW914" s="226"/>
      <c r="EX914" s="226"/>
      <c r="EY914" s="226"/>
      <c r="EZ914" s="226"/>
      <c r="FA914" s="226"/>
      <c r="FB914" s="226"/>
      <c r="FC914" s="226"/>
      <c r="FD914" s="226"/>
      <c r="FE914" s="226"/>
      <c r="FF914" s="226"/>
      <c r="FG914" s="226"/>
      <c r="FH914" s="226"/>
      <c r="FI914" s="226"/>
      <c r="FJ914" s="226"/>
      <c r="FK914" s="226"/>
      <c r="FL914" s="226"/>
      <c r="FM914" s="226"/>
      <c r="FN914" s="226"/>
      <c r="FO914" s="226"/>
      <c r="FP914" s="226"/>
      <c r="FQ914" s="226"/>
      <c r="FR914" s="226"/>
      <c r="FS914" s="226"/>
      <c r="FT914" s="226"/>
      <c r="FU914" s="226"/>
      <c r="FV914" s="226"/>
      <c r="FW914" s="226"/>
      <c r="FX914" s="226"/>
      <c r="FY914" s="226"/>
      <c r="FZ914" s="226"/>
      <c r="GA914" s="226"/>
      <c r="GB914" s="226"/>
      <c r="GC914" s="226"/>
      <c r="GD914" s="226"/>
      <c r="GE914" s="226"/>
      <c r="GF914" s="226"/>
      <c r="GG914" s="226"/>
      <c r="GH914" s="226"/>
      <c r="GI914" s="226"/>
      <c r="GJ914" s="226"/>
      <c r="GK914" s="226"/>
      <c r="GL914" s="226"/>
      <c r="GM914" s="226"/>
      <c r="GN914" s="226"/>
    </row>
    <row r="915">
      <c r="A915" s="212"/>
      <c r="B915" s="21"/>
      <c r="C915" s="21"/>
      <c r="D915" s="213"/>
      <c r="E915" s="214"/>
      <c r="F915" s="215"/>
      <c r="G915" s="21"/>
      <c r="H915" s="225"/>
      <c r="I915" s="110"/>
      <c r="J915" s="110"/>
      <c r="K915" s="110"/>
      <c r="L915" s="110"/>
      <c r="M915" s="110"/>
      <c r="N915" s="110"/>
      <c r="O915" s="110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  <c r="AA915" s="226"/>
      <c r="AB915" s="226"/>
      <c r="AC915" s="226"/>
      <c r="AD915" s="226"/>
      <c r="AE915" s="226"/>
      <c r="AF915" s="226"/>
      <c r="AG915" s="226"/>
      <c r="AH915" s="226"/>
      <c r="AI915" s="226"/>
      <c r="AJ915" s="226"/>
      <c r="AK915" s="226"/>
      <c r="AL915" s="226"/>
      <c r="AM915" s="226"/>
      <c r="AN915" s="226"/>
      <c r="AO915" s="226"/>
      <c r="AP915" s="226"/>
      <c r="AQ915" s="226"/>
      <c r="AR915" s="226"/>
      <c r="AS915" s="226"/>
      <c r="AT915" s="226"/>
      <c r="AU915" s="226"/>
      <c r="AV915" s="226"/>
      <c r="AW915" s="226"/>
      <c r="AX915" s="226"/>
      <c r="AY915" s="226"/>
      <c r="AZ915" s="226"/>
      <c r="BA915" s="226"/>
      <c r="BB915" s="226"/>
      <c r="BC915" s="226"/>
      <c r="BD915" s="226"/>
      <c r="BE915" s="226"/>
      <c r="BF915" s="226"/>
      <c r="BG915" s="226"/>
      <c r="BH915" s="226"/>
      <c r="BI915" s="226"/>
      <c r="BJ915" s="226"/>
      <c r="BK915" s="226"/>
      <c r="BL915" s="226"/>
      <c r="BM915" s="226"/>
      <c r="BN915" s="226"/>
      <c r="BO915" s="226"/>
      <c r="BP915" s="226"/>
      <c r="BQ915" s="226"/>
      <c r="BR915" s="226"/>
      <c r="BS915" s="226"/>
      <c r="BT915" s="226"/>
      <c r="BU915" s="226"/>
      <c r="BV915" s="226"/>
      <c r="BW915" s="226"/>
      <c r="BX915" s="226"/>
      <c r="BY915" s="226"/>
      <c r="BZ915" s="226"/>
      <c r="CA915" s="226"/>
      <c r="CB915" s="226"/>
      <c r="CC915" s="226"/>
      <c r="CD915" s="226"/>
      <c r="CE915" s="226"/>
      <c r="CF915" s="226"/>
      <c r="CG915" s="226"/>
      <c r="CH915" s="226"/>
      <c r="CI915" s="226"/>
      <c r="CJ915" s="226"/>
      <c r="CK915" s="226"/>
      <c r="CL915" s="226"/>
      <c r="CM915" s="226"/>
      <c r="CN915" s="226"/>
      <c r="CO915" s="226"/>
      <c r="CP915" s="226"/>
      <c r="CQ915" s="226"/>
      <c r="CR915" s="226"/>
      <c r="CS915" s="226"/>
      <c r="CT915" s="226"/>
      <c r="CU915" s="226"/>
      <c r="CV915" s="226"/>
      <c r="CW915" s="226"/>
      <c r="CX915" s="226"/>
      <c r="CY915" s="226"/>
      <c r="CZ915" s="226"/>
      <c r="DA915" s="226"/>
      <c r="DB915" s="226"/>
      <c r="DC915" s="226"/>
      <c r="DD915" s="226"/>
      <c r="DE915" s="226"/>
      <c r="DF915" s="226"/>
      <c r="DG915" s="226"/>
      <c r="DH915" s="226"/>
      <c r="DI915" s="226"/>
      <c r="DJ915" s="226"/>
      <c r="DK915" s="226"/>
      <c r="DL915" s="226"/>
      <c r="DM915" s="226"/>
      <c r="DN915" s="226"/>
      <c r="DO915" s="226"/>
      <c r="DP915" s="226"/>
      <c r="DQ915" s="226"/>
      <c r="DR915" s="226"/>
      <c r="DS915" s="226"/>
      <c r="DT915" s="226"/>
      <c r="DU915" s="226"/>
      <c r="DV915" s="226"/>
      <c r="DW915" s="226"/>
      <c r="DX915" s="226"/>
      <c r="DY915" s="226"/>
      <c r="DZ915" s="226"/>
      <c r="EA915" s="226"/>
      <c r="EB915" s="226"/>
      <c r="EC915" s="226"/>
      <c r="ED915" s="226"/>
      <c r="EE915" s="226"/>
      <c r="EF915" s="226"/>
      <c r="EG915" s="226"/>
      <c r="EH915" s="226"/>
      <c r="EI915" s="226"/>
      <c r="EJ915" s="226"/>
      <c r="EK915" s="226"/>
      <c r="EL915" s="226"/>
      <c r="EM915" s="226"/>
      <c r="EN915" s="226"/>
      <c r="EO915" s="226"/>
      <c r="EP915" s="226"/>
      <c r="EQ915" s="226"/>
      <c r="ER915" s="226"/>
      <c r="ES915" s="226"/>
      <c r="ET915" s="226"/>
      <c r="EU915" s="226"/>
      <c r="EV915" s="226"/>
      <c r="EW915" s="226"/>
      <c r="EX915" s="226"/>
      <c r="EY915" s="226"/>
      <c r="EZ915" s="226"/>
      <c r="FA915" s="226"/>
      <c r="FB915" s="226"/>
      <c r="FC915" s="226"/>
      <c r="FD915" s="226"/>
      <c r="FE915" s="226"/>
      <c r="FF915" s="226"/>
      <c r="FG915" s="226"/>
      <c r="FH915" s="226"/>
      <c r="FI915" s="226"/>
      <c r="FJ915" s="226"/>
      <c r="FK915" s="226"/>
      <c r="FL915" s="226"/>
      <c r="FM915" s="226"/>
      <c r="FN915" s="226"/>
      <c r="FO915" s="226"/>
      <c r="FP915" s="226"/>
      <c r="FQ915" s="226"/>
      <c r="FR915" s="226"/>
      <c r="FS915" s="226"/>
      <c r="FT915" s="226"/>
      <c r="FU915" s="226"/>
      <c r="FV915" s="226"/>
      <c r="FW915" s="226"/>
      <c r="FX915" s="226"/>
      <c r="FY915" s="226"/>
      <c r="FZ915" s="226"/>
      <c r="GA915" s="226"/>
      <c r="GB915" s="226"/>
      <c r="GC915" s="226"/>
      <c r="GD915" s="226"/>
      <c r="GE915" s="226"/>
      <c r="GF915" s="226"/>
      <c r="GG915" s="226"/>
      <c r="GH915" s="226"/>
      <c r="GI915" s="226"/>
      <c r="GJ915" s="226"/>
      <c r="GK915" s="226"/>
      <c r="GL915" s="226"/>
      <c r="GM915" s="226"/>
      <c r="GN915" s="226"/>
    </row>
    <row r="916">
      <c r="A916" s="212"/>
      <c r="B916" s="21"/>
      <c r="C916" s="21"/>
      <c r="D916" s="213"/>
      <c r="E916" s="214"/>
      <c r="F916" s="215"/>
      <c r="G916" s="21"/>
      <c r="H916" s="225"/>
      <c r="I916" s="110"/>
      <c r="J916" s="110"/>
      <c r="K916" s="110"/>
      <c r="L916" s="110"/>
      <c r="M916" s="110"/>
      <c r="N916" s="110"/>
      <c r="O916" s="110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  <c r="AA916" s="226"/>
      <c r="AB916" s="226"/>
      <c r="AC916" s="226"/>
      <c r="AD916" s="226"/>
      <c r="AE916" s="226"/>
      <c r="AF916" s="226"/>
      <c r="AG916" s="226"/>
      <c r="AH916" s="226"/>
      <c r="AI916" s="226"/>
      <c r="AJ916" s="226"/>
      <c r="AK916" s="226"/>
      <c r="AL916" s="226"/>
      <c r="AM916" s="226"/>
      <c r="AN916" s="226"/>
      <c r="AO916" s="226"/>
      <c r="AP916" s="226"/>
      <c r="AQ916" s="226"/>
      <c r="AR916" s="226"/>
      <c r="AS916" s="226"/>
      <c r="AT916" s="226"/>
      <c r="AU916" s="226"/>
      <c r="AV916" s="226"/>
      <c r="AW916" s="226"/>
      <c r="AX916" s="226"/>
      <c r="AY916" s="226"/>
      <c r="AZ916" s="226"/>
      <c r="BA916" s="226"/>
      <c r="BB916" s="226"/>
      <c r="BC916" s="226"/>
      <c r="BD916" s="226"/>
      <c r="BE916" s="226"/>
      <c r="BF916" s="226"/>
      <c r="BG916" s="226"/>
      <c r="BH916" s="226"/>
      <c r="BI916" s="226"/>
      <c r="BJ916" s="226"/>
      <c r="BK916" s="226"/>
      <c r="BL916" s="226"/>
      <c r="BM916" s="226"/>
      <c r="BN916" s="226"/>
      <c r="BO916" s="226"/>
      <c r="BP916" s="226"/>
      <c r="BQ916" s="226"/>
      <c r="BR916" s="226"/>
      <c r="BS916" s="226"/>
      <c r="BT916" s="226"/>
      <c r="BU916" s="226"/>
      <c r="BV916" s="226"/>
      <c r="BW916" s="226"/>
      <c r="BX916" s="226"/>
      <c r="BY916" s="226"/>
      <c r="BZ916" s="226"/>
      <c r="CA916" s="226"/>
      <c r="CB916" s="226"/>
      <c r="CC916" s="226"/>
      <c r="CD916" s="226"/>
      <c r="CE916" s="226"/>
      <c r="CF916" s="226"/>
      <c r="CG916" s="226"/>
      <c r="CH916" s="226"/>
      <c r="CI916" s="226"/>
      <c r="CJ916" s="226"/>
      <c r="CK916" s="226"/>
      <c r="CL916" s="226"/>
      <c r="CM916" s="226"/>
      <c r="CN916" s="226"/>
      <c r="CO916" s="226"/>
      <c r="CP916" s="226"/>
      <c r="CQ916" s="226"/>
      <c r="CR916" s="226"/>
      <c r="CS916" s="226"/>
      <c r="CT916" s="226"/>
      <c r="CU916" s="226"/>
      <c r="CV916" s="226"/>
      <c r="CW916" s="226"/>
      <c r="CX916" s="226"/>
      <c r="CY916" s="226"/>
      <c r="CZ916" s="226"/>
      <c r="DA916" s="226"/>
      <c r="DB916" s="226"/>
      <c r="DC916" s="226"/>
      <c r="DD916" s="226"/>
      <c r="DE916" s="226"/>
      <c r="DF916" s="226"/>
      <c r="DG916" s="226"/>
      <c r="DH916" s="226"/>
      <c r="DI916" s="226"/>
      <c r="DJ916" s="226"/>
      <c r="DK916" s="226"/>
      <c r="DL916" s="226"/>
      <c r="DM916" s="226"/>
      <c r="DN916" s="226"/>
      <c r="DO916" s="226"/>
      <c r="DP916" s="226"/>
      <c r="DQ916" s="226"/>
      <c r="DR916" s="226"/>
      <c r="DS916" s="226"/>
      <c r="DT916" s="226"/>
      <c r="DU916" s="226"/>
      <c r="DV916" s="226"/>
      <c r="DW916" s="226"/>
      <c r="DX916" s="226"/>
      <c r="DY916" s="226"/>
      <c r="DZ916" s="226"/>
      <c r="EA916" s="226"/>
      <c r="EB916" s="226"/>
      <c r="EC916" s="226"/>
      <c r="ED916" s="226"/>
      <c r="EE916" s="226"/>
      <c r="EF916" s="226"/>
      <c r="EG916" s="226"/>
      <c r="EH916" s="226"/>
      <c r="EI916" s="226"/>
      <c r="EJ916" s="226"/>
      <c r="EK916" s="226"/>
      <c r="EL916" s="226"/>
      <c r="EM916" s="226"/>
      <c r="EN916" s="226"/>
      <c r="EO916" s="226"/>
      <c r="EP916" s="226"/>
      <c r="EQ916" s="226"/>
      <c r="ER916" s="226"/>
      <c r="ES916" s="226"/>
      <c r="ET916" s="226"/>
      <c r="EU916" s="226"/>
      <c r="EV916" s="226"/>
      <c r="EW916" s="226"/>
      <c r="EX916" s="226"/>
      <c r="EY916" s="226"/>
      <c r="EZ916" s="226"/>
      <c r="FA916" s="226"/>
      <c r="FB916" s="226"/>
      <c r="FC916" s="226"/>
      <c r="FD916" s="226"/>
      <c r="FE916" s="226"/>
      <c r="FF916" s="226"/>
      <c r="FG916" s="226"/>
      <c r="FH916" s="226"/>
      <c r="FI916" s="226"/>
      <c r="FJ916" s="226"/>
      <c r="FK916" s="226"/>
      <c r="FL916" s="226"/>
      <c r="FM916" s="226"/>
      <c r="FN916" s="226"/>
      <c r="FO916" s="226"/>
      <c r="FP916" s="226"/>
      <c r="FQ916" s="226"/>
      <c r="FR916" s="226"/>
      <c r="FS916" s="226"/>
      <c r="FT916" s="226"/>
      <c r="FU916" s="226"/>
      <c r="FV916" s="226"/>
      <c r="FW916" s="226"/>
      <c r="FX916" s="226"/>
      <c r="FY916" s="226"/>
      <c r="FZ916" s="226"/>
      <c r="GA916" s="226"/>
      <c r="GB916" s="226"/>
      <c r="GC916" s="226"/>
      <c r="GD916" s="226"/>
      <c r="GE916" s="226"/>
      <c r="GF916" s="226"/>
      <c r="GG916" s="226"/>
      <c r="GH916" s="226"/>
      <c r="GI916" s="226"/>
      <c r="GJ916" s="226"/>
      <c r="GK916" s="226"/>
      <c r="GL916" s="226"/>
      <c r="GM916" s="226"/>
      <c r="GN916" s="226"/>
    </row>
    <row r="917">
      <c r="A917" s="212"/>
      <c r="B917" s="21"/>
      <c r="C917" s="21"/>
      <c r="D917" s="213"/>
      <c r="E917" s="214"/>
      <c r="F917" s="215"/>
      <c r="G917" s="21"/>
      <c r="H917" s="225"/>
      <c r="I917" s="110"/>
      <c r="J917" s="110"/>
      <c r="K917" s="110"/>
      <c r="L917" s="110"/>
      <c r="M917" s="110"/>
      <c r="N917" s="110"/>
      <c r="O917" s="110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  <c r="AA917" s="226"/>
      <c r="AB917" s="226"/>
      <c r="AC917" s="226"/>
      <c r="AD917" s="226"/>
      <c r="AE917" s="226"/>
      <c r="AF917" s="226"/>
      <c r="AG917" s="226"/>
      <c r="AH917" s="226"/>
      <c r="AI917" s="226"/>
      <c r="AJ917" s="226"/>
      <c r="AK917" s="226"/>
      <c r="AL917" s="226"/>
      <c r="AM917" s="226"/>
      <c r="AN917" s="226"/>
      <c r="AO917" s="226"/>
      <c r="AP917" s="226"/>
      <c r="AQ917" s="226"/>
      <c r="AR917" s="226"/>
      <c r="AS917" s="226"/>
      <c r="AT917" s="226"/>
      <c r="AU917" s="226"/>
      <c r="AV917" s="226"/>
      <c r="AW917" s="226"/>
      <c r="AX917" s="226"/>
      <c r="AY917" s="226"/>
      <c r="AZ917" s="226"/>
      <c r="BA917" s="226"/>
      <c r="BB917" s="226"/>
      <c r="BC917" s="226"/>
      <c r="BD917" s="226"/>
      <c r="BE917" s="226"/>
      <c r="BF917" s="226"/>
      <c r="BG917" s="226"/>
      <c r="BH917" s="226"/>
      <c r="BI917" s="226"/>
      <c r="BJ917" s="226"/>
      <c r="BK917" s="226"/>
      <c r="BL917" s="226"/>
      <c r="BM917" s="226"/>
      <c r="BN917" s="226"/>
      <c r="BO917" s="226"/>
      <c r="BP917" s="226"/>
      <c r="BQ917" s="226"/>
      <c r="BR917" s="226"/>
      <c r="BS917" s="226"/>
      <c r="BT917" s="226"/>
      <c r="BU917" s="226"/>
      <c r="BV917" s="226"/>
      <c r="BW917" s="226"/>
      <c r="BX917" s="226"/>
      <c r="BY917" s="226"/>
      <c r="BZ917" s="226"/>
      <c r="CA917" s="226"/>
      <c r="CB917" s="226"/>
      <c r="CC917" s="226"/>
      <c r="CD917" s="226"/>
      <c r="CE917" s="226"/>
      <c r="CF917" s="226"/>
      <c r="CG917" s="226"/>
      <c r="CH917" s="226"/>
      <c r="CI917" s="226"/>
      <c r="CJ917" s="226"/>
      <c r="CK917" s="226"/>
      <c r="CL917" s="226"/>
      <c r="CM917" s="226"/>
      <c r="CN917" s="226"/>
      <c r="CO917" s="226"/>
      <c r="CP917" s="226"/>
      <c r="CQ917" s="226"/>
      <c r="CR917" s="226"/>
      <c r="CS917" s="226"/>
      <c r="CT917" s="226"/>
      <c r="CU917" s="226"/>
      <c r="CV917" s="226"/>
      <c r="CW917" s="226"/>
      <c r="CX917" s="226"/>
      <c r="CY917" s="226"/>
      <c r="CZ917" s="226"/>
      <c r="DA917" s="226"/>
      <c r="DB917" s="226"/>
      <c r="DC917" s="226"/>
      <c r="DD917" s="226"/>
      <c r="DE917" s="226"/>
      <c r="DF917" s="226"/>
      <c r="DG917" s="226"/>
      <c r="DH917" s="226"/>
      <c r="DI917" s="226"/>
      <c r="DJ917" s="226"/>
      <c r="DK917" s="226"/>
      <c r="DL917" s="226"/>
      <c r="DM917" s="226"/>
      <c r="DN917" s="226"/>
      <c r="DO917" s="226"/>
      <c r="DP917" s="226"/>
      <c r="DQ917" s="226"/>
      <c r="DR917" s="226"/>
      <c r="DS917" s="226"/>
      <c r="DT917" s="226"/>
      <c r="DU917" s="226"/>
      <c r="DV917" s="226"/>
      <c r="DW917" s="226"/>
      <c r="DX917" s="226"/>
      <c r="DY917" s="226"/>
      <c r="DZ917" s="226"/>
      <c r="EA917" s="226"/>
      <c r="EB917" s="226"/>
      <c r="EC917" s="226"/>
      <c r="ED917" s="226"/>
      <c r="EE917" s="226"/>
      <c r="EF917" s="226"/>
      <c r="EG917" s="226"/>
      <c r="EH917" s="226"/>
      <c r="EI917" s="226"/>
      <c r="EJ917" s="226"/>
      <c r="EK917" s="226"/>
      <c r="EL917" s="226"/>
      <c r="EM917" s="226"/>
      <c r="EN917" s="226"/>
      <c r="EO917" s="226"/>
      <c r="EP917" s="226"/>
      <c r="EQ917" s="226"/>
      <c r="ER917" s="226"/>
      <c r="ES917" s="226"/>
      <c r="ET917" s="226"/>
      <c r="EU917" s="226"/>
      <c r="EV917" s="226"/>
      <c r="EW917" s="226"/>
      <c r="EX917" s="226"/>
      <c r="EY917" s="226"/>
      <c r="EZ917" s="226"/>
      <c r="FA917" s="226"/>
      <c r="FB917" s="226"/>
      <c r="FC917" s="226"/>
      <c r="FD917" s="226"/>
      <c r="FE917" s="226"/>
      <c r="FF917" s="226"/>
      <c r="FG917" s="226"/>
      <c r="FH917" s="226"/>
      <c r="FI917" s="226"/>
      <c r="FJ917" s="226"/>
      <c r="FK917" s="226"/>
      <c r="FL917" s="226"/>
      <c r="FM917" s="226"/>
      <c r="FN917" s="226"/>
      <c r="FO917" s="226"/>
      <c r="FP917" s="226"/>
      <c r="FQ917" s="226"/>
      <c r="FR917" s="226"/>
      <c r="FS917" s="226"/>
      <c r="FT917" s="226"/>
      <c r="FU917" s="226"/>
      <c r="FV917" s="226"/>
      <c r="FW917" s="226"/>
      <c r="FX917" s="226"/>
      <c r="FY917" s="226"/>
      <c r="FZ917" s="226"/>
      <c r="GA917" s="226"/>
      <c r="GB917" s="226"/>
      <c r="GC917" s="226"/>
      <c r="GD917" s="226"/>
      <c r="GE917" s="226"/>
      <c r="GF917" s="226"/>
      <c r="GG917" s="226"/>
      <c r="GH917" s="226"/>
      <c r="GI917" s="226"/>
      <c r="GJ917" s="226"/>
      <c r="GK917" s="226"/>
      <c r="GL917" s="226"/>
      <c r="GM917" s="226"/>
      <c r="GN917" s="226"/>
    </row>
    <row r="918">
      <c r="A918" s="212"/>
      <c r="B918" s="21"/>
      <c r="C918" s="21"/>
      <c r="D918" s="213"/>
      <c r="E918" s="214"/>
      <c r="F918" s="215"/>
      <c r="G918" s="21"/>
      <c r="H918" s="225"/>
      <c r="I918" s="110"/>
      <c r="J918" s="110"/>
      <c r="K918" s="110"/>
      <c r="L918" s="110"/>
      <c r="M918" s="110"/>
      <c r="N918" s="110"/>
      <c r="O918" s="110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  <c r="AA918" s="226"/>
      <c r="AB918" s="226"/>
      <c r="AC918" s="226"/>
      <c r="AD918" s="226"/>
      <c r="AE918" s="226"/>
      <c r="AF918" s="226"/>
      <c r="AG918" s="226"/>
      <c r="AH918" s="226"/>
      <c r="AI918" s="226"/>
      <c r="AJ918" s="226"/>
      <c r="AK918" s="226"/>
      <c r="AL918" s="226"/>
      <c r="AM918" s="226"/>
      <c r="AN918" s="226"/>
      <c r="AO918" s="226"/>
      <c r="AP918" s="226"/>
      <c r="AQ918" s="226"/>
      <c r="AR918" s="226"/>
      <c r="AS918" s="226"/>
      <c r="AT918" s="226"/>
      <c r="AU918" s="226"/>
      <c r="AV918" s="226"/>
      <c r="AW918" s="226"/>
      <c r="AX918" s="226"/>
      <c r="AY918" s="226"/>
      <c r="AZ918" s="226"/>
      <c r="BA918" s="226"/>
      <c r="BB918" s="226"/>
      <c r="BC918" s="226"/>
      <c r="BD918" s="226"/>
      <c r="BE918" s="226"/>
      <c r="BF918" s="226"/>
      <c r="BG918" s="226"/>
      <c r="BH918" s="226"/>
      <c r="BI918" s="226"/>
      <c r="BJ918" s="226"/>
      <c r="BK918" s="226"/>
      <c r="BL918" s="226"/>
      <c r="BM918" s="226"/>
      <c r="BN918" s="226"/>
      <c r="BO918" s="226"/>
      <c r="BP918" s="226"/>
      <c r="BQ918" s="226"/>
      <c r="BR918" s="226"/>
      <c r="BS918" s="226"/>
      <c r="BT918" s="226"/>
      <c r="BU918" s="226"/>
      <c r="BV918" s="226"/>
      <c r="BW918" s="226"/>
      <c r="BX918" s="226"/>
      <c r="BY918" s="226"/>
      <c r="BZ918" s="226"/>
      <c r="CA918" s="226"/>
      <c r="CB918" s="226"/>
      <c r="CC918" s="226"/>
      <c r="CD918" s="226"/>
      <c r="CE918" s="226"/>
      <c r="CF918" s="226"/>
      <c r="CG918" s="226"/>
      <c r="CH918" s="226"/>
      <c r="CI918" s="226"/>
      <c r="CJ918" s="226"/>
      <c r="CK918" s="226"/>
      <c r="CL918" s="226"/>
      <c r="CM918" s="226"/>
      <c r="CN918" s="226"/>
      <c r="CO918" s="226"/>
      <c r="CP918" s="226"/>
      <c r="CQ918" s="226"/>
      <c r="CR918" s="226"/>
      <c r="CS918" s="226"/>
      <c r="CT918" s="226"/>
      <c r="CU918" s="226"/>
      <c r="CV918" s="226"/>
      <c r="CW918" s="226"/>
      <c r="CX918" s="226"/>
      <c r="CY918" s="226"/>
      <c r="CZ918" s="226"/>
      <c r="DA918" s="226"/>
      <c r="DB918" s="226"/>
      <c r="DC918" s="226"/>
      <c r="DD918" s="226"/>
      <c r="DE918" s="226"/>
      <c r="DF918" s="226"/>
      <c r="DG918" s="226"/>
      <c r="DH918" s="226"/>
      <c r="DI918" s="226"/>
      <c r="DJ918" s="226"/>
      <c r="DK918" s="226"/>
      <c r="DL918" s="226"/>
      <c r="DM918" s="226"/>
      <c r="DN918" s="226"/>
      <c r="DO918" s="226"/>
      <c r="DP918" s="226"/>
      <c r="DQ918" s="226"/>
      <c r="DR918" s="226"/>
      <c r="DS918" s="226"/>
      <c r="DT918" s="226"/>
      <c r="DU918" s="226"/>
      <c r="DV918" s="226"/>
      <c r="DW918" s="226"/>
      <c r="DX918" s="226"/>
      <c r="DY918" s="226"/>
      <c r="DZ918" s="226"/>
      <c r="EA918" s="226"/>
      <c r="EB918" s="226"/>
      <c r="EC918" s="226"/>
      <c r="ED918" s="226"/>
      <c r="EE918" s="226"/>
      <c r="EF918" s="226"/>
      <c r="EG918" s="226"/>
      <c r="EH918" s="226"/>
      <c r="EI918" s="226"/>
      <c r="EJ918" s="226"/>
      <c r="EK918" s="226"/>
      <c r="EL918" s="226"/>
      <c r="EM918" s="226"/>
      <c r="EN918" s="226"/>
      <c r="EO918" s="226"/>
      <c r="EP918" s="226"/>
      <c r="EQ918" s="226"/>
      <c r="ER918" s="226"/>
      <c r="ES918" s="226"/>
      <c r="ET918" s="226"/>
      <c r="EU918" s="226"/>
      <c r="EV918" s="226"/>
      <c r="EW918" s="226"/>
      <c r="EX918" s="226"/>
      <c r="EY918" s="226"/>
      <c r="EZ918" s="226"/>
      <c r="FA918" s="226"/>
      <c r="FB918" s="226"/>
      <c r="FC918" s="226"/>
      <c r="FD918" s="226"/>
      <c r="FE918" s="226"/>
      <c r="FF918" s="226"/>
      <c r="FG918" s="226"/>
      <c r="FH918" s="226"/>
      <c r="FI918" s="226"/>
      <c r="FJ918" s="226"/>
      <c r="FK918" s="226"/>
      <c r="FL918" s="226"/>
      <c r="FM918" s="226"/>
      <c r="FN918" s="226"/>
      <c r="FO918" s="226"/>
      <c r="FP918" s="226"/>
      <c r="FQ918" s="226"/>
      <c r="FR918" s="226"/>
      <c r="FS918" s="226"/>
      <c r="FT918" s="226"/>
      <c r="FU918" s="226"/>
      <c r="FV918" s="226"/>
      <c r="FW918" s="226"/>
      <c r="FX918" s="226"/>
      <c r="FY918" s="226"/>
      <c r="FZ918" s="226"/>
      <c r="GA918" s="226"/>
      <c r="GB918" s="226"/>
      <c r="GC918" s="226"/>
      <c r="GD918" s="226"/>
      <c r="GE918" s="226"/>
      <c r="GF918" s="226"/>
      <c r="GG918" s="226"/>
      <c r="GH918" s="226"/>
      <c r="GI918" s="226"/>
      <c r="GJ918" s="226"/>
      <c r="GK918" s="226"/>
      <c r="GL918" s="226"/>
      <c r="GM918" s="226"/>
      <c r="GN918" s="226"/>
    </row>
    <row r="919">
      <c r="A919" s="212"/>
      <c r="B919" s="21"/>
      <c r="C919" s="21"/>
      <c r="D919" s="213"/>
      <c r="E919" s="214"/>
      <c r="F919" s="215"/>
      <c r="G919" s="21"/>
      <c r="H919" s="225"/>
      <c r="I919" s="110"/>
      <c r="J919" s="110"/>
      <c r="K919" s="110"/>
      <c r="L919" s="110"/>
      <c r="M919" s="110"/>
      <c r="N919" s="110"/>
      <c r="O919" s="110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  <c r="AA919" s="226"/>
      <c r="AB919" s="226"/>
      <c r="AC919" s="226"/>
      <c r="AD919" s="226"/>
      <c r="AE919" s="226"/>
      <c r="AF919" s="226"/>
      <c r="AG919" s="226"/>
      <c r="AH919" s="226"/>
      <c r="AI919" s="226"/>
      <c r="AJ919" s="226"/>
      <c r="AK919" s="226"/>
      <c r="AL919" s="226"/>
      <c r="AM919" s="226"/>
      <c r="AN919" s="226"/>
      <c r="AO919" s="226"/>
      <c r="AP919" s="226"/>
      <c r="AQ919" s="226"/>
      <c r="AR919" s="226"/>
      <c r="AS919" s="226"/>
      <c r="AT919" s="226"/>
      <c r="AU919" s="226"/>
      <c r="AV919" s="226"/>
      <c r="AW919" s="226"/>
      <c r="AX919" s="226"/>
      <c r="AY919" s="226"/>
      <c r="AZ919" s="226"/>
      <c r="BA919" s="226"/>
      <c r="BB919" s="226"/>
      <c r="BC919" s="226"/>
      <c r="BD919" s="226"/>
      <c r="BE919" s="226"/>
      <c r="BF919" s="226"/>
      <c r="BG919" s="226"/>
      <c r="BH919" s="226"/>
      <c r="BI919" s="226"/>
      <c r="BJ919" s="226"/>
      <c r="BK919" s="226"/>
      <c r="BL919" s="226"/>
      <c r="BM919" s="226"/>
      <c r="BN919" s="226"/>
      <c r="BO919" s="226"/>
      <c r="BP919" s="226"/>
      <c r="BQ919" s="226"/>
      <c r="BR919" s="226"/>
      <c r="BS919" s="226"/>
      <c r="BT919" s="226"/>
      <c r="BU919" s="226"/>
      <c r="BV919" s="226"/>
      <c r="BW919" s="226"/>
      <c r="BX919" s="226"/>
      <c r="BY919" s="226"/>
      <c r="BZ919" s="226"/>
      <c r="CA919" s="226"/>
      <c r="CB919" s="226"/>
      <c r="CC919" s="226"/>
      <c r="CD919" s="226"/>
      <c r="CE919" s="226"/>
      <c r="CF919" s="226"/>
      <c r="CG919" s="226"/>
      <c r="CH919" s="226"/>
      <c r="CI919" s="226"/>
      <c r="CJ919" s="226"/>
      <c r="CK919" s="226"/>
      <c r="CL919" s="226"/>
      <c r="CM919" s="226"/>
      <c r="CN919" s="226"/>
      <c r="CO919" s="226"/>
      <c r="CP919" s="226"/>
      <c r="CQ919" s="226"/>
      <c r="CR919" s="226"/>
      <c r="CS919" s="226"/>
      <c r="CT919" s="226"/>
      <c r="CU919" s="226"/>
      <c r="CV919" s="226"/>
      <c r="CW919" s="226"/>
      <c r="CX919" s="226"/>
      <c r="CY919" s="226"/>
      <c r="CZ919" s="226"/>
      <c r="DA919" s="226"/>
      <c r="DB919" s="226"/>
      <c r="DC919" s="226"/>
      <c r="DD919" s="226"/>
      <c r="DE919" s="226"/>
      <c r="DF919" s="226"/>
      <c r="DG919" s="226"/>
      <c r="DH919" s="226"/>
      <c r="DI919" s="226"/>
      <c r="DJ919" s="226"/>
      <c r="DK919" s="226"/>
      <c r="DL919" s="226"/>
      <c r="DM919" s="226"/>
      <c r="DN919" s="226"/>
      <c r="DO919" s="226"/>
      <c r="DP919" s="226"/>
      <c r="DQ919" s="226"/>
      <c r="DR919" s="226"/>
      <c r="DS919" s="226"/>
      <c r="DT919" s="226"/>
      <c r="DU919" s="226"/>
      <c r="DV919" s="226"/>
      <c r="DW919" s="226"/>
      <c r="DX919" s="226"/>
      <c r="DY919" s="226"/>
      <c r="DZ919" s="226"/>
      <c r="EA919" s="226"/>
      <c r="EB919" s="226"/>
      <c r="EC919" s="226"/>
      <c r="ED919" s="226"/>
      <c r="EE919" s="226"/>
      <c r="EF919" s="226"/>
      <c r="EG919" s="226"/>
      <c r="EH919" s="226"/>
      <c r="EI919" s="226"/>
      <c r="EJ919" s="226"/>
      <c r="EK919" s="226"/>
      <c r="EL919" s="226"/>
      <c r="EM919" s="226"/>
      <c r="EN919" s="226"/>
      <c r="EO919" s="226"/>
      <c r="EP919" s="226"/>
      <c r="EQ919" s="226"/>
      <c r="ER919" s="226"/>
      <c r="ES919" s="226"/>
      <c r="ET919" s="226"/>
      <c r="EU919" s="226"/>
      <c r="EV919" s="226"/>
      <c r="EW919" s="226"/>
      <c r="EX919" s="226"/>
      <c r="EY919" s="226"/>
      <c r="EZ919" s="226"/>
      <c r="FA919" s="226"/>
      <c r="FB919" s="226"/>
      <c r="FC919" s="226"/>
      <c r="FD919" s="226"/>
      <c r="FE919" s="226"/>
      <c r="FF919" s="226"/>
      <c r="FG919" s="226"/>
      <c r="FH919" s="226"/>
      <c r="FI919" s="226"/>
      <c r="FJ919" s="226"/>
      <c r="FK919" s="226"/>
      <c r="FL919" s="226"/>
      <c r="FM919" s="226"/>
      <c r="FN919" s="226"/>
      <c r="FO919" s="226"/>
      <c r="FP919" s="226"/>
      <c r="FQ919" s="226"/>
      <c r="FR919" s="226"/>
      <c r="FS919" s="226"/>
      <c r="FT919" s="226"/>
      <c r="FU919" s="226"/>
      <c r="FV919" s="226"/>
      <c r="FW919" s="226"/>
      <c r="FX919" s="226"/>
      <c r="FY919" s="226"/>
      <c r="FZ919" s="226"/>
      <c r="GA919" s="226"/>
      <c r="GB919" s="226"/>
      <c r="GC919" s="226"/>
      <c r="GD919" s="226"/>
      <c r="GE919" s="226"/>
      <c r="GF919" s="226"/>
      <c r="GG919" s="226"/>
      <c r="GH919" s="226"/>
      <c r="GI919" s="226"/>
      <c r="GJ919" s="226"/>
      <c r="GK919" s="226"/>
      <c r="GL919" s="226"/>
      <c r="GM919" s="226"/>
      <c r="GN919" s="226"/>
    </row>
    <row r="920">
      <c r="A920" s="212"/>
      <c r="B920" s="21"/>
      <c r="C920" s="21"/>
      <c r="D920" s="213"/>
      <c r="E920" s="214"/>
      <c r="F920" s="215"/>
      <c r="G920" s="21"/>
      <c r="H920" s="225"/>
      <c r="I920" s="110"/>
      <c r="J920" s="110"/>
      <c r="K920" s="110"/>
      <c r="L920" s="110"/>
      <c r="M920" s="110"/>
      <c r="N920" s="110"/>
      <c r="O920" s="110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  <c r="AA920" s="226"/>
      <c r="AB920" s="226"/>
      <c r="AC920" s="226"/>
      <c r="AD920" s="226"/>
      <c r="AE920" s="226"/>
      <c r="AF920" s="226"/>
      <c r="AG920" s="226"/>
      <c r="AH920" s="226"/>
      <c r="AI920" s="226"/>
      <c r="AJ920" s="226"/>
      <c r="AK920" s="226"/>
      <c r="AL920" s="226"/>
      <c r="AM920" s="226"/>
      <c r="AN920" s="226"/>
      <c r="AO920" s="226"/>
      <c r="AP920" s="226"/>
      <c r="AQ920" s="226"/>
      <c r="AR920" s="226"/>
      <c r="AS920" s="226"/>
      <c r="AT920" s="226"/>
      <c r="AU920" s="226"/>
      <c r="AV920" s="226"/>
      <c r="AW920" s="226"/>
      <c r="AX920" s="226"/>
      <c r="AY920" s="226"/>
      <c r="AZ920" s="226"/>
      <c r="BA920" s="226"/>
      <c r="BB920" s="226"/>
      <c r="BC920" s="226"/>
      <c r="BD920" s="226"/>
      <c r="BE920" s="226"/>
      <c r="BF920" s="226"/>
      <c r="BG920" s="226"/>
      <c r="BH920" s="226"/>
      <c r="BI920" s="226"/>
      <c r="BJ920" s="226"/>
      <c r="BK920" s="226"/>
      <c r="BL920" s="226"/>
      <c r="BM920" s="226"/>
      <c r="BN920" s="226"/>
      <c r="BO920" s="226"/>
      <c r="BP920" s="226"/>
      <c r="BQ920" s="226"/>
      <c r="BR920" s="226"/>
      <c r="BS920" s="226"/>
      <c r="BT920" s="226"/>
      <c r="BU920" s="226"/>
      <c r="BV920" s="226"/>
      <c r="BW920" s="226"/>
      <c r="BX920" s="226"/>
      <c r="BY920" s="226"/>
      <c r="BZ920" s="226"/>
      <c r="CA920" s="226"/>
      <c r="CB920" s="226"/>
      <c r="CC920" s="226"/>
      <c r="CD920" s="226"/>
      <c r="CE920" s="226"/>
      <c r="CF920" s="226"/>
      <c r="CG920" s="226"/>
      <c r="CH920" s="226"/>
      <c r="CI920" s="226"/>
      <c r="CJ920" s="226"/>
      <c r="CK920" s="226"/>
      <c r="CL920" s="226"/>
      <c r="CM920" s="226"/>
      <c r="CN920" s="226"/>
      <c r="CO920" s="226"/>
      <c r="CP920" s="226"/>
      <c r="CQ920" s="226"/>
      <c r="CR920" s="226"/>
      <c r="CS920" s="226"/>
      <c r="CT920" s="226"/>
      <c r="CU920" s="226"/>
      <c r="CV920" s="226"/>
      <c r="CW920" s="226"/>
      <c r="CX920" s="226"/>
      <c r="CY920" s="226"/>
      <c r="CZ920" s="226"/>
      <c r="DA920" s="226"/>
      <c r="DB920" s="226"/>
      <c r="DC920" s="226"/>
      <c r="DD920" s="226"/>
      <c r="DE920" s="226"/>
      <c r="DF920" s="226"/>
      <c r="DG920" s="226"/>
      <c r="DH920" s="226"/>
      <c r="DI920" s="226"/>
      <c r="DJ920" s="226"/>
      <c r="DK920" s="226"/>
      <c r="DL920" s="226"/>
      <c r="DM920" s="226"/>
      <c r="DN920" s="226"/>
      <c r="DO920" s="226"/>
      <c r="DP920" s="226"/>
      <c r="DQ920" s="226"/>
      <c r="DR920" s="226"/>
      <c r="DS920" s="226"/>
      <c r="DT920" s="226"/>
      <c r="DU920" s="226"/>
      <c r="DV920" s="226"/>
      <c r="DW920" s="226"/>
      <c r="DX920" s="226"/>
      <c r="DY920" s="226"/>
      <c r="DZ920" s="226"/>
      <c r="EA920" s="226"/>
      <c r="EB920" s="226"/>
      <c r="EC920" s="226"/>
      <c r="ED920" s="226"/>
      <c r="EE920" s="226"/>
      <c r="EF920" s="226"/>
      <c r="EG920" s="226"/>
      <c r="EH920" s="226"/>
      <c r="EI920" s="226"/>
      <c r="EJ920" s="226"/>
      <c r="EK920" s="226"/>
      <c r="EL920" s="226"/>
      <c r="EM920" s="226"/>
      <c r="EN920" s="226"/>
      <c r="EO920" s="226"/>
      <c r="EP920" s="226"/>
      <c r="EQ920" s="226"/>
      <c r="ER920" s="226"/>
      <c r="ES920" s="226"/>
      <c r="ET920" s="226"/>
      <c r="EU920" s="226"/>
      <c r="EV920" s="226"/>
      <c r="EW920" s="226"/>
      <c r="EX920" s="226"/>
      <c r="EY920" s="226"/>
      <c r="EZ920" s="226"/>
      <c r="FA920" s="226"/>
      <c r="FB920" s="226"/>
      <c r="FC920" s="226"/>
      <c r="FD920" s="226"/>
      <c r="FE920" s="226"/>
      <c r="FF920" s="226"/>
      <c r="FG920" s="226"/>
      <c r="FH920" s="226"/>
      <c r="FI920" s="226"/>
      <c r="FJ920" s="226"/>
      <c r="FK920" s="226"/>
      <c r="FL920" s="226"/>
      <c r="FM920" s="226"/>
      <c r="FN920" s="226"/>
      <c r="FO920" s="226"/>
      <c r="FP920" s="226"/>
      <c r="FQ920" s="226"/>
      <c r="FR920" s="226"/>
      <c r="FS920" s="226"/>
      <c r="FT920" s="226"/>
      <c r="FU920" s="226"/>
      <c r="FV920" s="226"/>
      <c r="FW920" s="226"/>
      <c r="FX920" s="226"/>
      <c r="FY920" s="226"/>
      <c r="FZ920" s="226"/>
      <c r="GA920" s="226"/>
      <c r="GB920" s="226"/>
      <c r="GC920" s="226"/>
      <c r="GD920" s="226"/>
      <c r="GE920" s="226"/>
      <c r="GF920" s="226"/>
      <c r="GG920" s="226"/>
      <c r="GH920" s="226"/>
      <c r="GI920" s="226"/>
      <c r="GJ920" s="226"/>
      <c r="GK920" s="226"/>
      <c r="GL920" s="226"/>
      <c r="GM920" s="226"/>
      <c r="GN920" s="226"/>
    </row>
    <row r="921">
      <c r="A921" s="212"/>
      <c r="B921" s="21"/>
      <c r="C921" s="21"/>
      <c r="D921" s="213"/>
      <c r="E921" s="214"/>
      <c r="F921" s="215"/>
      <c r="G921" s="21"/>
      <c r="H921" s="225"/>
      <c r="I921" s="110"/>
      <c r="J921" s="110"/>
      <c r="K921" s="110"/>
      <c r="L921" s="110"/>
      <c r="M921" s="110"/>
      <c r="N921" s="110"/>
      <c r="O921" s="110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  <c r="AA921" s="226"/>
      <c r="AB921" s="226"/>
      <c r="AC921" s="226"/>
      <c r="AD921" s="226"/>
      <c r="AE921" s="226"/>
      <c r="AF921" s="226"/>
      <c r="AG921" s="226"/>
      <c r="AH921" s="226"/>
      <c r="AI921" s="226"/>
      <c r="AJ921" s="226"/>
      <c r="AK921" s="226"/>
      <c r="AL921" s="226"/>
      <c r="AM921" s="226"/>
      <c r="AN921" s="226"/>
      <c r="AO921" s="226"/>
      <c r="AP921" s="226"/>
      <c r="AQ921" s="226"/>
      <c r="AR921" s="226"/>
      <c r="AS921" s="226"/>
      <c r="AT921" s="226"/>
      <c r="AU921" s="226"/>
      <c r="AV921" s="226"/>
      <c r="AW921" s="226"/>
      <c r="AX921" s="226"/>
      <c r="AY921" s="226"/>
      <c r="AZ921" s="226"/>
      <c r="BA921" s="226"/>
      <c r="BB921" s="226"/>
      <c r="BC921" s="226"/>
      <c r="BD921" s="226"/>
      <c r="BE921" s="226"/>
      <c r="BF921" s="226"/>
      <c r="BG921" s="226"/>
      <c r="BH921" s="226"/>
      <c r="BI921" s="226"/>
      <c r="BJ921" s="226"/>
      <c r="BK921" s="226"/>
      <c r="BL921" s="226"/>
      <c r="BM921" s="226"/>
      <c r="BN921" s="226"/>
      <c r="BO921" s="226"/>
      <c r="BP921" s="226"/>
      <c r="BQ921" s="226"/>
      <c r="BR921" s="226"/>
      <c r="BS921" s="226"/>
      <c r="BT921" s="226"/>
      <c r="BU921" s="226"/>
      <c r="BV921" s="226"/>
      <c r="BW921" s="226"/>
      <c r="BX921" s="226"/>
      <c r="BY921" s="226"/>
      <c r="BZ921" s="226"/>
      <c r="CA921" s="226"/>
      <c r="CB921" s="226"/>
      <c r="CC921" s="226"/>
      <c r="CD921" s="226"/>
      <c r="CE921" s="226"/>
      <c r="CF921" s="226"/>
      <c r="CG921" s="226"/>
      <c r="CH921" s="226"/>
      <c r="CI921" s="226"/>
      <c r="CJ921" s="226"/>
      <c r="CK921" s="226"/>
      <c r="CL921" s="226"/>
      <c r="CM921" s="226"/>
      <c r="CN921" s="226"/>
      <c r="CO921" s="226"/>
      <c r="CP921" s="226"/>
      <c r="CQ921" s="226"/>
      <c r="CR921" s="226"/>
      <c r="CS921" s="226"/>
      <c r="CT921" s="226"/>
      <c r="CU921" s="226"/>
      <c r="CV921" s="226"/>
      <c r="CW921" s="226"/>
      <c r="CX921" s="226"/>
      <c r="CY921" s="226"/>
      <c r="CZ921" s="226"/>
      <c r="DA921" s="226"/>
      <c r="DB921" s="226"/>
      <c r="DC921" s="226"/>
      <c r="DD921" s="226"/>
      <c r="DE921" s="226"/>
      <c r="DF921" s="226"/>
      <c r="DG921" s="226"/>
      <c r="DH921" s="226"/>
      <c r="DI921" s="226"/>
      <c r="DJ921" s="226"/>
      <c r="DK921" s="226"/>
      <c r="DL921" s="226"/>
      <c r="DM921" s="226"/>
      <c r="DN921" s="226"/>
      <c r="DO921" s="226"/>
      <c r="DP921" s="226"/>
      <c r="DQ921" s="226"/>
      <c r="DR921" s="226"/>
      <c r="DS921" s="226"/>
      <c r="DT921" s="226"/>
      <c r="DU921" s="226"/>
      <c r="DV921" s="226"/>
      <c r="DW921" s="226"/>
      <c r="DX921" s="226"/>
      <c r="DY921" s="226"/>
      <c r="DZ921" s="226"/>
      <c r="EA921" s="226"/>
      <c r="EB921" s="226"/>
      <c r="EC921" s="226"/>
      <c r="ED921" s="226"/>
      <c r="EE921" s="226"/>
      <c r="EF921" s="226"/>
      <c r="EG921" s="226"/>
      <c r="EH921" s="226"/>
      <c r="EI921" s="226"/>
      <c r="EJ921" s="226"/>
      <c r="EK921" s="226"/>
      <c r="EL921" s="226"/>
      <c r="EM921" s="226"/>
      <c r="EN921" s="226"/>
      <c r="EO921" s="226"/>
      <c r="EP921" s="226"/>
      <c r="EQ921" s="226"/>
      <c r="ER921" s="226"/>
      <c r="ES921" s="226"/>
      <c r="ET921" s="226"/>
      <c r="EU921" s="226"/>
      <c r="EV921" s="226"/>
      <c r="EW921" s="226"/>
      <c r="EX921" s="226"/>
      <c r="EY921" s="226"/>
      <c r="EZ921" s="226"/>
      <c r="FA921" s="226"/>
      <c r="FB921" s="226"/>
      <c r="FC921" s="226"/>
      <c r="FD921" s="226"/>
      <c r="FE921" s="226"/>
      <c r="FF921" s="226"/>
      <c r="FG921" s="226"/>
      <c r="FH921" s="226"/>
      <c r="FI921" s="226"/>
      <c r="FJ921" s="226"/>
      <c r="FK921" s="226"/>
      <c r="FL921" s="226"/>
      <c r="FM921" s="226"/>
      <c r="FN921" s="226"/>
      <c r="FO921" s="226"/>
      <c r="FP921" s="226"/>
      <c r="FQ921" s="226"/>
      <c r="FR921" s="226"/>
      <c r="FS921" s="226"/>
      <c r="FT921" s="226"/>
      <c r="FU921" s="226"/>
      <c r="FV921" s="226"/>
      <c r="FW921" s="226"/>
      <c r="FX921" s="226"/>
      <c r="FY921" s="226"/>
      <c r="FZ921" s="226"/>
      <c r="GA921" s="226"/>
      <c r="GB921" s="226"/>
      <c r="GC921" s="226"/>
      <c r="GD921" s="226"/>
      <c r="GE921" s="226"/>
      <c r="GF921" s="226"/>
      <c r="GG921" s="226"/>
      <c r="GH921" s="226"/>
      <c r="GI921" s="226"/>
      <c r="GJ921" s="226"/>
      <c r="GK921" s="226"/>
      <c r="GL921" s="226"/>
      <c r="GM921" s="226"/>
      <c r="GN921" s="226"/>
    </row>
    <row r="922">
      <c r="A922" s="212"/>
      <c r="B922" s="21"/>
      <c r="C922" s="21"/>
      <c r="D922" s="213"/>
      <c r="E922" s="214"/>
      <c r="F922" s="215"/>
      <c r="G922" s="21"/>
      <c r="H922" s="225"/>
      <c r="I922" s="110"/>
      <c r="J922" s="110"/>
      <c r="K922" s="110"/>
      <c r="L922" s="110"/>
      <c r="M922" s="110"/>
      <c r="N922" s="110"/>
      <c r="O922" s="110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  <c r="AA922" s="226"/>
      <c r="AB922" s="226"/>
      <c r="AC922" s="226"/>
      <c r="AD922" s="226"/>
      <c r="AE922" s="226"/>
      <c r="AF922" s="226"/>
      <c r="AG922" s="226"/>
      <c r="AH922" s="226"/>
      <c r="AI922" s="226"/>
      <c r="AJ922" s="226"/>
      <c r="AK922" s="226"/>
      <c r="AL922" s="226"/>
      <c r="AM922" s="226"/>
      <c r="AN922" s="226"/>
      <c r="AO922" s="226"/>
      <c r="AP922" s="226"/>
      <c r="AQ922" s="226"/>
      <c r="AR922" s="226"/>
      <c r="AS922" s="226"/>
      <c r="AT922" s="226"/>
      <c r="AU922" s="226"/>
      <c r="AV922" s="226"/>
      <c r="AW922" s="226"/>
      <c r="AX922" s="226"/>
      <c r="AY922" s="226"/>
      <c r="AZ922" s="226"/>
      <c r="BA922" s="226"/>
      <c r="BB922" s="226"/>
      <c r="BC922" s="226"/>
      <c r="BD922" s="226"/>
      <c r="BE922" s="226"/>
      <c r="BF922" s="226"/>
      <c r="BG922" s="226"/>
      <c r="BH922" s="226"/>
      <c r="BI922" s="226"/>
      <c r="BJ922" s="226"/>
      <c r="BK922" s="226"/>
      <c r="BL922" s="226"/>
      <c r="BM922" s="226"/>
      <c r="BN922" s="226"/>
      <c r="BO922" s="226"/>
      <c r="BP922" s="226"/>
      <c r="BQ922" s="226"/>
      <c r="BR922" s="226"/>
      <c r="BS922" s="226"/>
      <c r="BT922" s="226"/>
      <c r="BU922" s="226"/>
      <c r="BV922" s="226"/>
      <c r="BW922" s="226"/>
      <c r="BX922" s="226"/>
      <c r="BY922" s="226"/>
      <c r="BZ922" s="226"/>
      <c r="CA922" s="226"/>
      <c r="CB922" s="226"/>
      <c r="CC922" s="226"/>
      <c r="CD922" s="226"/>
      <c r="CE922" s="226"/>
      <c r="CF922" s="226"/>
      <c r="CG922" s="226"/>
      <c r="CH922" s="226"/>
      <c r="CI922" s="226"/>
      <c r="CJ922" s="226"/>
      <c r="CK922" s="226"/>
      <c r="CL922" s="226"/>
      <c r="CM922" s="226"/>
      <c r="CN922" s="226"/>
      <c r="CO922" s="226"/>
      <c r="CP922" s="226"/>
      <c r="CQ922" s="226"/>
      <c r="CR922" s="226"/>
      <c r="CS922" s="226"/>
      <c r="CT922" s="226"/>
      <c r="CU922" s="226"/>
      <c r="CV922" s="226"/>
      <c r="CW922" s="226"/>
      <c r="CX922" s="226"/>
      <c r="CY922" s="226"/>
      <c r="CZ922" s="226"/>
      <c r="DA922" s="226"/>
      <c r="DB922" s="226"/>
      <c r="DC922" s="226"/>
      <c r="DD922" s="226"/>
      <c r="DE922" s="226"/>
      <c r="DF922" s="226"/>
      <c r="DG922" s="226"/>
      <c r="DH922" s="226"/>
      <c r="DI922" s="226"/>
      <c r="DJ922" s="226"/>
      <c r="DK922" s="226"/>
      <c r="DL922" s="226"/>
      <c r="DM922" s="226"/>
      <c r="DN922" s="226"/>
      <c r="DO922" s="226"/>
      <c r="DP922" s="226"/>
      <c r="DQ922" s="226"/>
      <c r="DR922" s="226"/>
      <c r="DS922" s="226"/>
      <c r="DT922" s="226"/>
      <c r="DU922" s="226"/>
      <c r="DV922" s="226"/>
      <c r="DW922" s="226"/>
      <c r="DX922" s="226"/>
      <c r="DY922" s="226"/>
      <c r="DZ922" s="226"/>
      <c r="EA922" s="226"/>
      <c r="EB922" s="226"/>
      <c r="EC922" s="226"/>
      <c r="ED922" s="226"/>
      <c r="EE922" s="226"/>
      <c r="EF922" s="226"/>
      <c r="EG922" s="226"/>
      <c r="EH922" s="226"/>
      <c r="EI922" s="226"/>
      <c r="EJ922" s="226"/>
      <c r="EK922" s="226"/>
      <c r="EL922" s="226"/>
      <c r="EM922" s="226"/>
      <c r="EN922" s="226"/>
      <c r="EO922" s="226"/>
      <c r="EP922" s="226"/>
      <c r="EQ922" s="226"/>
      <c r="ER922" s="226"/>
      <c r="ES922" s="226"/>
      <c r="ET922" s="226"/>
      <c r="EU922" s="226"/>
      <c r="EV922" s="226"/>
      <c r="EW922" s="226"/>
      <c r="EX922" s="226"/>
      <c r="EY922" s="226"/>
      <c r="EZ922" s="226"/>
      <c r="FA922" s="226"/>
      <c r="FB922" s="226"/>
      <c r="FC922" s="226"/>
      <c r="FD922" s="226"/>
      <c r="FE922" s="226"/>
      <c r="FF922" s="226"/>
      <c r="FG922" s="226"/>
      <c r="FH922" s="226"/>
      <c r="FI922" s="226"/>
      <c r="FJ922" s="226"/>
      <c r="FK922" s="226"/>
      <c r="FL922" s="226"/>
      <c r="FM922" s="226"/>
      <c r="FN922" s="226"/>
      <c r="FO922" s="226"/>
      <c r="FP922" s="226"/>
      <c r="FQ922" s="226"/>
      <c r="FR922" s="226"/>
      <c r="FS922" s="226"/>
      <c r="FT922" s="226"/>
      <c r="FU922" s="226"/>
      <c r="FV922" s="226"/>
      <c r="FW922" s="226"/>
      <c r="FX922" s="226"/>
      <c r="FY922" s="226"/>
      <c r="FZ922" s="226"/>
      <c r="GA922" s="226"/>
      <c r="GB922" s="226"/>
      <c r="GC922" s="226"/>
      <c r="GD922" s="226"/>
      <c r="GE922" s="226"/>
      <c r="GF922" s="226"/>
      <c r="GG922" s="226"/>
      <c r="GH922" s="226"/>
      <c r="GI922" s="226"/>
      <c r="GJ922" s="226"/>
      <c r="GK922" s="226"/>
      <c r="GL922" s="226"/>
      <c r="GM922" s="226"/>
      <c r="GN922" s="226"/>
    </row>
    <row r="923">
      <c r="A923" s="212"/>
      <c r="B923" s="21"/>
      <c r="C923" s="21"/>
      <c r="D923" s="213"/>
      <c r="E923" s="214"/>
      <c r="F923" s="215"/>
      <c r="G923" s="21"/>
      <c r="H923" s="225"/>
      <c r="I923" s="110"/>
      <c r="J923" s="110"/>
      <c r="K923" s="110"/>
      <c r="L923" s="110"/>
      <c r="M923" s="110"/>
      <c r="N923" s="110"/>
      <c r="O923" s="110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  <c r="AA923" s="226"/>
      <c r="AB923" s="226"/>
      <c r="AC923" s="226"/>
      <c r="AD923" s="226"/>
      <c r="AE923" s="226"/>
      <c r="AF923" s="226"/>
      <c r="AG923" s="226"/>
      <c r="AH923" s="226"/>
      <c r="AI923" s="226"/>
      <c r="AJ923" s="226"/>
      <c r="AK923" s="226"/>
      <c r="AL923" s="226"/>
      <c r="AM923" s="226"/>
      <c r="AN923" s="226"/>
      <c r="AO923" s="226"/>
      <c r="AP923" s="226"/>
      <c r="AQ923" s="226"/>
      <c r="AR923" s="226"/>
      <c r="AS923" s="226"/>
      <c r="AT923" s="226"/>
      <c r="AU923" s="226"/>
      <c r="AV923" s="226"/>
      <c r="AW923" s="226"/>
      <c r="AX923" s="226"/>
      <c r="AY923" s="226"/>
      <c r="AZ923" s="226"/>
      <c r="BA923" s="226"/>
      <c r="BB923" s="226"/>
      <c r="BC923" s="226"/>
      <c r="BD923" s="226"/>
      <c r="BE923" s="226"/>
      <c r="BF923" s="226"/>
      <c r="BG923" s="226"/>
      <c r="BH923" s="226"/>
      <c r="BI923" s="226"/>
      <c r="BJ923" s="226"/>
      <c r="BK923" s="226"/>
      <c r="BL923" s="226"/>
      <c r="BM923" s="226"/>
      <c r="BN923" s="226"/>
      <c r="BO923" s="226"/>
      <c r="BP923" s="226"/>
      <c r="BQ923" s="226"/>
      <c r="BR923" s="226"/>
      <c r="BS923" s="226"/>
      <c r="BT923" s="226"/>
      <c r="BU923" s="226"/>
      <c r="BV923" s="226"/>
      <c r="BW923" s="226"/>
      <c r="BX923" s="226"/>
      <c r="BY923" s="226"/>
      <c r="BZ923" s="226"/>
      <c r="CA923" s="226"/>
      <c r="CB923" s="226"/>
      <c r="CC923" s="226"/>
      <c r="CD923" s="226"/>
      <c r="CE923" s="226"/>
      <c r="CF923" s="226"/>
      <c r="CG923" s="226"/>
      <c r="CH923" s="226"/>
      <c r="CI923" s="226"/>
      <c r="CJ923" s="226"/>
      <c r="CK923" s="226"/>
      <c r="CL923" s="226"/>
      <c r="CM923" s="226"/>
      <c r="CN923" s="226"/>
      <c r="CO923" s="226"/>
      <c r="CP923" s="226"/>
      <c r="CQ923" s="226"/>
      <c r="CR923" s="226"/>
      <c r="CS923" s="226"/>
      <c r="CT923" s="226"/>
      <c r="CU923" s="226"/>
      <c r="CV923" s="226"/>
      <c r="CW923" s="226"/>
      <c r="CX923" s="226"/>
      <c r="CY923" s="226"/>
      <c r="CZ923" s="226"/>
      <c r="DA923" s="226"/>
      <c r="DB923" s="226"/>
      <c r="DC923" s="226"/>
      <c r="DD923" s="226"/>
      <c r="DE923" s="226"/>
      <c r="DF923" s="226"/>
      <c r="DG923" s="226"/>
      <c r="DH923" s="226"/>
      <c r="DI923" s="226"/>
      <c r="DJ923" s="226"/>
      <c r="DK923" s="226"/>
      <c r="DL923" s="226"/>
      <c r="DM923" s="226"/>
      <c r="DN923" s="226"/>
      <c r="DO923" s="226"/>
      <c r="DP923" s="226"/>
      <c r="DQ923" s="226"/>
      <c r="DR923" s="226"/>
      <c r="DS923" s="226"/>
      <c r="DT923" s="226"/>
      <c r="DU923" s="226"/>
      <c r="DV923" s="226"/>
      <c r="DW923" s="226"/>
      <c r="DX923" s="226"/>
      <c r="DY923" s="226"/>
      <c r="DZ923" s="226"/>
      <c r="EA923" s="226"/>
      <c r="EB923" s="226"/>
      <c r="EC923" s="226"/>
      <c r="ED923" s="226"/>
      <c r="EE923" s="226"/>
      <c r="EF923" s="226"/>
      <c r="EG923" s="226"/>
      <c r="EH923" s="226"/>
      <c r="EI923" s="226"/>
      <c r="EJ923" s="226"/>
      <c r="EK923" s="226"/>
      <c r="EL923" s="226"/>
      <c r="EM923" s="226"/>
      <c r="EN923" s="226"/>
      <c r="EO923" s="226"/>
      <c r="EP923" s="226"/>
      <c r="EQ923" s="226"/>
      <c r="ER923" s="226"/>
      <c r="ES923" s="226"/>
      <c r="ET923" s="226"/>
      <c r="EU923" s="226"/>
      <c r="EV923" s="226"/>
      <c r="EW923" s="226"/>
      <c r="EX923" s="226"/>
      <c r="EY923" s="226"/>
      <c r="EZ923" s="226"/>
      <c r="FA923" s="226"/>
      <c r="FB923" s="226"/>
      <c r="FC923" s="226"/>
      <c r="FD923" s="226"/>
      <c r="FE923" s="226"/>
      <c r="FF923" s="226"/>
      <c r="FG923" s="226"/>
      <c r="FH923" s="226"/>
      <c r="FI923" s="226"/>
      <c r="FJ923" s="226"/>
      <c r="FK923" s="226"/>
      <c r="FL923" s="226"/>
      <c r="FM923" s="226"/>
      <c r="FN923" s="226"/>
      <c r="FO923" s="226"/>
      <c r="FP923" s="226"/>
      <c r="FQ923" s="226"/>
      <c r="FR923" s="226"/>
      <c r="FS923" s="226"/>
      <c r="FT923" s="226"/>
      <c r="FU923" s="226"/>
      <c r="FV923" s="226"/>
      <c r="FW923" s="226"/>
      <c r="FX923" s="226"/>
      <c r="FY923" s="226"/>
      <c r="FZ923" s="226"/>
      <c r="GA923" s="226"/>
      <c r="GB923" s="226"/>
      <c r="GC923" s="226"/>
      <c r="GD923" s="226"/>
      <c r="GE923" s="226"/>
      <c r="GF923" s="226"/>
      <c r="GG923" s="226"/>
      <c r="GH923" s="226"/>
      <c r="GI923" s="226"/>
      <c r="GJ923" s="226"/>
      <c r="GK923" s="226"/>
      <c r="GL923" s="226"/>
      <c r="GM923" s="226"/>
      <c r="GN923" s="226"/>
    </row>
    <row r="924">
      <c r="A924" s="212"/>
      <c r="B924" s="21"/>
      <c r="C924" s="21"/>
      <c r="D924" s="213"/>
      <c r="E924" s="214"/>
      <c r="F924" s="215"/>
      <c r="G924" s="21"/>
      <c r="H924" s="225"/>
      <c r="I924" s="110"/>
      <c r="J924" s="110"/>
      <c r="K924" s="110"/>
      <c r="L924" s="110"/>
      <c r="M924" s="110"/>
      <c r="N924" s="110"/>
      <c r="O924" s="110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  <c r="AA924" s="226"/>
      <c r="AB924" s="226"/>
      <c r="AC924" s="226"/>
      <c r="AD924" s="226"/>
      <c r="AE924" s="226"/>
      <c r="AF924" s="226"/>
      <c r="AG924" s="226"/>
      <c r="AH924" s="226"/>
      <c r="AI924" s="226"/>
      <c r="AJ924" s="226"/>
      <c r="AK924" s="226"/>
      <c r="AL924" s="226"/>
      <c r="AM924" s="226"/>
      <c r="AN924" s="226"/>
      <c r="AO924" s="226"/>
      <c r="AP924" s="226"/>
      <c r="AQ924" s="226"/>
      <c r="AR924" s="226"/>
      <c r="AS924" s="226"/>
      <c r="AT924" s="226"/>
      <c r="AU924" s="226"/>
      <c r="AV924" s="226"/>
      <c r="AW924" s="226"/>
      <c r="AX924" s="226"/>
      <c r="AY924" s="226"/>
      <c r="AZ924" s="226"/>
      <c r="BA924" s="226"/>
      <c r="BB924" s="226"/>
      <c r="BC924" s="226"/>
      <c r="BD924" s="226"/>
      <c r="BE924" s="226"/>
      <c r="BF924" s="226"/>
      <c r="BG924" s="226"/>
      <c r="BH924" s="226"/>
      <c r="BI924" s="226"/>
      <c r="BJ924" s="226"/>
      <c r="BK924" s="226"/>
      <c r="BL924" s="226"/>
      <c r="BM924" s="226"/>
      <c r="BN924" s="226"/>
      <c r="BO924" s="226"/>
      <c r="BP924" s="226"/>
      <c r="BQ924" s="226"/>
      <c r="BR924" s="226"/>
      <c r="BS924" s="226"/>
      <c r="BT924" s="226"/>
      <c r="BU924" s="226"/>
      <c r="BV924" s="226"/>
      <c r="BW924" s="226"/>
      <c r="BX924" s="226"/>
      <c r="BY924" s="226"/>
      <c r="BZ924" s="226"/>
      <c r="CA924" s="226"/>
      <c r="CB924" s="226"/>
      <c r="CC924" s="226"/>
      <c r="CD924" s="226"/>
      <c r="CE924" s="226"/>
      <c r="CF924" s="226"/>
      <c r="CG924" s="226"/>
      <c r="CH924" s="226"/>
      <c r="CI924" s="226"/>
      <c r="CJ924" s="226"/>
      <c r="CK924" s="226"/>
      <c r="CL924" s="226"/>
      <c r="CM924" s="226"/>
      <c r="CN924" s="226"/>
      <c r="CO924" s="226"/>
      <c r="CP924" s="226"/>
      <c r="CQ924" s="226"/>
      <c r="CR924" s="226"/>
      <c r="CS924" s="226"/>
      <c r="CT924" s="226"/>
      <c r="CU924" s="226"/>
      <c r="CV924" s="226"/>
      <c r="CW924" s="226"/>
      <c r="CX924" s="226"/>
      <c r="CY924" s="226"/>
      <c r="CZ924" s="226"/>
      <c r="DA924" s="226"/>
      <c r="DB924" s="226"/>
      <c r="DC924" s="226"/>
      <c r="DD924" s="226"/>
      <c r="DE924" s="226"/>
      <c r="DF924" s="226"/>
      <c r="DG924" s="226"/>
      <c r="DH924" s="226"/>
      <c r="DI924" s="226"/>
      <c r="DJ924" s="226"/>
      <c r="DK924" s="226"/>
      <c r="DL924" s="226"/>
      <c r="DM924" s="226"/>
      <c r="DN924" s="226"/>
      <c r="DO924" s="226"/>
      <c r="DP924" s="226"/>
      <c r="DQ924" s="226"/>
      <c r="DR924" s="226"/>
      <c r="DS924" s="226"/>
      <c r="DT924" s="226"/>
      <c r="DU924" s="226"/>
      <c r="DV924" s="226"/>
      <c r="DW924" s="226"/>
      <c r="DX924" s="226"/>
      <c r="DY924" s="226"/>
      <c r="DZ924" s="226"/>
      <c r="EA924" s="226"/>
      <c r="EB924" s="226"/>
      <c r="EC924" s="226"/>
      <c r="ED924" s="226"/>
      <c r="EE924" s="226"/>
      <c r="EF924" s="226"/>
      <c r="EG924" s="226"/>
      <c r="EH924" s="226"/>
      <c r="EI924" s="226"/>
      <c r="EJ924" s="226"/>
      <c r="EK924" s="226"/>
      <c r="EL924" s="226"/>
      <c r="EM924" s="226"/>
      <c r="EN924" s="226"/>
      <c r="EO924" s="226"/>
      <c r="EP924" s="226"/>
      <c r="EQ924" s="226"/>
      <c r="ER924" s="226"/>
      <c r="ES924" s="226"/>
      <c r="ET924" s="226"/>
      <c r="EU924" s="226"/>
      <c r="EV924" s="226"/>
      <c r="EW924" s="226"/>
      <c r="EX924" s="226"/>
      <c r="EY924" s="226"/>
      <c r="EZ924" s="226"/>
      <c r="FA924" s="226"/>
      <c r="FB924" s="226"/>
      <c r="FC924" s="226"/>
      <c r="FD924" s="226"/>
      <c r="FE924" s="226"/>
      <c r="FF924" s="226"/>
      <c r="FG924" s="226"/>
      <c r="FH924" s="226"/>
      <c r="FI924" s="226"/>
      <c r="FJ924" s="226"/>
      <c r="FK924" s="226"/>
      <c r="FL924" s="226"/>
      <c r="FM924" s="226"/>
      <c r="FN924" s="226"/>
      <c r="FO924" s="226"/>
      <c r="FP924" s="226"/>
      <c r="FQ924" s="226"/>
      <c r="FR924" s="226"/>
      <c r="FS924" s="226"/>
      <c r="FT924" s="226"/>
      <c r="FU924" s="226"/>
      <c r="FV924" s="226"/>
      <c r="FW924" s="226"/>
      <c r="FX924" s="226"/>
      <c r="FY924" s="226"/>
      <c r="FZ924" s="226"/>
      <c r="GA924" s="226"/>
      <c r="GB924" s="226"/>
      <c r="GC924" s="226"/>
      <c r="GD924" s="226"/>
      <c r="GE924" s="226"/>
      <c r="GF924" s="226"/>
      <c r="GG924" s="226"/>
      <c r="GH924" s="226"/>
      <c r="GI924" s="226"/>
      <c r="GJ924" s="226"/>
      <c r="GK924" s="226"/>
      <c r="GL924" s="226"/>
      <c r="GM924" s="226"/>
      <c r="GN924" s="226"/>
    </row>
    <row r="925">
      <c r="A925" s="212"/>
      <c r="B925" s="21"/>
      <c r="C925" s="21"/>
      <c r="D925" s="213"/>
      <c r="E925" s="214"/>
      <c r="F925" s="215"/>
      <c r="G925" s="21"/>
      <c r="H925" s="225"/>
      <c r="I925" s="110"/>
      <c r="J925" s="110"/>
      <c r="K925" s="110"/>
      <c r="L925" s="110"/>
      <c r="M925" s="110"/>
      <c r="N925" s="110"/>
      <c r="O925" s="110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  <c r="AA925" s="226"/>
      <c r="AB925" s="226"/>
      <c r="AC925" s="226"/>
      <c r="AD925" s="226"/>
      <c r="AE925" s="226"/>
      <c r="AF925" s="226"/>
      <c r="AG925" s="226"/>
      <c r="AH925" s="226"/>
      <c r="AI925" s="226"/>
      <c r="AJ925" s="226"/>
      <c r="AK925" s="226"/>
      <c r="AL925" s="226"/>
      <c r="AM925" s="226"/>
      <c r="AN925" s="226"/>
      <c r="AO925" s="226"/>
      <c r="AP925" s="226"/>
      <c r="AQ925" s="226"/>
      <c r="AR925" s="226"/>
      <c r="AS925" s="226"/>
      <c r="AT925" s="226"/>
      <c r="AU925" s="226"/>
      <c r="AV925" s="226"/>
      <c r="AW925" s="226"/>
      <c r="AX925" s="226"/>
      <c r="AY925" s="226"/>
      <c r="AZ925" s="226"/>
      <c r="BA925" s="226"/>
      <c r="BB925" s="226"/>
      <c r="BC925" s="226"/>
      <c r="BD925" s="226"/>
      <c r="BE925" s="226"/>
      <c r="BF925" s="226"/>
      <c r="BG925" s="226"/>
      <c r="BH925" s="226"/>
      <c r="BI925" s="226"/>
      <c r="BJ925" s="226"/>
      <c r="BK925" s="226"/>
      <c r="BL925" s="226"/>
      <c r="BM925" s="226"/>
      <c r="BN925" s="226"/>
      <c r="BO925" s="226"/>
      <c r="BP925" s="226"/>
      <c r="BQ925" s="226"/>
      <c r="BR925" s="226"/>
      <c r="BS925" s="226"/>
      <c r="BT925" s="226"/>
      <c r="BU925" s="226"/>
      <c r="BV925" s="226"/>
      <c r="BW925" s="226"/>
      <c r="BX925" s="226"/>
      <c r="BY925" s="226"/>
      <c r="BZ925" s="226"/>
      <c r="CA925" s="226"/>
      <c r="CB925" s="226"/>
      <c r="CC925" s="226"/>
      <c r="CD925" s="226"/>
      <c r="CE925" s="226"/>
      <c r="CF925" s="226"/>
      <c r="CG925" s="226"/>
      <c r="CH925" s="226"/>
      <c r="CI925" s="226"/>
      <c r="CJ925" s="226"/>
      <c r="CK925" s="226"/>
      <c r="CL925" s="226"/>
      <c r="CM925" s="226"/>
      <c r="CN925" s="226"/>
      <c r="CO925" s="226"/>
      <c r="CP925" s="226"/>
      <c r="CQ925" s="226"/>
      <c r="CR925" s="226"/>
      <c r="CS925" s="226"/>
      <c r="CT925" s="226"/>
      <c r="CU925" s="226"/>
      <c r="CV925" s="226"/>
      <c r="CW925" s="226"/>
      <c r="CX925" s="226"/>
      <c r="CY925" s="226"/>
      <c r="CZ925" s="226"/>
      <c r="DA925" s="226"/>
      <c r="DB925" s="226"/>
      <c r="DC925" s="226"/>
      <c r="DD925" s="226"/>
      <c r="DE925" s="226"/>
      <c r="DF925" s="226"/>
      <c r="DG925" s="226"/>
      <c r="DH925" s="226"/>
      <c r="DI925" s="226"/>
      <c r="DJ925" s="226"/>
      <c r="DK925" s="226"/>
      <c r="DL925" s="226"/>
      <c r="DM925" s="226"/>
      <c r="DN925" s="226"/>
      <c r="DO925" s="226"/>
      <c r="DP925" s="226"/>
      <c r="DQ925" s="226"/>
      <c r="DR925" s="226"/>
      <c r="DS925" s="226"/>
      <c r="DT925" s="226"/>
      <c r="DU925" s="226"/>
      <c r="DV925" s="226"/>
      <c r="DW925" s="226"/>
      <c r="DX925" s="226"/>
      <c r="DY925" s="226"/>
      <c r="DZ925" s="226"/>
      <c r="EA925" s="226"/>
      <c r="EB925" s="226"/>
      <c r="EC925" s="226"/>
      <c r="ED925" s="226"/>
      <c r="EE925" s="226"/>
      <c r="EF925" s="226"/>
      <c r="EG925" s="226"/>
      <c r="EH925" s="226"/>
      <c r="EI925" s="226"/>
      <c r="EJ925" s="226"/>
      <c r="EK925" s="226"/>
      <c r="EL925" s="226"/>
      <c r="EM925" s="226"/>
      <c r="EN925" s="226"/>
      <c r="EO925" s="226"/>
      <c r="EP925" s="226"/>
      <c r="EQ925" s="226"/>
      <c r="ER925" s="226"/>
      <c r="ES925" s="226"/>
      <c r="ET925" s="226"/>
      <c r="EU925" s="226"/>
      <c r="EV925" s="226"/>
      <c r="EW925" s="226"/>
      <c r="EX925" s="226"/>
      <c r="EY925" s="226"/>
      <c r="EZ925" s="226"/>
      <c r="FA925" s="226"/>
      <c r="FB925" s="226"/>
      <c r="FC925" s="226"/>
      <c r="FD925" s="226"/>
      <c r="FE925" s="226"/>
      <c r="FF925" s="226"/>
      <c r="FG925" s="226"/>
      <c r="FH925" s="226"/>
      <c r="FI925" s="226"/>
      <c r="FJ925" s="226"/>
      <c r="FK925" s="226"/>
      <c r="FL925" s="226"/>
      <c r="FM925" s="226"/>
      <c r="FN925" s="226"/>
      <c r="FO925" s="226"/>
      <c r="FP925" s="226"/>
      <c r="FQ925" s="226"/>
      <c r="FR925" s="226"/>
      <c r="FS925" s="226"/>
      <c r="FT925" s="226"/>
      <c r="FU925" s="226"/>
      <c r="FV925" s="226"/>
      <c r="FW925" s="226"/>
      <c r="FX925" s="226"/>
      <c r="FY925" s="226"/>
      <c r="FZ925" s="226"/>
      <c r="GA925" s="226"/>
      <c r="GB925" s="226"/>
      <c r="GC925" s="226"/>
      <c r="GD925" s="226"/>
      <c r="GE925" s="226"/>
      <c r="GF925" s="226"/>
      <c r="GG925" s="226"/>
      <c r="GH925" s="226"/>
      <c r="GI925" s="226"/>
      <c r="GJ925" s="226"/>
      <c r="GK925" s="226"/>
      <c r="GL925" s="226"/>
      <c r="GM925" s="226"/>
      <c r="GN925" s="226"/>
    </row>
    <row r="926">
      <c r="A926" s="212"/>
      <c r="B926" s="21"/>
      <c r="C926" s="21"/>
      <c r="D926" s="213"/>
      <c r="E926" s="214"/>
      <c r="F926" s="215"/>
      <c r="G926" s="21"/>
      <c r="H926" s="225"/>
      <c r="I926" s="110"/>
      <c r="J926" s="110"/>
      <c r="K926" s="110"/>
      <c r="L926" s="110"/>
      <c r="M926" s="110"/>
      <c r="N926" s="110"/>
      <c r="O926" s="110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  <c r="AA926" s="226"/>
      <c r="AB926" s="226"/>
      <c r="AC926" s="226"/>
      <c r="AD926" s="226"/>
      <c r="AE926" s="226"/>
      <c r="AF926" s="226"/>
      <c r="AG926" s="226"/>
      <c r="AH926" s="226"/>
      <c r="AI926" s="226"/>
      <c r="AJ926" s="226"/>
      <c r="AK926" s="226"/>
      <c r="AL926" s="226"/>
      <c r="AM926" s="226"/>
      <c r="AN926" s="226"/>
      <c r="AO926" s="226"/>
      <c r="AP926" s="226"/>
      <c r="AQ926" s="226"/>
      <c r="AR926" s="226"/>
      <c r="AS926" s="226"/>
      <c r="AT926" s="226"/>
      <c r="AU926" s="226"/>
      <c r="AV926" s="226"/>
      <c r="AW926" s="226"/>
      <c r="AX926" s="226"/>
      <c r="AY926" s="226"/>
      <c r="AZ926" s="226"/>
      <c r="BA926" s="226"/>
      <c r="BB926" s="226"/>
      <c r="BC926" s="226"/>
      <c r="BD926" s="226"/>
      <c r="BE926" s="226"/>
      <c r="BF926" s="226"/>
      <c r="BG926" s="226"/>
      <c r="BH926" s="226"/>
      <c r="BI926" s="226"/>
      <c r="BJ926" s="226"/>
      <c r="BK926" s="226"/>
      <c r="BL926" s="226"/>
      <c r="BM926" s="226"/>
      <c r="BN926" s="226"/>
      <c r="BO926" s="226"/>
      <c r="BP926" s="226"/>
      <c r="BQ926" s="226"/>
      <c r="BR926" s="226"/>
      <c r="BS926" s="226"/>
      <c r="BT926" s="226"/>
      <c r="BU926" s="226"/>
      <c r="BV926" s="226"/>
      <c r="BW926" s="226"/>
      <c r="BX926" s="226"/>
      <c r="BY926" s="226"/>
      <c r="BZ926" s="226"/>
      <c r="CA926" s="226"/>
      <c r="CB926" s="226"/>
      <c r="CC926" s="226"/>
      <c r="CD926" s="226"/>
      <c r="CE926" s="226"/>
      <c r="CF926" s="226"/>
      <c r="CG926" s="226"/>
      <c r="CH926" s="226"/>
      <c r="CI926" s="226"/>
      <c r="CJ926" s="226"/>
      <c r="CK926" s="226"/>
      <c r="CL926" s="226"/>
      <c r="CM926" s="226"/>
      <c r="CN926" s="226"/>
      <c r="CO926" s="226"/>
      <c r="CP926" s="226"/>
      <c r="CQ926" s="226"/>
      <c r="CR926" s="226"/>
      <c r="CS926" s="226"/>
      <c r="CT926" s="226"/>
      <c r="CU926" s="226"/>
      <c r="CV926" s="226"/>
      <c r="CW926" s="226"/>
      <c r="CX926" s="226"/>
      <c r="CY926" s="226"/>
      <c r="CZ926" s="226"/>
      <c r="DA926" s="226"/>
      <c r="DB926" s="226"/>
      <c r="DC926" s="226"/>
      <c r="DD926" s="226"/>
      <c r="DE926" s="226"/>
      <c r="DF926" s="226"/>
      <c r="DG926" s="226"/>
      <c r="DH926" s="226"/>
      <c r="DI926" s="226"/>
      <c r="DJ926" s="226"/>
      <c r="DK926" s="226"/>
      <c r="DL926" s="226"/>
      <c r="DM926" s="226"/>
      <c r="DN926" s="226"/>
      <c r="DO926" s="226"/>
      <c r="DP926" s="226"/>
      <c r="DQ926" s="226"/>
      <c r="DR926" s="226"/>
      <c r="DS926" s="226"/>
      <c r="DT926" s="226"/>
      <c r="DU926" s="226"/>
      <c r="DV926" s="226"/>
      <c r="DW926" s="226"/>
      <c r="DX926" s="226"/>
      <c r="DY926" s="226"/>
      <c r="DZ926" s="226"/>
      <c r="EA926" s="226"/>
      <c r="EB926" s="226"/>
      <c r="EC926" s="226"/>
      <c r="ED926" s="226"/>
      <c r="EE926" s="226"/>
      <c r="EF926" s="226"/>
      <c r="EG926" s="226"/>
      <c r="EH926" s="226"/>
      <c r="EI926" s="226"/>
      <c r="EJ926" s="226"/>
      <c r="EK926" s="226"/>
      <c r="EL926" s="226"/>
      <c r="EM926" s="226"/>
      <c r="EN926" s="226"/>
      <c r="EO926" s="226"/>
      <c r="EP926" s="226"/>
      <c r="EQ926" s="226"/>
      <c r="ER926" s="226"/>
      <c r="ES926" s="226"/>
      <c r="ET926" s="226"/>
      <c r="EU926" s="226"/>
      <c r="EV926" s="226"/>
      <c r="EW926" s="226"/>
      <c r="EX926" s="226"/>
      <c r="EY926" s="226"/>
      <c r="EZ926" s="226"/>
      <c r="FA926" s="226"/>
      <c r="FB926" s="226"/>
      <c r="FC926" s="226"/>
      <c r="FD926" s="226"/>
      <c r="FE926" s="226"/>
      <c r="FF926" s="226"/>
      <c r="FG926" s="226"/>
      <c r="FH926" s="226"/>
      <c r="FI926" s="226"/>
      <c r="FJ926" s="226"/>
      <c r="FK926" s="226"/>
      <c r="FL926" s="226"/>
      <c r="FM926" s="226"/>
      <c r="FN926" s="226"/>
      <c r="FO926" s="226"/>
      <c r="FP926" s="226"/>
      <c r="FQ926" s="226"/>
      <c r="FR926" s="226"/>
      <c r="FS926" s="226"/>
      <c r="FT926" s="226"/>
      <c r="FU926" s="226"/>
      <c r="FV926" s="226"/>
      <c r="FW926" s="226"/>
      <c r="FX926" s="226"/>
      <c r="FY926" s="226"/>
      <c r="FZ926" s="226"/>
      <c r="GA926" s="226"/>
      <c r="GB926" s="226"/>
      <c r="GC926" s="226"/>
      <c r="GD926" s="226"/>
      <c r="GE926" s="226"/>
      <c r="GF926" s="226"/>
      <c r="GG926" s="226"/>
      <c r="GH926" s="226"/>
      <c r="GI926" s="226"/>
      <c r="GJ926" s="226"/>
      <c r="GK926" s="226"/>
      <c r="GL926" s="226"/>
      <c r="GM926" s="226"/>
      <c r="GN926" s="226"/>
    </row>
    <row r="927">
      <c r="A927" s="212"/>
      <c r="B927" s="21"/>
      <c r="C927" s="21"/>
      <c r="D927" s="213"/>
      <c r="E927" s="214"/>
      <c r="F927" s="215"/>
      <c r="G927" s="21"/>
      <c r="H927" s="124"/>
      <c r="I927" s="110"/>
      <c r="J927" s="110"/>
      <c r="K927" s="110"/>
      <c r="L927" s="110"/>
      <c r="M927" s="110"/>
      <c r="N927" s="110"/>
      <c r="O927" s="110"/>
      <c r="P927" s="124"/>
      <c r="Q927" s="124"/>
      <c r="R927" s="124"/>
      <c r="S927" s="124"/>
      <c r="T927" s="124"/>
      <c r="U927" s="124"/>
      <c r="V927" s="124"/>
      <c r="W927" s="110"/>
      <c r="X927" s="110"/>
      <c r="Y927" s="110"/>
      <c r="Z927" s="110"/>
      <c r="AA927" s="227"/>
      <c r="AB927" s="227"/>
      <c r="AC927" s="227"/>
      <c r="AD927" s="227"/>
      <c r="AE927" s="227"/>
      <c r="AF927" s="227"/>
      <c r="AG927" s="227"/>
      <c r="AH927" s="227"/>
      <c r="AI927" s="227"/>
      <c r="AJ927" s="227"/>
      <c r="AK927" s="227"/>
      <c r="AL927" s="227"/>
      <c r="AM927" s="227"/>
      <c r="AN927" s="227"/>
      <c r="AO927" s="227"/>
      <c r="AP927" s="227"/>
      <c r="AQ927" s="227"/>
      <c r="AR927" s="227"/>
      <c r="AS927" s="227"/>
      <c r="AT927" s="227"/>
      <c r="AU927" s="227"/>
      <c r="AV927" s="227"/>
      <c r="AW927" s="227"/>
      <c r="AX927" s="227"/>
      <c r="AY927" s="227"/>
      <c r="AZ927" s="227"/>
      <c r="BA927" s="227"/>
      <c r="BB927" s="227"/>
      <c r="BC927" s="227"/>
      <c r="BD927" s="227"/>
      <c r="BE927" s="227"/>
      <c r="BF927" s="227"/>
      <c r="BG927" s="227"/>
      <c r="BH927" s="227"/>
      <c r="BI927" s="227"/>
      <c r="BJ927" s="227"/>
      <c r="BK927" s="227"/>
      <c r="BL927" s="227"/>
      <c r="BM927" s="227"/>
      <c r="BN927" s="227"/>
      <c r="BO927" s="227"/>
      <c r="BP927" s="227"/>
      <c r="BQ927" s="227"/>
      <c r="BR927" s="227"/>
      <c r="BS927" s="227"/>
      <c r="BT927" s="227"/>
      <c r="BU927" s="227"/>
      <c r="BV927" s="227"/>
      <c r="BW927" s="227"/>
      <c r="BX927" s="227"/>
      <c r="BY927" s="227"/>
      <c r="BZ927" s="227"/>
      <c r="CA927" s="227"/>
      <c r="CB927" s="227"/>
      <c r="CC927" s="227"/>
      <c r="CD927" s="227"/>
      <c r="CE927" s="227"/>
      <c r="CF927" s="227"/>
      <c r="CG927" s="227"/>
      <c r="CH927" s="227"/>
      <c r="CI927" s="227"/>
      <c r="CJ927" s="227"/>
      <c r="CK927" s="227"/>
      <c r="CL927" s="227"/>
      <c r="CM927" s="227"/>
      <c r="CN927" s="227"/>
      <c r="CO927" s="227"/>
      <c r="CP927" s="227"/>
      <c r="CQ927" s="227"/>
      <c r="CR927" s="227"/>
      <c r="CS927" s="227"/>
      <c r="CT927" s="227"/>
      <c r="CU927" s="227"/>
      <c r="CV927" s="227"/>
      <c r="CW927" s="227"/>
      <c r="CX927" s="227"/>
      <c r="CY927" s="227"/>
      <c r="CZ927" s="227"/>
      <c r="DA927" s="227"/>
      <c r="DB927" s="227"/>
      <c r="DC927" s="227"/>
      <c r="DD927" s="227"/>
      <c r="DE927" s="227"/>
      <c r="DF927" s="227"/>
      <c r="DG927" s="227"/>
      <c r="DH927" s="227"/>
      <c r="DI927" s="227"/>
      <c r="DJ927" s="227"/>
      <c r="DK927" s="227"/>
      <c r="DL927" s="227"/>
      <c r="DM927" s="227"/>
      <c r="DN927" s="227"/>
      <c r="DO927" s="227"/>
      <c r="DP927" s="227"/>
      <c r="DQ927" s="227"/>
      <c r="DR927" s="227"/>
      <c r="DS927" s="227"/>
      <c r="DT927" s="227"/>
      <c r="DU927" s="227"/>
      <c r="DV927" s="227"/>
      <c r="DW927" s="227"/>
      <c r="DX927" s="227"/>
      <c r="DY927" s="227"/>
      <c r="DZ927" s="227"/>
      <c r="EA927" s="227"/>
      <c r="EB927" s="227"/>
      <c r="EC927" s="227"/>
      <c r="ED927" s="227"/>
      <c r="EE927" s="227"/>
      <c r="EF927" s="227"/>
      <c r="EG927" s="227"/>
      <c r="EH927" s="227"/>
      <c r="EI927" s="227"/>
      <c r="EJ927" s="227"/>
      <c r="EK927" s="227"/>
      <c r="EL927" s="227"/>
      <c r="EM927" s="227"/>
      <c r="EN927" s="227"/>
      <c r="EO927" s="227"/>
      <c r="EP927" s="227"/>
      <c r="EQ927" s="227"/>
      <c r="ER927" s="227"/>
      <c r="ES927" s="227"/>
      <c r="ET927" s="227"/>
      <c r="EU927" s="227"/>
      <c r="EV927" s="227"/>
      <c r="EW927" s="227"/>
      <c r="EX927" s="227"/>
      <c r="EY927" s="227"/>
      <c r="EZ927" s="227"/>
      <c r="FA927" s="227"/>
      <c r="FB927" s="227"/>
      <c r="FC927" s="227"/>
      <c r="FD927" s="227"/>
      <c r="FE927" s="227"/>
      <c r="FF927" s="227"/>
      <c r="FG927" s="227"/>
      <c r="FH927" s="227"/>
      <c r="FI927" s="227"/>
      <c r="FJ927" s="227"/>
      <c r="FK927" s="227"/>
      <c r="FL927" s="227"/>
      <c r="FM927" s="227"/>
      <c r="FN927" s="227"/>
      <c r="FO927" s="227"/>
      <c r="FP927" s="227"/>
      <c r="FQ927" s="227"/>
      <c r="FR927" s="227"/>
      <c r="FS927" s="227"/>
      <c r="FT927" s="227"/>
      <c r="FU927" s="227"/>
      <c r="FV927" s="227"/>
      <c r="FW927" s="227"/>
      <c r="FX927" s="227"/>
      <c r="FY927" s="227"/>
      <c r="FZ927" s="227"/>
      <c r="GA927" s="227"/>
      <c r="GB927" s="227"/>
      <c r="GC927" s="227"/>
      <c r="GD927" s="227"/>
      <c r="GE927" s="227"/>
      <c r="GF927" s="227"/>
      <c r="GG927" s="227"/>
      <c r="GH927" s="227"/>
      <c r="GI927" s="227"/>
      <c r="GJ927" s="227"/>
      <c r="GK927" s="227"/>
      <c r="GL927" s="227"/>
      <c r="GM927" s="227"/>
      <c r="GN927" s="227"/>
    </row>
    <row r="928">
      <c r="A928" s="212"/>
      <c r="B928" s="21"/>
      <c r="C928" s="21"/>
      <c r="D928" s="213"/>
      <c r="E928" s="214"/>
      <c r="F928" s="215"/>
      <c r="G928" s="124"/>
      <c r="H928" s="124"/>
      <c r="I928" s="21"/>
      <c r="J928" s="24"/>
      <c r="K928" s="21"/>
      <c r="L928" s="21"/>
      <c r="M928" s="24"/>
      <c r="N928" s="21"/>
      <c r="O928" s="21"/>
      <c r="P928" s="124"/>
      <c r="Q928" s="124"/>
      <c r="R928" s="124"/>
      <c r="S928" s="124"/>
      <c r="T928" s="124"/>
      <c r="U928" s="124"/>
      <c r="V928" s="124"/>
      <c r="W928" s="221"/>
      <c r="X928" s="221"/>
      <c r="Y928" s="221"/>
      <c r="Z928" s="221"/>
      <c r="AA928" s="228"/>
      <c r="AB928" s="228"/>
      <c r="AC928" s="228"/>
      <c r="AD928" s="228"/>
      <c r="AE928" s="228"/>
      <c r="AF928" s="228"/>
      <c r="AG928" s="228"/>
      <c r="AH928" s="228"/>
      <c r="AI928" s="228"/>
      <c r="AJ928" s="228"/>
      <c r="AK928" s="228"/>
      <c r="AL928" s="228"/>
      <c r="AM928" s="228"/>
      <c r="AN928" s="228"/>
      <c r="AO928" s="228"/>
      <c r="AP928" s="228"/>
      <c r="AQ928" s="228"/>
      <c r="AR928" s="228"/>
      <c r="AS928" s="228"/>
      <c r="AT928" s="228"/>
      <c r="AU928" s="228"/>
      <c r="AV928" s="228"/>
      <c r="AW928" s="228"/>
      <c r="AX928" s="228"/>
      <c r="AY928" s="228"/>
      <c r="AZ928" s="228"/>
      <c r="BA928" s="228"/>
      <c r="BB928" s="228"/>
      <c r="BC928" s="228"/>
      <c r="BD928" s="228"/>
      <c r="BE928" s="228"/>
      <c r="BF928" s="228"/>
      <c r="BG928" s="228"/>
      <c r="BH928" s="228"/>
      <c r="BI928" s="228"/>
      <c r="BJ928" s="228"/>
      <c r="BK928" s="228"/>
      <c r="BL928" s="228"/>
      <c r="BM928" s="228"/>
      <c r="BN928" s="228"/>
      <c r="BO928" s="228"/>
      <c r="BP928" s="228"/>
      <c r="BQ928" s="228"/>
      <c r="BR928" s="228"/>
      <c r="BS928" s="228"/>
      <c r="BT928" s="228"/>
      <c r="BU928" s="228"/>
      <c r="BV928" s="228"/>
      <c r="BW928" s="228"/>
      <c r="BX928" s="228"/>
      <c r="BY928" s="228"/>
      <c r="BZ928" s="228"/>
      <c r="CA928" s="228"/>
      <c r="CB928" s="228"/>
      <c r="CC928" s="228"/>
      <c r="CD928" s="228"/>
      <c r="CE928" s="228"/>
      <c r="CF928" s="228"/>
      <c r="CG928" s="228"/>
      <c r="CH928" s="228"/>
      <c r="CI928" s="228"/>
      <c r="CJ928" s="228"/>
      <c r="CK928" s="228"/>
      <c r="CL928" s="228"/>
      <c r="CM928" s="228"/>
      <c r="CN928" s="228"/>
      <c r="CO928" s="228"/>
      <c r="CP928" s="228"/>
      <c r="CQ928" s="228"/>
      <c r="CR928" s="228"/>
      <c r="CS928" s="228"/>
      <c r="CT928" s="228"/>
      <c r="CU928" s="228"/>
      <c r="CV928" s="228"/>
      <c r="CW928" s="228"/>
      <c r="CX928" s="228"/>
      <c r="CY928" s="228"/>
      <c r="CZ928" s="228"/>
      <c r="DA928" s="228"/>
      <c r="DB928" s="228"/>
      <c r="DC928" s="228"/>
      <c r="DD928" s="228"/>
      <c r="DE928" s="228"/>
      <c r="DF928" s="228"/>
      <c r="DG928" s="228"/>
      <c r="DH928" s="228"/>
      <c r="DI928" s="228"/>
      <c r="DJ928" s="228"/>
      <c r="DK928" s="228"/>
      <c r="DL928" s="228"/>
      <c r="DM928" s="228"/>
      <c r="DN928" s="228"/>
      <c r="DO928" s="228"/>
      <c r="DP928" s="228"/>
      <c r="DQ928" s="228"/>
      <c r="DR928" s="228"/>
      <c r="DS928" s="228"/>
      <c r="DT928" s="228"/>
      <c r="DU928" s="228"/>
      <c r="DV928" s="228"/>
      <c r="DW928" s="228"/>
      <c r="DX928" s="228"/>
      <c r="DY928" s="228"/>
      <c r="DZ928" s="228"/>
      <c r="EA928" s="228"/>
      <c r="EB928" s="228"/>
      <c r="EC928" s="228"/>
      <c r="ED928" s="228"/>
      <c r="EE928" s="228"/>
      <c r="EF928" s="228"/>
      <c r="EG928" s="228"/>
      <c r="EH928" s="228"/>
      <c r="EI928" s="228"/>
      <c r="EJ928" s="228"/>
      <c r="EK928" s="228"/>
      <c r="EL928" s="228"/>
      <c r="EM928" s="228"/>
      <c r="EN928" s="228"/>
      <c r="EO928" s="228"/>
      <c r="EP928" s="228"/>
      <c r="EQ928" s="228"/>
      <c r="ER928" s="228"/>
      <c r="ES928" s="228"/>
      <c r="ET928" s="228"/>
      <c r="EU928" s="228"/>
      <c r="EV928" s="228"/>
      <c r="EW928" s="228"/>
      <c r="EX928" s="228"/>
      <c r="EY928" s="228"/>
      <c r="EZ928" s="228"/>
      <c r="FA928" s="228"/>
      <c r="FB928" s="228"/>
      <c r="FC928" s="228"/>
      <c r="FD928" s="228"/>
      <c r="FE928" s="228"/>
      <c r="FF928" s="228"/>
      <c r="FG928" s="228"/>
      <c r="FH928" s="228"/>
      <c r="FI928" s="228"/>
      <c r="FJ928" s="228"/>
      <c r="FK928" s="228"/>
      <c r="FL928" s="228"/>
      <c r="FM928" s="228"/>
      <c r="FN928" s="228"/>
      <c r="FO928" s="228"/>
      <c r="FP928" s="228"/>
      <c r="FQ928" s="228"/>
      <c r="FR928" s="228"/>
      <c r="FS928" s="228"/>
      <c r="FT928" s="228"/>
      <c r="FU928" s="228"/>
      <c r="FV928" s="228"/>
      <c r="FW928" s="228"/>
      <c r="FX928" s="228"/>
      <c r="FY928" s="228"/>
      <c r="FZ928" s="228"/>
      <c r="GA928" s="228"/>
      <c r="GB928" s="228"/>
      <c r="GC928" s="228"/>
      <c r="GD928" s="228"/>
      <c r="GE928" s="228"/>
      <c r="GF928" s="228"/>
      <c r="GG928" s="228"/>
      <c r="GH928" s="228"/>
      <c r="GI928" s="228"/>
      <c r="GJ928" s="228"/>
      <c r="GK928" s="228"/>
      <c r="GL928" s="228"/>
      <c r="GM928" s="228"/>
      <c r="GN928" s="228"/>
    </row>
    <row r="929">
      <c r="A929" s="212"/>
      <c r="B929" s="21"/>
      <c r="C929" s="21"/>
      <c r="D929" s="213"/>
      <c r="E929" s="214"/>
      <c r="F929" s="215"/>
      <c r="G929" s="21"/>
      <c r="H929" s="124"/>
      <c r="I929" s="21"/>
      <c r="J929" s="24"/>
      <c r="K929" s="21"/>
      <c r="L929" s="21"/>
      <c r="M929" s="24"/>
      <c r="N929" s="21"/>
      <c r="O929" s="21"/>
      <c r="P929" s="124"/>
      <c r="Q929" s="124"/>
      <c r="R929" s="124"/>
      <c r="S929" s="124"/>
      <c r="T929" s="124"/>
      <c r="U929" s="124"/>
      <c r="V929" s="124"/>
      <c r="W929" s="221"/>
      <c r="X929" s="221"/>
      <c r="Y929" s="221"/>
      <c r="Z929" s="221"/>
      <c r="AA929" s="228"/>
      <c r="AB929" s="228"/>
      <c r="AC929" s="228"/>
      <c r="AD929" s="228"/>
      <c r="AE929" s="228"/>
      <c r="AF929" s="228"/>
      <c r="AG929" s="228"/>
      <c r="AH929" s="228"/>
      <c r="AI929" s="228"/>
      <c r="AJ929" s="228"/>
      <c r="AK929" s="228"/>
      <c r="AL929" s="228"/>
      <c r="AM929" s="228"/>
      <c r="AN929" s="228"/>
      <c r="AO929" s="228"/>
      <c r="AP929" s="228"/>
      <c r="AQ929" s="228"/>
      <c r="AR929" s="228"/>
      <c r="AS929" s="228"/>
      <c r="AT929" s="228"/>
      <c r="AU929" s="228"/>
      <c r="AV929" s="228"/>
      <c r="AW929" s="228"/>
      <c r="AX929" s="228"/>
      <c r="AY929" s="228"/>
      <c r="AZ929" s="228"/>
      <c r="BA929" s="228"/>
      <c r="BB929" s="228"/>
      <c r="BC929" s="228"/>
      <c r="BD929" s="228"/>
      <c r="BE929" s="228"/>
      <c r="BF929" s="228"/>
      <c r="BG929" s="228"/>
      <c r="BH929" s="228"/>
      <c r="BI929" s="228"/>
      <c r="BJ929" s="228"/>
      <c r="BK929" s="228"/>
      <c r="BL929" s="228"/>
      <c r="BM929" s="228"/>
      <c r="BN929" s="228"/>
      <c r="BO929" s="228"/>
      <c r="BP929" s="228"/>
      <c r="BQ929" s="228"/>
      <c r="BR929" s="228"/>
      <c r="BS929" s="228"/>
      <c r="BT929" s="228"/>
      <c r="BU929" s="228"/>
      <c r="BV929" s="228"/>
      <c r="BW929" s="228"/>
      <c r="BX929" s="228"/>
      <c r="BY929" s="228"/>
      <c r="BZ929" s="228"/>
      <c r="CA929" s="228"/>
      <c r="CB929" s="228"/>
      <c r="CC929" s="228"/>
      <c r="CD929" s="228"/>
      <c r="CE929" s="228"/>
      <c r="CF929" s="228"/>
      <c r="CG929" s="228"/>
      <c r="CH929" s="228"/>
      <c r="CI929" s="228"/>
      <c r="CJ929" s="228"/>
      <c r="CK929" s="228"/>
      <c r="CL929" s="228"/>
      <c r="CM929" s="228"/>
      <c r="CN929" s="228"/>
      <c r="CO929" s="228"/>
      <c r="CP929" s="228"/>
      <c r="CQ929" s="228"/>
      <c r="CR929" s="228"/>
      <c r="CS929" s="228"/>
      <c r="CT929" s="228"/>
      <c r="CU929" s="228"/>
      <c r="CV929" s="228"/>
      <c r="CW929" s="228"/>
      <c r="CX929" s="228"/>
      <c r="CY929" s="228"/>
      <c r="CZ929" s="228"/>
      <c r="DA929" s="228"/>
      <c r="DB929" s="228"/>
      <c r="DC929" s="228"/>
      <c r="DD929" s="228"/>
      <c r="DE929" s="228"/>
      <c r="DF929" s="228"/>
      <c r="DG929" s="228"/>
      <c r="DH929" s="228"/>
      <c r="DI929" s="228"/>
      <c r="DJ929" s="228"/>
      <c r="DK929" s="228"/>
      <c r="DL929" s="228"/>
      <c r="DM929" s="228"/>
      <c r="DN929" s="228"/>
      <c r="DO929" s="228"/>
      <c r="DP929" s="228"/>
      <c r="DQ929" s="228"/>
      <c r="DR929" s="228"/>
      <c r="DS929" s="228"/>
      <c r="DT929" s="228"/>
      <c r="DU929" s="228"/>
      <c r="DV929" s="228"/>
      <c r="DW929" s="228"/>
      <c r="DX929" s="228"/>
      <c r="DY929" s="228"/>
      <c r="DZ929" s="228"/>
      <c r="EA929" s="228"/>
      <c r="EB929" s="228"/>
      <c r="EC929" s="228"/>
      <c r="ED929" s="228"/>
      <c r="EE929" s="228"/>
      <c r="EF929" s="228"/>
      <c r="EG929" s="228"/>
      <c r="EH929" s="228"/>
      <c r="EI929" s="228"/>
      <c r="EJ929" s="228"/>
      <c r="EK929" s="228"/>
      <c r="EL929" s="228"/>
      <c r="EM929" s="228"/>
      <c r="EN929" s="228"/>
      <c r="EO929" s="228"/>
      <c r="EP929" s="228"/>
      <c r="EQ929" s="228"/>
      <c r="ER929" s="228"/>
      <c r="ES929" s="228"/>
      <c r="ET929" s="228"/>
      <c r="EU929" s="228"/>
      <c r="EV929" s="228"/>
      <c r="EW929" s="228"/>
      <c r="EX929" s="228"/>
      <c r="EY929" s="228"/>
      <c r="EZ929" s="228"/>
      <c r="FA929" s="228"/>
      <c r="FB929" s="228"/>
      <c r="FC929" s="228"/>
      <c r="FD929" s="228"/>
      <c r="FE929" s="228"/>
      <c r="FF929" s="228"/>
      <c r="FG929" s="228"/>
      <c r="FH929" s="228"/>
      <c r="FI929" s="228"/>
      <c r="FJ929" s="228"/>
      <c r="FK929" s="228"/>
      <c r="FL929" s="228"/>
      <c r="FM929" s="228"/>
      <c r="FN929" s="228"/>
      <c r="FO929" s="228"/>
      <c r="FP929" s="228"/>
      <c r="FQ929" s="228"/>
      <c r="FR929" s="228"/>
      <c r="FS929" s="228"/>
      <c r="FT929" s="228"/>
      <c r="FU929" s="228"/>
      <c r="FV929" s="228"/>
      <c r="FW929" s="228"/>
      <c r="FX929" s="228"/>
      <c r="FY929" s="228"/>
      <c r="FZ929" s="228"/>
      <c r="GA929" s="228"/>
      <c r="GB929" s="228"/>
      <c r="GC929" s="228"/>
      <c r="GD929" s="228"/>
      <c r="GE929" s="228"/>
      <c r="GF929" s="228"/>
      <c r="GG929" s="228"/>
      <c r="GH929" s="228"/>
      <c r="GI929" s="228"/>
      <c r="GJ929" s="228"/>
      <c r="GK929" s="228"/>
      <c r="GL929" s="228"/>
      <c r="GM929" s="228"/>
      <c r="GN929" s="228"/>
    </row>
    <row r="930">
      <c r="A930" s="212"/>
      <c r="B930" s="21"/>
      <c r="C930" s="21"/>
      <c r="D930" s="213"/>
      <c r="E930" s="214"/>
      <c r="F930" s="215"/>
      <c r="G930" s="21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>
      <c r="A931" s="212"/>
      <c r="B931" s="21"/>
      <c r="C931" s="21"/>
      <c r="D931" s="213"/>
      <c r="E931" s="214"/>
      <c r="F931" s="215"/>
      <c r="G931" s="21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>
      <c r="A932" s="212"/>
      <c r="B932" s="21"/>
      <c r="C932" s="21"/>
      <c r="D932" s="213"/>
      <c r="E932" s="214"/>
      <c r="F932" s="215"/>
      <c r="G932" s="21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>
      <c r="A933" s="212"/>
      <c r="B933" s="21"/>
      <c r="C933" s="21"/>
      <c r="D933" s="213"/>
      <c r="E933" s="214"/>
      <c r="F933" s="215"/>
      <c r="G933" s="21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>
      <c r="A934" s="212"/>
      <c r="B934" s="21"/>
      <c r="C934" s="21"/>
      <c r="D934" s="213"/>
      <c r="E934" s="214"/>
      <c r="F934" s="215"/>
      <c r="G934" s="21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>
      <c r="A935" s="212"/>
      <c r="B935" s="21"/>
      <c r="C935" s="21"/>
      <c r="D935" s="213"/>
      <c r="E935" s="214"/>
      <c r="F935" s="215"/>
      <c r="G935" s="21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>
      <c r="A936" s="212"/>
      <c r="B936" s="21"/>
      <c r="C936" s="21"/>
      <c r="D936" s="213"/>
      <c r="E936" s="214"/>
      <c r="F936" s="215"/>
      <c r="G936" s="21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>
      <c r="A937" s="212"/>
      <c r="B937" s="21"/>
      <c r="C937" s="21"/>
      <c r="D937" s="213"/>
      <c r="E937" s="214"/>
      <c r="F937" s="215"/>
      <c r="G937" s="21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>
      <c r="A938" s="212"/>
      <c r="B938" s="21"/>
      <c r="C938" s="21"/>
      <c r="D938" s="213"/>
      <c r="E938" s="214"/>
      <c r="F938" s="215"/>
      <c r="G938" s="21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>
      <c r="A939" s="212"/>
      <c r="B939" s="21"/>
      <c r="C939" s="21"/>
      <c r="D939" s="213"/>
      <c r="E939" s="214"/>
      <c r="F939" s="215"/>
      <c r="G939" s="21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>
      <c r="A940" s="212"/>
      <c r="B940" s="21"/>
      <c r="C940" s="21"/>
      <c r="D940" s="213"/>
      <c r="E940" s="214"/>
      <c r="F940" s="215"/>
      <c r="G940" s="21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>
      <c r="A941" s="212"/>
      <c r="B941" s="21"/>
      <c r="C941" s="21"/>
      <c r="D941" s="213"/>
      <c r="E941" s="214"/>
      <c r="F941" s="215"/>
      <c r="G941" s="21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>
      <c r="A942" s="212"/>
      <c r="B942" s="21"/>
      <c r="C942" s="21"/>
      <c r="D942" s="213"/>
      <c r="E942" s="214"/>
      <c r="F942" s="215"/>
      <c r="G942" s="21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>
      <c r="A943" s="212"/>
      <c r="B943" s="21"/>
      <c r="C943" s="21"/>
      <c r="D943" s="213"/>
      <c r="E943" s="214"/>
      <c r="F943" s="215"/>
      <c r="G943" s="21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>
      <c r="A944" s="212"/>
      <c r="B944" s="21"/>
      <c r="C944" s="21"/>
      <c r="D944" s="213"/>
      <c r="E944" s="214"/>
      <c r="F944" s="215"/>
      <c r="G944" s="21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>
      <c r="A945" s="212"/>
      <c r="B945" s="21"/>
      <c r="C945" s="21"/>
      <c r="D945" s="213"/>
      <c r="E945" s="214"/>
      <c r="F945" s="215"/>
      <c r="G945" s="21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>
      <c r="A946" s="212"/>
      <c r="B946" s="21"/>
      <c r="C946" s="21"/>
      <c r="D946" s="213"/>
      <c r="E946" s="214"/>
      <c r="F946" s="215"/>
      <c r="G946" s="21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>
      <c r="A947" s="212"/>
      <c r="B947" s="21"/>
      <c r="C947" s="21"/>
      <c r="D947" s="213"/>
      <c r="E947" s="214"/>
      <c r="F947" s="215"/>
      <c r="G947" s="21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>
      <c r="A948" s="212"/>
      <c r="B948" s="21"/>
      <c r="C948" s="21"/>
      <c r="D948" s="213"/>
      <c r="E948" s="214"/>
      <c r="F948" s="215"/>
      <c r="G948" s="21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>
      <c r="A949" s="212"/>
      <c r="B949" s="21"/>
      <c r="C949" s="21"/>
      <c r="D949" s="213"/>
      <c r="E949" s="214"/>
      <c r="F949" s="215"/>
      <c r="G949" s="21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>
      <c r="A950" s="212"/>
      <c r="B950" s="21"/>
      <c r="C950" s="21"/>
      <c r="D950" s="213"/>
      <c r="E950" s="214"/>
      <c r="F950" s="215"/>
      <c r="G950" s="21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>
      <c r="A951" s="212"/>
      <c r="B951" s="21"/>
      <c r="C951" s="21"/>
      <c r="D951" s="213"/>
      <c r="E951" s="214"/>
      <c r="F951" s="215"/>
      <c r="G951" s="21"/>
      <c r="H951" s="110"/>
      <c r="I951" s="21"/>
      <c r="J951" s="24"/>
      <c r="K951" s="21"/>
      <c r="L951" s="21"/>
      <c r="M951" s="24"/>
      <c r="N951" s="21"/>
      <c r="O951" s="21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>
      <c r="A952" s="212"/>
      <c r="B952" s="21"/>
      <c r="C952" s="21"/>
      <c r="D952" s="213"/>
      <c r="E952" s="214"/>
      <c r="F952" s="215"/>
      <c r="G952" s="21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>
      <c r="A953" s="212"/>
      <c r="B953" s="21"/>
      <c r="C953" s="21"/>
      <c r="D953" s="213"/>
      <c r="E953" s="214"/>
      <c r="F953" s="215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>
      <c r="A954" s="212"/>
      <c r="B954" s="21"/>
      <c r="C954" s="21"/>
      <c r="D954" s="213"/>
      <c r="E954" s="214"/>
      <c r="F954" s="215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>
      <c r="A955" s="212"/>
      <c r="B955" s="21"/>
      <c r="C955" s="21"/>
      <c r="D955" s="213"/>
      <c r="E955" s="214"/>
      <c r="F955" s="215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>
      <c r="A956" s="212"/>
      <c r="B956" s="21"/>
      <c r="C956" s="21"/>
      <c r="D956" s="213"/>
      <c r="E956" s="214"/>
      <c r="F956" s="215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>
      <c r="A957" s="212"/>
      <c r="B957" s="21"/>
      <c r="C957" s="21"/>
      <c r="D957" s="213"/>
      <c r="E957" s="214"/>
      <c r="F957" s="215"/>
      <c r="G957" s="162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  <c r="AA957" s="226"/>
      <c r="AB957" s="226"/>
      <c r="AC957" s="226"/>
      <c r="AD957" s="226"/>
      <c r="AE957" s="226"/>
      <c r="AF957" s="226"/>
      <c r="AG957" s="226"/>
      <c r="AH957" s="226"/>
      <c r="AI957" s="226"/>
      <c r="AJ957" s="226"/>
      <c r="AK957" s="226"/>
      <c r="AL957" s="226"/>
      <c r="AM957" s="226"/>
      <c r="AN957" s="226"/>
      <c r="AO957" s="226"/>
      <c r="AP957" s="226"/>
      <c r="AQ957" s="226"/>
      <c r="AR957" s="226"/>
      <c r="AS957" s="226"/>
      <c r="AT957" s="226"/>
      <c r="AU957" s="226"/>
      <c r="AV957" s="226"/>
      <c r="AW957" s="226"/>
      <c r="AX957" s="226"/>
      <c r="AY957" s="226"/>
      <c r="AZ957" s="226"/>
      <c r="BA957" s="226"/>
      <c r="BB957" s="226"/>
      <c r="BC957" s="226"/>
      <c r="BD957" s="226"/>
      <c r="BE957" s="226"/>
      <c r="BF957" s="226"/>
      <c r="BG957" s="226"/>
      <c r="BH957" s="226"/>
      <c r="BI957" s="226"/>
      <c r="BJ957" s="226"/>
      <c r="BK957" s="226"/>
      <c r="BL957" s="226"/>
      <c r="BM957" s="226"/>
      <c r="BN957" s="226"/>
      <c r="BO957" s="226"/>
      <c r="BP957" s="226"/>
      <c r="BQ957" s="226"/>
      <c r="BR957" s="226"/>
      <c r="BS957" s="226"/>
      <c r="BT957" s="226"/>
      <c r="BU957" s="226"/>
      <c r="BV957" s="226"/>
      <c r="BW957" s="226"/>
      <c r="BX957" s="226"/>
      <c r="BY957" s="226"/>
      <c r="BZ957" s="226"/>
      <c r="CA957" s="226"/>
      <c r="CB957" s="226"/>
      <c r="CC957" s="226"/>
      <c r="CD957" s="226"/>
      <c r="CE957" s="226"/>
      <c r="CF957" s="226"/>
      <c r="CG957" s="226"/>
      <c r="CH957" s="226"/>
      <c r="CI957" s="226"/>
      <c r="CJ957" s="226"/>
      <c r="CK957" s="226"/>
      <c r="CL957" s="226"/>
      <c r="CM957" s="226"/>
      <c r="CN957" s="226"/>
      <c r="CO957" s="226"/>
      <c r="CP957" s="226"/>
      <c r="CQ957" s="226"/>
      <c r="CR957" s="226"/>
      <c r="CS957" s="226"/>
      <c r="CT957" s="226"/>
      <c r="CU957" s="226"/>
      <c r="CV957" s="226"/>
      <c r="CW957" s="226"/>
      <c r="CX957" s="226"/>
      <c r="CY957" s="226"/>
      <c r="CZ957" s="226"/>
      <c r="DA957" s="226"/>
      <c r="DB957" s="226"/>
      <c r="DC957" s="226"/>
      <c r="DD957" s="226"/>
      <c r="DE957" s="226"/>
      <c r="DF957" s="226"/>
      <c r="DG957" s="226"/>
      <c r="DH957" s="226"/>
      <c r="DI957" s="226"/>
      <c r="DJ957" s="226"/>
      <c r="DK957" s="226"/>
      <c r="DL957" s="226"/>
      <c r="DM957" s="226"/>
      <c r="DN957" s="226"/>
      <c r="DO957" s="226"/>
      <c r="DP957" s="226"/>
      <c r="DQ957" s="226"/>
      <c r="DR957" s="226"/>
      <c r="DS957" s="226"/>
      <c r="DT957" s="226"/>
      <c r="DU957" s="226"/>
      <c r="DV957" s="226"/>
      <c r="DW957" s="226"/>
      <c r="DX957" s="226"/>
      <c r="DY957" s="226"/>
      <c r="DZ957" s="226"/>
      <c r="EA957" s="226"/>
      <c r="EB957" s="226"/>
      <c r="EC957" s="226"/>
      <c r="ED957" s="226"/>
      <c r="EE957" s="226"/>
      <c r="EF957" s="226"/>
      <c r="EG957" s="226"/>
      <c r="EH957" s="226"/>
      <c r="EI957" s="226"/>
      <c r="EJ957" s="226"/>
      <c r="EK957" s="226"/>
      <c r="EL957" s="226"/>
      <c r="EM957" s="226"/>
      <c r="EN957" s="226"/>
      <c r="EO957" s="226"/>
      <c r="EP957" s="226"/>
      <c r="EQ957" s="226"/>
      <c r="ER957" s="226"/>
      <c r="ES957" s="226"/>
      <c r="ET957" s="226"/>
      <c r="EU957" s="226"/>
      <c r="EV957" s="226"/>
      <c r="EW957" s="226"/>
      <c r="EX957" s="226"/>
      <c r="EY957" s="226"/>
      <c r="EZ957" s="226"/>
      <c r="FA957" s="226"/>
      <c r="FB957" s="226"/>
      <c r="FC957" s="226"/>
      <c r="FD957" s="226"/>
      <c r="FE957" s="226"/>
      <c r="FF957" s="226"/>
      <c r="FG957" s="226"/>
      <c r="FH957" s="226"/>
      <c r="FI957" s="226"/>
      <c r="FJ957" s="226"/>
      <c r="FK957" s="226"/>
      <c r="FL957" s="226"/>
      <c r="FM957" s="226"/>
      <c r="FN957" s="226"/>
      <c r="FO957" s="226"/>
      <c r="FP957" s="226"/>
      <c r="FQ957" s="226"/>
      <c r="FR957" s="226"/>
      <c r="FS957" s="226"/>
      <c r="FT957" s="226"/>
      <c r="FU957" s="226"/>
      <c r="FV957" s="226"/>
      <c r="FW957" s="226"/>
      <c r="FX957" s="226"/>
      <c r="FY957" s="226"/>
      <c r="FZ957" s="226"/>
      <c r="GA957" s="226"/>
      <c r="GB957" s="226"/>
      <c r="GC957" s="226"/>
      <c r="GD957" s="226"/>
      <c r="GE957" s="226"/>
      <c r="GF957" s="226"/>
      <c r="GG957" s="226"/>
      <c r="GH957" s="226"/>
      <c r="GI957" s="226"/>
      <c r="GJ957" s="226"/>
      <c r="GK957" s="226"/>
      <c r="GL957" s="226"/>
      <c r="GM957" s="226"/>
      <c r="GN957" s="226"/>
    </row>
    <row r="958">
      <c r="A958" s="212"/>
      <c r="B958" s="21"/>
      <c r="C958" s="21"/>
      <c r="D958" s="213"/>
      <c r="E958" s="214"/>
      <c r="F958" s="215"/>
      <c r="G958" s="21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  <c r="AA958" s="226"/>
      <c r="AB958" s="226"/>
      <c r="AC958" s="226"/>
      <c r="AD958" s="226"/>
      <c r="AE958" s="226"/>
      <c r="AF958" s="226"/>
      <c r="AG958" s="226"/>
      <c r="AH958" s="226"/>
      <c r="AI958" s="226"/>
      <c r="AJ958" s="226"/>
      <c r="AK958" s="226"/>
      <c r="AL958" s="226"/>
      <c r="AM958" s="226"/>
      <c r="AN958" s="226"/>
      <c r="AO958" s="226"/>
      <c r="AP958" s="226"/>
      <c r="AQ958" s="226"/>
      <c r="AR958" s="226"/>
      <c r="AS958" s="226"/>
      <c r="AT958" s="226"/>
      <c r="AU958" s="226"/>
      <c r="AV958" s="226"/>
      <c r="AW958" s="226"/>
      <c r="AX958" s="226"/>
      <c r="AY958" s="226"/>
      <c r="AZ958" s="226"/>
      <c r="BA958" s="226"/>
      <c r="BB958" s="226"/>
      <c r="BC958" s="226"/>
      <c r="BD958" s="226"/>
      <c r="BE958" s="226"/>
      <c r="BF958" s="226"/>
      <c r="BG958" s="226"/>
      <c r="BH958" s="226"/>
      <c r="BI958" s="226"/>
      <c r="BJ958" s="226"/>
      <c r="BK958" s="226"/>
      <c r="BL958" s="226"/>
      <c r="BM958" s="226"/>
      <c r="BN958" s="226"/>
      <c r="BO958" s="226"/>
      <c r="BP958" s="226"/>
      <c r="BQ958" s="226"/>
      <c r="BR958" s="226"/>
      <c r="BS958" s="226"/>
      <c r="BT958" s="226"/>
      <c r="BU958" s="226"/>
      <c r="BV958" s="226"/>
      <c r="BW958" s="226"/>
      <c r="BX958" s="226"/>
      <c r="BY958" s="226"/>
      <c r="BZ958" s="226"/>
      <c r="CA958" s="226"/>
      <c r="CB958" s="226"/>
      <c r="CC958" s="226"/>
      <c r="CD958" s="226"/>
      <c r="CE958" s="226"/>
      <c r="CF958" s="226"/>
      <c r="CG958" s="226"/>
      <c r="CH958" s="226"/>
      <c r="CI958" s="226"/>
      <c r="CJ958" s="226"/>
      <c r="CK958" s="226"/>
      <c r="CL958" s="226"/>
      <c r="CM958" s="226"/>
      <c r="CN958" s="226"/>
      <c r="CO958" s="226"/>
      <c r="CP958" s="226"/>
      <c r="CQ958" s="226"/>
      <c r="CR958" s="226"/>
      <c r="CS958" s="226"/>
      <c r="CT958" s="226"/>
      <c r="CU958" s="226"/>
      <c r="CV958" s="226"/>
      <c r="CW958" s="226"/>
      <c r="CX958" s="226"/>
      <c r="CY958" s="226"/>
      <c r="CZ958" s="226"/>
      <c r="DA958" s="226"/>
      <c r="DB958" s="226"/>
      <c r="DC958" s="226"/>
      <c r="DD958" s="226"/>
      <c r="DE958" s="226"/>
      <c r="DF958" s="226"/>
      <c r="DG958" s="226"/>
      <c r="DH958" s="226"/>
      <c r="DI958" s="226"/>
      <c r="DJ958" s="226"/>
      <c r="DK958" s="226"/>
      <c r="DL958" s="226"/>
      <c r="DM958" s="226"/>
      <c r="DN958" s="226"/>
      <c r="DO958" s="226"/>
      <c r="DP958" s="226"/>
      <c r="DQ958" s="226"/>
      <c r="DR958" s="226"/>
      <c r="DS958" s="226"/>
      <c r="DT958" s="226"/>
      <c r="DU958" s="226"/>
      <c r="DV958" s="226"/>
      <c r="DW958" s="226"/>
      <c r="DX958" s="226"/>
      <c r="DY958" s="226"/>
      <c r="DZ958" s="226"/>
      <c r="EA958" s="226"/>
      <c r="EB958" s="226"/>
      <c r="EC958" s="226"/>
      <c r="ED958" s="226"/>
      <c r="EE958" s="226"/>
      <c r="EF958" s="226"/>
      <c r="EG958" s="226"/>
      <c r="EH958" s="226"/>
      <c r="EI958" s="226"/>
      <c r="EJ958" s="226"/>
      <c r="EK958" s="226"/>
      <c r="EL958" s="226"/>
      <c r="EM958" s="226"/>
      <c r="EN958" s="226"/>
      <c r="EO958" s="226"/>
      <c r="EP958" s="226"/>
      <c r="EQ958" s="226"/>
      <c r="ER958" s="226"/>
      <c r="ES958" s="226"/>
      <c r="ET958" s="226"/>
      <c r="EU958" s="226"/>
      <c r="EV958" s="226"/>
      <c r="EW958" s="226"/>
      <c r="EX958" s="226"/>
      <c r="EY958" s="226"/>
      <c r="EZ958" s="226"/>
      <c r="FA958" s="226"/>
      <c r="FB958" s="226"/>
      <c r="FC958" s="226"/>
      <c r="FD958" s="226"/>
      <c r="FE958" s="226"/>
      <c r="FF958" s="226"/>
      <c r="FG958" s="226"/>
      <c r="FH958" s="226"/>
      <c r="FI958" s="226"/>
      <c r="FJ958" s="226"/>
      <c r="FK958" s="226"/>
      <c r="FL958" s="226"/>
      <c r="FM958" s="226"/>
      <c r="FN958" s="226"/>
      <c r="FO958" s="226"/>
      <c r="FP958" s="226"/>
      <c r="FQ958" s="226"/>
      <c r="FR958" s="226"/>
      <c r="FS958" s="226"/>
      <c r="FT958" s="226"/>
      <c r="FU958" s="226"/>
      <c r="FV958" s="226"/>
      <c r="FW958" s="226"/>
      <c r="FX958" s="226"/>
      <c r="FY958" s="226"/>
      <c r="FZ958" s="226"/>
      <c r="GA958" s="226"/>
      <c r="GB958" s="226"/>
      <c r="GC958" s="226"/>
      <c r="GD958" s="226"/>
      <c r="GE958" s="226"/>
      <c r="GF958" s="226"/>
      <c r="GG958" s="226"/>
      <c r="GH958" s="226"/>
      <c r="GI958" s="226"/>
      <c r="GJ958" s="226"/>
      <c r="GK958" s="226"/>
      <c r="GL958" s="226"/>
      <c r="GM958" s="226"/>
      <c r="GN958" s="226"/>
    </row>
    <row r="959">
      <c r="A959" s="212"/>
      <c r="B959" s="21"/>
      <c r="C959" s="21"/>
      <c r="D959" s="213"/>
      <c r="E959" s="214"/>
      <c r="F959" s="215"/>
      <c r="G959" s="21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  <c r="AA959" s="226"/>
      <c r="AB959" s="226"/>
      <c r="AC959" s="226"/>
      <c r="AD959" s="226"/>
      <c r="AE959" s="226"/>
      <c r="AF959" s="226"/>
      <c r="AG959" s="226"/>
      <c r="AH959" s="226"/>
      <c r="AI959" s="226"/>
      <c r="AJ959" s="226"/>
      <c r="AK959" s="226"/>
      <c r="AL959" s="226"/>
      <c r="AM959" s="226"/>
      <c r="AN959" s="226"/>
      <c r="AO959" s="226"/>
      <c r="AP959" s="226"/>
      <c r="AQ959" s="226"/>
      <c r="AR959" s="226"/>
      <c r="AS959" s="226"/>
      <c r="AT959" s="226"/>
      <c r="AU959" s="226"/>
      <c r="AV959" s="226"/>
      <c r="AW959" s="226"/>
      <c r="AX959" s="226"/>
      <c r="AY959" s="226"/>
      <c r="AZ959" s="226"/>
      <c r="BA959" s="226"/>
      <c r="BB959" s="226"/>
      <c r="BC959" s="226"/>
      <c r="BD959" s="226"/>
      <c r="BE959" s="226"/>
      <c r="BF959" s="226"/>
      <c r="BG959" s="226"/>
      <c r="BH959" s="226"/>
      <c r="BI959" s="226"/>
      <c r="BJ959" s="226"/>
      <c r="BK959" s="226"/>
      <c r="BL959" s="226"/>
      <c r="BM959" s="226"/>
      <c r="BN959" s="226"/>
      <c r="BO959" s="226"/>
      <c r="BP959" s="226"/>
      <c r="BQ959" s="226"/>
      <c r="BR959" s="226"/>
      <c r="BS959" s="226"/>
      <c r="BT959" s="226"/>
      <c r="BU959" s="226"/>
      <c r="BV959" s="226"/>
      <c r="BW959" s="226"/>
      <c r="BX959" s="226"/>
      <c r="BY959" s="226"/>
      <c r="BZ959" s="226"/>
      <c r="CA959" s="226"/>
      <c r="CB959" s="226"/>
      <c r="CC959" s="226"/>
      <c r="CD959" s="226"/>
      <c r="CE959" s="226"/>
      <c r="CF959" s="226"/>
      <c r="CG959" s="226"/>
      <c r="CH959" s="226"/>
      <c r="CI959" s="226"/>
      <c r="CJ959" s="226"/>
      <c r="CK959" s="226"/>
      <c r="CL959" s="226"/>
      <c r="CM959" s="226"/>
      <c r="CN959" s="226"/>
      <c r="CO959" s="226"/>
      <c r="CP959" s="226"/>
      <c r="CQ959" s="226"/>
      <c r="CR959" s="226"/>
      <c r="CS959" s="226"/>
      <c r="CT959" s="226"/>
      <c r="CU959" s="226"/>
      <c r="CV959" s="226"/>
      <c r="CW959" s="226"/>
      <c r="CX959" s="226"/>
      <c r="CY959" s="226"/>
      <c r="CZ959" s="226"/>
      <c r="DA959" s="226"/>
      <c r="DB959" s="226"/>
      <c r="DC959" s="226"/>
      <c r="DD959" s="226"/>
      <c r="DE959" s="226"/>
      <c r="DF959" s="226"/>
      <c r="DG959" s="226"/>
      <c r="DH959" s="226"/>
      <c r="DI959" s="226"/>
      <c r="DJ959" s="226"/>
      <c r="DK959" s="226"/>
      <c r="DL959" s="226"/>
      <c r="DM959" s="226"/>
      <c r="DN959" s="226"/>
      <c r="DO959" s="226"/>
      <c r="DP959" s="226"/>
      <c r="DQ959" s="226"/>
      <c r="DR959" s="226"/>
      <c r="DS959" s="226"/>
      <c r="DT959" s="226"/>
      <c r="DU959" s="226"/>
      <c r="DV959" s="226"/>
      <c r="DW959" s="226"/>
      <c r="DX959" s="226"/>
      <c r="DY959" s="226"/>
      <c r="DZ959" s="226"/>
      <c r="EA959" s="226"/>
      <c r="EB959" s="226"/>
      <c r="EC959" s="226"/>
      <c r="ED959" s="226"/>
      <c r="EE959" s="226"/>
      <c r="EF959" s="226"/>
      <c r="EG959" s="226"/>
      <c r="EH959" s="226"/>
      <c r="EI959" s="226"/>
      <c r="EJ959" s="226"/>
      <c r="EK959" s="226"/>
      <c r="EL959" s="226"/>
      <c r="EM959" s="226"/>
      <c r="EN959" s="226"/>
      <c r="EO959" s="226"/>
      <c r="EP959" s="226"/>
      <c r="EQ959" s="226"/>
      <c r="ER959" s="226"/>
      <c r="ES959" s="226"/>
      <c r="ET959" s="226"/>
      <c r="EU959" s="226"/>
      <c r="EV959" s="226"/>
      <c r="EW959" s="226"/>
      <c r="EX959" s="226"/>
      <c r="EY959" s="226"/>
      <c r="EZ959" s="226"/>
      <c r="FA959" s="226"/>
      <c r="FB959" s="226"/>
      <c r="FC959" s="226"/>
      <c r="FD959" s="226"/>
      <c r="FE959" s="226"/>
      <c r="FF959" s="226"/>
      <c r="FG959" s="226"/>
      <c r="FH959" s="226"/>
      <c r="FI959" s="226"/>
      <c r="FJ959" s="226"/>
      <c r="FK959" s="226"/>
      <c r="FL959" s="226"/>
      <c r="FM959" s="226"/>
      <c r="FN959" s="226"/>
      <c r="FO959" s="226"/>
      <c r="FP959" s="226"/>
      <c r="FQ959" s="226"/>
      <c r="FR959" s="226"/>
      <c r="FS959" s="226"/>
      <c r="FT959" s="226"/>
      <c r="FU959" s="226"/>
      <c r="FV959" s="226"/>
      <c r="FW959" s="226"/>
      <c r="FX959" s="226"/>
      <c r="FY959" s="226"/>
      <c r="FZ959" s="226"/>
      <c r="GA959" s="226"/>
      <c r="GB959" s="226"/>
      <c r="GC959" s="226"/>
      <c r="GD959" s="226"/>
      <c r="GE959" s="226"/>
      <c r="GF959" s="226"/>
      <c r="GG959" s="226"/>
      <c r="GH959" s="226"/>
      <c r="GI959" s="226"/>
      <c r="GJ959" s="226"/>
      <c r="GK959" s="226"/>
      <c r="GL959" s="226"/>
      <c r="GM959" s="226"/>
      <c r="GN959" s="226"/>
    </row>
    <row r="960">
      <c r="A960" s="212"/>
      <c r="B960" s="21"/>
      <c r="C960" s="21"/>
      <c r="D960" s="213"/>
      <c r="E960" s="214"/>
      <c r="F960" s="215"/>
      <c r="G960" s="21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  <c r="AA960" s="226"/>
      <c r="AB960" s="226"/>
      <c r="AC960" s="226"/>
      <c r="AD960" s="226"/>
      <c r="AE960" s="226"/>
      <c r="AF960" s="226"/>
      <c r="AG960" s="226"/>
      <c r="AH960" s="226"/>
      <c r="AI960" s="226"/>
      <c r="AJ960" s="226"/>
      <c r="AK960" s="226"/>
      <c r="AL960" s="226"/>
      <c r="AM960" s="226"/>
      <c r="AN960" s="226"/>
      <c r="AO960" s="226"/>
      <c r="AP960" s="226"/>
      <c r="AQ960" s="226"/>
      <c r="AR960" s="226"/>
      <c r="AS960" s="226"/>
      <c r="AT960" s="226"/>
      <c r="AU960" s="226"/>
      <c r="AV960" s="226"/>
      <c r="AW960" s="226"/>
      <c r="AX960" s="226"/>
      <c r="AY960" s="226"/>
      <c r="AZ960" s="226"/>
      <c r="BA960" s="226"/>
      <c r="BB960" s="226"/>
      <c r="BC960" s="226"/>
      <c r="BD960" s="226"/>
      <c r="BE960" s="226"/>
      <c r="BF960" s="226"/>
      <c r="BG960" s="226"/>
      <c r="BH960" s="226"/>
      <c r="BI960" s="226"/>
      <c r="BJ960" s="226"/>
      <c r="BK960" s="226"/>
      <c r="BL960" s="226"/>
      <c r="BM960" s="226"/>
      <c r="BN960" s="226"/>
      <c r="BO960" s="226"/>
      <c r="BP960" s="226"/>
      <c r="BQ960" s="226"/>
      <c r="BR960" s="226"/>
      <c r="BS960" s="226"/>
      <c r="BT960" s="226"/>
      <c r="BU960" s="226"/>
      <c r="BV960" s="226"/>
      <c r="BW960" s="226"/>
      <c r="BX960" s="226"/>
      <c r="BY960" s="226"/>
      <c r="BZ960" s="226"/>
      <c r="CA960" s="226"/>
      <c r="CB960" s="226"/>
      <c r="CC960" s="226"/>
      <c r="CD960" s="226"/>
      <c r="CE960" s="226"/>
      <c r="CF960" s="226"/>
      <c r="CG960" s="226"/>
      <c r="CH960" s="226"/>
      <c r="CI960" s="226"/>
      <c r="CJ960" s="226"/>
      <c r="CK960" s="226"/>
      <c r="CL960" s="226"/>
      <c r="CM960" s="226"/>
      <c r="CN960" s="226"/>
      <c r="CO960" s="226"/>
      <c r="CP960" s="226"/>
      <c r="CQ960" s="226"/>
      <c r="CR960" s="226"/>
      <c r="CS960" s="226"/>
      <c r="CT960" s="226"/>
      <c r="CU960" s="226"/>
      <c r="CV960" s="226"/>
      <c r="CW960" s="226"/>
      <c r="CX960" s="226"/>
      <c r="CY960" s="226"/>
      <c r="CZ960" s="226"/>
      <c r="DA960" s="226"/>
      <c r="DB960" s="226"/>
      <c r="DC960" s="226"/>
      <c r="DD960" s="226"/>
      <c r="DE960" s="226"/>
      <c r="DF960" s="226"/>
      <c r="DG960" s="226"/>
      <c r="DH960" s="226"/>
      <c r="DI960" s="226"/>
      <c r="DJ960" s="226"/>
      <c r="DK960" s="226"/>
      <c r="DL960" s="226"/>
      <c r="DM960" s="226"/>
      <c r="DN960" s="226"/>
      <c r="DO960" s="226"/>
      <c r="DP960" s="226"/>
      <c r="DQ960" s="226"/>
      <c r="DR960" s="226"/>
      <c r="DS960" s="226"/>
      <c r="DT960" s="226"/>
      <c r="DU960" s="226"/>
      <c r="DV960" s="226"/>
      <c r="DW960" s="226"/>
      <c r="DX960" s="226"/>
      <c r="DY960" s="226"/>
      <c r="DZ960" s="226"/>
      <c r="EA960" s="226"/>
      <c r="EB960" s="226"/>
      <c r="EC960" s="226"/>
      <c r="ED960" s="226"/>
      <c r="EE960" s="226"/>
      <c r="EF960" s="226"/>
      <c r="EG960" s="226"/>
      <c r="EH960" s="226"/>
      <c r="EI960" s="226"/>
      <c r="EJ960" s="226"/>
      <c r="EK960" s="226"/>
      <c r="EL960" s="226"/>
      <c r="EM960" s="226"/>
      <c r="EN960" s="226"/>
      <c r="EO960" s="226"/>
      <c r="EP960" s="226"/>
      <c r="EQ960" s="226"/>
      <c r="ER960" s="226"/>
      <c r="ES960" s="226"/>
      <c r="ET960" s="226"/>
      <c r="EU960" s="226"/>
      <c r="EV960" s="226"/>
      <c r="EW960" s="226"/>
      <c r="EX960" s="226"/>
      <c r="EY960" s="226"/>
      <c r="EZ960" s="226"/>
      <c r="FA960" s="226"/>
      <c r="FB960" s="226"/>
      <c r="FC960" s="226"/>
      <c r="FD960" s="226"/>
      <c r="FE960" s="226"/>
      <c r="FF960" s="226"/>
      <c r="FG960" s="226"/>
      <c r="FH960" s="226"/>
      <c r="FI960" s="226"/>
      <c r="FJ960" s="226"/>
      <c r="FK960" s="226"/>
      <c r="FL960" s="226"/>
      <c r="FM960" s="226"/>
      <c r="FN960" s="226"/>
      <c r="FO960" s="226"/>
      <c r="FP960" s="226"/>
      <c r="FQ960" s="226"/>
      <c r="FR960" s="226"/>
      <c r="FS960" s="226"/>
      <c r="FT960" s="226"/>
      <c r="FU960" s="226"/>
      <c r="FV960" s="226"/>
      <c r="FW960" s="226"/>
      <c r="FX960" s="226"/>
      <c r="FY960" s="226"/>
      <c r="FZ960" s="226"/>
      <c r="GA960" s="226"/>
      <c r="GB960" s="226"/>
      <c r="GC960" s="226"/>
      <c r="GD960" s="226"/>
      <c r="GE960" s="226"/>
      <c r="GF960" s="226"/>
      <c r="GG960" s="226"/>
      <c r="GH960" s="226"/>
      <c r="GI960" s="226"/>
      <c r="GJ960" s="226"/>
      <c r="GK960" s="226"/>
      <c r="GL960" s="226"/>
      <c r="GM960" s="226"/>
      <c r="GN960" s="226"/>
    </row>
    <row r="961">
      <c r="A961" s="212"/>
      <c r="B961" s="21"/>
      <c r="C961" s="21"/>
      <c r="D961" s="213"/>
      <c r="E961" s="214"/>
      <c r="F961" s="215"/>
      <c r="G961" s="21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  <c r="AA961" s="226"/>
      <c r="AB961" s="226"/>
      <c r="AC961" s="226"/>
      <c r="AD961" s="226"/>
      <c r="AE961" s="226"/>
      <c r="AF961" s="226"/>
      <c r="AG961" s="226"/>
      <c r="AH961" s="226"/>
      <c r="AI961" s="226"/>
      <c r="AJ961" s="226"/>
      <c r="AK961" s="226"/>
      <c r="AL961" s="226"/>
      <c r="AM961" s="226"/>
      <c r="AN961" s="226"/>
      <c r="AO961" s="226"/>
      <c r="AP961" s="226"/>
      <c r="AQ961" s="226"/>
      <c r="AR961" s="226"/>
      <c r="AS961" s="226"/>
      <c r="AT961" s="226"/>
      <c r="AU961" s="226"/>
      <c r="AV961" s="226"/>
      <c r="AW961" s="226"/>
      <c r="AX961" s="226"/>
      <c r="AY961" s="226"/>
      <c r="AZ961" s="226"/>
      <c r="BA961" s="226"/>
      <c r="BB961" s="226"/>
      <c r="BC961" s="226"/>
      <c r="BD961" s="226"/>
      <c r="BE961" s="226"/>
      <c r="BF961" s="226"/>
      <c r="BG961" s="226"/>
      <c r="BH961" s="226"/>
      <c r="BI961" s="226"/>
      <c r="BJ961" s="226"/>
      <c r="BK961" s="226"/>
      <c r="BL961" s="226"/>
      <c r="BM961" s="226"/>
      <c r="BN961" s="226"/>
      <c r="BO961" s="226"/>
      <c r="BP961" s="226"/>
      <c r="BQ961" s="226"/>
      <c r="BR961" s="226"/>
      <c r="BS961" s="226"/>
      <c r="BT961" s="226"/>
      <c r="BU961" s="226"/>
      <c r="BV961" s="226"/>
      <c r="BW961" s="226"/>
      <c r="BX961" s="226"/>
      <c r="BY961" s="226"/>
      <c r="BZ961" s="226"/>
      <c r="CA961" s="226"/>
      <c r="CB961" s="226"/>
      <c r="CC961" s="226"/>
      <c r="CD961" s="226"/>
      <c r="CE961" s="226"/>
      <c r="CF961" s="226"/>
      <c r="CG961" s="226"/>
      <c r="CH961" s="226"/>
      <c r="CI961" s="226"/>
      <c r="CJ961" s="226"/>
      <c r="CK961" s="226"/>
      <c r="CL961" s="226"/>
      <c r="CM961" s="226"/>
      <c r="CN961" s="226"/>
      <c r="CO961" s="226"/>
      <c r="CP961" s="226"/>
      <c r="CQ961" s="226"/>
      <c r="CR961" s="226"/>
      <c r="CS961" s="226"/>
      <c r="CT961" s="226"/>
      <c r="CU961" s="226"/>
      <c r="CV961" s="226"/>
      <c r="CW961" s="226"/>
      <c r="CX961" s="226"/>
      <c r="CY961" s="226"/>
      <c r="CZ961" s="226"/>
      <c r="DA961" s="226"/>
      <c r="DB961" s="226"/>
      <c r="DC961" s="226"/>
      <c r="DD961" s="226"/>
      <c r="DE961" s="226"/>
      <c r="DF961" s="226"/>
      <c r="DG961" s="226"/>
      <c r="DH961" s="226"/>
      <c r="DI961" s="226"/>
      <c r="DJ961" s="226"/>
      <c r="DK961" s="226"/>
      <c r="DL961" s="226"/>
      <c r="DM961" s="226"/>
      <c r="DN961" s="226"/>
      <c r="DO961" s="226"/>
      <c r="DP961" s="226"/>
      <c r="DQ961" s="226"/>
      <c r="DR961" s="226"/>
      <c r="DS961" s="226"/>
      <c r="DT961" s="226"/>
      <c r="DU961" s="226"/>
      <c r="DV961" s="226"/>
      <c r="DW961" s="226"/>
      <c r="DX961" s="226"/>
      <c r="DY961" s="226"/>
      <c r="DZ961" s="226"/>
      <c r="EA961" s="226"/>
      <c r="EB961" s="226"/>
      <c r="EC961" s="226"/>
      <c r="ED961" s="226"/>
      <c r="EE961" s="226"/>
      <c r="EF961" s="226"/>
      <c r="EG961" s="226"/>
      <c r="EH961" s="226"/>
      <c r="EI961" s="226"/>
      <c r="EJ961" s="226"/>
      <c r="EK961" s="226"/>
      <c r="EL961" s="226"/>
      <c r="EM961" s="226"/>
      <c r="EN961" s="226"/>
      <c r="EO961" s="226"/>
      <c r="EP961" s="226"/>
      <c r="EQ961" s="226"/>
      <c r="ER961" s="226"/>
      <c r="ES961" s="226"/>
      <c r="ET961" s="226"/>
      <c r="EU961" s="226"/>
      <c r="EV961" s="226"/>
      <c r="EW961" s="226"/>
      <c r="EX961" s="226"/>
      <c r="EY961" s="226"/>
      <c r="EZ961" s="226"/>
      <c r="FA961" s="226"/>
      <c r="FB961" s="226"/>
      <c r="FC961" s="226"/>
      <c r="FD961" s="226"/>
      <c r="FE961" s="226"/>
      <c r="FF961" s="226"/>
      <c r="FG961" s="226"/>
      <c r="FH961" s="226"/>
      <c r="FI961" s="226"/>
      <c r="FJ961" s="226"/>
      <c r="FK961" s="226"/>
      <c r="FL961" s="226"/>
      <c r="FM961" s="226"/>
      <c r="FN961" s="226"/>
      <c r="FO961" s="226"/>
      <c r="FP961" s="226"/>
      <c r="FQ961" s="226"/>
      <c r="FR961" s="226"/>
      <c r="FS961" s="226"/>
      <c r="FT961" s="226"/>
      <c r="FU961" s="226"/>
      <c r="FV961" s="226"/>
      <c r="FW961" s="226"/>
      <c r="FX961" s="226"/>
      <c r="FY961" s="226"/>
      <c r="FZ961" s="226"/>
      <c r="GA961" s="226"/>
      <c r="GB961" s="226"/>
      <c r="GC961" s="226"/>
      <c r="GD961" s="226"/>
      <c r="GE961" s="226"/>
      <c r="GF961" s="226"/>
      <c r="GG961" s="226"/>
      <c r="GH961" s="226"/>
      <c r="GI961" s="226"/>
      <c r="GJ961" s="226"/>
      <c r="GK961" s="226"/>
      <c r="GL961" s="226"/>
      <c r="GM961" s="226"/>
      <c r="GN961" s="226"/>
    </row>
    <row r="962">
      <c r="A962" s="212"/>
      <c r="B962" s="21"/>
      <c r="C962" s="21"/>
      <c r="D962" s="213"/>
      <c r="E962" s="214"/>
      <c r="F962" s="215"/>
      <c r="G962" s="21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  <c r="AA962" s="226"/>
      <c r="AB962" s="226"/>
      <c r="AC962" s="226"/>
      <c r="AD962" s="226"/>
      <c r="AE962" s="226"/>
      <c r="AF962" s="226"/>
      <c r="AG962" s="226"/>
      <c r="AH962" s="226"/>
      <c r="AI962" s="226"/>
      <c r="AJ962" s="226"/>
      <c r="AK962" s="226"/>
      <c r="AL962" s="226"/>
      <c r="AM962" s="226"/>
      <c r="AN962" s="226"/>
      <c r="AO962" s="226"/>
      <c r="AP962" s="226"/>
      <c r="AQ962" s="226"/>
      <c r="AR962" s="226"/>
      <c r="AS962" s="226"/>
      <c r="AT962" s="226"/>
      <c r="AU962" s="226"/>
      <c r="AV962" s="226"/>
      <c r="AW962" s="226"/>
      <c r="AX962" s="226"/>
      <c r="AY962" s="226"/>
      <c r="AZ962" s="226"/>
      <c r="BA962" s="226"/>
      <c r="BB962" s="226"/>
      <c r="BC962" s="226"/>
      <c r="BD962" s="226"/>
      <c r="BE962" s="226"/>
      <c r="BF962" s="226"/>
      <c r="BG962" s="226"/>
      <c r="BH962" s="226"/>
      <c r="BI962" s="226"/>
      <c r="BJ962" s="226"/>
      <c r="BK962" s="226"/>
      <c r="BL962" s="226"/>
      <c r="BM962" s="226"/>
      <c r="BN962" s="226"/>
      <c r="BO962" s="226"/>
      <c r="BP962" s="226"/>
      <c r="BQ962" s="226"/>
      <c r="BR962" s="226"/>
      <c r="BS962" s="226"/>
      <c r="BT962" s="226"/>
      <c r="BU962" s="226"/>
      <c r="BV962" s="226"/>
      <c r="BW962" s="226"/>
      <c r="BX962" s="226"/>
      <c r="BY962" s="226"/>
      <c r="BZ962" s="226"/>
      <c r="CA962" s="226"/>
      <c r="CB962" s="226"/>
      <c r="CC962" s="226"/>
      <c r="CD962" s="226"/>
      <c r="CE962" s="226"/>
      <c r="CF962" s="226"/>
      <c r="CG962" s="226"/>
      <c r="CH962" s="226"/>
      <c r="CI962" s="226"/>
      <c r="CJ962" s="226"/>
      <c r="CK962" s="226"/>
      <c r="CL962" s="226"/>
      <c r="CM962" s="226"/>
      <c r="CN962" s="226"/>
      <c r="CO962" s="226"/>
      <c r="CP962" s="226"/>
      <c r="CQ962" s="226"/>
      <c r="CR962" s="226"/>
      <c r="CS962" s="226"/>
      <c r="CT962" s="226"/>
      <c r="CU962" s="226"/>
      <c r="CV962" s="226"/>
      <c r="CW962" s="226"/>
      <c r="CX962" s="226"/>
      <c r="CY962" s="226"/>
      <c r="CZ962" s="226"/>
      <c r="DA962" s="226"/>
      <c r="DB962" s="226"/>
      <c r="DC962" s="226"/>
      <c r="DD962" s="226"/>
      <c r="DE962" s="226"/>
      <c r="DF962" s="226"/>
      <c r="DG962" s="226"/>
      <c r="DH962" s="226"/>
      <c r="DI962" s="226"/>
      <c r="DJ962" s="226"/>
      <c r="DK962" s="226"/>
      <c r="DL962" s="226"/>
      <c r="DM962" s="226"/>
      <c r="DN962" s="226"/>
      <c r="DO962" s="226"/>
      <c r="DP962" s="226"/>
      <c r="DQ962" s="226"/>
      <c r="DR962" s="226"/>
      <c r="DS962" s="226"/>
      <c r="DT962" s="226"/>
      <c r="DU962" s="226"/>
      <c r="DV962" s="226"/>
      <c r="DW962" s="226"/>
      <c r="DX962" s="226"/>
      <c r="DY962" s="226"/>
      <c r="DZ962" s="226"/>
      <c r="EA962" s="226"/>
      <c r="EB962" s="226"/>
      <c r="EC962" s="226"/>
      <c r="ED962" s="226"/>
      <c r="EE962" s="226"/>
      <c r="EF962" s="226"/>
      <c r="EG962" s="226"/>
      <c r="EH962" s="226"/>
      <c r="EI962" s="226"/>
      <c r="EJ962" s="226"/>
      <c r="EK962" s="226"/>
      <c r="EL962" s="226"/>
      <c r="EM962" s="226"/>
      <c r="EN962" s="226"/>
      <c r="EO962" s="226"/>
      <c r="EP962" s="226"/>
      <c r="EQ962" s="226"/>
      <c r="ER962" s="226"/>
      <c r="ES962" s="226"/>
      <c r="ET962" s="226"/>
      <c r="EU962" s="226"/>
      <c r="EV962" s="226"/>
      <c r="EW962" s="226"/>
      <c r="EX962" s="226"/>
      <c r="EY962" s="226"/>
      <c r="EZ962" s="226"/>
      <c r="FA962" s="226"/>
      <c r="FB962" s="226"/>
      <c r="FC962" s="226"/>
      <c r="FD962" s="226"/>
      <c r="FE962" s="226"/>
      <c r="FF962" s="226"/>
      <c r="FG962" s="226"/>
      <c r="FH962" s="226"/>
      <c r="FI962" s="226"/>
      <c r="FJ962" s="226"/>
      <c r="FK962" s="226"/>
      <c r="FL962" s="226"/>
      <c r="FM962" s="226"/>
      <c r="FN962" s="226"/>
      <c r="FO962" s="226"/>
      <c r="FP962" s="226"/>
      <c r="FQ962" s="226"/>
      <c r="FR962" s="226"/>
      <c r="FS962" s="226"/>
      <c r="FT962" s="226"/>
      <c r="FU962" s="226"/>
      <c r="FV962" s="226"/>
      <c r="FW962" s="226"/>
      <c r="FX962" s="226"/>
      <c r="FY962" s="226"/>
      <c r="FZ962" s="226"/>
      <c r="GA962" s="226"/>
      <c r="GB962" s="226"/>
      <c r="GC962" s="226"/>
      <c r="GD962" s="226"/>
      <c r="GE962" s="226"/>
      <c r="GF962" s="226"/>
      <c r="GG962" s="226"/>
      <c r="GH962" s="226"/>
      <c r="GI962" s="226"/>
      <c r="GJ962" s="226"/>
      <c r="GK962" s="226"/>
      <c r="GL962" s="226"/>
      <c r="GM962" s="226"/>
      <c r="GN962" s="226"/>
    </row>
    <row r="963">
      <c r="A963" s="212"/>
      <c r="B963" s="21"/>
      <c r="C963" s="21"/>
      <c r="D963" s="213"/>
      <c r="E963" s="214"/>
      <c r="F963" s="215"/>
      <c r="G963" s="21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  <c r="AA963" s="226"/>
      <c r="AB963" s="226"/>
      <c r="AC963" s="226"/>
      <c r="AD963" s="226"/>
      <c r="AE963" s="226"/>
      <c r="AF963" s="226"/>
      <c r="AG963" s="226"/>
      <c r="AH963" s="226"/>
      <c r="AI963" s="226"/>
      <c r="AJ963" s="226"/>
      <c r="AK963" s="226"/>
      <c r="AL963" s="226"/>
      <c r="AM963" s="226"/>
      <c r="AN963" s="226"/>
      <c r="AO963" s="226"/>
      <c r="AP963" s="226"/>
      <c r="AQ963" s="226"/>
      <c r="AR963" s="226"/>
      <c r="AS963" s="226"/>
      <c r="AT963" s="226"/>
      <c r="AU963" s="226"/>
      <c r="AV963" s="226"/>
      <c r="AW963" s="226"/>
      <c r="AX963" s="226"/>
      <c r="AY963" s="226"/>
      <c r="AZ963" s="226"/>
      <c r="BA963" s="226"/>
      <c r="BB963" s="226"/>
      <c r="BC963" s="226"/>
      <c r="BD963" s="226"/>
      <c r="BE963" s="226"/>
      <c r="BF963" s="226"/>
      <c r="BG963" s="226"/>
      <c r="BH963" s="226"/>
      <c r="BI963" s="226"/>
      <c r="BJ963" s="226"/>
      <c r="BK963" s="226"/>
      <c r="BL963" s="226"/>
      <c r="BM963" s="226"/>
      <c r="BN963" s="226"/>
      <c r="BO963" s="226"/>
      <c r="BP963" s="226"/>
      <c r="BQ963" s="226"/>
      <c r="BR963" s="226"/>
      <c r="BS963" s="226"/>
      <c r="BT963" s="226"/>
      <c r="BU963" s="226"/>
      <c r="BV963" s="226"/>
      <c r="BW963" s="226"/>
      <c r="BX963" s="226"/>
      <c r="BY963" s="226"/>
      <c r="BZ963" s="226"/>
      <c r="CA963" s="226"/>
      <c r="CB963" s="226"/>
      <c r="CC963" s="226"/>
      <c r="CD963" s="226"/>
      <c r="CE963" s="226"/>
      <c r="CF963" s="226"/>
      <c r="CG963" s="226"/>
      <c r="CH963" s="226"/>
      <c r="CI963" s="226"/>
      <c r="CJ963" s="226"/>
      <c r="CK963" s="226"/>
      <c r="CL963" s="226"/>
      <c r="CM963" s="226"/>
      <c r="CN963" s="226"/>
      <c r="CO963" s="226"/>
      <c r="CP963" s="226"/>
      <c r="CQ963" s="226"/>
      <c r="CR963" s="226"/>
      <c r="CS963" s="226"/>
      <c r="CT963" s="226"/>
      <c r="CU963" s="226"/>
      <c r="CV963" s="226"/>
      <c r="CW963" s="226"/>
      <c r="CX963" s="226"/>
      <c r="CY963" s="226"/>
      <c r="CZ963" s="226"/>
      <c r="DA963" s="226"/>
      <c r="DB963" s="226"/>
      <c r="DC963" s="226"/>
      <c r="DD963" s="226"/>
      <c r="DE963" s="226"/>
      <c r="DF963" s="226"/>
      <c r="DG963" s="226"/>
      <c r="DH963" s="226"/>
      <c r="DI963" s="226"/>
      <c r="DJ963" s="226"/>
      <c r="DK963" s="226"/>
      <c r="DL963" s="226"/>
      <c r="DM963" s="226"/>
      <c r="DN963" s="226"/>
      <c r="DO963" s="226"/>
      <c r="DP963" s="226"/>
      <c r="DQ963" s="226"/>
      <c r="DR963" s="226"/>
      <c r="DS963" s="226"/>
      <c r="DT963" s="226"/>
      <c r="DU963" s="226"/>
      <c r="DV963" s="226"/>
      <c r="DW963" s="226"/>
      <c r="DX963" s="226"/>
      <c r="DY963" s="226"/>
      <c r="DZ963" s="226"/>
      <c r="EA963" s="226"/>
      <c r="EB963" s="226"/>
      <c r="EC963" s="226"/>
      <c r="ED963" s="226"/>
      <c r="EE963" s="226"/>
      <c r="EF963" s="226"/>
      <c r="EG963" s="226"/>
      <c r="EH963" s="226"/>
      <c r="EI963" s="226"/>
      <c r="EJ963" s="226"/>
      <c r="EK963" s="226"/>
      <c r="EL963" s="226"/>
      <c r="EM963" s="226"/>
      <c r="EN963" s="226"/>
      <c r="EO963" s="226"/>
      <c r="EP963" s="226"/>
      <c r="EQ963" s="226"/>
      <c r="ER963" s="226"/>
      <c r="ES963" s="226"/>
      <c r="ET963" s="226"/>
      <c r="EU963" s="226"/>
      <c r="EV963" s="226"/>
      <c r="EW963" s="226"/>
      <c r="EX963" s="226"/>
      <c r="EY963" s="226"/>
      <c r="EZ963" s="226"/>
      <c r="FA963" s="226"/>
      <c r="FB963" s="226"/>
      <c r="FC963" s="226"/>
      <c r="FD963" s="226"/>
      <c r="FE963" s="226"/>
      <c r="FF963" s="226"/>
      <c r="FG963" s="226"/>
      <c r="FH963" s="226"/>
      <c r="FI963" s="226"/>
      <c r="FJ963" s="226"/>
      <c r="FK963" s="226"/>
      <c r="FL963" s="226"/>
      <c r="FM963" s="226"/>
      <c r="FN963" s="226"/>
      <c r="FO963" s="226"/>
      <c r="FP963" s="226"/>
      <c r="FQ963" s="226"/>
      <c r="FR963" s="226"/>
      <c r="FS963" s="226"/>
      <c r="FT963" s="226"/>
      <c r="FU963" s="226"/>
      <c r="FV963" s="226"/>
      <c r="FW963" s="226"/>
      <c r="FX963" s="226"/>
      <c r="FY963" s="226"/>
      <c r="FZ963" s="226"/>
      <c r="GA963" s="226"/>
      <c r="GB963" s="226"/>
      <c r="GC963" s="226"/>
      <c r="GD963" s="226"/>
      <c r="GE963" s="226"/>
      <c r="GF963" s="226"/>
      <c r="GG963" s="226"/>
      <c r="GH963" s="226"/>
      <c r="GI963" s="226"/>
      <c r="GJ963" s="226"/>
      <c r="GK963" s="226"/>
      <c r="GL963" s="226"/>
      <c r="GM963" s="226"/>
      <c r="GN963" s="226"/>
    </row>
    <row r="964">
      <c r="A964" s="212"/>
      <c r="B964" s="21"/>
      <c r="C964" s="21"/>
      <c r="D964" s="213"/>
      <c r="E964" s="214"/>
      <c r="F964" s="215"/>
      <c r="G964" s="21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  <c r="AA964" s="226"/>
      <c r="AB964" s="226"/>
      <c r="AC964" s="226"/>
      <c r="AD964" s="226"/>
      <c r="AE964" s="226"/>
      <c r="AF964" s="226"/>
      <c r="AG964" s="226"/>
      <c r="AH964" s="226"/>
      <c r="AI964" s="226"/>
      <c r="AJ964" s="226"/>
      <c r="AK964" s="226"/>
      <c r="AL964" s="226"/>
      <c r="AM964" s="226"/>
      <c r="AN964" s="226"/>
      <c r="AO964" s="226"/>
      <c r="AP964" s="226"/>
      <c r="AQ964" s="226"/>
      <c r="AR964" s="226"/>
      <c r="AS964" s="226"/>
      <c r="AT964" s="226"/>
      <c r="AU964" s="226"/>
      <c r="AV964" s="226"/>
      <c r="AW964" s="226"/>
      <c r="AX964" s="226"/>
      <c r="AY964" s="226"/>
      <c r="AZ964" s="226"/>
      <c r="BA964" s="226"/>
      <c r="BB964" s="226"/>
      <c r="BC964" s="226"/>
      <c r="BD964" s="226"/>
      <c r="BE964" s="226"/>
      <c r="BF964" s="226"/>
      <c r="BG964" s="226"/>
      <c r="BH964" s="226"/>
      <c r="BI964" s="226"/>
      <c r="BJ964" s="226"/>
      <c r="BK964" s="226"/>
      <c r="BL964" s="226"/>
      <c r="BM964" s="226"/>
      <c r="BN964" s="226"/>
      <c r="BO964" s="226"/>
      <c r="BP964" s="226"/>
      <c r="BQ964" s="226"/>
      <c r="BR964" s="226"/>
      <c r="BS964" s="226"/>
      <c r="BT964" s="226"/>
      <c r="BU964" s="226"/>
      <c r="BV964" s="226"/>
      <c r="BW964" s="226"/>
      <c r="BX964" s="226"/>
      <c r="BY964" s="226"/>
      <c r="BZ964" s="226"/>
      <c r="CA964" s="226"/>
      <c r="CB964" s="226"/>
      <c r="CC964" s="226"/>
      <c r="CD964" s="226"/>
      <c r="CE964" s="226"/>
      <c r="CF964" s="226"/>
      <c r="CG964" s="226"/>
      <c r="CH964" s="226"/>
      <c r="CI964" s="226"/>
      <c r="CJ964" s="226"/>
      <c r="CK964" s="226"/>
      <c r="CL964" s="226"/>
      <c r="CM964" s="226"/>
      <c r="CN964" s="226"/>
      <c r="CO964" s="226"/>
      <c r="CP964" s="226"/>
      <c r="CQ964" s="226"/>
      <c r="CR964" s="226"/>
      <c r="CS964" s="226"/>
      <c r="CT964" s="226"/>
      <c r="CU964" s="226"/>
      <c r="CV964" s="226"/>
      <c r="CW964" s="226"/>
      <c r="CX964" s="226"/>
      <c r="CY964" s="226"/>
      <c r="CZ964" s="226"/>
      <c r="DA964" s="226"/>
      <c r="DB964" s="226"/>
      <c r="DC964" s="226"/>
      <c r="DD964" s="226"/>
      <c r="DE964" s="226"/>
      <c r="DF964" s="226"/>
      <c r="DG964" s="226"/>
      <c r="DH964" s="226"/>
      <c r="DI964" s="226"/>
      <c r="DJ964" s="226"/>
      <c r="DK964" s="226"/>
      <c r="DL964" s="226"/>
      <c r="DM964" s="226"/>
      <c r="DN964" s="226"/>
      <c r="DO964" s="226"/>
      <c r="DP964" s="226"/>
      <c r="DQ964" s="226"/>
      <c r="DR964" s="226"/>
      <c r="DS964" s="226"/>
      <c r="DT964" s="226"/>
      <c r="DU964" s="226"/>
      <c r="DV964" s="226"/>
      <c r="DW964" s="226"/>
      <c r="DX964" s="226"/>
      <c r="DY964" s="226"/>
      <c r="DZ964" s="226"/>
      <c r="EA964" s="226"/>
      <c r="EB964" s="226"/>
      <c r="EC964" s="226"/>
      <c r="ED964" s="226"/>
      <c r="EE964" s="226"/>
      <c r="EF964" s="226"/>
      <c r="EG964" s="226"/>
      <c r="EH964" s="226"/>
      <c r="EI964" s="226"/>
      <c r="EJ964" s="226"/>
      <c r="EK964" s="226"/>
      <c r="EL964" s="226"/>
      <c r="EM964" s="226"/>
      <c r="EN964" s="226"/>
      <c r="EO964" s="226"/>
      <c r="EP964" s="226"/>
      <c r="EQ964" s="226"/>
      <c r="ER964" s="226"/>
      <c r="ES964" s="226"/>
      <c r="ET964" s="226"/>
      <c r="EU964" s="226"/>
      <c r="EV964" s="226"/>
      <c r="EW964" s="226"/>
      <c r="EX964" s="226"/>
      <c r="EY964" s="226"/>
      <c r="EZ964" s="226"/>
      <c r="FA964" s="226"/>
      <c r="FB964" s="226"/>
      <c r="FC964" s="226"/>
      <c r="FD964" s="226"/>
      <c r="FE964" s="226"/>
      <c r="FF964" s="226"/>
      <c r="FG964" s="226"/>
      <c r="FH964" s="226"/>
      <c r="FI964" s="226"/>
      <c r="FJ964" s="226"/>
      <c r="FK964" s="226"/>
      <c r="FL964" s="226"/>
      <c r="FM964" s="226"/>
      <c r="FN964" s="226"/>
      <c r="FO964" s="226"/>
      <c r="FP964" s="226"/>
      <c r="FQ964" s="226"/>
      <c r="FR964" s="226"/>
      <c r="FS964" s="226"/>
      <c r="FT964" s="226"/>
      <c r="FU964" s="226"/>
      <c r="FV964" s="226"/>
      <c r="FW964" s="226"/>
      <c r="FX964" s="226"/>
      <c r="FY964" s="226"/>
      <c r="FZ964" s="226"/>
      <c r="GA964" s="226"/>
      <c r="GB964" s="226"/>
      <c r="GC964" s="226"/>
      <c r="GD964" s="226"/>
      <c r="GE964" s="226"/>
      <c r="GF964" s="226"/>
      <c r="GG964" s="226"/>
      <c r="GH964" s="226"/>
      <c r="GI964" s="226"/>
      <c r="GJ964" s="226"/>
      <c r="GK964" s="226"/>
      <c r="GL964" s="226"/>
      <c r="GM964" s="226"/>
      <c r="GN964" s="226"/>
    </row>
    <row r="965">
      <c r="A965" s="212"/>
      <c r="B965" s="21"/>
      <c r="C965" s="21"/>
      <c r="D965" s="213"/>
      <c r="E965" s="214"/>
      <c r="F965" s="215"/>
      <c r="G965" s="21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  <c r="AA965" s="226"/>
      <c r="AB965" s="226"/>
      <c r="AC965" s="226"/>
      <c r="AD965" s="226"/>
      <c r="AE965" s="226"/>
      <c r="AF965" s="226"/>
      <c r="AG965" s="226"/>
      <c r="AH965" s="226"/>
      <c r="AI965" s="226"/>
      <c r="AJ965" s="226"/>
      <c r="AK965" s="226"/>
      <c r="AL965" s="226"/>
      <c r="AM965" s="226"/>
      <c r="AN965" s="226"/>
      <c r="AO965" s="226"/>
      <c r="AP965" s="226"/>
      <c r="AQ965" s="226"/>
      <c r="AR965" s="226"/>
      <c r="AS965" s="226"/>
      <c r="AT965" s="226"/>
      <c r="AU965" s="226"/>
      <c r="AV965" s="226"/>
      <c r="AW965" s="226"/>
      <c r="AX965" s="226"/>
      <c r="AY965" s="226"/>
      <c r="AZ965" s="226"/>
      <c r="BA965" s="226"/>
      <c r="BB965" s="226"/>
      <c r="BC965" s="226"/>
      <c r="BD965" s="226"/>
      <c r="BE965" s="226"/>
      <c r="BF965" s="226"/>
      <c r="BG965" s="226"/>
      <c r="BH965" s="226"/>
      <c r="BI965" s="226"/>
      <c r="BJ965" s="226"/>
      <c r="BK965" s="226"/>
      <c r="BL965" s="226"/>
      <c r="BM965" s="226"/>
      <c r="BN965" s="226"/>
      <c r="BO965" s="226"/>
      <c r="BP965" s="226"/>
      <c r="BQ965" s="226"/>
      <c r="BR965" s="226"/>
      <c r="BS965" s="226"/>
      <c r="BT965" s="226"/>
      <c r="BU965" s="226"/>
      <c r="BV965" s="226"/>
      <c r="BW965" s="226"/>
      <c r="BX965" s="226"/>
      <c r="BY965" s="226"/>
      <c r="BZ965" s="226"/>
      <c r="CA965" s="226"/>
      <c r="CB965" s="226"/>
      <c r="CC965" s="226"/>
      <c r="CD965" s="226"/>
      <c r="CE965" s="226"/>
      <c r="CF965" s="226"/>
      <c r="CG965" s="226"/>
      <c r="CH965" s="226"/>
      <c r="CI965" s="226"/>
      <c r="CJ965" s="226"/>
      <c r="CK965" s="226"/>
      <c r="CL965" s="226"/>
      <c r="CM965" s="226"/>
      <c r="CN965" s="226"/>
      <c r="CO965" s="226"/>
      <c r="CP965" s="226"/>
      <c r="CQ965" s="226"/>
      <c r="CR965" s="226"/>
      <c r="CS965" s="226"/>
      <c r="CT965" s="226"/>
      <c r="CU965" s="226"/>
      <c r="CV965" s="226"/>
      <c r="CW965" s="226"/>
      <c r="CX965" s="226"/>
      <c r="CY965" s="226"/>
      <c r="CZ965" s="226"/>
      <c r="DA965" s="226"/>
      <c r="DB965" s="226"/>
      <c r="DC965" s="226"/>
      <c r="DD965" s="226"/>
      <c r="DE965" s="226"/>
      <c r="DF965" s="226"/>
      <c r="DG965" s="226"/>
      <c r="DH965" s="226"/>
      <c r="DI965" s="226"/>
      <c r="DJ965" s="226"/>
      <c r="DK965" s="226"/>
      <c r="DL965" s="226"/>
      <c r="DM965" s="226"/>
      <c r="DN965" s="226"/>
      <c r="DO965" s="226"/>
      <c r="DP965" s="226"/>
      <c r="DQ965" s="226"/>
      <c r="DR965" s="226"/>
      <c r="DS965" s="226"/>
      <c r="DT965" s="226"/>
      <c r="DU965" s="226"/>
      <c r="DV965" s="226"/>
      <c r="DW965" s="226"/>
      <c r="DX965" s="226"/>
      <c r="DY965" s="226"/>
      <c r="DZ965" s="226"/>
      <c r="EA965" s="226"/>
      <c r="EB965" s="226"/>
      <c r="EC965" s="226"/>
      <c r="ED965" s="226"/>
      <c r="EE965" s="226"/>
      <c r="EF965" s="226"/>
      <c r="EG965" s="226"/>
      <c r="EH965" s="226"/>
      <c r="EI965" s="226"/>
      <c r="EJ965" s="226"/>
      <c r="EK965" s="226"/>
      <c r="EL965" s="226"/>
      <c r="EM965" s="226"/>
      <c r="EN965" s="226"/>
      <c r="EO965" s="226"/>
      <c r="EP965" s="226"/>
      <c r="EQ965" s="226"/>
      <c r="ER965" s="226"/>
      <c r="ES965" s="226"/>
      <c r="ET965" s="226"/>
      <c r="EU965" s="226"/>
      <c r="EV965" s="226"/>
      <c r="EW965" s="226"/>
      <c r="EX965" s="226"/>
      <c r="EY965" s="226"/>
      <c r="EZ965" s="226"/>
      <c r="FA965" s="226"/>
      <c r="FB965" s="226"/>
      <c r="FC965" s="226"/>
      <c r="FD965" s="226"/>
      <c r="FE965" s="226"/>
      <c r="FF965" s="226"/>
      <c r="FG965" s="226"/>
      <c r="FH965" s="226"/>
      <c r="FI965" s="226"/>
      <c r="FJ965" s="226"/>
      <c r="FK965" s="226"/>
      <c r="FL965" s="226"/>
      <c r="FM965" s="226"/>
      <c r="FN965" s="226"/>
      <c r="FO965" s="226"/>
      <c r="FP965" s="226"/>
      <c r="FQ965" s="226"/>
      <c r="FR965" s="226"/>
      <c r="FS965" s="226"/>
      <c r="FT965" s="226"/>
      <c r="FU965" s="226"/>
      <c r="FV965" s="226"/>
      <c r="FW965" s="226"/>
      <c r="FX965" s="226"/>
      <c r="FY965" s="226"/>
      <c r="FZ965" s="226"/>
      <c r="GA965" s="226"/>
      <c r="GB965" s="226"/>
      <c r="GC965" s="226"/>
      <c r="GD965" s="226"/>
      <c r="GE965" s="226"/>
      <c r="GF965" s="226"/>
      <c r="GG965" s="226"/>
      <c r="GH965" s="226"/>
      <c r="GI965" s="226"/>
      <c r="GJ965" s="226"/>
      <c r="GK965" s="226"/>
      <c r="GL965" s="226"/>
      <c r="GM965" s="226"/>
      <c r="GN965" s="226"/>
    </row>
    <row r="966">
      <c r="A966" s="212"/>
      <c r="B966" s="21"/>
      <c r="C966" s="21"/>
      <c r="D966" s="213"/>
      <c r="E966" s="214"/>
      <c r="F966" s="215"/>
      <c r="G966" s="21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  <c r="AA966" s="226"/>
      <c r="AB966" s="226"/>
      <c r="AC966" s="226"/>
      <c r="AD966" s="226"/>
      <c r="AE966" s="226"/>
      <c r="AF966" s="226"/>
      <c r="AG966" s="226"/>
      <c r="AH966" s="226"/>
      <c r="AI966" s="226"/>
      <c r="AJ966" s="226"/>
      <c r="AK966" s="226"/>
      <c r="AL966" s="226"/>
      <c r="AM966" s="226"/>
      <c r="AN966" s="226"/>
      <c r="AO966" s="226"/>
      <c r="AP966" s="226"/>
      <c r="AQ966" s="226"/>
      <c r="AR966" s="226"/>
      <c r="AS966" s="226"/>
      <c r="AT966" s="226"/>
      <c r="AU966" s="226"/>
      <c r="AV966" s="226"/>
      <c r="AW966" s="226"/>
      <c r="AX966" s="226"/>
      <c r="AY966" s="226"/>
      <c r="AZ966" s="226"/>
      <c r="BA966" s="226"/>
      <c r="BB966" s="226"/>
      <c r="BC966" s="226"/>
      <c r="BD966" s="226"/>
      <c r="BE966" s="226"/>
      <c r="BF966" s="226"/>
      <c r="BG966" s="226"/>
      <c r="BH966" s="226"/>
      <c r="BI966" s="226"/>
      <c r="BJ966" s="226"/>
      <c r="BK966" s="226"/>
      <c r="BL966" s="226"/>
      <c r="BM966" s="226"/>
      <c r="BN966" s="226"/>
      <c r="BO966" s="226"/>
      <c r="BP966" s="226"/>
      <c r="BQ966" s="226"/>
      <c r="BR966" s="226"/>
      <c r="BS966" s="226"/>
      <c r="BT966" s="226"/>
      <c r="BU966" s="226"/>
      <c r="BV966" s="226"/>
      <c r="BW966" s="226"/>
      <c r="BX966" s="226"/>
      <c r="BY966" s="226"/>
      <c r="BZ966" s="226"/>
      <c r="CA966" s="226"/>
      <c r="CB966" s="226"/>
      <c r="CC966" s="226"/>
      <c r="CD966" s="226"/>
      <c r="CE966" s="226"/>
      <c r="CF966" s="226"/>
      <c r="CG966" s="226"/>
      <c r="CH966" s="226"/>
      <c r="CI966" s="226"/>
      <c r="CJ966" s="226"/>
      <c r="CK966" s="226"/>
      <c r="CL966" s="226"/>
      <c r="CM966" s="226"/>
      <c r="CN966" s="226"/>
      <c r="CO966" s="226"/>
      <c r="CP966" s="226"/>
      <c r="CQ966" s="226"/>
      <c r="CR966" s="226"/>
      <c r="CS966" s="226"/>
      <c r="CT966" s="226"/>
      <c r="CU966" s="226"/>
      <c r="CV966" s="226"/>
      <c r="CW966" s="226"/>
      <c r="CX966" s="226"/>
      <c r="CY966" s="226"/>
      <c r="CZ966" s="226"/>
      <c r="DA966" s="226"/>
      <c r="DB966" s="226"/>
      <c r="DC966" s="226"/>
      <c r="DD966" s="226"/>
      <c r="DE966" s="226"/>
      <c r="DF966" s="226"/>
      <c r="DG966" s="226"/>
      <c r="DH966" s="226"/>
      <c r="DI966" s="226"/>
      <c r="DJ966" s="226"/>
      <c r="DK966" s="226"/>
      <c r="DL966" s="226"/>
      <c r="DM966" s="226"/>
      <c r="DN966" s="226"/>
      <c r="DO966" s="226"/>
      <c r="DP966" s="226"/>
      <c r="DQ966" s="226"/>
      <c r="DR966" s="226"/>
      <c r="DS966" s="226"/>
      <c r="DT966" s="226"/>
      <c r="DU966" s="226"/>
      <c r="DV966" s="226"/>
      <c r="DW966" s="226"/>
      <c r="DX966" s="226"/>
      <c r="DY966" s="226"/>
      <c r="DZ966" s="226"/>
      <c r="EA966" s="226"/>
      <c r="EB966" s="226"/>
      <c r="EC966" s="226"/>
      <c r="ED966" s="226"/>
      <c r="EE966" s="226"/>
      <c r="EF966" s="226"/>
      <c r="EG966" s="226"/>
      <c r="EH966" s="226"/>
      <c r="EI966" s="226"/>
      <c r="EJ966" s="226"/>
      <c r="EK966" s="226"/>
      <c r="EL966" s="226"/>
      <c r="EM966" s="226"/>
      <c r="EN966" s="226"/>
      <c r="EO966" s="226"/>
      <c r="EP966" s="226"/>
      <c r="EQ966" s="226"/>
      <c r="ER966" s="226"/>
      <c r="ES966" s="226"/>
      <c r="ET966" s="226"/>
      <c r="EU966" s="226"/>
      <c r="EV966" s="226"/>
      <c r="EW966" s="226"/>
      <c r="EX966" s="226"/>
      <c r="EY966" s="226"/>
      <c r="EZ966" s="226"/>
      <c r="FA966" s="226"/>
      <c r="FB966" s="226"/>
      <c r="FC966" s="226"/>
      <c r="FD966" s="226"/>
      <c r="FE966" s="226"/>
      <c r="FF966" s="226"/>
      <c r="FG966" s="226"/>
      <c r="FH966" s="226"/>
      <c r="FI966" s="226"/>
      <c r="FJ966" s="226"/>
      <c r="FK966" s="226"/>
      <c r="FL966" s="226"/>
      <c r="FM966" s="226"/>
      <c r="FN966" s="226"/>
      <c r="FO966" s="226"/>
      <c r="FP966" s="226"/>
      <c r="FQ966" s="226"/>
      <c r="FR966" s="226"/>
      <c r="FS966" s="226"/>
      <c r="FT966" s="226"/>
      <c r="FU966" s="226"/>
      <c r="FV966" s="226"/>
      <c r="FW966" s="226"/>
      <c r="FX966" s="226"/>
      <c r="FY966" s="226"/>
      <c r="FZ966" s="226"/>
      <c r="GA966" s="226"/>
      <c r="GB966" s="226"/>
      <c r="GC966" s="226"/>
      <c r="GD966" s="226"/>
      <c r="GE966" s="226"/>
      <c r="GF966" s="226"/>
      <c r="GG966" s="226"/>
      <c r="GH966" s="226"/>
      <c r="GI966" s="226"/>
      <c r="GJ966" s="226"/>
      <c r="GK966" s="226"/>
      <c r="GL966" s="226"/>
      <c r="GM966" s="226"/>
      <c r="GN966" s="226"/>
    </row>
    <row r="967">
      <c r="A967" s="212"/>
      <c r="B967" s="21"/>
      <c r="C967" s="21"/>
      <c r="D967" s="213"/>
      <c r="E967" s="214"/>
      <c r="F967" s="215"/>
      <c r="G967" s="21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  <c r="AA967" s="226"/>
      <c r="AB967" s="226"/>
      <c r="AC967" s="226"/>
      <c r="AD967" s="226"/>
      <c r="AE967" s="226"/>
      <c r="AF967" s="226"/>
      <c r="AG967" s="226"/>
      <c r="AH967" s="226"/>
      <c r="AI967" s="226"/>
      <c r="AJ967" s="226"/>
      <c r="AK967" s="226"/>
      <c r="AL967" s="226"/>
      <c r="AM967" s="226"/>
      <c r="AN967" s="226"/>
      <c r="AO967" s="226"/>
      <c r="AP967" s="226"/>
      <c r="AQ967" s="226"/>
      <c r="AR967" s="226"/>
      <c r="AS967" s="226"/>
      <c r="AT967" s="226"/>
      <c r="AU967" s="226"/>
      <c r="AV967" s="226"/>
      <c r="AW967" s="226"/>
      <c r="AX967" s="226"/>
      <c r="AY967" s="226"/>
      <c r="AZ967" s="226"/>
      <c r="BA967" s="226"/>
      <c r="BB967" s="226"/>
      <c r="BC967" s="226"/>
      <c r="BD967" s="226"/>
      <c r="BE967" s="226"/>
      <c r="BF967" s="226"/>
      <c r="BG967" s="226"/>
      <c r="BH967" s="226"/>
      <c r="BI967" s="226"/>
      <c r="BJ967" s="226"/>
      <c r="BK967" s="226"/>
      <c r="BL967" s="226"/>
      <c r="BM967" s="226"/>
      <c r="BN967" s="226"/>
      <c r="BO967" s="226"/>
      <c r="BP967" s="226"/>
      <c r="BQ967" s="226"/>
      <c r="BR967" s="226"/>
      <c r="BS967" s="226"/>
      <c r="BT967" s="226"/>
      <c r="BU967" s="226"/>
      <c r="BV967" s="226"/>
      <c r="BW967" s="226"/>
      <c r="BX967" s="226"/>
      <c r="BY967" s="226"/>
      <c r="BZ967" s="226"/>
      <c r="CA967" s="226"/>
      <c r="CB967" s="226"/>
      <c r="CC967" s="226"/>
      <c r="CD967" s="226"/>
      <c r="CE967" s="226"/>
      <c r="CF967" s="226"/>
      <c r="CG967" s="226"/>
      <c r="CH967" s="226"/>
      <c r="CI967" s="226"/>
      <c r="CJ967" s="226"/>
      <c r="CK967" s="226"/>
      <c r="CL967" s="226"/>
      <c r="CM967" s="226"/>
      <c r="CN967" s="226"/>
      <c r="CO967" s="226"/>
      <c r="CP967" s="226"/>
      <c r="CQ967" s="226"/>
      <c r="CR967" s="226"/>
      <c r="CS967" s="226"/>
      <c r="CT967" s="226"/>
      <c r="CU967" s="226"/>
      <c r="CV967" s="226"/>
      <c r="CW967" s="226"/>
      <c r="CX967" s="226"/>
      <c r="CY967" s="226"/>
      <c r="CZ967" s="226"/>
      <c r="DA967" s="226"/>
      <c r="DB967" s="226"/>
      <c r="DC967" s="226"/>
      <c r="DD967" s="226"/>
      <c r="DE967" s="226"/>
      <c r="DF967" s="226"/>
      <c r="DG967" s="226"/>
      <c r="DH967" s="226"/>
      <c r="DI967" s="226"/>
      <c r="DJ967" s="226"/>
      <c r="DK967" s="226"/>
      <c r="DL967" s="226"/>
      <c r="DM967" s="226"/>
      <c r="DN967" s="226"/>
      <c r="DO967" s="226"/>
      <c r="DP967" s="226"/>
      <c r="DQ967" s="226"/>
      <c r="DR967" s="226"/>
      <c r="DS967" s="226"/>
      <c r="DT967" s="226"/>
      <c r="DU967" s="226"/>
      <c r="DV967" s="226"/>
      <c r="DW967" s="226"/>
      <c r="DX967" s="226"/>
      <c r="DY967" s="226"/>
      <c r="DZ967" s="226"/>
      <c r="EA967" s="226"/>
      <c r="EB967" s="226"/>
      <c r="EC967" s="226"/>
      <c r="ED967" s="226"/>
      <c r="EE967" s="226"/>
      <c r="EF967" s="226"/>
      <c r="EG967" s="226"/>
      <c r="EH967" s="226"/>
      <c r="EI967" s="226"/>
      <c r="EJ967" s="226"/>
      <c r="EK967" s="226"/>
      <c r="EL967" s="226"/>
      <c r="EM967" s="226"/>
      <c r="EN967" s="226"/>
      <c r="EO967" s="226"/>
      <c r="EP967" s="226"/>
      <c r="EQ967" s="226"/>
      <c r="ER967" s="226"/>
      <c r="ES967" s="226"/>
      <c r="ET967" s="226"/>
      <c r="EU967" s="226"/>
      <c r="EV967" s="226"/>
      <c r="EW967" s="226"/>
      <c r="EX967" s="226"/>
      <c r="EY967" s="226"/>
      <c r="EZ967" s="226"/>
      <c r="FA967" s="226"/>
      <c r="FB967" s="226"/>
      <c r="FC967" s="226"/>
      <c r="FD967" s="226"/>
      <c r="FE967" s="226"/>
      <c r="FF967" s="226"/>
      <c r="FG967" s="226"/>
      <c r="FH967" s="226"/>
      <c r="FI967" s="226"/>
      <c r="FJ967" s="226"/>
      <c r="FK967" s="226"/>
      <c r="FL967" s="226"/>
      <c r="FM967" s="226"/>
      <c r="FN967" s="226"/>
      <c r="FO967" s="226"/>
      <c r="FP967" s="226"/>
      <c r="FQ967" s="226"/>
      <c r="FR967" s="226"/>
      <c r="FS967" s="226"/>
      <c r="FT967" s="226"/>
      <c r="FU967" s="226"/>
      <c r="FV967" s="226"/>
      <c r="FW967" s="226"/>
      <c r="FX967" s="226"/>
      <c r="FY967" s="226"/>
      <c r="FZ967" s="226"/>
      <c r="GA967" s="226"/>
      <c r="GB967" s="226"/>
      <c r="GC967" s="226"/>
      <c r="GD967" s="226"/>
      <c r="GE967" s="226"/>
      <c r="GF967" s="226"/>
      <c r="GG967" s="226"/>
      <c r="GH967" s="226"/>
      <c r="GI967" s="226"/>
      <c r="GJ967" s="226"/>
      <c r="GK967" s="226"/>
      <c r="GL967" s="226"/>
      <c r="GM967" s="226"/>
      <c r="GN967" s="226"/>
    </row>
    <row r="968">
      <c r="A968" s="212"/>
      <c r="B968" s="21"/>
      <c r="C968" s="21"/>
      <c r="D968" s="213"/>
      <c r="E968" s="214"/>
      <c r="F968" s="215"/>
      <c r="G968" s="21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  <c r="AA968" s="226"/>
      <c r="AB968" s="226"/>
      <c r="AC968" s="226"/>
      <c r="AD968" s="226"/>
      <c r="AE968" s="226"/>
      <c r="AF968" s="226"/>
      <c r="AG968" s="226"/>
      <c r="AH968" s="226"/>
      <c r="AI968" s="226"/>
      <c r="AJ968" s="226"/>
      <c r="AK968" s="226"/>
      <c r="AL968" s="226"/>
      <c r="AM968" s="226"/>
      <c r="AN968" s="226"/>
      <c r="AO968" s="226"/>
      <c r="AP968" s="226"/>
      <c r="AQ968" s="226"/>
      <c r="AR968" s="226"/>
      <c r="AS968" s="226"/>
      <c r="AT968" s="226"/>
      <c r="AU968" s="226"/>
      <c r="AV968" s="226"/>
      <c r="AW968" s="226"/>
      <c r="AX968" s="226"/>
      <c r="AY968" s="226"/>
      <c r="AZ968" s="226"/>
      <c r="BA968" s="226"/>
      <c r="BB968" s="226"/>
      <c r="BC968" s="226"/>
      <c r="BD968" s="226"/>
      <c r="BE968" s="226"/>
      <c r="BF968" s="226"/>
      <c r="BG968" s="226"/>
      <c r="BH968" s="226"/>
      <c r="BI968" s="226"/>
      <c r="BJ968" s="226"/>
      <c r="BK968" s="226"/>
      <c r="BL968" s="226"/>
      <c r="BM968" s="226"/>
      <c r="BN968" s="226"/>
      <c r="BO968" s="226"/>
      <c r="BP968" s="226"/>
      <c r="BQ968" s="226"/>
      <c r="BR968" s="226"/>
      <c r="BS968" s="226"/>
      <c r="BT968" s="226"/>
      <c r="BU968" s="226"/>
      <c r="BV968" s="226"/>
      <c r="BW968" s="226"/>
      <c r="BX968" s="226"/>
      <c r="BY968" s="226"/>
      <c r="BZ968" s="226"/>
      <c r="CA968" s="226"/>
      <c r="CB968" s="226"/>
      <c r="CC968" s="226"/>
      <c r="CD968" s="226"/>
      <c r="CE968" s="226"/>
      <c r="CF968" s="226"/>
      <c r="CG968" s="226"/>
      <c r="CH968" s="226"/>
      <c r="CI968" s="226"/>
      <c r="CJ968" s="226"/>
      <c r="CK968" s="226"/>
      <c r="CL968" s="226"/>
      <c r="CM968" s="226"/>
      <c r="CN968" s="226"/>
      <c r="CO968" s="226"/>
      <c r="CP968" s="226"/>
      <c r="CQ968" s="226"/>
      <c r="CR968" s="226"/>
      <c r="CS968" s="226"/>
      <c r="CT968" s="226"/>
      <c r="CU968" s="226"/>
      <c r="CV968" s="226"/>
      <c r="CW968" s="226"/>
      <c r="CX968" s="226"/>
      <c r="CY968" s="226"/>
      <c r="CZ968" s="226"/>
      <c r="DA968" s="226"/>
      <c r="DB968" s="226"/>
      <c r="DC968" s="226"/>
      <c r="DD968" s="226"/>
      <c r="DE968" s="226"/>
      <c r="DF968" s="226"/>
      <c r="DG968" s="226"/>
      <c r="DH968" s="226"/>
      <c r="DI968" s="226"/>
      <c r="DJ968" s="226"/>
      <c r="DK968" s="226"/>
      <c r="DL968" s="226"/>
      <c r="DM968" s="226"/>
      <c r="DN968" s="226"/>
      <c r="DO968" s="226"/>
      <c r="DP968" s="226"/>
      <c r="DQ968" s="226"/>
      <c r="DR968" s="226"/>
      <c r="DS968" s="226"/>
      <c r="DT968" s="226"/>
      <c r="DU968" s="226"/>
      <c r="DV968" s="226"/>
      <c r="DW968" s="226"/>
      <c r="DX968" s="226"/>
      <c r="DY968" s="226"/>
      <c r="DZ968" s="226"/>
      <c r="EA968" s="226"/>
      <c r="EB968" s="226"/>
      <c r="EC968" s="226"/>
      <c r="ED968" s="226"/>
      <c r="EE968" s="226"/>
      <c r="EF968" s="226"/>
      <c r="EG968" s="226"/>
      <c r="EH968" s="226"/>
      <c r="EI968" s="226"/>
      <c r="EJ968" s="226"/>
      <c r="EK968" s="226"/>
      <c r="EL968" s="226"/>
      <c r="EM968" s="226"/>
      <c r="EN968" s="226"/>
      <c r="EO968" s="226"/>
      <c r="EP968" s="226"/>
      <c r="EQ968" s="226"/>
      <c r="ER968" s="226"/>
      <c r="ES968" s="226"/>
      <c r="ET968" s="226"/>
      <c r="EU968" s="226"/>
      <c r="EV968" s="226"/>
      <c r="EW968" s="226"/>
      <c r="EX968" s="226"/>
      <c r="EY968" s="226"/>
      <c r="EZ968" s="226"/>
      <c r="FA968" s="226"/>
      <c r="FB968" s="226"/>
      <c r="FC968" s="226"/>
      <c r="FD968" s="226"/>
      <c r="FE968" s="226"/>
      <c r="FF968" s="226"/>
      <c r="FG968" s="226"/>
      <c r="FH968" s="226"/>
      <c r="FI968" s="226"/>
      <c r="FJ968" s="226"/>
      <c r="FK968" s="226"/>
      <c r="FL968" s="226"/>
      <c r="FM968" s="226"/>
      <c r="FN968" s="226"/>
      <c r="FO968" s="226"/>
      <c r="FP968" s="226"/>
      <c r="FQ968" s="226"/>
      <c r="FR968" s="226"/>
      <c r="FS968" s="226"/>
      <c r="FT968" s="226"/>
      <c r="FU968" s="226"/>
      <c r="FV968" s="226"/>
      <c r="FW968" s="226"/>
      <c r="FX968" s="226"/>
      <c r="FY968" s="226"/>
      <c r="FZ968" s="226"/>
      <c r="GA968" s="226"/>
      <c r="GB968" s="226"/>
      <c r="GC968" s="226"/>
      <c r="GD968" s="226"/>
      <c r="GE968" s="226"/>
      <c r="GF968" s="226"/>
      <c r="GG968" s="226"/>
      <c r="GH968" s="226"/>
      <c r="GI968" s="226"/>
      <c r="GJ968" s="226"/>
      <c r="GK968" s="226"/>
      <c r="GL968" s="226"/>
      <c r="GM968" s="226"/>
      <c r="GN968" s="226"/>
    </row>
    <row r="969">
      <c r="A969" s="212"/>
      <c r="B969" s="21"/>
      <c r="C969" s="21"/>
      <c r="D969" s="213"/>
      <c r="E969" s="214"/>
      <c r="F969" s="215"/>
      <c r="G969" s="21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  <c r="AA969" s="226"/>
      <c r="AB969" s="226"/>
      <c r="AC969" s="226"/>
      <c r="AD969" s="226"/>
      <c r="AE969" s="226"/>
      <c r="AF969" s="226"/>
      <c r="AG969" s="226"/>
      <c r="AH969" s="226"/>
      <c r="AI969" s="226"/>
      <c r="AJ969" s="226"/>
      <c r="AK969" s="226"/>
      <c r="AL969" s="226"/>
      <c r="AM969" s="226"/>
      <c r="AN969" s="226"/>
      <c r="AO969" s="226"/>
      <c r="AP969" s="226"/>
      <c r="AQ969" s="226"/>
      <c r="AR969" s="226"/>
      <c r="AS969" s="226"/>
      <c r="AT969" s="226"/>
      <c r="AU969" s="226"/>
      <c r="AV969" s="226"/>
      <c r="AW969" s="226"/>
      <c r="AX969" s="226"/>
      <c r="AY969" s="226"/>
      <c r="AZ969" s="226"/>
      <c r="BA969" s="226"/>
      <c r="BB969" s="226"/>
      <c r="BC969" s="226"/>
      <c r="BD969" s="226"/>
      <c r="BE969" s="226"/>
      <c r="BF969" s="226"/>
      <c r="BG969" s="226"/>
      <c r="BH969" s="226"/>
      <c r="BI969" s="226"/>
      <c r="BJ969" s="226"/>
      <c r="BK969" s="226"/>
      <c r="BL969" s="226"/>
      <c r="BM969" s="226"/>
      <c r="BN969" s="226"/>
      <c r="BO969" s="226"/>
      <c r="BP969" s="226"/>
      <c r="BQ969" s="226"/>
      <c r="BR969" s="226"/>
      <c r="BS969" s="226"/>
      <c r="BT969" s="226"/>
      <c r="BU969" s="226"/>
      <c r="BV969" s="226"/>
      <c r="BW969" s="226"/>
      <c r="BX969" s="226"/>
      <c r="BY969" s="226"/>
      <c r="BZ969" s="226"/>
      <c r="CA969" s="226"/>
      <c r="CB969" s="226"/>
      <c r="CC969" s="226"/>
      <c r="CD969" s="226"/>
      <c r="CE969" s="226"/>
      <c r="CF969" s="226"/>
      <c r="CG969" s="226"/>
      <c r="CH969" s="226"/>
      <c r="CI969" s="226"/>
      <c r="CJ969" s="226"/>
      <c r="CK969" s="226"/>
      <c r="CL969" s="226"/>
      <c r="CM969" s="226"/>
      <c r="CN969" s="226"/>
      <c r="CO969" s="226"/>
      <c r="CP969" s="226"/>
      <c r="CQ969" s="226"/>
      <c r="CR969" s="226"/>
      <c r="CS969" s="226"/>
      <c r="CT969" s="226"/>
      <c r="CU969" s="226"/>
      <c r="CV969" s="226"/>
      <c r="CW969" s="226"/>
      <c r="CX969" s="226"/>
      <c r="CY969" s="226"/>
      <c r="CZ969" s="226"/>
      <c r="DA969" s="226"/>
      <c r="DB969" s="226"/>
      <c r="DC969" s="226"/>
      <c r="DD969" s="226"/>
      <c r="DE969" s="226"/>
      <c r="DF969" s="226"/>
      <c r="DG969" s="226"/>
      <c r="DH969" s="226"/>
      <c r="DI969" s="226"/>
      <c r="DJ969" s="226"/>
      <c r="DK969" s="226"/>
      <c r="DL969" s="226"/>
      <c r="DM969" s="226"/>
      <c r="DN969" s="226"/>
      <c r="DO969" s="226"/>
      <c r="DP969" s="226"/>
      <c r="DQ969" s="226"/>
      <c r="DR969" s="226"/>
      <c r="DS969" s="226"/>
      <c r="DT969" s="226"/>
      <c r="DU969" s="226"/>
      <c r="DV969" s="226"/>
      <c r="DW969" s="226"/>
      <c r="DX969" s="226"/>
      <c r="DY969" s="226"/>
      <c r="DZ969" s="226"/>
      <c r="EA969" s="226"/>
      <c r="EB969" s="226"/>
      <c r="EC969" s="226"/>
      <c r="ED969" s="226"/>
      <c r="EE969" s="226"/>
      <c r="EF969" s="226"/>
      <c r="EG969" s="226"/>
      <c r="EH969" s="226"/>
      <c r="EI969" s="226"/>
      <c r="EJ969" s="226"/>
      <c r="EK969" s="226"/>
      <c r="EL969" s="226"/>
      <c r="EM969" s="226"/>
      <c r="EN969" s="226"/>
      <c r="EO969" s="226"/>
      <c r="EP969" s="226"/>
      <c r="EQ969" s="226"/>
      <c r="ER969" s="226"/>
      <c r="ES969" s="226"/>
      <c r="ET969" s="226"/>
      <c r="EU969" s="226"/>
      <c r="EV969" s="226"/>
      <c r="EW969" s="226"/>
      <c r="EX969" s="226"/>
      <c r="EY969" s="226"/>
      <c r="EZ969" s="226"/>
      <c r="FA969" s="226"/>
      <c r="FB969" s="226"/>
      <c r="FC969" s="226"/>
      <c r="FD969" s="226"/>
      <c r="FE969" s="226"/>
      <c r="FF969" s="226"/>
      <c r="FG969" s="226"/>
      <c r="FH969" s="226"/>
      <c r="FI969" s="226"/>
      <c r="FJ969" s="226"/>
      <c r="FK969" s="226"/>
      <c r="FL969" s="226"/>
      <c r="FM969" s="226"/>
      <c r="FN969" s="226"/>
      <c r="FO969" s="226"/>
      <c r="FP969" s="226"/>
      <c r="FQ969" s="226"/>
      <c r="FR969" s="226"/>
      <c r="FS969" s="226"/>
      <c r="FT969" s="226"/>
      <c r="FU969" s="226"/>
      <c r="FV969" s="226"/>
      <c r="FW969" s="226"/>
      <c r="FX969" s="226"/>
      <c r="FY969" s="226"/>
      <c r="FZ969" s="226"/>
      <c r="GA969" s="226"/>
      <c r="GB969" s="226"/>
      <c r="GC969" s="226"/>
      <c r="GD969" s="226"/>
      <c r="GE969" s="226"/>
      <c r="GF969" s="226"/>
      <c r="GG969" s="226"/>
      <c r="GH969" s="226"/>
      <c r="GI969" s="226"/>
      <c r="GJ969" s="226"/>
      <c r="GK969" s="226"/>
      <c r="GL969" s="226"/>
      <c r="GM969" s="226"/>
      <c r="GN969" s="226"/>
    </row>
    <row r="970">
      <c r="A970" s="212"/>
      <c r="B970" s="21"/>
      <c r="C970" s="21"/>
      <c r="D970" s="213"/>
      <c r="E970" s="214"/>
      <c r="F970" s="215"/>
      <c r="G970" s="21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  <c r="AA970" s="226"/>
      <c r="AB970" s="226"/>
      <c r="AC970" s="226"/>
      <c r="AD970" s="226"/>
      <c r="AE970" s="226"/>
      <c r="AF970" s="226"/>
      <c r="AG970" s="226"/>
      <c r="AH970" s="226"/>
      <c r="AI970" s="226"/>
      <c r="AJ970" s="226"/>
      <c r="AK970" s="226"/>
      <c r="AL970" s="226"/>
      <c r="AM970" s="226"/>
      <c r="AN970" s="226"/>
      <c r="AO970" s="226"/>
      <c r="AP970" s="226"/>
      <c r="AQ970" s="226"/>
      <c r="AR970" s="226"/>
      <c r="AS970" s="226"/>
      <c r="AT970" s="226"/>
      <c r="AU970" s="226"/>
      <c r="AV970" s="226"/>
      <c r="AW970" s="226"/>
      <c r="AX970" s="226"/>
      <c r="AY970" s="226"/>
      <c r="AZ970" s="226"/>
      <c r="BA970" s="226"/>
      <c r="BB970" s="226"/>
      <c r="BC970" s="226"/>
      <c r="BD970" s="226"/>
      <c r="BE970" s="226"/>
      <c r="BF970" s="226"/>
      <c r="BG970" s="226"/>
      <c r="BH970" s="226"/>
      <c r="BI970" s="226"/>
      <c r="BJ970" s="226"/>
      <c r="BK970" s="226"/>
      <c r="BL970" s="226"/>
      <c r="BM970" s="226"/>
      <c r="BN970" s="226"/>
      <c r="BO970" s="226"/>
      <c r="BP970" s="226"/>
      <c r="BQ970" s="226"/>
      <c r="BR970" s="226"/>
      <c r="BS970" s="226"/>
      <c r="BT970" s="226"/>
      <c r="BU970" s="226"/>
      <c r="BV970" s="226"/>
      <c r="BW970" s="226"/>
      <c r="BX970" s="226"/>
      <c r="BY970" s="226"/>
      <c r="BZ970" s="226"/>
      <c r="CA970" s="226"/>
      <c r="CB970" s="226"/>
      <c r="CC970" s="226"/>
      <c r="CD970" s="226"/>
      <c r="CE970" s="226"/>
      <c r="CF970" s="226"/>
      <c r="CG970" s="226"/>
      <c r="CH970" s="226"/>
      <c r="CI970" s="226"/>
      <c r="CJ970" s="226"/>
      <c r="CK970" s="226"/>
      <c r="CL970" s="226"/>
      <c r="CM970" s="226"/>
      <c r="CN970" s="226"/>
      <c r="CO970" s="226"/>
      <c r="CP970" s="226"/>
      <c r="CQ970" s="226"/>
      <c r="CR970" s="226"/>
      <c r="CS970" s="226"/>
      <c r="CT970" s="226"/>
      <c r="CU970" s="226"/>
      <c r="CV970" s="226"/>
      <c r="CW970" s="226"/>
      <c r="CX970" s="226"/>
      <c r="CY970" s="226"/>
      <c r="CZ970" s="226"/>
      <c r="DA970" s="226"/>
      <c r="DB970" s="226"/>
      <c r="DC970" s="226"/>
      <c r="DD970" s="226"/>
      <c r="DE970" s="226"/>
      <c r="DF970" s="226"/>
      <c r="DG970" s="226"/>
      <c r="DH970" s="226"/>
      <c r="DI970" s="226"/>
      <c r="DJ970" s="226"/>
      <c r="DK970" s="226"/>
      <c r="DL970" s="226"/>
      <c r="DM970" s="226"/>
      <c r="DN970" s="226"/>
      <c r="DO970" s="226"/>
      <c r="DP970" s="226"/>
      <c r="DQ970" s="226"/>
      <c r="DR970" s="226"/>
      <c r="DS970" s="226"/>
      <c r="DT970" s="226"/>
      <c r="DU970" s="226"/>
      <c r="DV970" s="226"/>
      <c r="DW970" s="226"/>
      <c r="DX970" s="226"/>
      <c r="DY970" s="226"/>
      <c r="DZ970" s="226"/>
      <c r="EA970" s="226"/>
      <c r="EB970" s="226"/>
      <c r="EC970" s="226"/>
      <c r="ED970" s="226"/>
      <c r="EE970" s="226"/>
      <c r="EF970" s="226"/>
      <c r="EG970" s="226"/>
      <c r="EH970" s="226"/>
      <c r="EI970" s="226"/>
      <c r="EJ970" s="226"/>
      <c r="EK970" s="226"/>
      <c r="EL970" s="226"/>
      <c r="EM970" s="226"/>
      <c r="EN970" s="226"/>
      <c r="EO970" s="226"/>
      <c r="EP970" s="226"/>
      <c r="EQ970" s="226"/>
      <c r="ER970" s="226"/>
      <c r="ES970" s="226"/>
      <c r="ET970" s="226"/>
      <c r="EU970" s="226"/>
      <c r="EV970" s="226"/>
      <c r="EW970" s="226"/>
      <c r="EX970" s="226"/>
      <c r="EY970" s="226"/>
      <c r="EZ970" s="226"/>
      <c r="FA970" s="226"/>
      <c r="FB970" s="226"/>
      <c r="FC970" s="226"/>
      <c r="FD970" s="226"/>
      <c r="FE970" s="226"/>
      <c r="FF970" s="226"/>
      <c r="FG970" s="226"/>
      <c r="FH970" s="226"/>
      <c r="FI970" s="226"/>
      <c r="FJ970" s="226"/>
      <c r="FK970" s="226"/>
      <c r="FL970" s="226"/>
      <c r="FM970" s="226"/>
      <c r="FN970" s="226"/>
      <c r="FO970" s="226"/>
      <c r="FP970" s="226"/>
      <c r="FQ970" s="226"/>
      <c r="FR970" s="226"/>
      <c r="FS970" s="226"/>
      <c r="FT970" s="226"/>
      <c r="FU970" s="226"/>
      <c r="FV970" s="226"/>
      <c r="FW970" s="226"/>
      <c r="FX970" s="226"/>
      <c r="FY970" s="226"/>
      <c r="FZ970" s="226"/>
      <c r="GA970" s="226"/>
      <c r="GB970" s="226"/>
      <c r="GC970" s="226"/>
      <c r="GD970" s="226"/>
      <c r="GE970" s="226"/>
      <c r="GF970" s="226"/>
      <c r="GG970" s="226"/>
      <c r="GH970" s="226"/>
      <c r="GI970" s="226"/>
      <c r="GJ970" s="226"/>
      <c r="GK970" s="226"/>
      <c r="GL970" s="226"/>
      <c r="GM970" s="226"/>
      <c r="GN970" s="226"/>
    </row>
    <row r="971">
      <c r="A971" s="212"/>
      <c r="B971" s="21"/>
      <c r="C971" s="21"/>
      <c r="D971" s="213"/>
      <c r="E971" s="214"/>
      <c r="F971" s="215"/>
      <c r="G971" s="21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  <c r="AA971" s="226"/>
      <c r="AB971" s="226"/>
      <c r="AC971" s="226"/>
      <c r="AD971" s="226"/>
      <c r="AE971" s="226"/>
      <c r="AF971" s="226"/>
      <c r="AG971" s="226"/>
      <c r="AH971" s="226"/>
      <c r="AI971" s="226"/>
      <c r="AJ971" s="226"/>
      <c r="AK971" s="226"/>
      <c r="AL971" s="226"/>
      <c r="AM971" s="226"/>
      <c r="AN971" s="226"/>
      <c r="AO971" s="226"/>
      <c r="AP971" s="226"/>
      <c r="AQ971" s="226"/>
      <c r="AR971" s="226"/>
      <c r="AS971" s="226"/>
      <c r="AT971" s="226"/>
      <c r="AU971" s="226"/>
      <c r="AV971" s="226"/>
      <c r="AW971" s="226"/>
      <c r="AX971" s="226"/>
      <c r="AY971" s="226"/>
      <c r="AZ971" s="226"/>
      <c r="BA971" s="226"/>
      <c r="BB971" s="226"/>
      <c r="BC971" s="226"/>
      <c r="BD971" s="226"/>
      <c r="BE971" s="226"/>
      <c r="BF971" s="226"/>
      <c r="BG971" s="226"/>
      <c r="BH971" s="226"/>
      <c r="BI971" s="226"/>
      <c r="BJ971" s="226"/>
      <c r="BK971" s="226"/>
      <c r="BL971" s="226"/>
      <c r="BM971" s="226"/>
      <c r="BN971" s="226"/>
      <c r="BO971" s="226"/>
      <c r="BP971" s="226"/>
      <c r="BQ971" s="226"/>
      <c r="BR971" s="226"/>
      <c r="BS971" s="226"/>
      <c r="BT971" s="226"/>
      <c r="BU971" s="226"/>
      <c r="BV971" s="226"/>
      <c r="BW971" s="226"/>
      <c r="BX971" s="226"/>
      <c r="BY971" s="226"/>
      <c r="BZ971" s="226"/>
      <c r="CA971" s="226"/>
      <c r="CB971" s="226"/>
      <c r="CC971" s="226"/>
      <c r="CD971" s="226"/>
      <c r="CE971" s="226"/>
      <c r="CF971" s="226"/>
      <c r="CG971" s="226"/>
      <c r="CH971" s="226"/>
      <c r="CI971" s="226"/>
      <c r="CJ971" s="226"/>
      <c r="CK971" s="226"/>
      <c r="CL971" s="226"/>
      <c r="CM971" s="226"/>
      <c r="CN971" s="226"/>
      <c r="CO971" s="226"/>
      <c r="CP971" s="226"/>
      <c r="CQ971" s="226"/>
      <c r="CR971" s="226"/>
      <c r="CS971" s="226"/>
      <c r="CT971" s="226"/>
      <c r="CU971" s="226"/>
      <c r="CV971" s="226"/>
      <c r="CW971" s="226"/>
      <c r="CX971" s="226"/>
      <c r="CY971" s="226"/>
      <c r="CZ971" s="226"/>
      <c r="DA971" s="226"/>
      <c r="DB971" s="226"/>
      <c r="DC971" s="226"/>
      <c r="DD971" s="226"/>
      <c r="DE971" s="226"/>
      <c r="DF971" s="226"/>
      <c r="DG971" s="226"/>
      <c r="DH971" s="226"/>
      <c r="DI971" s="226"/>
      <c r="DJ971" s="226"/>
      <c r="DK971" s="226"/>
      <c r="DL971" s="226"/>
      <c r="DM971" s="226"/>
      <c r="DN971" s="226"/>
      <c r="DO971" s="226"/>
      <c r="DP971" s="226"/>
      <c r="DQ971" s="226"/>
      <c r="DR971" s="226"/>
      <c r="DS971" s="226"/>
      <c r="DT971" s="226"/>
      <c r="DU971" s="226"/>
      <c r="DV971" s="226"/>
      <c r="DW971" s="226"/>
      <c r="DX971" s="226"/>
      <c r="DY971" s="226"/>
      <c r="DZ971" s="226"/>
      <c r="EA971" s="226"/>
      <c r="EB971" s="226"/>
      <c r="EC971" s="226"/>
      <c r="ED971" s="226"/>
      <c r="EE971" s="226"/>
      <c r="EF971" s="226"/>
      <c r="EG971" s="226"/>
      <c r="EH971" s="226"/>
      <c r="EI971" s="226"/>
      <c r="EJ971" s="226"/>
      <c r="EK971" s="226"/>
      <c r="EL971" s="226"/>
      <c r="EM971" s="226"/>
      <c r="EN971" s="226"/>
      <c r="EO971" s="226"/>
      <c r="EP971" s="226"/>
      <c r="EQ971" s="226"/>
      <c r="ER971" s="226"/>
      <c r="ES971" s="226"/>
      <c r="ET971" s="226"/>
      <c r="EU971" s="226"/>
      <c r="EV971" s="226"/>
      <c r="EW971" s="226"/>
      <c r="EX971" s="226"/>
      <c r="EY971" s="226"/>
      <c r="EZ971" s="226"/>
      <c r="FA971" s="226"/>
      <c r="FB971" s="226"/>
      <c r="FC971" s="226"/>
      <c r="FD971" s="226"/>
      <c r="FE971" s="226"/>
      <c r="FF971" s="226"/>
      <c r="FG971" s="226"/>
      <c r="FH971" s="226"/>
      <c r="FI971" s="226"/>
      <c r="FJ971" s="226"/>
      <c r="FK971" s="226"/>
      <c r="FL971" s="226"/>
      <c r="FM971" s="226"/>
      <c r="FN971" s="226"/>
      <c r="FO971" s="226"/>
      <c r="FP971" s="226"/>
      <c r="FQ971" s="226"/>
      <c r="FR971" s="226"/>
      <c r="FS971" s="226"/>
      <c r="FT971" s="226"/>
      <c r="FU971" s="226"/>
      <c r="FV971" s="226"/>
      <c r="FW971" s="226"/>
      <c r="FX971" s="226"/>
      <c r="FY971" s="226"/>
      <c r="FZ971" s="226"/>
      <c r="GA971" s="226"/>
      <c r="GB971" s="226"/>
      <c r="GC971" s="226"/>
      <c r="GD971" s="226"/>
      <c r="GE971" s="226"/>
      <c r="GF971" s="226"/>
      <c r="GG971" s="226"/>
      <c r="GH971" s="226"/>
      <c r="GI971" s="226"/>
      <c r="GJ971" s="226"/>
      <c r="GK971" s="226"/>
      <c r="GL971" s="226"/>
      <c r="GM971" s="226"/>
      <c r="GN971" s="226"/>
    </row>
    <row r="972">
      <c r="A972" s="212"/>
      <c r="B972" s="21"/>
      <c r="C972" s="21"/>
      <c r="D972" s="213"/>
      <c r="E972" s="214"/>
      <c r="F972" s="215"/>
      <c r="G972" s="21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  <c r="AA972" s="226"/>
      <c r="AB972" s="226"/>
      <c r="AC972" s="226"/>
      <c r="AD972" s="226"/>
      <c r="AE972" s="226"/>
      <c r="AF972" s="226"/>
      <c r="AG972" s="226"/>
      <c r="AH972" s="226"/>
      <c r="AI972" s="226"/>
      <c r="AJ972" s="226"/>
      <c r="AK972" s="226"/>
      <c r="AL972" s="226"/>
      <c r="AM972" s="226"/>
      <c r="AN972" s="226"/>
      <c r="AO972" s="226"/>
      <c r="AP972" s="226"/>
      <c r="AQ972" s="226"/>
      <c r="AR972" s="226"/>
      <c r="AS972" s="226"/>
      <c r="AT972" s="226"/>
      <c r="AU972" s="226"/>
      <c r="AV972" s="226"/>
      <c r="AW972" s="226"/>
      <c r="AX972" s="226"/>
      <c r="AY972" s="226"/>
      <c r="AZ972" s="226"/>
      <c r="BA972" s="226"/>
      <c r="BB972" s="226"/>
      <c r="BC972" s="226"/>
      <c r="BD972" s="226"/>
      <c r="BE972" s="226"/>
      <c r="BF972" s="226"/>
      <c r="BG972" s="226"/>
      <c r="BH972" s="226"/>
      <c r="BI972" s="226"/>
      <c r="BJ972" s="226"/>
      <c r="BK972" s="226"/>
      <c r="BL972" s="226"/>
      <c r="BM972" s="226"/>
      <c r="BN972" s="226"/>
      <c r="BO972" s="226"/>
      <c r="BP972" s="226"/>
      <c r="BQ972" s="226"/>
      <c r="BR972" s="226"/>
      <c r="BS972" s="226"/>
      <c r="BT972" s="226"/>
      <c r="BU972" s="226"/>
      <c r="BV972" s="226"/>
      <c r="BW972" s="226"/>
      <c r="BX972" s="226"/>
      <c r="BY972" s="226"/>
      <c r="BZ972" s="226"/>
      <c r="CA972" s="226"/>
      <c r="CB972" s="226"/>
      <c r="CC972" s="226"/>
      <c r="CD972" s="226"/>
      <c r="CE972" s="226"/>
      <c r="CF972" s="226"/>
      <c r="CG972" s="226"/>
      <c r="CH972" s="226"/>
      <c r="CI972" s="226"/>
      <c r="CJ972" s="226"/>
      <c r="CK972" s="226"/>
      <c r="CL972" s="226"/>
      <c r="CM972" s="226"/>
      <c r="CN972" s="226"/>
      <c r="CO972" s="226"/>
      <c r="CP972" s="226"/>
      <c r="CQ972" s="226"/>
      <c r="CR972" s="226"/>
      <c r="CS972" s="226"/>
      <c r="CT972" s="226"/>
      <c r="CU972" s="226"/>
      <c r="CV972" s="226"/>
      <c r="CW972" s="226"/>
      <c r="CX972" s="226"/>
      <c r="CY972" s="226"/>
      <c r="CZ972" s="226"/>
      <c r="DA972" s="226"/>
      <c r="DB972" s="226"/>
      <c r="DC972" s="226"/>
      <c r="DD972" s="226"/>
      <c r="DE972" s="226"/>
      <c r="DF972" s="226"/>
      <c r="DG972" s="226"/>
      <c r="DH972" s="226"/>
      <c r="DI972" s="226"/>
      <c r="DJ972" s="226"/>
      <c r="DK972" s="226"/>
      <c r="DL972" s="226"/>
      <c r="DM972" s="226"/>
      <c r="DN972" s="226"/>
      <c r="DO972" s="226"/>
      <c r="DP972" s="226"/>
      <c r="DQ972" s="226"/>
      <c r="DR972" s="226"/>
      <c r="DS972" s="226"/>
      <c r="DT972" s="226"/>
      <c r="DU972" s="226"/>
      <c r="DV972" s="226"/>
      <c r="DW972" s="226"/>
      <c r="DX972" s="226"/>
      <c r="DY972" s="226"/>
      <c r="DZ972" s="226"/>
      <c r="EA972" s="226"/>
      <c r="EB972" s="226"/>
      <c r="EC972" s="226"/>
      <c r="ED972" s="226"/>
      <c r="EE972" s="226"/>
      <c r="EF972" s="226"/>
      <c r="EG972" s="226"/>
      <c r="EH972" s="226"/>
      <c r="EI972" s="226"/>
      <c r="EJ972" s="226"/>
      <c r="EK972" s="226"/>
      <c r="EL972" s="226"/>
      <c r="EM972" s="226"/>
      <c r="EN972" s="226"/>
      <c r="EO972" s="226"/>
      <c r="EP972" s="226"/>
      <c r="EQ972" s="226"/>
      <c r="ER972" s="226"/>
      <c r="ES972" s="226"/>
      <c r="ET972" s="226"/>
      <c r="EU972" s="226"/>
      <c r="EV972" s="226"/>
      <c r="EW972" s="226"/>
      <c r="EX972" s="226"/>
      <c r="EY972" s="226"/>
      <c r="EZ972" s="226"/>
      <c r="FA972" s="226"/>
      <c r="FB972" s="226"/>
      <c r="FC972" s="226"/>
      <c r="FD972" s="226"/>
      <c r="FE972" s="226"/>
      <c r="FF972" s="226"/>
      <c r="FG972" s="226"/>
      <c r="FH972" s="226"/>
      <c r="FI972" s="226"/>
      <c r="FJ972" s="226"/>
      <c r="FK972" s="226"/>
      <c r="FL972" s="226"/>
      <c r="FM972" s="226"/>
      <c r="FN972" s="226"/>
      <c r="FO972" s="226"/>
      <c r="FP972" s="226"/>
      <c r="FQ972" s="226"/>
      <c r="FR972" s="226"/>
      <c r="FS972" s="226"/>
      <c r="FT972" s="226"/>
      <c r="FU972" s="226"/>
      <c r="FV972" s="226"/>
      <c r="FW972" s="226"/>
      <c r="FX972" s="226"/>
      <c r="FY972" s="226"/>
      <c r="FZ972" s="226"/>
      <c r="GA972" s="226"/>
      <c r="GB972" s="226"/>
      <c r="GC972" s="226"/>
      <c r="GD972" s="226"/>
      <c r="GE972" s="226"/>
      <c r="GF972" s="226"/>
      <c r="GG972" s="226"/>
      <c r="GH972" s="226"/>
      <c r="GI972" s="226"/>
      <c r="GJ972" s="226"/>
      <c r="GK972" s="226"/>
      <c r="GL972" s="226"/>
      <c r="GM972" s="226"/>
      <c r="GN972" s="226"/>
    </row>
    <row r="973">
      <c r="A973" s="212"/>
      <c r="B973" s="21"/>
      <c r="C973" s="21"/>
      <c r="D973" s="213"/>
      <c r="E973" s="214"/>
      <c r="F973" s="215"/>
      <c r="G973" s="21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  <c r="AA973" s="226"/>
      <c r="AB973" s="226"/>
      <c r="AC973" s="226"/>
      <c r="AD973" s="226"/>
      <c r="AE973" s="226"/>
      <c r="AF973" s="226"/>
      <c r="AG973" s="226"/>
      <c r="AH973" s="226"/>
      <c r="AI973" s="226"/>
      <c r="AJ973" s="226"/>
      <c r="AK973" s="226"/>
      <c r="AL973" s="226"/>
      <c r="AM973" s="226"/>
      <c r="AN973" s="226"/>
      <c r="AO973" s="226"/>
      <c r="AP973" s="226"/>
      <c r="AQ973" s="226"/>
      <c r="AR973" s="226"/>
      <c r="AS973" s="226"/>
      <c r="AT973" s="226"/>
      <c r="AU973" s="226"/>
      <c r="AV973" s="226"/>
      <c r="AW973" s="226"/>
      <c r="AX973" s="226"/>
      <c r="AY973" s="226"/>
      <c r="AZ973" s="226"/>
      <c r="BA973" s="226"/>
      <c r="BB973" s="226"/>
      <c r="BC973" s="226"/>
      <c r="BD973" s="226"/>
      <c r="BE973" s="226"/>
      <c r="BF973" s="226"/>
      <c r="BG973" s="226"/>
      <c r="BH973" s="226"/>
      <c r="BI973" s="226"/>
      <c r="BJ973" s="226"/>
      <c r="BK973" s="226"/>
      <c r="BL973" s="226"/>
      <c r="BM973" s="226"/>
      <c r="BN973" s="226"/>
      <c r="BO973" s="226"/>
      <c r="BP973" s="226"/>
      <c r="BQ973" s="226"/>
      <c r="BR973" s="226"/>
      <c r="BS973" s="226"/>
      <c r="BT973" s="226"/>
      <c r="BU973" s="226"/>
      <c r="BV973" s="226"/>
      <c r="BW973" s="226"/>
      <c r="BX973" s="226"/>
      <c r="BY973" s="226"/>
      <c r="BZ973" s="226"/>
      <c r="CA973" s="226"/>
      <c r="CB973" s="226"/>
      <c r="CC973" s="226"/>
      <c r="CD973" s="226"/>
      <c r="CE973" s="226"/>
      <c r="CF973" s="226"/>
      <c r="CG973" s="226"/>
      <c r="CH973" s="226"/>
      <c r="CI973" s="226"/>
      <c r="CJ973" s="226"/>
      <c r="CK973" s="226"/>
      <c r="CL973" s="226"/>
      <c r="CM973" s="226"/>
      <c r="CN973" s="226"/>
      <c r="CO973" s="226"/>
      <c r="CP973" s="226"/>
      <c r="CQ973" s="226"/>
      <c r="CR973" s="226"/>
      <c r="CS973" s="226"/>
      <c r="CT973" s="226"/>
      <c r="CU973" s="226"/>
      <c r="CV973" s="226"/>
      <c r="CW973" s="226"/>
      <c r="CX973" s="226"/>
      <c r="CY973" s="226"/>
      <c r="CZ973" s="226"/>
      <c r="DA973" s="226"/>
      <c r="DB973" s="226"/>
      <c r="DC973" s="226"/>
      <c r="DD973" s="226"/>
      <c r="DE973" s="226"/>
      <c r="DF973" s="226"/>
      <c r="DG973" s="226"/>
      <c r="DH973" s="226"/>
      <c r="DI973" s="226"/>
      <c r="DJ973" s="226"/>
      <c r="DK973" s="226"/>
      <c r="DL973" s="226"/>
      <c r="DM973" s="226"/>
      <c r="DN973" s="226"/>
      <c r="DO973" s="226"/>
      <c r="DP973" s="226"/>
      <c r="DQ973" s="226"/>
      <c r="DR973" s="226"/>
      <c r="DS973" s="226"/>
      <c r="DT973" s="226"/>
      <c r="DU973" s="226"/>
      <c r="DV973" s="226"/>
      <c r="DW973" s="226"/>
      <c r="DX973" s="226"/>
      <c r="DY973" s="226"/>
      <c r="DZ973" s="226"/>
      <c r="EA973" s="226"/>
      <c r="EB973" s="226"/>
      <c r="EC973" s="226"/>
      <c r="ED973" s="226"/>
      <c r="EE973" s="226"/>
      <c r="EF973" s="226"/>
      <c r="EG973" s="226"/>
      <c r="EH973" s="226"/>
      <c r="EI973" s="226"/>
      <c r="EJ973" s="226"/>
      <c r="EK973" s="226"/>
      <c r="EL973" s="226"/>
      <c r="EM973" s="226"/>
      <c r="EN973" s="226"/>
      <c r="EO973" s="226"/>
      <c r="EP973" s="226"/>
      <c r="EQ973" s="226"/>
      <c r="ER973" s="226"/>
      <c r="ES973" s="226"/>
      <c r="ET973" s="226"/>
      <c r="EU973" s="226"/>
      <c r="EV973" s="226"/>
      <c r="EW973" s="226"/>
      <c r="EX973" s="226"/>
      <c r="EY973" s="226"/>
      <c r="EZ973" s="226"/>
      <c r="FA973" s="226"/>
      <c r="FB973" s="226"/>
      <c r="FC973" s="226"/>
      <c r="FD973" s="226"/>
      <c r="FE973" s="226"/>
      <c r="FF973" s="226"/>
      <c r="FG973" s="226"/>
      <c r="FH973" s="226"/>
      <c r="FI973" s="226"/>
      <c r="FJ973" s="226"/>
      <c r="FK973" s="226"/>
      <c r="FL973" s="226"/>
      <c r="FM973" s="226"/>
      <c r="FN973" s="226"/>
      <c r="FO973" s="226"/>
      <c r="FP973" s="226"/>
      <c r="FQ973" s="226"/>
      <c r="FR973" s="226"/>
      <c r="FS973" s="226"/>
      <c r="FT973" s="226"/>
      <c r="FU973" s="226"/>
      <c r="FV973" s="226"/>
      <c r="FW973" s="226"/>
      <c r="FX973" s="226"/>
      <c r="FY973" s="226"/>
      <c r="FZ973" s="226"/>
      <c r="GA973" s="226"/>
      <c r="GB973" s="226"/>
      <c r="GC973" s="226"/>
      <c r="GD973" s="226"/>
      <c r="GE973" s="226"/>
      <c r="GF973" s="226"/>
      <c r="GG973" s="226"/>
      <c r="GH973" s="226"/>
      <c r="GI973" s="226"/>
      <c r="GJ973" s="226"/>
      <c r="GK973" s="226"/>
      <c r="GL973" s="226"/>
      <c r="GM973" s="226"/>
      <c r="GN973" s="226"/>
    </row>
    <row r="974">
      <c r="A974" s="212"/>
      <c r="B974" s="21"/>
      <c r="C974" s="21"/>
      <c r="D974" s="213"/>
      <c r="E974" s="214"/>
      <c r="F974" s="215"/>
      <c r="G974" s="21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  <c r="AA974" s="226"/>
      <c r="AB974" s="226"/>
      <c r="AC974" s="226"/>
      <c r="AD974" s="226"/>
      <c r="AE974" s="226"/>
      <c r="AF974" s="226"/>
      <c r="AG974" s="226"/>
      <c r="AH974" s="226"/>
      <c r="AI974" s="226"/>
      <c r="AJ974" s="226"/>
      <c r="AK974" s="226"/>
      <c r="AL974" s="226"/>
      <c r="AM974" s="226"/>
      <c r="AN974" s="226"/>
      <c r="AO974" s="226"/>
      <c r="AP974" s="226"/>
      <c r="AQ974" s="226"/>
      <c r="AR974" s="226"/>
      <c r="AS974" s="226"/>
      <c r="AT974" s="226"/>
      <c r="AU974" s="226"/>
      <c r="AV974" s="226"/>
      <c r="AW974" s="226"/>
      <c r="AX974" s="226"/>
      <c r="AY974" s="226"/>
      <c r="AZ974" s="226"/>
      <c r="BA974" s="226"/>
      <c r="BB974" s="226"/>
      <c r="BC974" s="226"/>
      <c r="BD974" s="226"/>
      <c r="BE974" s="226"/>
      <c r="BF974" s="226"/>
      <c r="BG974" s="226"/>
      <c r="BH974" s="226"/>
      <c r="BI974" s="226"/>
      <c r="BJ974" s="226"/>
      <c r="BK974" s="226"/>
      <c r="BL974" s="226"/>
      <c r="BM974" s="226"/>
      <c r="BN974" s="226"/>
      <c r="BO974" s="226"/>
      <c r="BP974" s="226"/>
      <c r="BQ974" s="226"/>
      <c r="BR974" s="226"/>
      <c r="BS974" s="226"/>
      <c r="BT974" s="226"/>
      <c r="BU974" s="226"/>
      <c r="BV974" s="226"/>
      <c r="BW974" s="226"/>
      <c r="BX974" s="226"/>
      <c r="BY974" s="226"/>
      <c r="BZ974" s="226"/>
      <c r="CA974" s="226"/>
      <c r="CB974" s="226"/>
      <c r="CC974" s="226"/>
      <c r="CD974" s="226"/>
      <c r="CE974" s="226"/>
      <c r="CF974" s="226"/>
      <c r="CG974" s="226"/>
      <c r="CH974" s="226"/>
      <c r="CI974" s="226"/>
      <c r="CJ974" s="226"/>
      <c r="CK974" s="226"/>
      <c r="CL974" s="226"/>
      <c r="CM974" s="226"/>
      <c r="CN974" s="226"/>
      <c r="CO974" s="226"/>
      <c r="CP974" s="226"/>
      <c r="CQ974" s="226"/>
      <c r="CR974" s="226"/>
      <c r="CS974" s="226"/>
      <c r="CT974" s="226"/>
      <c r="CU974" s="226"/>
      <c r="CV974" s="226"/>
      <c r="CW974" s="226"/>
      <c r="CX974" s="226"/>
      <c r="CY974" s="226"/>
      <c r="CZ974" s="226"/>
      <c r="DA974" s="226"/>
      <c r="DB974" s="226"/>
      <c r="DC974" s="226"/>
      <c r="DD974" s="226"/>
      <c r="DE974" s="226"/>
      <c r="DF974" s="226"/>
      <c r="DG974" s="226"/>
      <c r="DH974" s="226"/>
      <c r="DI974" s="226"/>
      <c r="DJ974" s="226"/>
      <c r="DK974" s="226"/>
      <c r="DL974" s="226"/>
      <c r="DM974" s="226"/>
      <c r="DN974" s="226"/>
      <c r="DO974" s="226"/>
      <c r="DP974" s="226"/>
      <c r="DQ974" s="226"/>
      <c r="DR974" s="226"/>
      <c r="DS974" s="226"/>
      <c r="DT974" s="226"/>
      <c r="DU974" s="226"/>
      <c r="DV974" s="226"/>
      <c r="DW974" s="226"/>
      <c r="DX974" s="226"/>
      <c r="DY974" s="226"/>
      <c r="DZ974" s="226"/>
      <c r="EA974" s="226"/>
      <c r="EB974" s="226"/>
      <c r="EC974" s="226"/>
      <c r="ED974" s="226"/>
      <c r="EE974" s="226"/>
      <c r="EF974" s="226"/>
      <c r="EG974" s="226"/>
      <c r="EH974" s="226"/>
      <c r="EI974" s="226"/>
      <c r="EJ974" s="226"/>
      <c r="EK974" s="226"/>
      <c r="EL974" s="226"/>
      <c r="EM974" s="226"/>
      <c r="EN974" s="226"/>
      <c r="EO974" s="226"/>
      <c r="EP974" s="226"/>
      <c r="EQ974" s="226"/>
      <c r="ER974" s="226"/>
      <c r="ES974" s="226"/>
      <c r="ET974" s="226"/>
      <c r="EU974" s="226"/>
      <c r="EV974" s="226"/>
      <c r="EW974" s="226"/>
      <c r="EX974" s="226"/>
      <c r="EY974" s="226"/>
      <c r="EZ974" s="226"/>
      <c r="FA974" s="226"/>
      <c r="FB974" s="226"/>
      <c r="FC974" s="226"/>
      <c r="FD974" s="226"/>
      <c r="FE974" s="226"/>
      <c r="FF974" s="226"/>
      <c r="FG974" s="226"/>
      <c r="FH974" s="226"/>
      <c r="FI974" s="226"/>
      <c r="FJ974" s="226"/>
      <c r="FK974" s="226"/>
      <c r="FL974" s="226"/>
      <c r="FM974" s="226"/>
      <c r="FN974" s="226"/>
      <c r="FO974" s="226"/>
      <c r="FP974" s="226"/>
      <c r="FQ974" s="226"/>
      <c r="FR974" s="226"/>
      <c r="FS974" s="226"/>
      <c r="FT974" s="226"/>
      <c r="FU974" s="226"/>
      <c r="FV974" s="226"/>
      <c r="FW974" s="226"/>
      <c r="FX974" s="226"/>
      <c r="FY974" s="226"/>
      <c r="FZ974" s="226"/>
      <c r="GA974" s="226"/>
      <c r="GB974" s="226"/>
      <c r="GC974" s="226"/>
      <c r="GD974" s="226"/>
      <c r="GE974" s="226"/>
      <c r="GF974" s="226"/>
      <c r="GG974" s="226"/>
      <c r="GH974" s="226"/>
      <c r="GI974" s="226"/>
      <c r="GJ974" s="226"/>
      <c r="GK974" s="226"/>
      <c r="GL974" s="226"/>
      <c r="GM974" s="226"/>
      <c r="GN974" s="226"/>
    </row>
    <row r="975">
      <c r="A975" s="212"/>
      <c r="B975" s="21"/>
      <c r="C975" s="21"/>
      <c r="D975" s="213"/>
      <c r="E975" s="214"/>
      <c r="F975" s="215"/>
      <c r="G975" s="21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  <c r="AA975" s="226"/>
      <c r="AB975" s="226"/>
      <c r="AC975" s="226"/>
      <c r="AD975" s="226"/>
      <c r="AE975" s="226"/>
      <c r="AF975" s="226"/>
      <c r="AG975" s="226"/>
      <c r="AH975" s="226"/>
      <c r="AI975" s="226"/>
      <c r="AJ975" s="226"/>
      <c r="AK975" s="226"/>
      <c r="AL975" s="226"/>
      <c r="AM975" s="226"/>
      <c r="AN975" s="226"/>
      <c r="AO975" s="226"/>
      <c r="AP975" s="226"/>
      <c r="AQ975" s="226"/>
      <c r="AR975" s="226"/>
      <c r="AS975" s="226"/>
      <c r="AT975" s="226"/>
      <c r="AU975" s="226"/>
      <c r="AV975" s="226"/>
      <c r="AW975" s="226"/>
      <c r="AX975" s="226"/>
      <c r="AY975" s="226"/>
      <c r="AZ975" s="226"/>
      <c r="BA975" s="226"/>
      <c r="BB975" s="226"/>
      <c r="BC975" s="226"/>
      <c r="BD975" s="226"/>
      <c r="BE975" s="226"/>
      <c r="BF975" s="226"/>
      <c r="BG975" s="226"/>
      <c r="BH975" s="226"/>
      <c r="BI975" s="226"/>
      <c r="BJ975" s="226"/>
      <c r="BK975" s="226"/>
      <c r="BL975" s="226"/>
      <c r="BM975" s="226"/>
      <c r="BN975" s="226"/>
      <c r="BO975" s="226"/>
      <c r="BP975" s="226"/>
      <c r="BQ975" s="226"/>
      <c r="BR975" s="226"/>
      <c r="BS975" s="226"/>
      <c r="BT975" s="226"/>
      <c r="BU975" s="226"/>
      <c r="BV975" s="226"/>
      <c r="BW975" s="226"/>
      <c r="BX975" s="226"/>
      <c r="BY975" s="226"/>
      <c r="BZ975" s="226"/>
      <c r="CA975" s="226"/>
      <c r="CB975" s="226"/>
      <c r="CC975" s="226"/>
      <c r="CD975" s="226"/>
      <c r="CE975" s="226"/>
      <c r="CF975" s="226"/>
      <c r="CG975" s="226"/>
      <c r="CH975" s="226"/>
      <c r="CI975" s="226"/>
      <c r="CJ975" s="226"/>
      <c r="CK975" s="226"/>
      <c r="CL975" s="226"/>
      <c r="CM975" s="226"/>
      <c r="CN975" s="226"/>
      <c r="CO975" s="226"/>
      <c r="CP975" s="226"/>
      <c r="CQ975" s="226"/>
      <c r="CR975" s="226"/>
      <c r="CS975" s="226"/>
      <c r="CT975" s="226"/>
      <c r="CU975" s="226"/>
      <c r="CV975" s="226"/>
      <c r="CW975" s="226"/>
      <c r="CX975" s="226"/>
      <c r="CY975" s="226"/>
      <c r="CZ975" s="226"/>
      <c r="DA975" s="226"/>
      <c r="DB975" s="226"/>
      <c r="DC975" s="226"/>
      <c r="DD975" s="226"/>
      <c r="DE975" s="226"/>
      <c r="DF975" s="226"/>
      <c r="DG975" s="226"/>
      <c r="DH975" s="226"/>
      <c r="DI975" s="226"/>
      <c r="DJ975" s="226"/>
      <c r="DK975" s="226"/>
      <c r="DL975" s="226"/>
      <c r="DM975" s="226"/>
      <c r="DN975" s="226"/>
      <c r="DO975" s="226"/>
      <c r="DP975" s="226"/>
      <c r="DQ975" s="226"/>
      <c r="DR975" s="226"/>
      <c r="DS975" s="226"/>
      <c r="DT975" s="226"/>
      <c r="DU975" s="226"/>
      <c r="DV975" s="226"/>
      <c r="DW975" s="226"/>
      <c r="DX975" s="226"/>
      <c r="DY975" s="226"/>
      <c r="DZ975" s="226"/>
      <c r="EA975" s="226"/>
      <c r="EB975" s="226"/>
      <c r="EC975" s="226"/>
      <c r="ED975" s="226"/>
      <c r="EE975" s="226"/>
      <c r="EF975" s="226"/>
      <c r="EG975" s="226"/>
      <c r="EH975" s="226"/>
      <c r="EI975" s="226"/>
      <c r="EJ975" s="226"/>
      <c r="EK975" s="226"/>
      <c r="EL975" s="226"/>
      <c r="EM975" s="226"/>
      <c r="EN975" s="226"/>
      <c r="EO975" s="226"/>
      <c r="EP975" s="226"/>
      <c r="EQ975" s="226"/>
      <c r="ER975" s="226"/>
      <c r="ES975" s="226"/>
      <c r="ET975" s="226"/>
      <c r="EU975" s="226"/>
      <c r="EV975" s="226"/>
      <c r="EW975" s="226"/>
      <c r="EX975" s="226"/>
      <c r="EY975" s="226"/>
      <c r="EZ975" s="226"/>
      <c r="FA975" s="226"/>
      <c r="FB975" s="226"/>
      <c r="FC975" s="226"/>
      <c r="FD975" s="226"/>
      <c r="FE975" s="226"/>
      <c r="FF975" s="226"/>
      <c r="FG975" s="226"/>
      <c r="FH975" s="226"/>
      <c r="FI975" s="226"/>
      <c r="FJ975" s="226"/>
      <c r="FK975" s="226"/>
      <c r="FL975" s="226"/>
      <c r="FM975" s="226"/>
      <c r="FN975" s="226"/>
      <c r="FO975" s="226"/>
      <c r="FP975" s="226"/>
      <c r="FQ975" s="226"/>
      <c r="FR975" s="226"/>
      <c r="FS975" s="226"/>
      <c r="FT975" s="226"/>
      <c r="FU975" s="226"/>
      <c r="FV975" s="226"/>
      <c r="FW975" s="226"/>
      <c r="FX975" s="226"/>
      <c r="FY975" s="226"/>
      <c r="FZ975" s="226"/>
      <c r="GA975" s="226"/>
      <c r="GB975" s="226"/>
      <c r="GC975" s="226"/>
      <c r="GD975" s="226"/>
      <c r="GE975" s="226"/>
      <c r="GF975" s="226"/>
      <c r="GG975" s="226"/>
      <c r="GH975" s="226"/>
      <c r="GI975" s="226"/>
      <c r="GJ975" s="226"/>
      <c r="GK975" s="226"/>
      <c r="GL975" s="226"/>
      <c r="GM975" s="226"/>
      <c r="GN975" s="226"/>
    </row>
    <row r="976">
      <c r="A976" s="212"/>
      <c r="B976" s="21"/>
      <c r="C976" s="21"/>
      <c r="D976" s="213"/>
      <c r="E976" s="214"/>
      <c r="F976" s="215"/>
      <c r="G976" s="21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  <c r="AA976" s="226"/>
      <c r="AB976" s="226"/>
      <c r="AC976" s="226"/>
      <c r="AD976" s="226"/>
      <c r="AE976" s="226"/>
      <c r="AF976" s="226"/>
      <c r="AG976" s="226"/>
      <c r="AH976" s="226"/>
      <c r="AI976" s="226"/>
      <c r="AJ976" s="226"/>
      <c r="AK976" s="226"/>
      <c r="AL976" s="226"/>
      <c r="AM976" s="226"/>
      <c r="AN976" s="226"/>
      <c r="AO976" s="226"/>
      <c r="AP976" s="226"/>
      <c r="AQ976" s="226"/>
      <c r="AR976" s="226"/>
      <c r="AS976" s="226"/>
      <c r="AT976" s="226"/>
      <c r="AU976" s="226"/>
      <c r="AV976" s="226"/>
      <c r="AW976" s="226"/>
      <c r="AX976" s="226"/>
      <c r="AY976" s="226"/>
      <c r="AZ976" s="226"/>
      <c r="BA976" s="226"/>
      <c r="BB976" s="226"/>
      <c r="BC976" s="226"/>
      <c r="BD976" s="226"/>
      <c r="BE976" s="226"/>
      <c r="BF976" s="226"/>
      <c r="BG976" s="226"/>
      <c r="BH976" s="226"/>
      <c r="BI976" s="226"/>
      <c r="BJ976" s="226"/>
      <c r="BK976" s="226"/>
      <c r="BL976" s="226"/>
      <c r="BM976" s="226"/>
      <c r="BN976" s="226"/>
      <c r="BO976" s="226"/>
      <c r="BP976" s="226"/>
      <c r="BQ976" s="226"/>
      <c r="BR976" s="226"/>
      <c r="BS976" s="226"/>
      <c r="BT976" s="226"/>
      <c r="BU976" s="226"/>
      <c r="BV976" s="226"/>
      <c r="BW976" s="226"/>
      <c r="BX976" s="226"/>
      <c r="BY976" s="226"/>
      <c r="BZ976" s="226"/>
      <c r="CA976" s="226"/>
      <c r="CB976" s="226"/>
      <c r="CC976" s="226"/>
      <c r="CD976" s="226"/>
      <c r="CE976" s="226"/>
      <c r="CF976" s="226"/>
      <c r="CG976" s="226"/>
      <c r="CH976" s="226"/>
      <c r="CI976" s="226"/>
      <c r="CJ976" s="226"/>
      <c r="CK976" s="226"/>
      <c r="CL976" s="226"/>
      <c r="CM976" s="226"/>
      <c r="CN976" s="226"/>
      <c r="CO976" s="226"/>
      <c r="CP976" s="226"/>
      <c r="CQ976" s="226"/>
      <c r="CR976" s="226"/>
      <c r="CS976" s="226"/>
      <c r="CT976" s="226"/>
      <c r="CU976" s="226"/>
      <c r="CV976" s="226"/>
      <c r="CW976" s="226"/>
      <c r="CX976" s="226"/>
      <c r="CY976" s="226"/>
      <c r="CZ976" s="226"/>
      <c r="DA976" s="226"/>
      <c r="DB976" s="226"/>
      <c r="DC976" s="226"/>
      <c r="DD976" s="226"/>
      <c r="DE976" s="226"/>
      <c r="DF976" s="226"/>
      <c r="DG976" s="226"/>
      <c r="DH976" s="226"/>
      <c r="DI976" s="226"/>
      <c r="DJ976" s="226"/>
      <c r="DK976" s="226"/>
      <c r="DL976" s="226"/>
      <c r="DM976" s="226"/>
      <c r="DN976" s="226"/>
      <c r="DO976" s="226"/>
      <c r="DP976" s="226"/>
      <c r="DQ976" s="226"/>
      <c r="DR976" s="226"/>
      <c r="DS976" s="226"/>
      <c r="DT976" s="226"/>
      <c r="DU976" s="226"/>
      <c r="DV976" s="226"/>
      <c r="DW976" s="226"/>
      <c r="DX976" s="226"/>
      <c r="DY976" s="226"/>
      <c r="DZ976" s="226"/>
      <c r="EA976" s="226"/>
      <c r="EB976" s="226"/>
      <c r="EC976" s="226"/>
      <c r="ED976" s="226"/>
      <c r="EE976" s="226"/>
      <c r="EF976" s="226"/>
      <c r="EG976" s="226"/>
      <c r="EH976" s="226"/>
      <c r="EI976" s="226"/>
      <c r="EJ976" s="226"/>
      <c r="EK976" s="226"/>
      <c r="EL976" s="226"/>
      <c r="EM976" s="226"/>
      <c r="EN976" s="226"/>
      <c r="EO976" s="226"/>
      <c r="EP976" s="226"/>
      <c r="EQ976" s="226"/>
      <c r="ER976" s="226"/>
      <c r="ES976" s="226"/>
      <c r="ET976" s="226"/>
      <c r="EU976" s="226"/>
      <c r="EV976" s="226"/>
      <c r="EW976" s="226"/>
      <c r="EX976" s="226"/>
      <c r="EY976" s="226"/>
      <c r="EZ976" s="226"/>
      <c r="FA976" s="226"/>
      <c r="FB976" s="226"/>
      <c r="FC976" s="226"/>
      <c r="FD976" s="226"/>
      <c r="FE976" s="226"/>
      <c r="FF976" s="226"/>
      <c r="FG976" s="226"/>
      <c r="FH976" s="226"/>
      <c r="FI976" s="226"/>
      <c r="FJ976" s="226"/>
      <c r="FK976" s="226"/>
      <c r="FL976" s="226"/>
      <c r="FM976" s="226"/>
      <c r="FN976" s="226"/>
      <c r="FO976" s="226"/>
      <c r="FP976" s="226"/>
      <c r="FQ976" s="226"/>
      <c r="FR976" s="226"/>
      <c r="FS976" s="226"/>
      <c r="FT976" s="226"/>
      <c r="FU976" s="226"/>
      <c r="FV976" s="226"/>
      <c r="FW976" s="226"/>
      <c r="FX976" s="226"/>
      <c r="FY976" s="226"/>
      <c r="FZ976" s="226"/>
      <c r="GA976" s="226"/>
      <c r="GB976" s="226"/>
      <c r="GC976" s="226"/>
      <c r="GD976" s="226"/>
      <c r="GE976" s="226"/>
      <c r="GF976" s="226"/>
      <c r="GG976" s="226"/>
      <c r="GH976" s="226"/>
      <c r="GI976" s="226"/>
      <c r="GJ976" s="226"/>
      <c r="GK976" s="226"/>
      <c r="GL976" s="226"/>
      <c r="GM976" s="226"/>
      <c r="GN976" s="226"/>
    </row>
    <row r="977">
      <c r="A977" s="212"/>
      <c r="B977" s="21"/>
      <c r="C977" s="21"/>
      <c r="D977" s="213"/>
      <c r="E977" s="214"/>
      <c r="F977" s="215"/>
      <c r="G977" s="21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  <c r="AA977" s="226"/>
      <c r="AB977" s="226"/>
      <c r="AC977" s="226"/>
      <c r="AD977" s="226"/>
      <c r="AE977" s="226"/>
      <c r="AF977" s="226"/>
      <c r="AG977" s="226"/>
      <c r="AH977" s="226"/>
      <c r="AI977" s="226"/>
      <c r="AJ977" s="226"/>
      <c r="AK977" s="226"/>
      <c r="AL977" s="226"/>
      <c r="AM977" s="226"/>
      <c r="AN977" s="226"/>
      <c r="AO977" s="226"/>
      <c r="AP977" s="226"/>
      <c r="AQ977" s="226"/>
      <c r="AR977" s="226"/>
      <c r="AS977" s="226"/>
      <c r="AT977" s="226"/>
      <c r="AU977" s="226"/>
      <c r="AV977" s="226"/>
      <c r="AW977" s="226"/>
      <c r="AX977" s="226"/>
      <c r="AY977" s="226"/>
      <c r="AZ977" s="226"/>
      <c r="BA977" s="226"/>
      <c r="BB977" s="226"/>
      <c r="BC977" s="226"/>
      <c r="BD977" s="226"/>
      <c r="BE977" s="226"/>
      <c r="BF977" s="226"/>
      <c r="BG977" s="226"/>
      <c r="BH977" s="226"/>
      <c r="BI977" s="226"/>
      <c r="BJ977" s="226"/>
      <c r="BK977" s="226"/>
      <c r="BL977" s="226"/>
      <c r="BM977" s="226"/>
      <c r="BN977" s="226"/>
      <c r="BO977" s="226"/>
      <c r="BP977" s="226"/>
      <c r="BQ977" s="226"/>
      <c r="BR977" s="226"/>
      <c r="BS977" s="226"/>
      <c r="BT977" s="226"/>
      <c r="BU977" s="226"/>
      <c r="BV977" s="226"/>
      <c r="BW977" s="226"/>
      <c r="BX977" s="226"/>
      <c r="BY977" s="226"/>
      <c r="BZ977" s="226"/>
      <c r="CA977" s="226"/>
      <c r="CB977" s="226"/>
      <c r="CC977" s="226"/>
      <c r="CD977" s="226"/>
      <c r="CE977" s="226"/>
      <c r="CF977" s="226"/>
      <c r="CG977" s="226"/>
      <c r="CH977" s="226"/>
      <c r="CI977" s="226"/>
      <c r="CJ977" s="226"/>
      <c r="CK977" s="226"/>
      <c r="CL977" s="226"/>
      <c r="CM977" s="226"/>
      <c r="CN977" s="226"/>
      <c r="CO977" s="226"/>
      <c r="CP977" s="226"/>
      <c r="CQ977" s="226"/>
      <c r="CR977" s="226"/>
      <c r="CS977" s="226"/>
      <c r="CT977" s="226"/>
      <c r="CU977" s="226"/>
      <c r="CV977" s="226"/>
      <c r="CW977" s="226"/>
      <c r="CX977" s="226"/>
      <c r="CY977" s="226"/>
      <c r="CZ977" s="226"/>
      <c r="DA977" s="226"/>
      <c r="DB977" s="226"/>
      <c r="DC977" s="226"/>
      <c r="DD977" s="226"/>
      <c r="DE977" s="226"/>
      <c r="DF977" s="226"/>
      <c r="DG977" s="226"/>
      <c r="DH977" s="226"/>
      <c r="DI977" s="226"/>
      <c r="DJ977" s="226"/>
      <c r="DK977" s="226"/>
      <c r="DL977" s="226"/>
      <c r="DM977" s="226"/>
      <c r="DN977" s="226"/>
      <c r="DO977" s="226"/>
      <c r="DP977" s="226"/>
      <c r="DQ977" s="226"/>
      <c r="DR977" s="226"/>
      <c r="DS977" s="226"/>
      <c r="DT977" s="226"/>
      <c r="DU977" s="226"/>
      <c r="DV977" s="226"/>
      <c r="DW977" s="226"/>
      <c r="DX977" s="226"/>
      <c r="DY977" s="226"/>
      <c r="DZ977" s="226"/>
      <c r="EA977" s="226"/>
      <c r="EB977" s="226"/>
      <c r="EC977" s="226"/>
      <c r="ED977" s="226"/>
      <c r="EE977" s="226"/>
      <c r="EF977" s="226"/>
      <c r="EG977" s="226"/>
      <c r="EH977" s="226"/>
      <c r="EI977" s="226"/>
      <c r="EJ977" s="226"/>
      <c r="EK977" s="226"/>
      <c r="EL977" s="226"/>
      <c r="EM977" s="226"/>
      <c r="EN977" s="226"/>
      <c r="EO977" s="226"/>
      <c r="EP977" s="226"/>
      <c r="EQ977" s="226"/>
      <c r="ER977" s="226"/>
      <c r="ES977" s="226"/>
      <c r="ET977" s="226"/>
      <c r="EU977" s="226"/>
      <c r="EV977" s="226"/>
      <c r="EW977" s="226"/>
      <c r="EX977" s="226"/>
      <c r="EY977" s="226"/>
      <c r="EZ977" s="226"/>
      <c r="FA977" s="226"/>
      <c r="FB977" s="226"/>
      <c r="FC977" s="226"/>
      <c r="FD977" s="226"/>
      <c r="FE977" s="226"/>
      <c r="FF977" s="226"/>
      <c r="FG977" s="226"/>
      <c r="FH977" s="226"/>
      <c r="FI977" s="226"/>
      <c r="FJ977" s="226"/>
      <c r="FK977" s="226"/>
      <c r="FL977" s="226"/>
      <c r="FM977" s="226"/>
      <c r="FN977" s="226"/>
      <c r="FO977" s="226"/>
      <c r="FP977" s="226"/>
      <c r="FQ977" s="226"/>
      <c r="FR977" s="226"/>
      <c r="FS977" s="226"/>
      <c r="FT977" s="226"/>
      <c r="FU977" s="226"/>
      <c r="FV977" s="226"/>
      <c r="FW977" s="226"/>
      <c r="FX977" s="226"/>
      <c r="FY977" s="226"/>
      <c r="FZ977" s="226"/>
      <c r="GA977" s="226"/>
      <c r="GB977" s="226"/>
      <c r="GC977" s="226"/>
      <c r="GD977" s="226"/>
      <c r="GE977" s="226"/>
      <c r="GF977" s="226"/>
      <c r="GG977" s="226"/>
      <c r="GH977" s="226"/>
      <c r="GI977" s="226"/>
      <c r="GJ977" s="226"/>
      <c r="GK977" s="226"/>
      <c r="GL977" s="226"/>
      <c r="GM977" s="226"/>
      <c r="GN977" s="226"/>
    </row>
    <row r="978">
      <c r="A978" s="212"/>
      <c r="B978" s="21"/>
      <c r="C978" s="21"/>
      <c r="D978" s="213"/>
      <c r="E978" s="214"/>
      <c r="F978" s="215"/>
      <c r="G978" s="21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  <c r="AA978" s="226"/>
      <c r="AB978" s="226"/>
      <c r="AC978" s="226"/>
      <c r="AD978" s="226"/>
      <c r="AE978" s="226"/>
      <c r="AF978" s="226"/>
      <c r="AG978" s="226"/>
      <c r="AH978" s="226"/>
      <c r="AI978" s="226"/>
      <c r="AJ978" s="226"/>
      <c r="AK978" s="226"/>
      <c r="AL978" s="226"/>
      <c r="AM978" s="226"/>
      <c r="AN978" s="226"/>
      <c r="AO978" s="226"/>
      <c r="AP978" s="226"/>
      <c r="AQ978" s="226"/>
      <c r="AR978" s="226"/>
      <c r="AS978" s="226"/>
      <c r="AT978" s="226"/>
      <c r="AU978" s="226"/>
      <c r="AV978" s="226"/>
      <c r="AW978" s="226"/>
      <c r="AX978" s="226"/>
      <c r="AY978" s="226"/>
      <c r="AZ978" s="226"/>
      <c r="BA978" s="226"/>
      <c r="BB978" s="226"/>
      <c r="BC978" s="226"/>
      <c r="BD978" s="226"/>
      <c r="BE978" s="226"/>
      <c r="BF978" s="226"/>
      <c r="BG978" s="226"/>
      <c r="BH978" s="226"/>
      <c r="BI978" s="226"/>
      <c r="BJ978" s="226"/>
      <c r="BK978" s="226"/>
      <c r="BL978" s="226"/>
      <c r="BM978" s="226"/>
      <c r="BN978" s="226"/>
      <c r="BO978" s="226"/>
      <c r="BP978" s="226"/>
      <c r="BQ978" s="226"/>
      <c r="BR978" s="226"/>
      <c r="BS978" s="226"/>
      <c r="BT978" s="226"/>
      <c r="BU978" s="226"/>
      <c r="BV978" s="226"/>
      <c r="BW978" s="226"/>
      <c r="BX978" s="226"/>
      <c r="BY978" s="226"/>
      <c r="BZ978" s="226"/>
      <c r="CA978" s="226"/>
      <c r="CB978" s="226"/>
      <c r="CC978" s="226"/>
      <c r="CD978" s="226"/>
      <c r="CE978" s="226"/>
      <c r="CF978" s="226"/>
      <c r="CG978" s="226"/>
      <c r="CH978" s="226"/>
      <c r="CI978" s="226"/>
      <c r="CJ978" s="226"/>
      <c r="CK978" s="226"/>
      <c r="CL978" s="226"/>
      <c r="CM978" s="226"/>
      <c r="CN978" s="226"/>
      <c r="CO978" s="226"/>
      <c r="CP978" s="226"/>
      <c r="CQ978" s="226"/>
      <c r="CR978" s="226"/>
      <c r="CS978" s="226"/>
      <c r="CT978" s="226"/>
      <c r="CU978" s="226"/>
      <c r="CV978" s="226"/>
      <c r="CW978" s="226"/>
      <c r="CX978" s="226"/>
      <c r="CY978" s="226"/>
      <c r="CZ978" s="226"/>
      <c r="DA978" s="226"/>
      <c r="DB978" s="226"/>
      <c r="DC978" s="226"/>
      <c r="DD978" s="226"/>
      <c r="DE978" s="226"/>
      <c r="DF978" s="226"/>
      <c r="DG978" s="226"/>
      <c r="DH978" s="226"/>
      <c r="DI978" s="226"/>
      <c r="DJ978" s="226"/>
      <c r="DK978" s="226"/>
      <c r="DL978" s="226"/>
      <c r="DM978" s="226"/>
      <c r="DN978" s="226"/>
      <c r="DO978" s="226"/>
      <c r="DP978" s="226"/>
      <c r="DQ978" s="226"/>
      <c r="DR978" s="226"/>
      <c r="DS978" s="226"/>
      <c r="DT978" s="226"/>
      <c r="DU978" s="226"/>
      <c r="DV978" s="226"/>
      <c r="DW978" s="226"/>
      <c r="DX978" s="226"/>
      <c r="DY978" s="226"/>
      <c r="DZ978" s="226"/>
      <c r="EA978" s="226"/>
      <c r="EB978" s="226"/>
      <c r="EC978" s="226"/>
      <c r="ED978" s="226"/>
      <c r="EE978" s="226"/>
      <c r="EF978" s="226"/>
      <c r="EG978" s="226"/>
      <c r="EH978" s="226"/>
      <c r="EI978" s="226"/>
      <c r="EJ978" s="226"/>
      <c r="EK978" s="226"/>
      <c r="EL978" s="226"/>
      <c r="EM978" s="226"/>
      <c r="EN978" s="226"/>
      <c r="EO978" s="226"/>
      <c r="EP978" s="226"/>
      <c r="EQ978" s="226"/>
      <c r="ER978" s="226"/>
      <c r="ES978" s="226"/>
      <c r="ET978" s="226"/>
      <c r="EU978" s="226"/>
      <c r="EV978" s="226"/>
      <c r="EW978" s="226"/>
      <c r="EX978" s="226"/>
      <c r="EY978" s="226"/>
      <c r="EZ978" s="226"/>
      <c r="FA978" s="226"/>
      <c r="FB978" s="226"/>
      <c r="FC978" s="226"/>
      <c r="FD978" s="226"/>
      <c r="FE978" s="226"/>
      <c r="FF978" s="226"/>
      <c r="FG978" s="226"/>
      <c r="FH978" s="226"/>
      <c r="FI978" s="226"/>
      <c r="FJ978" s="226"/>
      <c r="FK978" s="226"/>
      <c r="FL978" s="226"/>
      <c r="FM978" s="226"/>
      <c r="FN978" s="226"/>
      <c r="FO978" s="226"/>
      <c r="FP978" s="226"/>
      <c r="FQ978" s="226"/>
      <c r="FR978" s="226"/>
      <c r="FS978" s="226"/>
      <c r="FT978" s="226"/>
      <c r="FU978" s="226"/>
      <c r="FV978" s="226"/>
      <c r="FW978" s="226"/>
      <c r="FX978" s="226"/>
      <c r="FY978" s="226"/>
      <c r="FZ978" s="226"/>
      <c r="GA978" s="226"/>
      <c r="GB978" s="226"/>
      <c r="GC978" s="226"/>
      <c r="GD978" s="226"/>
      <c r="GE978" s="226"/>
      <c r="GF978" s="226"/>
      <c r="GG978" s="226"/>
      <c r="GH978" s="226"/>
      <c r="GI978" s="226"/>
      <c r="GJ978" s="226"/>
      <c r="GK978" s="226"/>
      <c r="GL978" s="226"/>
      <c r="GM978" s="226"/>
      <c r="GN978" s="226"/>
    </row>
    <row r="979">
      <c r="A979" s="212"/>
      <c r="B979" s="21"/>
      <c r="C979" s="21"/>
      <c r="D979" s="213"/>
      <c r="E979" s="214"/>
      <c r="F979" s="215"/>
      <c r="G979" s="21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  <c r="AA979" s="226"/>
      <c r="AB979" s="226"/>
      <c r="AC979" s="226"/>
      <c r="AD979" s="226"/>
      <c r="AE979" s="226"/>
      <c r="AF979" s="226"/>
      <c r="AG979" s="226"/>
      <c r="AH979" s="226"/>
      <c r="AI979" s="226"/>
      <c r="AJ979" s="226"/>
      <c r="AK979" s="226"/>
      <c r="AL979" s="226"/>
      <c r="AM979" s="226"/>
      <c r="AN979" s="226"/>
      <c r="AO979" s="226"/>
      <c r="AP979" s="226"/>
      <c r="AQ979" s="226"/>
      <c r="AR979" s="226"/>
      <c r="AS979" s="226"/>
      <c r="AT979" s="226"/>
      <c r="AU979" s="226"/>
      <c r="AV979" s="226"/>
      <c r="AW979" s="226"/>
      <c r="AX979" s="226"/>
      <c r="AY979" s="226"/>
      <c r="AZ979" s="226"/>
      <c r="BA979" s="226"/>
      <c r="BB979" s="226"/>
      <c r="BC979" s="226"/>
      <c r="BD979" s="226"/>
      <c r="BE979" s="226"/>
      <c r="BF979" s="226"/>
      <c r="BG979" s="226"/>
      <c r="BH979" s="226"/>
      <c r="BI979" s="226"/>
      <c r="BJ979" s="226"/>
      <c r="BK979" s="226"/>
      <c r="BL979" s="226"/>
      <c r="BM979" s="226"/>
      <c r="BN979" s="226"/>
      <c r="BO979" s="226"/>
      <c r="BP979" s="226"/>
      <c r="BQ979" s="226"/>
      <c r="BR979" s="226"/>
      <c r="BS979" s="226"/>
      <c r="BT979" s="226"/>
      <c r="BU979" s="226"/>
      <c r="BV979" s="226"/>
      <c r="BW979" s="226"/>
      <c r="BX979" s="226"/>
      <c r="BY979" s="226"/>
      <c r="BZ979" s="226"/>
      <c r="CA979" s="226"/>
      <c r="CB979" s="226"/>
      <c r="CC979" s="226"/>
      <c r="CD979" s="226"/>
      <c r="CE979" s="226"/>
      <c r="CF979" s="226"/>
      <c r="CG979" s="226"/>
      <c r="CH979" s="226"/>
      <c r="CI979" s="226"/>
      <c r="CJ979" s="226"/>
      <c r="CK979" s="226"/>
      <c r="CL979" s="226"/>
      <c r="CM979" s="226"/>
      <c r="CN979" s="226"/>
      <c r="CO979" s="226"/>
      <c r="CP979" s="226"/>
      <c r="CQ979" s="226"/>
      <c r="CR979" s="226"/>
      <c r="CS979" s="226"/>
      <c r="CT979" s="226"/>
      <c r="CU979" s="226"/>
      <c r="CV979" s="226"/>
      <c r="CW979" s="226"/>
      <c r="CX979" s="226"/>
      <c r="CY979" s="226"/>
      <c r="CZ979" s="226"/>
      <c r="DA979" s="226"/>
      <c r="DB979" s="226"/>
      <c r="DC979" s="226"/>
      <c r="DD979" s="226"/>
      <c r="DE979" s="226"/>
      <c r="DF979" s="226"/>
      <c r="DG979" s="226"/>
      <c r="DH979" s="226"/>
      <c r="DI979" s="226"/>
      <c r="DJ979" s="226"/>
      <c r="DK979" s="226"/>
      <c r="DL979" s="226"/>
      <c r="DM979" s="226"/>
      <c r="DN979" s="226"/>
      <c r="DO979" s="226"/>
      <c r="DP979" s="226"/>
      <c r="DQ979" s="226"/>
      <c r="DR979" s="226"/>
      <c r="DS979" s="226"/>
      <c r="DT979" s="226"/>
      <c r="DU979" s="226"/>
      <c r="DV979" s="226"/>
      <c r="DW979" s="226"/>
      <c r="DX979" s="226"/>
      <c r="DY979" s="226"/>
      <c r="DZ979" s="226"/>
      <c r="EA979" s="226"/>
      <c r="EB979" s="226"/>
      <c r="EC979" s="226"/>
      <c r="ED979" s="226"/>
      <c r="EE979" s="226"/>
      <c r="EF979" s="226"/>
      <c r="EG979" s="226"/>
      <c r="EH979" s="226"/>
      <c r="EI979" s="226"/>
      <c r="EJ979" s="226"/>
      <c r="EK979" s="226"/>
      <c r="EL979" s="226"/>
      <c r="EM979" s="226"/>
      <c r="EN979" s="226"/>
      <c r="EO979" s="226"/>
      <c r="EP979" s="226"/>
      <c r="EQ979" s="226"/>
      <c r="ER979" s="226"/>
      <c r="ES979" s="226"/>
      <c r="ET979" s="226"/>
      <c r="EU979" s="226"/>
      <c r="EV979" s="226"/>
      <c r="EW979" s="226"/>
      <c r="EX979" s="226"/>
      <c r="EY979" s="226"/>
      <c r="EZ979" s="226"/>
      <c r="FA979" s="226"/>
      <c r="FB979" s="226"/>
      <c r="FC979" s="226"/>
      <c r="FD979" s="226"/>
      <c r="FE979" s="226"/>
      <c r="FF979" s="226"/>
      <c r="FG979" s="226"/>
      <c r="FH979" s="226"/>
      <c r="FI979" s="226"/>
      <c r="FJ979" s="226"/>
      <c r="FK979" s="226"/>
      <c r="FL979" s="226"/>
      <c r="FM979" s="226"/>
      <c r="FN979" s="226"/>
      <c r="FO979" s="226"/>
      <c r="FP979" s="226"/>
      <c r="FQ979" s="226"/>
      <c r="FR979" s="226"/>
      <c r="FS979" s="226"/>
      <c r="FT979" s="226"/>
      <c r="FU979" s="226"/>
      <c r="FV979" s="226"/>
      <c r="FW979" s="226"/>
      <c r="FX979" s="226"/>
      <c r="FY979" s="226"/>
      <c r="FZ979" s="226"/>
      <c r="GA979" s="226"/>
      <c r="GB979" s="226"/>
      <c r="GC979" s="226"/>
      <c r="GD979" s="226"/>
      <c r="GE979" s="226"/>
      <c r="GF979" s="226"/>
      <c r="GG979" s="226"/>
      <c r="GH979" s="226"/>
      <c r="GI979" s="226"/>
      <c r="GJ979" s="226"/>
      <c r="GK979" s="226"/>
      <c r="GL979" s="226"/>
      <c r="GM979" s="226"/>
      <c r="GN979" s="226"/>
    </row>
    <row r="980">
      <c r="A980" s="212"/>
      <c r="B980" s="21"/>
      <c r="C980" s="21"/>
      <c r="D980" s="213"/>
      <c r="E980" s="214"/>
      <c r="F980" s="215"/>
      <c r="G980" s="21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  <c r="AA980" s="226"/>
      <c r="AB980" s="226"/>
      <c r="AC980" s="226"/>
      <c r="AD980" s="226"/>
      <c r="AE980" s="226"/>
      <c r="AF980" s="226"/>
      <c r="AG980" s="226"/>
      <c r="AH980" s="226"/>
      <c r="AI980" s="226"/>
      <c r="AJ980" s="226"/>
      <c r="AK980" s="226"/>
      <c r="AL980" s="226"/>
      <c r="AM980" s="226"/>
      <c r="AN980" s="226"/>
      <c r="AO980" s="226"/>
      <c r="AP980" s="226"/>
      <c r="AQ980" s="226"/>
      <c r="AR980" s="226"/>
      <c r="AS980" s="226"/>
      <c r="AT980" s="226"/>
      <c r="AU980" s="226"/>
      <c r="AV980" s="226"/>
      <c r="AW980" s="226"/>
      <c r="AX980" s="226"/>
      <c r="AY980" s="226"/>
      <c r="AZ980" s="226"/>
      <c r="BA980" s="226"/>
      <c r="BB980" s="226"/>
      <c r="BC980" s="226"/>
      <c r="BD980" s="226"/>
      <c r="BE980" s="226"/>
      <c r="BF980" s="226"/>
      <c r="BG980" s="226"/>
      <c r="BH980" s="226"/>
      <c r="BI980" s="226"/>
      <c r="BJ980" s="226"/>
      <c r="BK980" s="226"/>
      <c r="BL980" s="226"/>
      <c r="BM980" s="226"/>
      <c r="BN980" s="226"/>
      <c r="BO980" s="226"/>
      <c r="BP980" s="226"/>
      <c r="BQ980" s="226"/>
      <c r="BR980" s="226"/>
      <c r="BS980" s="226"/>
      <c r="BT980" s="226"/>
      <c r="BU980" s="226"/>
      <c r="BV980" s="226"/>
      <c r="BW980" s="226"/>
      <c r="BX980" s="226"/>
      <c r="BY980" s="226"/>
      <c r="BZ980" s="226"/>
      <c r="CA980" s="226"/>
      <c r="CB980" s="226"/>
      <c r="CC980" s="226"/>
      <c r="CD980" s="226"/>
      <c r="CE980" s="226"/>
      <c r="CF980" s="226"/>
      <c r="CG980" s="226"/>
      <c r="CH980" s="226"/>
      <c r="CI980" s="226"/>
      <c r="CJ980" s="226"/>
      <c r="CK980" s="226"/>
      <c r="CL980" s="226"/>
      <c r="CM980" s="226"/>
      <c r="CN980" s="226"/>
      <c r="CO980" s="226"/>
      <c r="CP980" s="226"/>
      <c r="CQ980" s="226"/>
      <c r="CR980" s="226"/>
      <c r="CS980" s="226"/>
      <c r="CT980" s="226"/>
      <c r="CU980" s="226"/>
      <c r="CV980" s="226"/>
      <c r="CW980" s="226"/>
      <c r="CX980" s="226"/>
      <c r="CY980" s="226"/>
      <c r="CZ980" s="226"/>
      <c r="DA980" s="226"/>
      <c r="DB980" s="226"/>
      <c r="DC980" s="226"/>
      <c r="DD980" s="226"/>
      <c r="DE980" s="226"/>
      <c r="DF980" s="226"/>
      <c r="DG980" s="226"/>
      <c r="DH980" s="226"/>
      <c r="DI980" s="226"/>
      <c r="DJ980" s="226"/>
      <c r="DK980" s="226"/>
      <c r="DL980" s="226"/>
      <c r="DM980" s="226"/>
      <c r="DN980" s="226"/>
      <c r="DO980" s="226"/>
      <c r="DP980" s="226"/>
      <c r="DQ980" s="226"/>
      <c r="DR980" s="226"/>
      <c r="DS980" s="226"/>
      <c r="DT980" s="226"/>
      <c r="DU980" s="226"/>
      <c r="DV980" s="226"/>
      <c r="DW980" s="226"/>
      <c r="DX980" s="226"/>
      <c r="DY980" s="226"/>
      <c r="DZ980" s="226"/>
      <c r="EA980" s="226"/>
      <c r="EB980" s="226"/>
      <c r="EC980" s="226"/>
      <c r="ED980" s="226"/>
      <c r="EE980" s="226"/>
      <c r="EF980" s="226"/>
      <c r="EG980" s="226"/>
      <c r="EH980" s="226"/>
      <c r="EI980" s="226"/>
      <c r="EJ980" s="226"/>
      <c r="EK980" s="226"/>
      <c r="EL980" s="226"/>
      <c r="EM980" s="226"/>
      <c r="EN980" s="226"/>
      <c r="EO980" s="226"/>
      <c r="EP980" s="226"/>
      <c r="EQ980" s="226"/>
      <c r="ER980" s="226"/>
      <c r="ES980" s="226"/>
      <c r="ET980" s="226"/>
      <c r="EU980" s="226"/>
      <c r="EV980" s="226"/>
      <c r="EW980" s="226"/>
      <c r="EX980" s="226"/>
      <c r="EY980" s="226"/>
      <c r="EZ980" s="226"/>
      <c r="FA980" s="226"/>
      <c r="FB980" s="226"/>
      <c r="FC980" s="226"/>
      <c r="FD980" s="226"/>
      <c r="FE980" s="226"/>
      <c r="FF980" s="226"/>
      <c r="FG980" s="226"/>
      <c r="FH980" s="226"/>
      <c r="FI980" s="226"/>
      <c r="FJ980" s="226"/>
      <c r="FK980" s="226"/>
      <c r="FL980" s="226"/>
      <c r="FM980" s="226"/>
      <c r="FN980" s="226"/>
      <c r="FO980" s="226"/>
      <c r="FP980" s="226"/>
      <c r="FQ980" s="226"/>
      <c r="FR980" s="226"/>
      <c r="FS980" s="226"/>
      <c r="FT980" s="226"/>
      <c r="FU980" s="226"/>
      <c r="FV980" s="226"/>
      <c r="FW980" s="226"/>
      <c r="FX980" s="226"/>
      <c r="FY980" s="226"/>
      <c r="FZ980" s="226"/>
      <c r="GA980" s="226"/>
      <c r="GB980" s="226"/>
      <c r="GC980" s="226"/>
      <c r="GD980" s="226"/>
      <c r="GE980" s="226"/>
      <c r="GF980" s="226"/>
      <c r="GG980" s="226"/>
      <c r="GH980" s="226"/>
      <c r="GI980" s="226"/>
      <c r="GJ980" s="226"/>
      <c r="GK980" s="226"/>
      <c r="GL980" s="226"/>
      <c r="GM980" s="226"/>
      <c r="GN980" s="226"/>
    </row>
    <row r="981">
      <c r="A981" s="212"/>
      <c r="B981" s="21"/>
      <c r="C981" s="21"/>
      <c r="D981" s="213"/>
      <c r="E981" s="214"/>
      <c r="F981" s="215"/>
      <c r="G981" s="21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  <c r="AA981" s="226"/>
      <c r="AB981" s="226"/>
      <c r="AC981" s="226"/>
      <c r="AD981" s="226"/>
      <c r="AE981" s="226"/>
      <c r="AF981" s="226"/>
      <c r="AG981" s="226"/>
      <c r="AH981" s="226"/>
      <c r="AI981" s="226"/>
      <c r="AJ981" s="226"/>
      <c r="AK981" s="226"/>
      <c r="AL981" s="226"/>
      <c r="AM981" s="226"/>
      <c r="AN981" s="226"/>
      <c r="AO981" s="226"/>
      <c r="AP981" s="226"/>
      <c r="AQ981" s="226"/>
      <c r="AR981" s="226"/>
      <c r="AS981" s="226"/>
      <c r="AT981" s="226"/>
      <c r="AU981" s="226"/>
      <c r="AV981" s="226"/>
      <c r="AW981" s="226"/>
      <c r="AX981" s="226"/>
      <c r="AY981" s="226"/>
      <c r="AZ981" s="226"/>
      <c r="BA981" s="226"/>
      <c r="BB981" s="226"/>
      <c r="BC981" s="226"/>
      <c r="BD981" s="226"/>
      <c r="BE981" s="226"/>
      <c r="BF981" s="226"/>
      <c r="BG981" s="226"/>
      <c r="BH981" s="226"/>
      <c r="BI981" s="226"/>
      <c r="BJ981" s="226"/>
      <c r="BK981" s="226"/>
      <c r="BL981" s="226"/>
      <c r="BM981" s="226"/>
      <c r="BN981" s="226"/>
      <c r="BO981" s="226"/>
      <c r="BP981" s="226"/>
      <c r="BQ981" s="226"/>
      <c r="BR981" s="226"/>
      <c r="BS981" s="226"/>
      <c r="BT981" s="226"/>
      <c r="BU981" s="226"/>
      <c r="BV981" s="226"/>
      <c r="BW981" s="226"/>
      <c r="BX981" s="226"/>
      <c r="BY981" s="226"/>
      <c r="BZ981" s="226"/>
      <c r="CA981" s="226"/>
      <c r="CB981" s="226"/>
      <c r="CC981" s="226"/>
      <c r="CD981" s="226"/>
      <c r="CE981" s="226"/>
      <c r="CF981" s="226"/>
      <c r="CG981" s="226"/>
      <c r="CH981" s="226"/>
      <c r="CI981" s="226"/>
      <c r="CJ981" s="226"/>
      <c r="CK981" s="226"/>
      <c r="CL981" s="226"/>
      <c r="CM981" s="226"/>
      <c r="CN981" s="226"/>
      <c r="CO981" s="226"/>
      <c r="CP981" s="226"/>
      <c r="CQ981" s="226"/>
      <c r="CR981" s="226"/>
      <c r="CS981" s="226"/>
      <c r="CT981" s="226"/>
      <c r="CU981" s="226"/>
      <c r="CV981" s="226"/>
      <c r="CW981" s="226"/>
      <c r="CX981" s="226"/>
      <c r="CY981" s="226"/>
      <c r="CZ981" s="226"/>
      <c r="DA981" s="226"/>
      <c r="DB981" s="226"/>
      <c r="DC981" s="226"/>
      <c r="DD981" s="226"/>
      <c r="DE981" s="226"/>
      <c r="DF981" s="226"/>
      <c r="DG981" s="226"/>
      <c r="DH981" s="226"/>
      <c r="DI981" s="226"/>
      <c r="DJ981" s="226"/>
      <c r="DK981" s="226"/>
      <c r="DL981" s="226"/>
      <c r="DM981" s="226"/>
      <c r="DN981" s="226"/>
      <c r="DO981" s="226"/>
      <c r="DP981" s="226"/>
      <c r="DQ981" s="226"/>
      <c r="DR981" s="226"/>
      <c r="DS981" s="226"/>
      <c r="DT981" s="226"/>
      <c r="DU981" s="226"/>
      <c r="DV981" s="226"/>
      <c r="DW981" s="226"/>
      <c r="DX981" s="226"/>
      <c r="DY981" s="226"/>
      <c r="DZ981" s="226"/>
      <c r="EA981" s="226"/>
      <c r="EB981" s="226"/>
      <c r="EC981" s="226"/>
      <c r="ED981" s="226"/>
      <c r="EE981" s="226"/>
      <c r="EF981" s="226"/>
      <c r="EG981" s="226"/>
      <c r="EH981" s="226"/>
      <c r="EI981" s="226"/>
      <c r="EJ981" s="226"/>
      <c r="EK981" s="226"/>
      <c r="EL981" s="226"/>
      <c r="EM981" s="226"/>
      <c r="EN981" s="226"/>
      <c r="EO981" s="226"/>
      <c r="EP981" s="226"/>
      <c r="EQ981" s="226"/>
      <c r="ER981" s="226"/>
      <c r="ES981" s="226"/>
      <c r="ET981" s="226"/>
      <c r="EU981" s="226"/>
      <c r="EV981" s="226"/>
      <c r="EW981" s="226"/>
      <c r="EX981" s="226"/>
      <c r="EY981" s="226"/>
      <c r="EZ981" s="226"/>
      <c r="FA981" s="226"/>
      <c r="FB981" s="226"/>
      <c r="FC981" s="226"/>
      <c r="FD981" s="226"/>
      <c r="FE981" s="226"/>
      <c r="FF981" s="226"/>
      <c r="FG981" s="226"/>
      <c r="FH981" s="226"/>
      <c r="FI981" s="226"/>
      <c r="FJ981" s="226"/>
      <c r="FK981" s="226"/>
      <c r="FL981" s="226"/>
      <c r="FM981" s="226"/>
      <c r="FN981" s="226"/>
      <c r="FO981" s="226"/>
      <c r="FP981" s="226"/>
      <c r="FQ981" s="226"/>
      <c r="FR981" s="226"/>
      <c r="FS981" s="226"/>
      <c r="FT981" s="226"/>
      <c r="FU981" s="226"/>
      <c r="FV981" s="226"/>
      <c r="FW981" s="226"/>
      <c r="FX981" s="226"/>
      <c r="FY981" s="226"/>
      <c r="FZ981" s="226"/>
      <c r="GA981" s="226"/>
      <c r="GB981" s="226"/>
      <c r="GC981" s="226"/>
      <c r="GD981" s="226"/>
      <c r="GE981" s="226"/>
      <c r="GF981" s="226"/>
      <c r="GG981" s="226"/>
      <c r="GH981" s="226"/>
      <c r="GI981" s="226"/>
      <c r="GJ981" s="226"/>
      <c r="GK981" s="226"/>
      <c r="GL981" s="226"/>
      <c r="GM981" s="226"/>
      <c r="GN981" s="226"/>
    </row>
    <row r="982">
      <c r="A982" s="212"/>
      <c r="B982" s="21"/>
      <c r="C982" s="21"/>
      <c r="D982" s="213"/>
      <c r="E982" s="214"/>
      <c r="F982" s="215"/>
      <c r="G982" s="21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  <c r="AA982" s="226"/>
      <c r="AB982" s="226"/>
      <c r="AC982" s="226"/>
      <c r="AD982" s="226"/>
      <c r="AE982" s="226"/>
      <c r="AF982" s="226"/>
      <c r="AG982" s="226"/>
      <c r="AH982" s="226"/>
      <c r="AI982" s="226"/>
      <c r="AJ982" s="226"/>
      <c r="AK982" s="226"/>
      <c r="AL982" s="226"/>
      <c r="AM982" s="226"/>
      <c r="AN982" s="226"/>
      <c r="AO982" s="226"/>
      <c r="AP982" s="226"/>
      <c r="AQ982" s="226"/>
      <c r="AR982" s="226"/>
      <c r="AS982" s="226"/>
      <c r="AT982" s="226"/>
      <c r="AU982" s="226"/>
      <c r="AV982" s="226"/>
      <c r="AW982" s="226"/>
      <c r="AX982" s="226"/>
      <c r="AY982" s="226"/>
      <c r="AZ982" s="226"/>
      <c r="BA982" s="226"/>
      <c r="BB982" s="226"/>
      <c r="BC982" s="226"/>
      <c r="BD982" s="226"/>
      <c r="BE982" s="226"/>
      <c r="BF982" s="226"/>
      <c r="BG982" s="226"/>
      <c r="BH982" s="226"/>
      <c r="BI982" s="226"/>
      <c r="BJ982" s="226"/>
      <c r="BK982" s="226"/>
      <c r="BL982" s="226"/>
      <c r="BM982" s="226"/>
      <c r="BN982" s="226"/>
      <c r="BO982" s="226"/>
      <c r="BP982" s="226"/>
      <c r="BQ982" s="226"/>
      <c r="BR982" s="226"/>
      <c r="BS982" s="226"/>
      <c r="BT982" s="226"/>
      <c r="BU982" s="226"/>
      <c r="BV982" s="226"/>
      <c r="BW982" s="226"/>
      <c r="BX982" s="226"/>
      <c r="BY982" s="226"/>
      <c r="BZ982" s="226"/>
      <c r="CA982" s="226"/>
      <c r="CB982" s="226"/>
      <c r="CC982" s="226"/>
      <c r="CD982" s="226"/>
      <c r="CE982" s="226"/>
      <c r="CF982" s="226"/>
      <c r="CG982" s="226"/>
      <c r="CH982" s="226"/>
      <c r="CI982" s="226"/>
      <c r="CJ982" s="226"/>
      <c r="CK982" s="226"/>
      <c r="CL982" s="226"/>
      <c r="CM982" s="226"/>
      <c r="CN982" s="226"/>
      <c r="CO982" s="226"/>
      <c r="CP982" s="226"/>
      <c r="CQ982" s="226"/>
      <c r="CR982" s="226"/>
      <c r="CS982" s="226"/>
      <c r="CT982" s="226"/>
      <c r="CU982" s="226"/>
      <c r="CV982" s="226"/>
      <c r="CW982" s="226"/>
      <c r="CX982" s="226"/>
      <c r="CY982" s="226"/>
      <c r="CZ982" s="226"/>
      <c r="DA982" s="226"/>
      <c r="DB982" s="226"/>
      <c r="DC982" s="226"/>
      <c r="DD982" s="226"/>
      <c r="DE982" s="226"/>
      <c r="DF982" s="226"/>
      <c r="DG982" s="226"/>
      <c r="DH982" s="226"/>
      <c r="DI982" s="226"/>
      <c r="DJ982" s="226"/>
      <c r="DK982" s="226"/>
      <c r="DL982" s="226"/>
      <c r="DM982" s="226"/>
      <c r="DN982" s="226"/>
      <c r="DO982" s="226"/>
      <c r="DP982" s="226"/>
      <c r="DQ982" s="226"/>
      <c r="DR982" s="226"/>
      <c r="DS982" s="226"/>
      <c r="DT982" s="226"/>
      <c r="DU982" s="226"/>
      <c r="DV982" s="226"/>
      <c r="DW982" s="226"/>
      <c r="DX982" s="226"/>
      <c r="DY982" s="226"/>
      <c r="DZ982" s="226"/>
      <c r="EA982" s="226"/>
      <c r="EB982" s="226"/>
      <c r="EC982" s="226"/>
      <c r="ED982" s="226"/>
      <c r="EE982" s="226"/>
      <c r="EF982" s="226"/>
      <c r="EG982" s="226"/>
      <c r="EH982" s="226"/>
      <c r="EI982" s="226"/>
      <c r="EJ982" s="226"/>
      <c r="EK982" s="226"/>
      <c r="EL982" s="226"/>
      <c r="EM982" s="226"/>
      <c r="EN982" s="226"/>
      <c r="EO982" s="226"/>
      <c r="EP982" s="226"/>
      <c r="EQ982" s="226"/>
      <c r="ER982" s="226"/>
      <c r="ES982" s="226"/>
      <c r="ET982" s="226"/>
      <c r="EU982" s="226"/>
      <c r="EV982" s="226"/>
      <c r="EW982" s="226"/>
      <c r="EX982" s="226"/>
      <c r="EY982" s="226"/>
      <c r="EZ982" s="226"/>
      <c r="FA982" s="226"/>
      <c r="FB982" s="226"/>
      <c r="FC982" s="226"/>
      <c r="FD982" s="226"/>
      <c r="FE982" s="226"/>
      <c r="FF982" s="226"/>
      <c r="FG982" s="226"/>
      <c r="FH982" s="226"/>
      <c r="FI982" s="226"/>
      <c r="FJ982" s="226"/>
      <c r="FK982" s="226"/>
      <c r="FL982" s="226"/>
      <c r="FM982" s="226"/>
      <c r="FN982" s="226"/>
      <c r="FO982" s="226"/>
      <c r="FP982" s="226"/>
      <c r="FQ982" s="226"/>
      <c r="FR982" s="226"/>
      <c r="FS982" s="226"/>
      <c r="FT982" s="226"/>
      <c r="FU982" s="226"/>
      <c r="FV982" s="226"/>
      <c r="FW982" s="226"/>
      <c r="FX982" s="226"/>
      <c r="FY982" s="226"/>
      <c r="FZ982" s="226"/>
      <c r="GA982" s="226"/>
      <c r="GB982" s="226"/>
      <c r="GC982" s="226"/>
      <c r="GD982" s="226"/>
      <c r="GE982" s="226"/>
      <c r="GF982" s="226"/>
      <c r="GG982" s="226"/>
      <c r="GH982" s="226"/>
      <c r="GI982" s="226"/>
      <c r="GJ982" s="226"/>
      <c r="GK982" s="226"/>
      <c r="GL982" s="226"/>
      <c r="GM982" s="226"/>
      <c r="GN982" s="226"/>
    </row>
    <row r="983">
      <c r="A983" s="212"/>
      <c r="B983" s="21"/>
      <c r="C983" s="21"/>
      <c r="D983" s="213"/>
      <c r="E983" s="214"/>
      <c r="F983" s="215"/>
      <c r="G983" s="21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  <c r="AA983" s="226"/>
      <c r="AB983" s="226"/>
      <c r="AC983" s="226"/>
      <c r="AD983" s="226"/>
      <c r="AE983" s="226"/>
      <c r="AF983" s="226"/>
      <c r="AG983" s="226"/>
      <c r="AH983" s="226"/>
      <c r="AI983" s="226"/>
      <c r="AJ983" s="226"/>
      <c r="AK983" s="226"/>
      <c r="AL983" s="226"/>
      <c r="AM983" s="226"/>
      <c r="AN983" s="226"/>
      <c r="AO983" s="226"/>
      <c r="AP983" s="226"/>
      <c r="AQ983" s="226"/>
      <c r="AR983" s="226"/>
      <c r="AS983" s="226"/>
      <c r="AT983" s="226"/>
      <c r="AU983" s="226"/>
      <c r="AV983" s="226"/>
      <c r="AW983" s="226"/>
      <c r="AX983" s="226"/>
      <c r="AY983" s="226"/>
      <c r="AZ983" s="226"/>
      <c r="BA983" s="226"/>
      <c r="BB983" s="226"/>
      <c r="BC983" s="226"/>
      <c r="BD983" s="226"/>
      <c r="BE983" s="226"/>
      <c r="BF983" s="226"/>
      <c r="BG983" s="226"/>
      <c r="BH983" s="226"/>
      <c r="BI983" s="226"/>
      <c r="BJ983" s="226"/>
      <c r="BK983" s="226"/>
      <c r="BL983" s="226"/>
      <c r="BM983" s="226"/>
      <c r="BN983" s="226"/>
      <c r="BO983" s="226"/>
      <c r="BP983" s="226"/>
      <c r="BQ983" s="226"/>
      <c r="BR983" s="226"/>
      <c r="BS983" s="226"/>
      <c r="BT983" s="226"/>
      <c r="BU983" s="226"/>
      <c r="BV983" s="226"/>
      <c r="BW983" s="226"/>
      <c r="BX983" s="226"/>
      <c r="BY983" s="226"/>
      <c r="BZ983" s="226"/>
      <c r="CA983" s="226"/>
      <c r="CB983" s="226"/>
      <c r="CC983" s="226"/>
      <c r="CD983" s="226"/>
      <c r="CE983" s="226"/>
      <c r="CF983" s="226"/>
      <c r="CG983" s="226"/>
      <c r="CH983" s="226"/>
      <c r="CI983" s="226"/>
      <c r="CJ983" s="226"/>
      <c r="CK983" s="226"/>
      <c r="CL983" s="226"/>
      <c r="CM983" s="226"/>
      <c r="CN983" s="226"/>
      <c r="CO983" s="226"/>
      <c r="CP983" s="226"/>
      <c r="CQ983" s="226"/>
      <c r="CR983" s="226"/>
      <c r="CS983" s="226"/>
      <c r="CT983" s="226"/>
      <c r="CU983" s="226"/>
      <c r="CV983" s="226"/>
      <c r="CW983" s="226"/>
      <c r="CX983" s="226"/>
      <c r="CY983" s="226"/>
      <c r="CZ983" s="226"/>
      <c r="DA983" s="226"/>
      <c r="DB983" s="226"/>
      <c r="DC983" s="226"/>
      <c r="DD983" s="226"/>
      <c r="DE983" s="226"/>
      <c r="DF983" s="226"/>
      <c r="DG983" s="226"/>
      <c r="DH983" s="226"/>
      <c r="DI983" s="226"/>
      <c r="DJ983" s="226"/>
      <c r="DK983" s="226"/>
      <c r="DL983" s="226"/>
      <c r="DM983" s="226"/>
      <c r="DN983" s="226"/>
      <c r="DO983" s="226"/>
      <c r="DP983" s="226"/>
      <c r="DQ983" s="226"/>
      <c r="DR983" s="226"/>
      <c r="DS983" s="226"/>
      <c r="DT983" s="226"/>
      <c r="DU983" s="226"/>
      <c r="DV983" s="226"/>
      <c r="DW983" s="226"/>
      <c r="DX983" s="226"/>
      <c r="DY983" s="226"/>
      <c r="DZ983" s="226"/>
      <c r="EA983" s="226"/>
      <c r="EB983" s="226"/>
      <c r="EC983" s="226"/>
      <c r="ED983" s="226"/>
      <c r="EE983" s="226"/>
      <c r="EF983" s="226"/>
      <c r="EG983" s="226"/>
      <c r="EH983" s="226"/>
      <c r="EI983" s="226"/>
      <c r="EJ983" s="226"/>
      <c r="EK983" s="226"/>
      <c r="EL983" s="226"/>
      <c r="EM983" s="226"/>
      <c r="EN983" s="226"/>
      <c r="EO983" s="226"/>
      <c r="EP983" s="226"/>
      <c r="EQ983" s="226"/>
      <c r="ER983" s="226"/>
      <c r="ES983" s="226"/>
      <c r="ET983" s="226"/>
      <c r="EU983" s="226"/>
      <c r="EV983" s="226"/>
      <c r="EW983" s="226"/>
      <c r="EX983" s="226"/>
      <c r="EY983" s="226"/>
      <c r="EZ983" s="226"/>
      <c r="FA983" s="226"/>
      <c r="FB983" s="226"/>
      <c r="FC983" s="226"/>
      <c r="FD983" s="226"/>
      <c r="FE983" s="226"/>
      <c r="FF983" s="226"/>
      <c r="FG983" s="226"/>
      <c r="FH983" s="226"/>
      <c r="FI983" s="226"/>
      <c r="FJ983" s="226"/>
      <c r="FK983" s="226"/>
      <c r="FL983" s="226"/>
      <c r="FM983" s="226"/>
      <c r="FN983" s="226"/>
      <c r="FO983" s="226"/>
      <c r="FP983" s="226"/>
      <c r="FQ983" s="226"/>
      <c r="FR983" s="226"/>
      <c r="FS983" s="226"/>
      <c r="FT983" s="226"/>
      <c r="FU983" s="226"/>
      <c r="FV983" s="226"/>
      <c r="FW983" s="226"/>
      <c r="FX983" s="226"/>
      <c r="FY983" s="226"/>
      <c r="FZ983" s="226"/>
      <c r="GA983" s="226"/>
      <c r="GB983" s="226"/>
      <c r="GC983" s="226"/>
      <c r="GD983" s="226"/>
      <c r="GE983" s="226"/>
      <c r="GF983" s="226"/>
      <c r="GG983" s="226"/>
      <c r="GH983" s="226"/>
      <c r="GI983" s="226"/>
      <c r="GJ983" s="226"/>
      <c r="GK983" s="226"/>
      <c r="GL983" s="226"/>
      <c r="GM983" s="226"/>
      <c r="GN983" s="226"/>
    </row>
    <row r="984">
      <c r="A984" s="212"/>
      <c r="B984" s="21"/>
      <c r="C984" s="21"/>
      <c r="D984" s="213"/>
      <c r="E984" s="214"/>
      <c r="F984" s="215"/>
      <c r="G984" s="21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  <c r="AA984" s="226"/>
      <c r="AB984" s="226"/>
      <c r="AC984" s="226"/>
      <c r="AD984" s="226"/>
      <c r="AE984" s="226"/>
      <c r="AF984" s="226"/>
      <c r="AG984" s="226"/>
      <c r="AH984" s="226"/>
      <c r="AI984" s="226"/>
      <c r="AJ984" s="226"/>
      <c r="AK984" s="226"/>
      <c r="AL984" s="226"/>
      <c r="AM984" s="226"/>
      <c r="AN984" s="226"/>
      <c r="AO984" s="226"/>
      <c r="AP984" s="226"/>
      <c r="AQ984" s="226"/>
      <c r="AR984" s="226"/>
      <c r="AS984" s="226"/>
      <c r="AT984" s="226"/>
      <c r="AU984" s="226"/>
      <c r="AV984" s="226"/>
      <c r="AW984" s="226"/>
      <c r="AX984" s="226"/>
      <c r="AY984" s="226"/>
      <c r="AZ984" s="226"/>
      <c r="BA984" s="226"/>
      <c r="BB984" s="226"/>
      <c r="BC984" s="226"/>
      <c r="BD984" s="226"/>
      <c r="BE984" s="226"/>
      <c r="BF984" s="226"/>
      <c r="BG984" s="226"/>
      <c r="BH984" s="226"/>
      <c r="BI984" s="226"/>
      <c r="BJ984" s="226"/>
      <c r="BK984" s="226"/>
      <c r="BL984" s="226"/>
      <c r="BM984" s="226"/>
      <c r="BN984" s="226"/>
      <c r="BO984" s="226"/>
      <c r="BP984" s="226"/>
      <c r="BQ984" s="226"/>
      <c r="BR984" s="226"/>
      <c r="BS984" s="226"/>
      <c r="BT984" s="226"/>
      <c r="BU984" s="226"/>
      <c r="BV984" s="226"/>
      <c r="BW984" s="226"/>
      <c r="BX984" s="226"/>
      <c r="BY984" s="226"/>
      <c r="BZ984" s="226"/>
      <c r="CA984" s="226"/>
      <c r="CB984" s="226"/>
      <c r="CC984" s="226"/>
      <c r="CD984" s="226"/>
      <c r="CE984" s="226"/>
      <c r="CF984" s="226"/>
      <c r="CG984" s="226"/>
      <c r="CH984" s="226"/>
      <c r="CI984" s="226"/>
      <c r="CJ984" s="226"/>
      <c r="CK984" s="226"/>
      <c r="CL984" s="226"/>
      <c r="CM984" s="226"/>
      <c r="CN984" s="226"/>
      <c r="CO984" s="226"/>
      <c r="CP984" s="226"/>
      <c r="CQ984" s="226"/>
      <c r="CR984" s="226"/>
      <c r="CS984" s="226"/>
      <c r="CT984" s="226"/>
      <c r="CU984" s="226"/>
      <c r="CV984" s="226"/>
      <c r="CW984" s="226"/>
      <c r="CX984" s="226"/>
      <c r="CY984" s="226"/>
      <c r="CZ984" s="226"/>
      <c r="DA984" s="226"/>
      <c r="DB984" s="226"/>
      <c r="DC984" s="226"/>
      <c r="DD984" s="226"/>
      <c r="DE984" s="226"/>
      <c r="DF984" s="226"/>
      <c r="DG984" s="226"/>
      <c r="DH984" s="226"/>
      <c r="DI984" s="226"/>
      <c r="DJ984" s="226"/>
      <c r="DK984" s="226"/>
      <c r="DL984" s="226"/>
      <c r="DM984" s="226"/>
      <c r="DN984" s="226"/>
      <c r="DO984" s="226"/>
      <c r="DP984" s="226"/>
      <c r="DQ984" s="226"/>
      <c r="DR984" s="226"/>
      <c r="DS984" s="226"/>
      <c r="DT984" s="226"/>
      <c r="DU984" s="226"/>
      <c r="DV984" s="226"/>
      <c r="DW984" s="226"/>
      <c r="DX984" s="226"/>
      <c r="DY984" s="226"/>
      <c r="DZ984" s="226"/>
      <c r="EA984" s="226"/>
      <c r="EB984" s="226"/>
      <c r="EC984" s="226"/>
      <c r="ED984" s="226"/>
      <c r="EE984" s="226"/>
      <c r="EF984" s="226"/>
      <c r="EG984" s="226"/>
      <c r="EH984" s="226"/>
      <c r="EI984" s="226"/>
      <c r="EJ984" s="226"/>
      <c r="EK984" s="226"/>
      <c r="EL984" s="226"/>
      <c r="EM984" s="226"/>
      <c r="EN984" s="226"/>
      <c r="EO984" s="226"/>
      <c r="EP984" s="226"/>
      <c r="EQ984" s="226"/>
      <c r="ER984" s="226"/>
      <c r="ES984" s="226"/>
      <c r="ET984" s="226"/>
      <c r="EU984" s="226"/>
      <c r="EV984" s="226"/>
      <c r="EW984" s="226"/>
      <c r="EX984" s="226"/>
      <c r="EY984" s="226"/>
      <c r="EZ984" s="226"/>
      <c r="FA984" s="226"/>
      <c r="FB984" s="226"/>
      <c r="FC984" s="226"/>
      <c r="FD984" s="226"/>
      <c r="FE984" s="226"/>
      <c r="FF984" s="226"/>
      <c r="FG984" s="226"/>
      <c r="FH984" s="226"/>
      <c r="FI984" s="226"/>
      <c r="FJ984" s="226"/>
      <c r="FK984" s="226"/>
      <c r="FL984" s="226"/>
      <c r="FM984" s="226"/>
      <c r="FN984" s="226"/>
      <c r="FO984" s="226"/>
      <c r="FP984" s="226"/>
      <c r="FQ984" s="226"/>
      <c r="FR984" s="226"/>
      <c r="FS984" s="226"/>
      <c r="FT984" s="226"/>
      <c r="FU984" s="226"/>
      <c r="FV984" s="226"/>
      <c r="FW984" s="226"/>
      <c r="FX984" s="226"/>
      <c r="FY984" s="226"/>
      <c r="FZ984" s="226"/>
      <c r="GA984" s="226"/>
      <c r="GB984" s="226"/>
      <c r="GC984" s="226"/>
      <c r="GD984" s="226"/>
      <c r="GE984" s="226"/>
      <c r="GF984" s="226"/>
      <c r="GG984" s="226"/>
      <c r="GH984" s="226"/>
      <c r="GI984" s="226"/>
      <c r="GJ984" s="226"/>
      <c r="GK984" s="226"/>
      <c r="GL984" s="226"/>
      <c r="GM984" s="226"/>
      <c r="GN984" s="226"/>
    </row>
    <row r="985">
      <c r="A985" s="212"/>
      <c r="B985" s="21"/>
      <c r="C985" s="21"/>
      <c r="D985" s="213"/>
      <c r="E985" s="214"/>
      <c r="F985" s="215"/>
      <c r="G985" s="21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  <c r="AA985" s="226"/>
      <c r="AB985" s="226"/>
      <c r="AC985" s="226"/>
      <c r="AD985" s="226"/>
      <c r="AE985" s="226"/>
      <c r="AF985" s="226"/>
      <c r="AG985" s="226"/>
      <c r="AH985" s="226"/>
      <c r="AI985" s="226"/>
      <c r="AJ985" s="226"/>
      <c r="AK985" s="226"/>
      <c r="AL985" s="226"/>
      <c r="AM985" s="226"/>
      <c r="AN985" s="226"/>
      <c r="AO985" s="226"/>
      <c r="AP985" s="226"/>
      <c r="AQ985" s="226"/>
      <c r="AR985" s="226"/>
      <c r="AS985" s="226"/>
      <c r="AT985" s="226"/>
      <c r="AU985" s="226"/>
      <c r="AV985" s="226"/>
      <c r="AW985" s="226"/>
      <c r="AX985" s="226"/>
      <c r="AY985" s="226"/>
      <c r="AZ985" s="226"/>
      <c r="BA985" s="226"/>
      <c r="BB985" s="226"/>
      <c r="BC985" s="226"/>
      <c r="BD985" s="226"/>
      <c r="BE985" s="226"/>
      <c r="BF985" s="226"/>
      <c r="BG985" s="226"/>
      <c r="BH985" s="226"/>
      <c r="BI985" s="226"/>
      <c r="BJ985" s="226"/>
      <c r="BK985" s="226"/>
      <c r="BL985" s="226"/>
      <c r="BM985" s="226"/>
      <c r="BN985" s="226"/>
      <c r="BO985" s="226"/>
      <c r="BP985" s="226"/>
      <c r="BQ985" s="226"/>
      <c r="BR985" s="226"/>
      <c r="BS985" s="226"/>
      <c r="BT985" s="226"/>
      <c r="BU985" s="226"/>
      <c r="BV985" s="226"/>
      <c r="BW985" s="226"/>
      <c r="BX985" s="226"/>
      <c r="BY985" s="226"/>
      <c r="BZ985" s="226"/>
      <c r="CA985" s="226"/>
      <c r="CB985" s="226"/>
      <c r="CC985" s="226"/>
      <c r="CD985" s="226"/>
      <c r="CE985" s="226"/>
      <c r="CF985" s="226"/>
      <c r="CG985" s="226"/>
      <c r="CH985" s="226"/>
      <c r="CI985" s="226"/>
      <c r="CJ985" s="226"/>
      <c r="CK985" s="226"/>
      <c r="CL985" s="226"/>
      <c r="CM985" s="226"/>
      <c r="CN985" s="226"/>
      <c r="CO985" s="226"/>
      <c r="CP985" s="226"/>
      <c r="CQ985" s="226"/>
      <c r="CR985" s="226"/>
      <c r="CS985" s="226"/>
      <c r="CT985" s="226"/>
      <c r="CU985" s="226"/>
      <c r="CV985" s="226"/>
      <c r="CW985" s="226"/>
      <c r="CX985" s="226"/>
      <c r="CY985" s="226"/>
      <c r="CZ985" s="226"/>
      <c r="DA985" s="226"/>
      <c r="DB985" s="226"/>
      <c r="DC985" s="226"/>
      <c r="DD985" s="226"/>
      <c r="DE985" s="226"/>
      <c r="DF985" s="226"/>
      <c r="DG985" s="226"/>
      <c r="DH985" s="226"/>
      <c r="DI985" s="226"/>
      <c r="DJ985" s="226"/>
      <c r="DK985" s="226"/>
      <c r="DL985" s="226"/>
      <c r="DM985" s="226"/>
      <c r="DN985" s="226"/>
      <c r="DO985" s="226"/>
      <c r="DP985" s="226"/>
      <c r="DQ985" s="226"/>
      <c r="DR985" s="226"/>
      <c r="DS985" s="226"/>
      <c r="DT985" s="226"/>
      <c r="DU985" s="226"/>
      <c r="DV985" s="226"/>
      <c r="DW985" s="226"/>
      <c r="DX985" s="226"/>
      <c r="DY985" s="226"/>
      <c r="DZ985" s="226"/>
      <c r="EA985" s="226"/>
      <c r="EB985" s="226"/>
      <c r="EC985" s="226"/>
      <c r="ED985" s="226"/>
      <c r="EE985" s="226"/>
      <c r="EF985" s="226"/>
      <c r="EG985" s="226"/>
      <c r="EH985" s="226"/>
      <c r="EI985" s="226"/>
      <c r="EJ985" s="226"/>
      <c r="EK985" s="226"/>
      <c r="EL985" s="226"/>
      <c r="EM985" s="226"/>
      <c r="EN985" s="226"/>
      <c r="EO985" s="226"/>
      <c r="EP985" s="226"/>
      <c r="EQ985" s="226"/>
      <c r="ER985" s="226"/>
      <c r="ES985" s="226"/>
      <c r="ET985" s="226"/>
      <c r="EU985" s="226"/>
      <c r="EV985" s="226"/>
      <c r="EW985" s="226"/>
      <c r="EX985" s="226"/>
      <c r="EY985" s="226"/>
      <c r="EZ985" s="226"/>
      <c r="FA985" s="226"/>
      <c r="FB985" s="226"/>
      <c r="FC985" s="226"/>
      <c r="FD985" s="226"/>
      <c r="FE985" s="226"/>
      <c r="FF985" s="226"/>
      <c r="FG985" s="226"/>
      <c r="FH985" s="226"/>
      <c r="FI985" s="226"/>
      <c r="FJ985" s="226"/>
      <c r="FK985" s="226"/>
      <c r="FL985" s="226"/>
      <c r="FM985" s="226"/>
      <c r="FN985" s="226"/>
      <c r="FO985" s="226"/>
      <c r="FP985" s="226"/>
      <c r="FQ985" s="226"/>
      <c r="FR985" s="226"/>
      <c r="FS985" s="226"/>
      <c r="FT985" s="226"/>
      <c r="FU985" s="226"/>
      <c r="FV985" s="226"/>
      <c r="FW985" s="226"/>
      <c r="FX985" s="226"/>
      <c r="FY985" s="226"/>
      <c r="FZ985" s="226"/>
      <c r="GA985" s="226"/>
      <c r="GB985" s="226"/>
      <c r="GC985" s="226"/>
      <c r="GD985" s="226"/>
      <c r="GE985" s="226"/>
      <c r="GF985" s="226"/>
      <c r="GG985" s="226"/>
      <c r="GH985" s="226"/>
      <c r="GI985" s="226"/>
      <c r="GJ985" s="226"/>
      <c r="GK985" s="226"/>
      <c r="GL985" s="226"/>
      <c r="GM985" s="226"/>
      <c r="GN985" s="226"/>
    </row>
    <row r="986">
      <c r="A986" s="212"/>
      <c r="B986" s="21"/>
      <c r="C986" s="21"/>
      <c r="D986" s="213"/>
      <c r="E986" s="214"/>
      <c r="F986" s="215"/>
      <c r="G986" s="21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  <c r="AA986" s="226"/>
      <c r="AB986" s="226"/>
      <c r="AC986" s="226"/>
      <c r="AD986" s="226"/>
      <c r="AE986" s="226"/>
      <c r="AF986" s="226"/>
      <c r="AG986" s="226"/>
      <c r="AH986" s="226"/>
      <c r="AI986" s="226"/>
      <c r="AJ986" s="226"/>
      <c r="AK986" s="226"/>
      <c r="AL986" s="226"/>
      <c r="AM986" s="226"/>
      <c r="AN986" s="226"/>
      <c r="AO986" s="226"/>
      <c r="AP986" s="226"/>
      <c r="AQ986" s="226"/>
      <c r="AR986" s="226"/>
      <c r="AS986" s="226"/>
      <c r="AT986" s="226"/>
      <c r="AU986" s="226"/>
      <c r="AV986" s="226"/>
      <c r="AW986" s="226"/>
      <c r="AX986" s="226"/>
      <c r="AY986" s="226"/>
      <c r="AZ986" s="226"/>
      <c r="BA986" s="226"/>
      <c r="BB986" s="226"/>
      <c r="BC986" s="226"/>
      <c r="BD986" s="226"/>
      <c r="BE986" s="226"/>
      <c r="BF986" s="226"/>
      <c r="BG986" s="226"/>
      <c r="BH986" s="226"/>
      <c r="BI986" s="226"/>
      <c r="BJ986" s="226"/>
      <c r="BK986" s="226"/>
      <c r="BL986" s="226"/>
      <c r="BM986" s="226"/>
      <c r="BN986" s="226"/>
      <c r="BO986" s="226"/>
      <c r="BP986" s="226"/>
      <c r="BQ986" s="226"/>
      <c r="BR986" s="226"/>
      <c r="BS986" s="226"/>
      <c r="BT986" s="226"/>
      <c r="BU986" s="226"/>
      <c r="BV986" s="226"/>
      <c r="BW986" s="226"/>
      <c r="BX986" s="226"/>
      <c r="BY986" s="226"/>
      <c r="BZ986" s="226"/>
      <c r="CA986" s="226"/>
      <c r="CB986" s="226"/>
      <c r="CC986" s="226"/>
      <c r="CD986" s="226"/>
      <c r="CE986" s="226"/>
      <c r="CF986" s="226"/>
      <c r="CG986" s="226"/>
      <c r="CH986" s="226"/>
      <c r="CI986" s="226"/>
      <c r="CJ986" s="226"/>
      <c r="CK986" s="226"/>
      <c r="CL986" s="226"/>
      <c r="CM986" s="226"/>
      <c r="CN986" s="226"/>
      <c r="CO986" s="226"/>
      <c r="CP986" s="226"/>
      <c r="CQ986" s="226"/>
      <c r="CR986" s="226"/>
      <c r="CS986" s="226"/>
      <c r="CT986" s="226"/>
      <c r="CU986" s="226"/>
      <c r="CV986" s="226"/>
      <c r="CW986" s="226"/>
      <c r="CX986" s="226"/>
      <c r="CY986" s="226"/>
      <c r="CZ986" s="226"/>
      <c r="DA986" s="226"/>
      <c r="DB986" s="226"/>
      <c r="DC986" s="226"/>
      <c r="DD986" s="226"/>
      <c r="DE986" s="226"/>
      <c r="DF986" s="226"/>
      <c r="DG986" s="226"/>
      <c r="DH986" s="226"/>
      <c r="DI986" s="226"/>
      <c r="DJ986" s="226"/>
      <c r="DK986" s="226"/>
      <c r="DL986" s="226"/>
      <c r="DM986" s="226"/>
      <c r="DN986" s="226"/>
      <c r="DO986" s="226"/>
      <c r="DP986" s="226"/>
      <c r="DQ986" s="226"/>
      <c r="DR986" s="226"/>
      <c r="DS986" s="226"/>
      <c r="DT986" s="226"/>
      <c r="DU986" s="226"/>
      <c r="DV986" s="226"/>
      <c r="DW986" s="226"/>
      <c r="DX986" s="226"/>
      <c r="DY986" s="226"/>
      <c r="DZ986" s="226"/>
      <c r="EA986" s="226"/>
      <c r="EB986" s="226"/>
      <c r="EC986" s="226"/>
      <c r="ED986" s="226"/>
      <c r="EE986" s="226"/>
      <c r="EF986" s="226"/>
      <c r="EG986" s="226"/>
      <c r="EH986" s="226"/>
      <c r="EI986" s="226"/>
      <c r="EJ986" s="226"/>
      <c r="EK986" s="226"/>
      <c r="EL986" s="226"/>
      <c r="EM986" s="226"/>
      <c r="EN986" s="226"/>
      <c r="EO986" s="226"/>
      <c r="EP986" s="226"/>
      <c r="EQ986" s="226"/>
      <c r="ER986" s="226"/>
      <c r="ES986" s="226"/>
      <c r="ET986" s="226"/>
      <c r="EU986" s="226"/>
      <c r="EV986" s="226"/>
      <c r="EW986" s="226"/>
      <c r="EX986" s="226"/>
      <c r="EY986" s="226"/>
      <c r="EZ986" s="226"/>
      <c r="FA986" s="226"/>
      <c r="FB986" s="226"/>
      <c r="FC986" s="226"/>
      <c r="FD986" s="226"/>
      <c r="FE986" s="226"/>
      <c r="FF986" s="226"/>
      <c r="FG986" s="226"/>
      <c r="FH986" s="226"/>
      <c r="FI986" s="226"/>
      <c r="FJ986" s="226"/>
      <c r="FK986" s="226"/>
      <c r="FL986" s="226"/>
      <c r="FM986" s="226"/>
      <c r="FN986" s="226"/>
      <c r="FO986" s="226"/>
      <c r="FP986" s="226"/>
      <c r="FQ986" s="226"/>
      <c r="FR986" s="226"/>
      <c r="FS986" s="226"/>
      <c r="FT986" s="226"/>
      <c r="FU986" s="226"/>
      <c r="FV986" s="226"/>
      <c r="FW986" s="226"/>
      <c r="FX986" s="226"/>
      <c r="FY986" s="226"/>
      <c r="FZ986" s="226"/>
      <c r="GA986" s="226"/>
      <c r="GB986" s="226"/>
      <c r="GC986" s="226"/>
      <c r="GD986" s="226"/>
      <c r="GE986" s="226"/>
      <c r="GF986" s="226"/>
      <c r="GG986" s="226"/>
      <c r="GH986" s="226"/>
      <c r="GI986" s="226"/>
      <c r="GJ986" s="226"/>
      <c r="GK986" s="226"/>
      <c r="GL986" s="226"/>
      <c r="GM986" s="226"/>
      <c r="GN986" s="226"/>
    </row>
    <row r="987">
      <c r="A987" s="212"/>
      <c r="B987" s="21"/>
      <c r="C987" s="21"/>
      <c r="D987" s="213"/>
      <c r="E987" s="214"/>
      <c r="F987" s="215"/>
      <c r="G987" s="21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  <c r="AA987" s="226"/>
      <c r="AB987" s="226"/>
      <c r="AC987" s="226"/>
      <c r="AD987" s="226"/>
      <c r="AE987" s="226"/>
      <c r="AF987" s="226"/>
      <c r="AG987" s="226"/>
      <c r="AH987" s="226"/>
      <c r="AI987" s="226"/>
      <c r="AJ987" s="226"/>
      <c r="AK987" s="226"/>
      <c r="AL987" s="226"/>
      <c r="AM987" s="226"/>
      <c r="AN987" s="226"/>
      <c r="AO987" s="226"/>
      <c r="AP987" s="226"/>
      <c r="AQ987" s="226"/>
      <c r="AR987" s="226"/>
      <c r="AS987" s="226"/>
      <c r="AT987" s="226"/>
      <c r="AU987" s="226"/>
      <c r="AV987" s="226"/>
      <c r="AW987" s="226"/>
      <c r="AX987" s="226"/>
      <c r="AY987" s="226"/>
      <c r="AZ987" s="226"/>
      <c r="BA987" s="226"/>
      <c r="BB987" s="226"/>
      <c r="BC987" s="226"/>
      <c r="BD987" s="226"/>
      <c r="BE987" s="226"/>
      <c r="BF987" s="226"/>
      <c r="BG987" s="226"/>
      <c r="BH987" s="226"/>
      <c r="BI987" s="226"/>
      <c r="BJ987" s="226"/>
      <c r="BK987" s="226"/>
      <c r="BL987" s="226"/>
      <c r="BM987" s="226"/>
      <c r="BN987" s="226"/>
      <c r="BO987" s="226"/>
      <c r="BP987" s="226"/>
      <c r="BQ987" s="226"/>
      <c r="BR987" s="226"/>
      <c r="BS987" s="226"/>
      <c r="BT987" s="226"/>
      <c r="BU987" s="226"/>
      <c r="BV987" s="226"/>
      <c r="BW987" s="226"/>
      <c r="BX987" s="226"/>
      <c r="BY987" s="226"/>
      <c r="BZ987" s="226"/>
      <c r="CA987" s="226"/>
      <c r="CB987" s="226"/>
      <c r="CC987" s="226"/>
      <c r="CD987" s="226"/>
      <c r="CE987" s="226"/>
      <c r="CF987" s="226"/>
      <c r="CG987" s="226"/>
      <c r="CH987" s="226"/>
      <c r="CI987" s="226"/>
      <c r="CJ987" s="226"/>
      <c r="CK987" s="226"/>
      <c r="CL987" s="226"/>
      <c r="CM987" s="226"/>
      <c r="CN987" s="226"/>
      <c r="CO987" s="226"/>
      <c r="CP987" s="226"/>
      <c r="CQ987" s="226"/>
      <c r="CR987" s="226"/>
      <c r="CS987" s="226"/>
      <c r="CT987" s="226"/>
      <c r="CU987" s="226"/>
      <c r="CV987" s="226"/>
      <c r="CW987" s="226"/>
      <c r="CX987" s="226"/>
      <c r="CY987" s="226"/>
      <c r="CZ987" s="226"/>
      <c r="DA987" s="226"/>
      <c r="DB987" s="226"/>
      <c r="DC987" s="226"/>
      <c r="DD987" s="226"/>
      <c r="DE987" s="226"/>
      <c r="DF987" s="226"/>
      <c r="DG987" s="226"/>
      <c r="DH987" s="226"/>
      <c r="DI987" s="226"/>
      <c r="DJ987" s="226"/>
      <c r="DK987" s="226"/>
      <c r="DL987" s="226"/>
      <c r="DM987" s="226"/>
      <c r="DN987" s="226"/>
      <c r="DO987" s="226"/>
      <c r="DP987" s="226"/>
      <c r="DQ987" s="226"/>
      <c r="DR987" s="226"/>
      <c r="DS987" s="226"/>
      <c r="DT987" s="226"/>
      <c r="DU987" s="226"/>
      <c r="DV987" s="226"/>
      <c r="DW987" s="226"/>
      <c r="DX987" s="226"/>
      <c r="DY987" s="226"/>
      <c r="DZ987" s="226"/>
      <c r="EA987" s="226"/>
      <c r="EB987" s="226"/>
      <c r="EC987" s="226"/>
      <c r="ED987" s="226"/>
      <c r="EE987" s="226"/>
      <c r="EF987" s="226"/>
      <c r="EG987" s="226"/>
      <c r="EH987" s="226"/>
      <c r="EI987" s="226"/>
      <c r="EJ987" s="226"/>
      <c r="EK987" s="226"/>
      <c r="EL987" s="226"/>
      <c r="EM987" s="226"/>
      <c r="EN987" s="226"/>
      <c r="EO987" s="226"/>
      <c r="EP987" s="226"/>
      <c r="EQ987" s="226"/>
      <c r="ER987" s="226"/>
      <c r="ES987" s="226"/>
      <c r="ET987" s="226"/>
      <c r="EU987" s="226"/>
      <c r="EV987" s="226"/>
      <c r="EW987" s="226"/>
      <c r="EX987" s="226"/>
      <c r="EY987" s="226"/>
      <c r="EZ987" s="226"/>
      <c r="FA987" s="226"/>
      <c r="FB987" s="226"/>
      <c r="FC987" s="226"/>
      <c r="FD987" s="226"/>
      <c r="FE987" s="226"/>
      <c r="FF987" s="226"/>
      <c r="FG987" s="226"/>
      <c r="FH987" s="226"/>
      <c r="FI987" s="226"/>
      <c r="FJ987" s="226"/>
      <c r="FK987" s="226"/>
      <c r="FL987" s="226"/>
      <c r="FM987" s="226"/>
      <c r="FN987" s="226"/>
      <c r="FO987" s="226"/>
      <c r="FP987" s="226"/>
      <c r="FQ987" s="226"/>
      <c r="FR987" s="226"/>
      <c r="FS987" s="226"/>
      <c r="FT987" s="226"/>
      <c r="FU987" s="226"/>
      <c r="FV987" s="226"/>
      <c r="FW987" s="226"/>
      <c r="FX987" s="226"/>
      <c r="FY987" s="226"/>
      <c r="FZ987" s="226"/>
      <c r="GA987" s="226"/>
      <c r="GB987" s="226"/>
      <c r="GC987" s="226"/>
      <c r="GD987" s="226"/>
      <c r="GE987" s="226"/>
      <c r="GF987" s="226"/>
      <c r="GG987" s="226"/>
      <c r="GH987" s="226"/>
      <c r="GI987" s="226"/>
      <c r="GJ987" s="226"/>
      <c r="GK987" s="226"/>
      <c r="GL987" s="226"/>
      <c r="GM987" s="226"/>
      <c r="GN987" s="226"/>
    </row>
    <row r="988">
      <c r="A988" s="212"/>
      <c r="B988" s="21"/>
      <c r="C988" s="21"/>
      <c r="D988" s="213"/>
      <c r="E988" s="214"/>
      <c r="F988" s="215"/>
      <c r="G988" s="21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  <c r="AA988" s="226"/>
      <c r="AB988" s="226"/>
      <c r="AC988" s="226"/>
      <c r="AD988" s="226"/>
      <c r="AE988" s="226"/>
      <c r="AF988" s="226"/>
      <c r="AG988" s="226"/>
      <c r="AH988" s="226"/>
      <c r="AI988" s="226"/>
      <c r="AJ988" s="226"/>
      <c r="AK988" s="226"/>
      <c r="AL988" s="226"/>
      <c r="AM988" s="226"/>
      <c r="AN988" s="226"/>
      <c r="AO988" s="226"/>
      <c r="AP988" s="226"/>
      <c r="AQ988" s="226"/>
      <c r="AR988" s="226"/>
      <c r="AS988" s="226"/>
      <c r="AT988" s="226"/>
      <c r="AU988" s="226"/>
      <c r="AV988" s="226"/>
      <c r="AW988" s="226"/>
      <c r="AX988" s="226"/>
      <c r="AY988" s="226"/>
      <c r="AZ988" s="226"/>
      <c r="BA988" s="226"/>
      <c r="BB988" s="226"/>
      <c r="BC988" s="226"/>
      <c r="BD988" s="226"/>
      <c r="BE988" s="226"/>
      <c r="BF988" s="226"/>
      <c r="BG988" s="226"/>
      <c r="BH988" s="226"/>
      <c r="BI988" s="226"/>
      <c r="BJ988" s="226"/>
      <c r="BK988" s="226"/>
      <c r="BL988" s="226"/>
      <c r="BM988" s="226"/>
      <c r="BN988" s="226"/>
      <c r="BO988" s="226"/>
      <c r="BP988" s="226"/>
      <c r="BQ988" s="226"/>
      <c r="BR988" s="226"/>
      <c r="BS988" s="226"/>
      <c r="BT988" s="226"/>
      <c r="BU988" s="226"/>
      <c r="BV988" s="226"/>
      <c r="BW988" s="226"/>
      <c r="BX988" s="226"/>
      <c r="BY988" s="226"/>
      <c r="BZ988" s="226"/>
      <c r="CA988" s="226"/>
      <c r="CB988" s="226"/>
      <c r="CC988" s="226"/>
      <c r="CD988" s="226"/>
      <c r="CE988" s="226"/>
      <c r="CF988" s="226"/>
      <c r="CG988" s="226"/>
      <c r="CH988" s="226"/>
      <c r="CI988" s="226"/>
      <c r="CJ988" s="226"/>
      <c r="CK988" s="226"/>
      <c r="CL988" s="226"/>
      <c r="CM988" s="226"/>
      <c r="CN988" s="226"/>
      <c r="CO988" s="226"/>
      <c r="CP988" s="226"/>
      <c r="CQ988" s="226"/>
      <c r="CR988" s="226"/>
      <c r="CS988" s="226"/>
      <c r="CT988" s="226"/>
      <c r="CU988" s="226"/>
      <c r="CV988" s="226"/>
      <c r="CW988" s="226"/>
      <c r="CX988" s="226"/>
      <c r="CY988" s="226"/>
      <c r="CZ988" s="226"/>
      <c r="DA988" s="226"/>
      <c r="DB988" s="226"/>
      <c r="DC988" s="226"/>
      <c r="DD988" s="226"/>
      <c r="DE988" s="226"/>
      <c r="DF988" s="226"/>
      <c r="DG988" s="226"/>
      <c r="DH988" s="226"/>
      <c r="DI988" s="226"/>
      <c r="DJ988" s="226"/>
      <c r="DK988" s="226"/>
      <c r="DL988" s="226"/>
      <c r="DM988" s="226"/>
      <c r="DN988" s="226"/>
      <c r="DO988" s="226"/>
      <c r="DP988" s="226"/>
      <c r="DQ988" s="226"/>
      <c r="DR988" s="226"/>
      <c r="DS988" s="226"/>
      <c r="DT988" s="226"/>
      <c r="DU988" s="226"/>
      <c r="DV988" s="226"/>
      <c r="DW988" s="226"/>
      <c r="DX988" s="226"/>
      <c r="DY988" s="226"/>
      <c r="DZ988" s="226"/>
      <c r="EA988" s="226"/>
      <c r="EB988" s="226"/>
      <c r="EC988" s="226"/>
      <c r="ED988" s="226"/>
      <c r="EE988" s="226"/>
      <c r="EF988" s="226"/>
      <c r="EG988" s="226"/>
      <c r="EH988" s="226"/>
      <c r="EI988" s="226"/>
      <c r="EJ988" s="226"/>
      <c r="EK988" s="226"/>
      <c r="EL988" s="226"/>
      <c r="EM988" s="226"/>
      <c r="EN988" s="226"/>
      <c r="EO988" s="226"/>
      <c r="EP988" s="226"/>
      <c r="EQ988" s="226"/>
      <c r="ER988" s="226"/>
      <c r="ES988" s="226"/>
      <c r="ET988" s="226"/>
      <c r="EU988" s="226"/>
      <c r="EV988" s="226"/>
      <c r="EW988" s="226"/>
      <c r="EX988" s="226"/>
      <c r="EY988" s="226"/>
      <c r="EZ988" s="226"/>
      <c r="FA988" s="226"/>
      <c r="FB988" s="226"/>
      <c r="FC988" s="226"/>
      <c r="FD988" s="226"/>
      <c r="FE988" s="226"/>
      <c r="FF988" s="226"/>
      <c r="FG988" s="226"/>
      <c r="FH988" s="226"/>
      <c r="FI988" s="226"/>
      <c r="FJ988" s="226"/>
      <c r="FK988" s="226"/>
      <c r="FL988" s="226"/>
      <c r="FM988" s="226"/>
      <c r="FN988" s="226"/>
      <c r="FO988" s="226"/>
      <c r="FP988" s="226"/>
      <c r="FQ988" s="226"/>
      <c r="FR988" s="226"/>
      <c r="FS988" s="226"/>
      <c r="FT988" s="226"/>
      <c r="FU988" s="226"/>
      <c r="FV988" s="226"/>
      <c r="FW988" s="226"/>
      <c r="FX988" s="226"/>
      <c r="FY988" s="226"/>
      <c r="FZ988" s="226"/>
      <c r="GA988" s="226"/>
      <c r="GB988" s="226"/>
      <c r="GC988" s="226"/>
      <c r="GD988" s="226"/>
      <c r="GE988" s="226"/>
      <c r="GF988" s="226"/>
      <c r="GG988" s="226"/>
      <c r="GH988" s="226"/>
      <c r="GI988" s="226"/>
      <c r="GJ988" s="226"/>
      <c r="GK988" s="226"/>
      <c r="GL988" s="226"/>
      <c r="GM988" s="226"/>
      <c r="GN988" s="226"/>
    </row>
    <row r="989">
      <c r="A989" s="212"/>
      <c r="B989" s="21"/>
      <c r="C989" s="21"/>
      <c r="D989" s="213"/>
      <c r="E989" s="214"/>
      <c r="F989" s="215"/>
      <c r="G989" s="21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  <c r="AA989" s="226"/>
      <c r="AB989" s="226"/>
      <c r="AC989" s="226"/>
      <c r="AD989" s="226"/>
      <c r="AE989" s="226"/>
      <c r="AF989" s="226"/>
      <c r="AG989" s="226"/>
      <c r="AH989" s="226"/>
      <c r="AI989" s="226"/>
      <c r="AJ989" s="226"/>
      <c r="AK989" s="226"/>
      <c r="AL989" s="226"/>
      <c r="AM989" s="226"/>
      <c r="AN989" s="226"/>
      <c r="AO989" s="226"/>
      <c r="AP989" s="226"/>
      <c r="AQ989" s="226"/>
      <c r="AR989" s="226"/>
      <c r="AS989" s="226"/>
      <c r="AT989" s="226"/>
      <c r="AU989" s="226"/>
      <c r="AV989" s="226"/>
      <c r="AW989" s="226"/>
      <c r="AX989" s="226"/>
      <c r="AY989" s="226"/>
      <c r="AZ989" s="226"/>
      <c r="BA989" s="226"/>
      <c r="BB989" s="226"/>
      <c r="BC989" s="226"/>
      <c r="BD989" s="226"/>
      <c r="BE989" s="226"/>
      <c r="BF989" s="226"/>
      <c r="BG989" s="226"/>
      <c r="BH989" s="226"/>
      <c r="BI989" s="226"/>
      <c r="BJ989" s="226"/>
      <c r="BK989" s="226"/>
      <c r="BL989" s="226"/>
      <c r="BM989" s="226"/>
      <c r="BN989" s="226"/>
      <c r="BO989" s="226"/>
      <c r="BP989" s="226"/>
      <c r="BQ989" s="226"/>
      <c r="BR989" s="226"/>
      <c r="BS989" s="226"/>
      <c r="BT989" s="226"/>
      <c r="BU989" s="226"/>
      <c r="BV989" s="226"/>
      <c r="BW989" s="226"/>
      <c r="BX989" s="226"/>
      <c r="BY989" s="226"/>
      <c r="BZ989" s="226"/>
      <c r="CA989" s="226"/>
      <c r="CB989" s="226"/>
      <c r="CC989" s="226"/>
      <c r="CD989" s="226"/>
      <c r="CE989" s="226"/>
      <c r="CF989" s="226"/>
      <c r="CG989" s="226"/>
      <c r="CH989" s="226"/>
      <c r="CI989" s="226"/>
      <c r="CJ989" s="226"/>
      <c r="CK989" s="226"/>
      <c r="CL989" s="226"/>
      <c r="CM989" s="226"/>
      <c r="CN989" s="226"/>
      <c r="CO989" s="226"/>
      <c r="CP989" s="226"/>
      <c r="CQ989" s="226"/>
      <c r="CR989" s="226"/>
      <c r="CS989" s="226"/>
      <c r="CT989" s="226"/>
      <c r="CU989" s="226"/>
      <c r="CV989" s="226"/>
      <c r="CW989" s="226"/>
      <c r="CX989" s="226"/>
      <c r="CY989" s="226"/>
      <c r="CZ989" s="226"/>
      <c r="DA989" s="226"/>
      <c r="DB989" s="226"/>
      <c r="DC989" s="226"/>
      <c r="DD989" s="226"/>
      <c r="DE989" s="226"/>
      <c r="DF989" s="226"/>
      <c r="DG989" s="226"/>
      <c r="DH989" s="226"/>
      <c r="DI989" s="226"/>
      <c r="DJ989" s="226"/>
      <c r="DK989" s="226"/>
      <c r="DL989" s="226"/>
      <c r="DM989" s="226"/>
      <c r="DN989" s="226"/>
      <c r="DO989" s="226"/>
      <c r="DP989" s="226"/>
      <c r="DQ989" s="226"/>
      <c r="DR989" s="226"/>
      <c r="DS989" s="226"/>
      <c r="DT989" s="226"/>
      <c r="DU989" s="226"/>
      <c r="DV989" s="226"/>
      <c r="DW989" s="226"/>
      <c r="DX989" s="226"/>
      <c r="DY989" s="226"/>
      <c r="DZ989" s="226"/>
      <c r="EA989" s="226"/>
      <c r="EB989" s="226"/>
      <c r="EC989" s="226"/>
      <c r="ED989" s="226"/>
      <c r="EE989" s="226"/>
      <c r="EF989" s="226"/>
      <c r="EG989" s="226"/>
      <c r="EH989" s="226"/>
      <c r="EI989" s="226"/>
      <c r="EJ989" s="226"/>
      <c r="EK989" s="226"/>
      <c r="EL989" s="226"/>
      <c r="EM989" s="226"/>
      <c r="EN989" s="226"/>
      <c r="EO989" s="226"/>
      <c r="EP989" s="226"/>
      <c r="EQ989" s="226"/>
      <c r="ER989" s="226"/>
      <c r="ES989" s="226"/>
      <c r="ET989" s="226"/>
      <c r="EU989" s="226"/>
      <c r="EV989" s="226"/>
      <c r="EW989" s="226"/>
      <c r="EX989" s="226"/>
      <c r="EY989" s="226"/>
      <c r="EZ989" s="226"/>
      <c r="FA989" s="226"/>
      <c r="FB989" s="226"/>
      <c r="FC989" s="226"/>
      <c r="FD989" s="226"/>
      <c r="FE989" s="226"/>
      <c r="FF989" s="226"/>
      <c r="FG989" s="226"/>
      <c r="FH989" s="226"/>
      <c r="FI989" s="226"/>
      <c r="FJ989" s="226"/>
      <c r="FK989" s="226"/>
      <c r="FL989" s="226"/>
      <c r="FM989" s="226"/>
      <c r="FN989" s="226"/>
      <c r="FO989" s="226"/>
      <c r="FP989" s="226"/>
      <c r="FQ989" s="226"/>
      <c r="FR989" s="226"/>
      <c r="FS989" s="226"/>
      <c r="FT989" s="226"/>
      <c r="FU989" s="226"/>
      <c r="FV989" s="226"/>
      <c r="FW989" s="226"/>
      <c r="FX989" s="226"/>
      <c r="FY989" s="226"/>
      <c r="FZ989" s="226"/>
      <c r="GA989" s="226"/>
      <c r="GB989" s="226"/>
      <c r="GC989" s="226"/>
      <c r="GD989" s="226"/>
      <c r="GE989" s="226"/>
      <c r="GF989" s="226"/>
      <c r="GG989" s="226"/>
      <c r="GH989" s="226"/>
      <c r="GI989" s="226"/>
      <c r="GJ989" s="226"/>
      <c r="GK989" s="226"/>
      <c r="GL989" s="226"/>
      <c r="GM989" s="226"/>
      <c r="GN989" s="226"/>
    </row>
    <row r="990">
      <c r="A990" s="212"/>
      <c r="B990" s="21"/>
      <c r="C990" s="21"/>
      <c r="D990" s="213"/>
      <c r="E990" s="214"/>
      <c r="F990" s="215"/>
      <c r="G990" s="21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  <c r="AA990" s="226"/>
      <c r="AB990" s="226"/>
      <c r="AC990" s="226"/>
      <c r="AD990" s="226"/>
      <c r="AE990" s="226"/>
      <c r="AF990" s="226"/>
      <c r="AG990" s="226"/>
      <c r="AH990" s="226"/>
      <c r="AI990" s="226"/>
      <c r="AJ990" s="226"/>
      <c r="AK990" s="226"/>
      <c r="AL990" s="226"/>
      <c r="AM990" s="226"/>
      <c r="AN990" s="226"/>
      <c r="AO990" s="226"/>
      <c r="AP990" s="226"/>
      <c r="AQ990" s="226"/>
      <c r="AR990" s="226"/>
      <c r="AS990" s="226"/>
      <c r="AT990" s="226"/>
      <c r="AU990" s="226"/>
      <c r="AV990" s="226"/>
      <c r="AW990" s="226"/>
      <c r="AX990" s="226"/>
      <c r="AY990" s="226"/>
      <c r="AZ990" s="226"/>
      <c r="BA990" s="226"/>
      <c r="BB990" s="226"/>
      <c r="BC990" s="226"/>
      <c r="BD990" s="226"/>
      <c r="BE990" s="226"/>
      <c r="BF990" s="226"/>
      <c r="BG990" s="226"/>
      <c r="BH990" s="226"/>
      <c r="BI990" s="226"/>
      <c r="BJ990" s="226"/>
      <c r="BK990" s="226"/>
      <c r="BL990" s="226"/>
      <c r="BM990" s="226"/>
      <c r="BN990" s="226"/>
      <c r="BO990" s="226"/>
      <c r="BP990" s="226"/>
      <c r="BQ990" s="226"/>
      <c r="BR990" s="226"/>
      <c r="BS990" s="226"/>
      <c r="BT990" s="226"/>
      <c r="BU990" s="226"/>
      <c r="BV990" s="226"/>
      <c r="BW990" s="226"/>
      <c r="BX990" s="226"/>
      <c r="BY990" s="226"/>
      <c r="BZ990" s="226"/>
      <c r="CA990" s="226"/>
      <c r="CB990" s="226"/>
      <c r="CC990" s="226"/>
      <c r="CD990" s="226"/>
      <c r="CE990" s="226"/>
      <c r="CF990" s="226"/>
      <c r="CG990" s="226"/>
      <c r="CH990" s="226"/>
      <c r="CI990" s="226"/>
      <c r="CJ990" s="226"/>
      <c r="CK990" s="226"/>
      <c r="CL990" s="226"/>
      <c r="CM990" s="226"/>
      <c r="CN990" s="226"/>
      <c r="CO990" s="226"/>
      <c r="CP990" s="226"/>
      <c r="CQ990" s="226"/>
      <c r="CR990" s="226"/>
      <c r="CS990" s="226"/>
      <c r="CT990" s="226"/>
      <c r="CU990" s="226"/>
      <c r="CV990" s="226"/>
      <c r="CW990" s="226"/>
      <c r="CX990" s="226"/>
      <c r="CY990" s="226"/>
      <c r="CZ990" s="226"/>
      <c r="DA990" s="226"/>
      <c r="DB990" s="226"/>
      <c r="DC990" s="226"/>
      <c r="DD990" s="226"/>
      <c r="DE990" s="226"/>
      <c r="DF990" s="226"/>
      <c r="DG990" s="226"/>
      <c r="DH990" s="226"/>
      <c r="DI990" s="226"/>
      <c r="DJ990" s="226"/>
      <c r="DK990" s="226"/>
      <c r="DL990" s="226"/>
      <c r="DM990" s="226"/>
      <c r="DN990" s="226"/>
      <c r="DO990" s="226"/>
      <c r="DP990" s="226"/>
      <c r="DQ990" s="226"/>
      <c r="DR990" s="226"/>
      <c r="DS990" s="226"/>
      <c r="DT990" s="226"/>
      <c r="DU990" s="226"/>
      <c r="DV990" s="226"/>
      <c r="DW990" s="226"/>
      <c r="DX990" s="226"/>
      <c r="DY990" s="226"/>
      <c r="DZ990" s="226"/>
      <c r="EA990" s="226"/>
      <c r="EB990" s="226"/>
      <c r="EC990" s="226"/>
      <c r="ED990" s="226"/>
      <c r="EE990" s="226"/>
      <c r="EF990" s="226"/>
      <c r="EG990" s="226"/>
      <c r="EH990" s="226"/>
      <c r="EI990" s="226"/>
      <c r="EJ990" s="226"/>
      <c r="EK990" s="226"/>
      <c r="EL990" s="226"/>
      <c r="EM990" s="226"/>
      <c r="EN990" s="226"/>
      <c r="EO990" s="226"/>
      <c r="EP990" s="226"/>
      <c r="EQ990" s="226"/>
      <c r="ER990" s="226"/>
      <c r="ES990" s="226"/>
      <c r="ET990" s="226"/>
      <c r="EU990" s="226"/>
      <c r="EV990" s="226"/>
      <c r="EW990" s="226"/>
      <c r="EX990" s="226"/>
      <c r="EY990" s="226"/>
      <c r="EZ990" s="226"/>
      <c r="FA990" s="226"/>
      <c r="FB990" s="226"/>
      <c r="FC990" s="226"/>
      <c r="FD990" s="226"/>
      <c r="FE990" s="226"/>
      <c r="FF990" s="226"/>
      <c r="FG990" s="226"/>
      <c r="FH990" s="226"/>
      <c r="FI990" s="226"/>
      <c r="FJ990" s="226"/>
      <c r="FK990" s="226"/>
      <c r="FL990" s="226"/>
      <c r="FM990" s="226"/>
      <c r="FN990" s="226"/>
      <c r="FO990" s="226"/>
      <c r="FP990" s="226"/>
      <c r="FQ990" s="226"/>
      <c r="FR990" s="226"/>
      <c r="FS990" s="226"/>
      <c r="FT990" s="226"/>
      <c r="FU990" s="226"/>
      <c r="FV990" s="226"/>
      <c r="FW990" s="226"/>
      <c r="FX990" s="226"/>
      <c r="FY990" s="226"/>
      <c r="FZ990" s="226"/>
      <c r="GA990" s="226"/>
      <c r="GB990" s="226"/>
      <c r="GC990" s="226"/>
      <c r="GD990" s="226"/>
      <c r="GE990" s="226"/>
      <c r="GF990" s="226"/>
      <c r="GG990" s="226"/>
      <c r="GH990" s="226"/>
      <c r="GI990" s="226"/>
      <c r="GJ990" s="226"/>
      <c r="GK990" s="226"/>
      <c r="GL990" s="226"/>
      <c r="GM990" s="226"/>
      <c r="GN990" s="226"/>
    </row>
    <row r="991">
      <c r="A991" s="212"/>
      <c r="B991" s="21"/>
      <c r="C991" s="21"/>
      <c r="D991" s="213"/>
      <c r="E991" s="214"/>
      <c r="F991" s="215"/>
      <c r="G991" s="21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  <c r="AA991" s="226"/>
      <c r="AB991" s="226"/>
      <c r="AC991" s="226"/>
      <c r="AD991" s="226"/>
      <c r="AE991" s="226"/>
      <c r="AF991" s="226"/>
      <c r="AG991" s="226"/>
      <c r="AH991" s="226"/>
      <c r="AI991" s="226"/>
      <c r="AJ991" s="226"/>
      <c r="AK991" s="226"/>
      <c r="AL991" s="226"/>
      <c r="AM991" s="226"/>
      <c r="AN991" s="226"/>
      <c r="AO991" s="226"/>
      <c r="AP991" s="226"/>
      <c r="AQ991" s="226"/>
      <c r="AR991" s="226"/>
      <c r="AS991" s="226"/>
      <c r="AT991" s="226"/>
      <c r="AU991" s="226"/>
      <c r="AV991" s="226"/>
      <c r="AW991" s="226"/>
      <c r="AX991" s="226"/>
      <c r="AY991" s="226"/>
      <c r="AZ991" s="226"/>
      <c r="BA991" s="226"/>
      <c r="BB991" s="226"/>
      <c r="BC991" s="226"/>
      <c r="BD991" s="226"/>
      <c r="BE991" s="226"/>
      <c r="BF991" s="226"/>
      <c r="BG991" s="226"/>
      <c r="BH991" s="226"/>
      <c r="BI991" s="226"/>
      <c r="BJ991" s="226"/>
      <c r="BK991" s="226"/>
      <c r="BL991" s="226"/>
      <c r="BM991" s="226"/>
      <c r="BN991" s="226"/>
      <c r="BO991" s="226"/>
      <c r="BP991" s="226"/>
      <c r="BQ991" s="226"/>
      <c r="BR991" s="226"/>
      <c r="BS991" s="226"/>
      <c r="BT991" s="226"/>
      <c r="BU991" s="226"/>
      <c r="BV991" s="226"/>
      <c r="BW991" s="226"/>
      <c r="BX991" s="226"/>
      <c r="BY991" s="226"/>
      <c r="BZ991" s="226"/>
      <c r="CA991" s="226"/>
      <c r="CB991" s="226"/>
      <c r="CC991" s="226"/>
      <c r="CD991" s="226"/>
      <c r="CE991" s="226"/>
      <c r="CF991" s="226"/>
      <c r="CG991" s="226"/>
      <c r="CH991" s="226"/>
      <c r="CI991" s="226"/>
      <c r="CJ991" s="226"/>
      <c r="CK991" s="226"/>
      <c r="CL991" s="226"/>
      <c r="CM991" s="226"/>
      <c r="CN991" s="226"/>
      <c r="CO991" s="226"/>
      <c r="CP991" s="226"/>
      <c r="CQ991" s="226"/>
      <c r="CR991" s="226"/>
      <c r="CS991" s="226"/>
      <c r="CT991" s="226"/>
      <c r="CU991" s="226"/>
      <c r="CV991" s="226"/>
      <c r="CW991" s="226"/>
      <c r="CX991" s="226"/>
      <c r="CY991" s="226"/>
      <c r="CZ991" s="226"/>
      <c r="DA991" s="226"/>
      <c r="DB991" s="226"/>
      <c r="DC991" s="226"/>
      <c r="DD991" s="226"/>
      <c r="DE991" s="226"/>
      <c r="DF991" s="226"/>
      <c r="DG991" s="226"/>
      <c r="DH991" s="226"/>
      <c r="DI991" s="226"/>
      <c r="DJ991" s="226"/>
      <c r="DK991" s="226"/>
      <c r="DL991" s="226"/>
      <c r="DM991" s="226"/>
      <c r="DN991" s="226"/>
      <c r="DO991" s="226"/>
      <c r="DP991" s="226"/>
      <c r="DQ991" s="226"/>
      <c r="DR991" s="226"/>
      <c r="DS991" s="226"/>
      <c r="DT991" s="226"/>
      <c r="DU991" s="226"/>
      <c r="DV991" s="226"/>
      <c r="DW991" s="226"/>
      <c r="DX991" s="226"/>
      <c r="DY991" s="226"/>
      <c r="DZ991" s="226"/>
      <c r="EA991" s="226"/>
      <c r="EB991" s="226"/>
      <c r="EC991" s="226"/>
      <c r="ED991" s="226"/>
      <c r="EE991" s="226"/>
      <c r="EF991" s="226"/>
      <c r="EG991" s="226"/>
      <c r="EH991" s="226"/>
      <c r="EI991" s="226"/>
      <c r="EJ991" s="226"/>
      <c r="EK991" s="226"/>
      <c r="EL991" s="226"/>
      <c r="EM991" s="226"/>
      <c r="EN991" s="226"/>
      <c r="EO991" s="226"/>
      <c r="EP991" s="226"/>
      <c r="EQ991" s="226"/>
      <c r="ER991" s="226"/>
      <c r="ES991" s="226"/>
      <c r="ET991" s="226"/>
      <c r="EU991" s="226"/>
      <c r="EV991" s="226"/>
      <c r="EW991" s="226"/>
      <c r="EX991" s="226"/>
      <c r="EY991" s="226"/>
      <c r="EZ991" s="226"/>
      <c r="FA991" s="226"/>
      <c r="FB991" s="226"/>
      <c r="FC991" s="226"/>
      <c r="FD991" s="226"/>
      <c r="FE991" s="226"/>
      <c r="FF991" s="226"/>
      <c r="FG991" s="226"/>
      <c r="FH991" s="226"/>
      <c r="FI991" s="226"/>
      <c r="FJ991" s="226"/>
      <c r="FK991" s="226"/>
      <c r="FL991" s="226"/>
      <c r="FM991" s="226"/>
      <c r="FN991" s="226"/>
      <c r="FO991" s="226"/>
      <c r="FP991" s="226"/>
      <c r="FQ991" s="226"/>
      <c r="FR991" s="226"/>
      <c r="FS991" s="226"/>
      <c r="FT991" s="226"/>
      <c r="FU991" s="226"/>
      <c r="FV991" s="226"/>
      <c r="FW991" s="226"/>
      <c r="FX991" s="226"/>
      <c r="FY991" s="226"/>
      <c r="FZ991" s="226"/>
      <c r="GA991" s="226"/>
      <c r="GB991" s="226"/>
      <c r="GC991" s="226"/>
      <c r="GD991" s="226"/>
      <c r="GE991" s="226"/>
      <c r="GF991" s="226"/>
      <c r="GG991" s="226"/>
      <c r="GH991" s="226"/>
      <c r="GI991" s="226"/>
      <c r="GJ991" s="226"/>
      <c r="GK991" s="226"/>
      <c r="GL991" s="226"/>
      <c r="GM991" s="226"/>
      <c r="GN991" s="226"/>
    </row>
    <row r="992">
      <c r="A992" s="212"/>
      <c r="B992" s="21"/>
      <c r="C992" s="21"/>
      <c r="D992" s="213"/>
      <c r="E992" s="214"/>
      <c r="F992" s="215"/>
      <c r="G992" s="21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  <c r="AA992" s="226"/>
      <c r="AB992" s="226"/>
      <c r="AC992" s="226"/>
      <c r="AD992" s="226"/>
      <c r="AE992" s="226"/>
      <c r="AF992" s="226"/>
      <c r="AG992" s="226"/>
      <c r="AH992" s="226"/>
      <c r="AI992" s="226"/>
      <c r="AJ992" s="226"/>
      <c r="AK992" s="226"/>
      <c r="AL992" s="226"/>
      <c r="AM992" s="226"/>
      <c r="AN992" s="226"/>
      <c r="AO992" s="226"/>
      <c r="AP992" s="226"/>
      <c r="AQ992" s="226"/>
      <c r="AR992" s="226"/>
      <c r="AS992" s="226"/>
      <c r="AT992" s="226"/>
      <c r="AU992" s="226"/>
      <c r="AV992" s="226"/>
      <c r="AW992" s="226"/>
      <c r="AX992" s="226"/>
      <c r="AY992" s="226"/>
      <c r="AZ992" s="226"/>
      <c r="BA992" s="226"/>
      <c r="BB992" s="226"/>
      <c r="BC992" s="226"/>
      <c r="BD992" s="226"/>
      <c r="BE992" s="226"/>
      <c r="BF992" s="226"/>
      <c r="BG992" s="226"/>
      <c r="BH992" s="226"/>
      <c r="BI992" s="226"/>
      <c r="BJ992" s="226"/>
      <c r="BK992" s="226"/>
      <c r="BL992" s="226"/>
      <c r="BM992" s="226"/>
      <c r="BN992" s="226"/>
      <c r="BO992" s="226"/>
      <c r="BP992" s="226"/>
      <c r="BQ992" s="226"/>
      <c r="BR992" s="226"/>
      <c r="BS992" s="226"/>
      <c r="BT992" s="226"/>
      <c r="BU992" s="226"/>
      <c r="BV992" s="226"/>
      <c r="BW992" s="226"/>
      <c r="BX992" s="226"/>
      <c r="BY992" s="226"/>
      <c r="BZ992" s="226"/>
      <c r="CA992" s="226"/>
      <c r="CB992" s="226"/>
      <c r="CC992" s="226"/>
      <c r="CD992" s="226"/>
      <c r="CE992" s="226"/>
      <c r="CF992" s="226"/>
      <c r="CG992" s="226"/>
      <c r="CH992" s="226"/>
      <c r="CI992" s="226"/>
      <c r="CJ992" s="226"/>
      <c r="CK992" s="226"/>
      <c r="CL992" s="226"/>
      <c r="CM992" s="226"/>
      <c r="CN992" s="226"/>
      <c r="CO992" s="226"/>
      <c r="CP992" s="226"/>
      <c r="CQ992" s="226"/>
      <c r="CR992" s="226"/>
      <c r="CS992" s="226"/>
      <c r="CT992" s="226"/>
      <c r="CU992" s="226"/>
      <c r="CV992" s="226"/>
      <c r="CW992" s="226"/>
      <c r="CX992" s="226"/>
      <c r="CY992" s="226"/>
      <c r="CZ992" s="226"/>
      <c r="DA992" s="226"/>
      <c r="DB992" s="226"/>
      <c r="DC992" s="226"/>
      <c r="DD992" s="226"/>
      <c r="DE992" s="226"/>
      <c r="DF992" s="226"/>
      <c r="DG992" s="226"/>
      <c r="DH992" s="226"/>
      <c r="DI992" s="226"/>
      <c r="DJ992" s="226"/>
      <c r="DK992" s="226"/>
      <c r="DL992" s="226"/>
      <c r="DM992" s="226"/>
      <c r="DN992" s="226"/>
      <c r="DO992" s="226"/>
      <c r="DP992" s="226"/>
      <c r="DQ992" s="226"/>
      <c r="DR992" s="226"/>
      <c r="DS992" s="226"/>
      <c r="DT992" s="226"/>
      <c r="DU992" s="226"/>
      <c r="DV992" s="226"/>
      <c r="DW992" s="226"/>
      <c r="DX992" s="226"/>
      <c r="DY992" s="226"/>
      <c r="DZ992" s="226"/>
      <c r="EA992" s="226"/>
      <c r="EB992" s="226"/>
      <c r="EC992" s="226"/>
      <c r="ED992" s="226"/>
      <c r="EE992" s="226"/>
      <c r="EF992" s="226"/>
      <c r="EG992" s="226"/>
      <c r="EH992" s="226"/>
      <c r="EI992" s="226"/>
      <c r="EJ992" s="226"/>
      <c r="EK992" s="226"/>
      <c r="EL992" s="226"/>
      <c r="EM992" s="226"/>
      <c r="EN992" s="226"/>
      <c r="EO992" s="226"/>
      <c r="EP992" s="226"/>
      <c r="EQ992" s="226"/>
      <c r="ER992" s="226"/>
      <c r="ES992" s="226"/>
      <c r="ET992" s="226"/>
      <c r="EU992" s="226"/>
      <c r="EV992" s="226"/>
      <c r="EW992" s="226"/>
      <c r="EX992" s="226"/>
      <c r="EY992" s="226"/>
      <c r="EZ992" s="226"/>
      <c r="FA992" s="226"/>
      <c r="FB992" s="226"/>
      <c r="FC992" s="226"/>
      <c r="FD992" s="226"/>
      <c r="FE992" s="226"/>
      <c r="FF992" s="226"/>
      <c r="FG992" s="226"/>
      <c r="FH992" s="226"/>
      <c r="FI992" s="226"/>
      <c r="FJ992" s="226"/>
      <c r="FK992" s="226"/>
      <c r="FL992" s="226"/>
      <c r="FM992" s="226"/>
      <c r="FN992" s="226"/>
      <c r="FO992" s="226"/>
      <c r="FP992" s="226"/>
      <c r="FQ992" s="226"/>
      <c r="FR992" s="226"/>
      <c r="FS992" s="226"/>
      <c r="FT992" s="226"/>
      <c r="FU992" s="226"/>
      <c r="FV992" s="226"/>
      <c r="FW992" s="226"/>
      <c r="FX992" s="226"/>
      <c r="FY992" s="226"/>
      <c r="FZ992" s="226"/>
      <c r="GA992" s="226"/>
      <c r="GB992" s="226"/>
      <c r="GC992" s="226"/>
      <c r="GD992" s="226"/>
      <c r="GE992" s="226"/>
      <c r="GF992" s="226"/>
      <c r="GG992" s="226"/>
      <c r="GH992" s="226"/>
      <c r="GI992" s="226"/>
      <c r="GJ992" s="226"/>
      <c r="GK992" s="226"/>
      <c r="GL992" s="226"/>
      <c r="GM992" s="226"/>
      <c r="GN992" s="226"/>
    </row>
    <row r="993">
      <c r="A993" s="212"/>
      <c r="B993" s="21"/>
      <c r="C993" s="21"/>
      <c r="D993" s="213"/>
      <c r="E993" s="214"/>
      <c r="F993" s="215"/>
      <c r="G993" s="21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  <c r="AA993" s="226"/>
      <c r="AB993" s="226"/>
      <c r="AC993" s="226"/>
      <c r="AD993" s="226"/>
      <c r="AE993" s="226"/>
      <c r="AF993" s="226"/>
      <c r="AG993" s="226"/>
      <c r="AH993" s="226"/>
      <c r="AI993" s="226"/>
      <c r="AJ993" s="226"/>
      <c r="AK993" s="226"/>
      <c r="AL993" s="226"/>
      <c r="AM993" s="226"/>
      <c r="AN993" s="226"/>
      <c r="AO993" s="226"/>
      <c r="AP993" s="226"/>
      <c r="AQ993" s="226"/>
      <c r="AR993" s="226"/>
      <c r="AS993" s="226"/>
      <c r="AT993" s="226"/>
      <c r="AU993" s="226"/>
      <c r="AV993" s="226"/>
      <c r="AW993" s="226"/>
      <c r="AX993" s="226"/>
      <c r="AY993" s="226"/>
      <c r="AZ993" s="226"/>
      <c r="BA993" s="226"/>
      <c r="BB993" s="226"/>
      <c r="BC993" s="226"/>
      <c r="BD993" s="226"/>
      <c r="BE993" s="226"/>
      <c r="BF993" s="226"/>
      <c r="BG993" s="226"/>
      <c r="BH993" s="226"/>
      <c r="BI993" s="226"/>
      <c r="BJ993" s="226"/>
      <c r="BK993" s="226"/>
      <c r="BL993" s="226"/>
      <c r="BM993" s="226"/>
      <c r="BN993" s="226"/>
      <c r="BO993" s="226"/>
      <c r="BP993" s="226"/>
      <c r="BQ993" s="226"/>
      <c r="BR993" s="226"/>
      <c r="BS993" s="226"/>
      <c r="BT993" s="226"/>
      <c r="BU993" s="226"/>
      <c r="BV993" s="226"/>
      <c r="BW993" s="226"/>
      <c r="BX993" s="226"/>
      <c r="BY993" s="226"/>
      <c r="BZ993" s="226"/>
      <c r="CA993" s="226"/>
      <c r="CB993" s="226"/>
      <c r="CC993" s="226"/>
      <c r="CD993" s="226"/>
      <c r="CE993" s="226"/>
      <c r="CF993" s="226"/>
      <c r="CG993" s="226"/>
      <c r="CH993" s="226"/>
      <c r="CI993" s="226"/>
      <c r="CJ993" s="226"/>
      <c r="CK993" s="226"/>
      <c r="CL993" s="226"/>
      <c r="CM993" s="226"/>
      <c r="CN993" s="226"/>
      <c r="CO993" s="226"/>
      <c r="CP993" s="226"/>
      <c r="CQ993" s="226"/>
      <c r="CR993" s="226"/>
      <c r="CS993" s="226"/>
      <c r="CT993" s="226"/>
      <c r="CU993" s="226"/>
      <c r="CV993" s="226"/>
      <c r="CW993" s="226"/>
      <c r="CX993" s="226"/>
      <c r="CY993" s="226"/>
      <c r="CZ993" s="226"/>
      <c r="DA993" s="226"/>
      <c r="DB993" s="226"/>
      <c r="DC993" s="226"/>
      <c r="DD993" s="226"/>
      <c r="DE993" s="226"/>
      <c r="DF993" s="226"/>
      <c r="DG993" s="226"/>
      <c r="DH993" s="226"/>
      <c r="DI993" s="226"/>
      <c r="DJ993" s="226"/>
      <c r="DK993" s="226"/>
      <c r="DL993" s="226"/>
      <c r="DM993" s="226"/>
      <c r="DN993" s="226"/>
      <c r="DO993" s="226"/>
      <c r="DP993" s="226"/>
      <c r="DQ993" s="226"/>
      <c r="DR993" s="226"/>
      <c r="DS993" s="226"/>
      <c r="DT993" s="226"/>
      <c r="DU993" s="226"/>
      <c r="DV993" s="226"/>
      <c r="DW993" s="226"/>
      <c r="DX993" s="226"/>
      <c r="DY993" s="226"/>
      <c r="DZ993" s="226"/>
      <c r="EA993" s="226"/>
      <c r="EB993" s="226"/>
      <c r="EC993" s="226"/>
      <c r="ED993" s="226"/>
      <c r="EE993" s="226"/>
      <c r="EF993" s="226"/>
      <c r="EG993" s="226"/>
      <c r="EH993" s="226"/>
      <c r="EI993" s="226"/>
      <c r="EJ993" s="226"/>
      <c r="EK993" s="226"/>
      <c r="EL993" s="226"/>
      <c r="EM993" s="226"/>
      <c r="EN993" s="226"/>
      <c r="EO993" s="226"/>
      <c r="EP993" s="226"/>
      <c r="EQ993" s="226"/>
      <c r="ER993" s="226"/>
      <c r="ES993" s="226"/>
      <c r="ET993" s="226"/>
      <c r="EU993" s="226"/>
      <c r="EV993" s="226"/>
      <c r="EW993" s="226"/>
      <c r="EX993" s="226"/>
      <c r="EY993" s="226"/>
      <c r="EZ993" s="226"/>
      <c r="FA993" s="226"/>
      <c r="FB993" s="226"/>
      <c r="FC993" s="226"/>
      <c r="FD993" s="226"/>
      <c r="FE993" s="226"/>
      <c r="FF993" s="226"/>
      <c r="FG993" s="226"/>
      <c r="FH993" s="226"/>
      <c r="FI993" s="226"/>
      <c r="FJ993" s="226"/>
      <c r="FK993" s="226"/>
      <c r="FL993" s="226"/>
      <c r="FM993" s="226"/>
      <c r="FN993" s="226"/>
      <c r="FO993" s="226"/>
      <c r="FP993" s="226"/>
      <c r="FQ993" s="226"/>
      <c r="FR993" s="226"/>
      <c r="FS993" s="226"/>
      <c r="FT993" s="226"/>
      <c r="FU993" s="226"/>
      <c r="FV993" s="226"/>
      <c r="FW993" s="226"/>
      <c r="FX993" s="226"/>
      <c r="FY993" s="226"/>
      <c r="FZ993" s="226"/>
      <c r="GA993" s="226"/>
      <c r="GB993" s="226"/>
      <c r="GC993" s="226"/>
      <c r="GD993" s="226"/>
      <c r="GE993" s="226"/>
      <c r="GF993" s="226"/>
      <c r="GG993" s="226"/>
      <c r="GH993" s="226"/>
      <c r="GI993" s="226"/>
      <c r="GJ993" s="226"/>
      <c r="GK993" s="226"/>
      <c r="GL993" s="226"/>
      <c r="GM993" s="226"/>
      <c r="GN993" s="226"/>
    </row>
    <row r="994">
      <c r="A994" s="212"/>
      <c r="B994" s="21"/>
      <c r="C994" s="21"/>
      <c r="D994" s="213"/>
      <c r="E994" s="214"/>
      <c r="F994" s="215"/>
      <c r="G994" s="21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  <c r="AA994" s="226"/>
      <c r="AB994" s="226"/>
      <c r="AC994" s="226"/>
      <c r="AD994" s="226"/>
      <c r="AE994" s="226"/>
      <c r="AF994" s="226"/>
      <c r="AG994" s="226"/>
      <c r="AH994" s="226"/>
      <c r="AI994" s="226"/>
      <c r="AJ994" s="226"/>
      <c r="AK994" s="226"/>
      <c r="AL994" s="226"/>
      <c r="AM994" s="226"/>
      <c r="AN994" s="226"/>
      <c r="AO994" s="226"/>
      <c r="AP994" s="226"/>
      <c r="AQ994" s="226"/>
      <c r="AR994" s="226"/>
      <c r="AS994" s="226"/>
      <c r="AT994" s="226"/>
      <c r="AU994" s="226"/>
      <c r="AV994" s="226"/>
      <c r="AW994" s="226"/>
      <c r="AX994" s="226"/>
      <c r="AY994" s="226"/>
      <c r="AZ994" s="226"/>
      <c r="BA994" s="226"/>
      <c r="BB994" s="226"/>
      <c r="BC994" s="226"/>
      <c r="BD994" s="226"/>
      <c r="BE994" s="226"/>
      <c r="BF994" s="226"/>
      <c r="BG994" s="226"/>
      <c r="BH994" s="226"/>
      <c r="BI994" s="226"/>
      <c r="BJ994" s="226"/>
      <c r="BK994" s="226"/>
      <c r="BL994" s="226"/>
      <c r="BM994" s="226"/>
      <c r="BN994" s="226"/>
      <c r="BO994" s="226"/>
      <c r="BP994" s="226"/>
      <c r="BQ994" s="226"/>
      <c r="BR994" s="226"/>
      <c r="BS994" s="226"/>
      <c r="BT994" s="226"/>
      <c r="BU994" s="226"/>
      <c r="BV994" s="226"/>
      <c r="BW994" s="226"/>
      <c r="BX994" s="226"/>
      <c r="BY994" s="226"/>
      <c r="BZ994" s="226"/>
      <c r="CA994" s="226"/>
      <c r="CB994" s="226"/>
      <c r="CC994" s="226"/>
      <c r="CD994" s="226"/>
      <c r="CE994" s="226"/>
      <c r="CF994" s="226"/>
      <c r="CG994" s="226"/>
      <c r="CH994" s="226"/>
      <c r="CI994" s="226"/>
      <c r="CJ994" s="226"/>
      <c r="CK994" s="226"/>
      <c r="CL994" s="226"/>
      <c r="CM994" s="226"/>
      <c r="CN994" s="226"/>
      <c r="CO994" s="226"/>
      <c r="CP994" s="226"/>
      <c r="CQ994" s="226"/>
      <c r="CR994" s="226"/>
      <c r="CS994" s="226"/>
      <c r="CT994" s="226"/>
      <c r="CU994" s="226"/>
      <c r="CV994" s="226"/>
      <c r="CW994" s="226"/>
      <c r="CX994" s="226"/>
      <c r="CY994" s="226"/>
      <c r="CZ994" s="226"/>
      <c r="DA994" s="226"/>
      <c r="DB994" s="226"/>
      <c r="DC994" s="226"/>
      <c r="DD994" s="226"/>
      <c r="DE994" s="226"/>
      <c r="DF994" s="226"/>
      <c r="DG994" s="226"/>
      <c r="DH994" s="226"/>
      <c r="DI994" s="226"/>
      <c r="DJ994" s="226"/>
      <c r="DK994" s="226"/>
      <c r="DL994" s="226"/>
      <c r="DM994" s="226"/>
      <c r="DN994" s="226"/>
      <c r="DO994" s="226"/>
      <c r="DP994" s="226"/>
      <c r="DQ994" s="226"/>
      <c r="DR994" s="226"/>
      <c r="DS994" s="226"/>
      <c r="DT994" s="226"/>
      <c r="DU994" s="226"/>
      <c r="DV994" s="226"/>
      <c r="DW994" s="226"/>
      <c r="DX994" s="226"/>
      <c r="DY994" s="226"/>
      <c r="DZ994" s="226"/>
      <c r="EA994" s="226"/>
      <c r="EB994" s="226"/>
      <c r="EC994" s="226"/>
      <c r="ED994" s="226"/>
      <c r="EE994" s="226"/>
      <c r="EF994" s="226"/>
      <c r="EG994" s="226"/>
      <c r="EH994" s="226"/>
      <c r="EI994" s="226"/>
      <c r="EJ994" s="226"/>
      <c r="EK994" s="226"/>
      <c r="EL994" s="226"/>
      <c r="EM994" s="226"/>
      <c r="EN994" s="226"/>
      <c r="EO994" s="226"/>
      <c r="EP994" s="226"/>
      <c r="EQ994" s="226"/>
      <c r="ER994" s="226"/>
      <c r="ES994" s="226"/>
      <c r="ET994" s="226"/>
      <c r="EU994" s="226"/>
      <c r="EV994" s="226"/>
      <c r="EW994" s="226"/>
      <c r="EX994" s="226"/>
      <c r="EY994" s="226"/>
      <c r="EZ994" s="226"/>
      <c r="FA994" s="226"/>
      <c r="FB994" s="226"/>
      <c r="FC994" s="226"/>
      <c r="FD994" s="226"/>
      <c r="FE994" s="226"/>
      <c r="FF994" s="226"/>
      <c r="FG994" s="226"/>
      <c r="FH994" s="226"/>
      <c r="FI994" s="226"/>
      <c r="FJ994" s="226"/>
      <c r="FK994" s="226"/>
      <c r="FL994" s="226"/>
      <c r="FM994" s="226"/>
      <c r="FN994" s="226"/>
      <c r="FO994" s="226"/>
      <c r="FP994" s="226"/>
      <c r="FQ994" s="226"/>
      <c r="FR994" s="226"/>
      <c r="FS994" s="226"/>
      <c r="FT994" s="226"/>
      <c r="FU994" s="226"/>
      <c r="FV994" s="226"/>
      <c r="FW994" s="226"/>
      <c r="FX994" s="226"/>
      <c r="FY994" s="226"/>
      <c r="FZ994" s="226"/>
      <c r="GA994" s="226"/>
      <c r="GB994" s="226"/>
      <c r="GC994" s="226"/>
      <c r="GD994" s="226"/>
      <c r="GE994" s="226"/>
      <c r="GF994" s="226"/>
      <c r="GG994" s="226"/>
      <c r="GH994" s="226"/>
      <c r="GI994" s="226"/>
      <c r="GJ994" s="226"/>
      <c r="GK994" s="226"/>
      <c r="GL994" s="226"/>
      <c r="GM994" s="226"/>
      <c r="GN994" s="226"/>
    </row>
    <row r="995">
      <c r="A995" s="212"/>
      <c r="B995" s="21"/>
      <c r="C995" s="21"/>
      <c r="D995" s="213"/>
      <c r="E995" s="214"/>
      <c r="F995" s="215"/>
      <c r="G995" s="21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  <c r="AA995" s="226"/>
      <c r="AB995" s="226"/>
      <c r="AC995" s="226"/>
      <c r="AD995" s="226"/>
      <c r="AE995" s="226"/>
      <c r="AF995" s="226"/>
      <c r="AG995" s="226"/>
      <c r="AH995" s="226"/>
      <c r="AI995" s="226"/>
      <c r="AJ995" s="226"/>
      <c r="AK995" s="226"/>
      <c r="AL995" s="226"/>
      <c r="AM995" s="226"/>
      <c r="AN995" s="226"/>
      <c r="AO995" s="226"/>
      <c r="AP995" s="226"/>
      <c r="AQ995" s="226"/>
      <c r="AR995" s="226"/>
      <c r="AS995" s="226"/>
      <c r="AT995" s="226"/>
      <c r="AU995" s="226"/>
      <c r="AV995" s="226"/>
      <c r="AW995" s="226"/>
      <c r="AX995" s="226"/>
      <c r="AY995" s="226"/>
      <c r="AZ995" s="226"/>
      <c r="BA995" s="226"/>
      <c r="BB995" s="226"/>
      <c r="BC995" s="226"/>
      <c r="BD995" s="226"/>
      <c r="BE995" s="226"/>
      <c r="BF995" s="226"/>
      <c r="BG995" s="226"/>
      <c r="BH995" s="226"/>
      <c r="BI995" s="226"/>
      <c r="BJ995" s="226"/>
      <c r="BK995" s="226"/>
      <c r="BL995" s="226"/>
      <c r="BM995" s="226"/>
      <c r="BN995" s="226"/>
      <c r="BO995" s="226"/>
      <c r="BP995" s="226"/>
      <c r="BQ995" s="226"/>
      <c r="BR995" s="226"/>
      <c r="BS995" s="226"/>
      <c r="BT995" s="226"/>
      <c r="BU995" s="226"/>
      <c r="BV995" s="226"/>
      <c r="BW995" s="226"/>
      <c r="BX995" s="226"/>
      <c r="BY995" s="226"/>
      <c r="BZ995" s="226"/>
      <c r="CA995" s="226"/>
      <c r="CB995" s="226"/>
      <c r="CC995" s="226"/>
      <c r="CD995" s="226"/>
      <c r="CE995" s="226"/>
      <c r="CF995" s="226"/>
      <c r="CG995" s="226"/>
      <c r="CH995" s="226"/>
      <c r="CI995" s="226"/>
      <c r="CJ995" s="226"/>
      <c r="CK995" s="226"/>
      <c r="CL995" s="226"/>
      <c r="CM995" s="226"/>
      <c r="CN995" s="226"/>
      <c r="CO995" s="226"/>
      <c r="CP995" s="226"/>
      <c r="CQ995" s="226"/>
      <c r="CR995" s="226"/>
      <c r="CS995" s="226"/>
      <c r="CT995" s="226"/>
      <c r="CU995" s="226"/>
      <c r="CV995" s="226"/>
      <c r="CW995" s="226"/>
      <c r="CX995" s="226"/>
      <c r="CY995" s="226"/>
      <c r="CZ995" s="226"/>
      <c r="DA995" s="226"/>
      <c r="DB995" s="226"/>
      <c r="DC995" s="226"/>
      <c r="DD995" s="226"/>
      <c r="DE995" s="226"/>
      <c r="DF995" s="226"/>
      <c r="DG995" s="226"/>
      <c r="DH995" s="226"/>
      <c r="DI995" s="226"/>
      <c r="DJ995" s="226"/>
      <c r="DK995" s="226"/>
      <c r="DL995" s="226"/>
      <c r="DM995" s="226"/>
      <c r="DN995" s="226"/>
      <c r="DO995" s="226"/>
      <c r="DP995" s="226"/>
      <c r="DQ995" s="226"/>
      <c r="DR995" s="226"/>
      <c r="DS995" s="226"/>
      <c r="DT995" s="226"/>
      <c r="DU995" s="226"/>
      <c r="DV995" s="226"/>
      <c r="DW995" s="226"/>
      <c r="DX995" s="226"/>
      <c r="DY995" s="226"/>
      <c r="DZ995" s="226"/>
      <c r="EA995" s="226"/>
      <c r="EB995" s="226"/>
      <c r="EC995" s="226"/>
      <c r="ED995" s="226"/>
      <c r="EE995" s="226"/>
      <c r="EF995" s="226"/>
      <c r="EG995" s="226"/>
      <c r="EH995" s="226"/>
      <c r="EI995" s="226"/>
      <c r="EJ995" s="226"/>
      <c r="EK995" s="226"/>
      <c r="EL995" s="226"/>
      <c r="EM995" s="226"/>
      <c r="EN995" s="226"/>
      <c r="EO995" s="226"/>
      <c r="EP995" s="226"/>
      <c r="EQ995" s="226"/>
      <c r="ER995" s="226"/>
      <c r="ES995" s="226"/>
      <c r="ET995" s="226"/>
      <c r="EU995" s="226"/>
      <c r="EV995" s="226"/>
      <c r="EW995" s="226"/>
      <c r="EX995" s="226"/>
      <c r="EY995" s="226"/>
      <c r="EZ995" s="226"/>
      <c r="FA995" s="226"/>
      <c r="FB995" s="226"/>
      <c r="FC995" s="226"/>
      <c r="FD995" s="226"/>
      <c r="FE995" s="226"/>
      <c r="FF995" s="226"/>
      <c r="FG995" s="226"/>
      <c r="FH995" s="226"/>
      <c r="FI995" s="226"/>
      <c r="FJ995" s="226"/>
      <c r="FK995" s="226"/>
      <c r="FL995" s="226"/>
      <c r="FM995" s="226"/>
      <c r="FN995" s="226"/>
      <c r="FO995" s="226"/>
      <c r="FP995" s="226"/>
      <c r="FQ995" s="226"/>
      <c r="FR995" s="226"/>
      <c r="FS995" s="226"/>
      <c r="FT995" s="226"/>
      <c r="FU995" s="226"/>
      <c r="FV995" s="226"/>
      <c r="FW995" s="226"/>
      <c r="FX995" s="226"/>
      <c r="FY995" s="226"/>
      <c r="FZ995" s="226"/>
      <c r="GA995" s="226"/>
      <c r="GB995" s="226"/>
      <c r="GC995" s="226"/>
      <c r="GD995" s="226"/>
      <c r="GE995" s="226"/>
      <c r="GF995" s="226"/>
      <c r="GG995" s="226"/>
      <c r="GH995" s="226"/>
      <c r="GI995" s="226"/>
      <c r="GJ995" s="226"/>
      <c r="GK995" s="226"/>
      <c r="GL995" s="226"/>
      <c r="GM995" s="226"/>
      <c r="GN995" s="226"/>
    </row>
    <row r="996">
      <c r="A996" s="212"/>
      <c r="B996" s="21"/>
      <c r="C996" s="21"/>
      <c r="D996" s="213"/>
      <c r="E996" s="214"/>
      <c r="F996" s="215"/>
      <c r="G996" s="124"/>
      <c r="H996" s="124"/>
      <c r="I996" s="21"/>
      <c r="J996" s="24"/>
      <c r="K996" s="21"/>
      <c r="L996" s="21"/>
      <c r="M996" s="24"/>
      <c r="N996" s="21"/>
      <c r="O996" s="21"/>
      <c r="P996" s="124"/>
      <c r="Q996" s="124"/>
      <c r="R996" s="124"/>
      <c r="S996" s="124"/>
      <c r="T996" s="124"/>
      <c r="U996" s="124"/>
      <c r="V996" s="124"/>
      <c r="W996" s="221"/>
      <c r="X996" s="221"/>
      <c r="Y996" s="221"/>
      <c r="Z996" s="221"/>
      <c r="AA996" s="228"/>
      <c r="AB996" s="228"/>
      <c r="AC996" s="228"/>
      <c r="AD996" s="228"/>
      <c r="AE996" s="228"/>
      <c r="AF996" s="228"/>
      <c r="AG996" s="228"/>
      <c r="AH996" s="228"/>
      <c r="AI996" s="228"/>
      <c r="AJ996" s="228"/>
      <c r="AK996" s="228"/>
      <c r="AL996" s="228"/>
      <c r="AM996" s="228"/>
      <c r="AN996" s="228"/>
      <c r="AO996" s="228"/>
      <c r="AP996" s="228"/>
      <c r="AQ996" s="228"/>
      <c r="AR996" s="228"/>
      <c r="AS996" s="228"/>
      <c r="AT996" s="228"/>
      <c r="AU996" s="228"/>
      <c r="AV996" s="228"/>
      <c r="AW996" s="228"/>
      <c r="AX996" s="228"/>
      <c r="AY996" s="228"/>
      <c r="AZ996" s="228"/>
      <c r="BA996" s="228"/>
      <c r="BB996" s="228"/>
      <c r="BC996" s="228"/>
      <c r="BD996" s="228"/>
      <c r="BE996" s="228"/>
      <c r="BF996" s="228"/>
      <c r="BG996" s="228"/>
      <c r="BH996" s="228"/>
      <c r="BI996" s="228"/>
      <c r="BJ996" s="228"/>
      <c r="BK996" s="228"/>
      <c r="BL996" s="228"/>
      <c r="BM996" s="228"/>
      <c r="BN996" s="228"/>
      <c r="BO996" s="228"/>
      <c r="BP996" s="228"/>
      <c r="BQ996" s="228"/>
      <c r="BR996" s="228"/>
      <c r="BS996" s="228"/>
      <c r="BT996" s="228"/>
      <c r="BU996" s="228"/>
      <c r="BV996" s="228"/>
      <c r="BW996" s="228"/>
      <c r="BX996" s="228"/>
      <c r="BY996" s="228"/>
      <c r="BZ996" s="228"/>
      <c r="CA996" s="228"/>
      <c r="CB996" s="228"/>
      <c r="CC996" s="228"/>
      <c r="CD996" s="228"/>
      <c r="CE996" s="228"/>
      <c r="CF996" s="228"/>
      <c r="CG996" s="228"/>
      <c r="CH996" s="228"/>
      <c r="CI996" s="228"/>
      <c r="CJ996" s="228"/>
      <c r="CK996" s="228"/>
      <c r="CL996" s="228"/>
      <c r="CM996" s="228"/>
      <c r="CN996" s="228"/>
      <c r="CO996" s="228"/>
      <c r="CP996" s="228"/>
      <c r="CQ996" s="228"/>
      <c r="CR996" s="228"/>
      <c r="CS996" s="228"/>
      <c r="CT996" s="228"/>
      <c r="CU996" s="228"/>
      <c r="CV996" s="228"/>
      <c r="CW996" s="228"/>
      <c r="CX996" s="228"/>
      <c r="CY996" s="228"/>
      <c r="CZ996" s="228"/>
      <c r="DA996" s="228"/>
      <c r="DB996" s="228"/>
      <c r="DC996" s="228"/>
      <c r="DD996" s="228"/>
      <c r="DE996" s="228"/>
      <c r="DF996" s="228"/>
      <c r="DG996" s="228"/>
      <c r="DH996" s="228"/>
      <c r="DI996" s="228"/>
      <c r="DJ996" s="228"/>
      <c r="DK996" s="228"/>
      <c r="DL996" s="228"/>
      <c r="DM996" s="228"/>
      <c r="DN996" s="228"/>
      <c r="DO996" s="228"/>
      <c r="DP996" s="228"/>
      <c r="DQ996" s="228"/>
      <c r="DR996" s="228"/>
      <c r="DS996" s="228"/>
      <c r="DT996" s="228"/>
      <c r="DU996" s="228"/>
      <c r="DV996" s="228"/>
      <c r="DW996" s="228"/>
      <c r="DX996" s="228"/>
      <c r="DY996" s="228"/>
      <c r="DZ996" s="228"/>
      <c r="EA996" s="228"/>
      <c r="EB996" s="228"/>
      <c r="EC996" s="228"/>
      <c r="ED996" s="228"/>
      <c r="EE996" s="228"/>
      <c r="EF996" s="228"/>
      <c r="EG996" s="228"/>
      <c r="EH996" s="228"/>
      <c r="EI996" s="228"/>
      <c r="EJ996" s="228"/>
      <c r="EK996" s="228"/>
      <c r="EL996" s="228"/>
      <c r="EM996" s="228"/>
      <c r="EN996" s="228"/>
      <c r="EO996" s="228"/>
      <c r="EP996" s="228"/>
      <c r="EQ996" s="228"/>
      <c r="ER996" s="228"/>
      <c r="ES996" s="228"/>
      <c r="ET996" s="228"/>
      <c r="EU996" s="228"/>
      <c r="EV996" s="228"/>
      <c r="EW996" s="228"/>
      <c r="EX996" s="228"/>
      <c r="EY996" s="228"/>
      <c r="EZ996" s="228"/>
      <c r="FA996" s="228"/>
      <c r="FB996" s="228"/>
      <c r="FC996" s="228"/>
      <c r="FD996" s="228"/>
      <c r="FE996" s="228"/>
      <c r="FF996" s="228"/>
      <c r="FG996" s="228"/>
      <c r="FH996" s="228"/>
      <c r="FI996" s="228"/>
      <c r="FJ996" s="228"/>
      <c r="FK996" s="228"/>
      <c r="FL996" s="228"/>
      <c r="FM996" s="228"/>
      <c r="FN996" s="228"/>
      <c r="FO996" s="228"/>
      <c r="FP996" s="228"/>
      <c r="FQ996" s="228"/>
      <c r="FR996" s="228"/>
      <c r="FS996" s="228"/>
      <c r="FT996" s="228"/>
      <c r="FU996" s="228"/>
      <c r="FV996" s="228"/>
      <c r="FW996" s="228"/>
      <c r="FX996" s="228"/>
      <c r="FY996" s="228"/>
      <c r="FZ996" s="228"/>
      <c r="GA996" s="228"/>
      <c r="GB996" s="228"/>
      <c r="GC996" s="228"/>
      <c r="GD996" s="228"/>
      <c r="GE996" s="228"/>
      <c r="GF996" s="228"/>
      <c r="GG996" s="228"/>
      <c r="GH996" s="228"/>
      <c r="GI996" s="228"/>
      <c r="GJ996" s="228"/>
      <c r="GK996" s="228"/>
      <c r="GL996" s="228"/>
      <c r="GM996" s="228"/>
      <c r="GN996" s="228"/>
    </row>
    <row r="997">
      <c r="A997" s="212"/>
      <c r="B997" s="21"/>
      <c r="C997" s="21"/>
      <c r="D997" s="213"/>
      <c r="E997" s="214"/>
      <c r="F997" s="215"/>
      <c r="G997" s="21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>
      <c r="A998" s="212"/>
      <c r="B998" s="21"/>
      <c r="C998" s="21"/>
      <c r="D998" s="213"/>
      <c r="E998" s="214"/>
      <c r="F998" s="215"/>
      <c r="G998" s="21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>
      <c r="A999" s="212"/>
      <c r="B999" s="21"/>
      <c r="C999" s="21"/>
      <c r="D999" s="213"/>
      <c r="E999" s="214"/>
      <c r="F999" s="215"/>
      <c r="G999" s="21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>
      <c r="A1000" s="212"/>
      <c r="B1000" s="21"/>
      <c r="C1000" s="21"/>
      <c r="D1000" s="213"/>
      <c r="E1000" s="214"/>
      <c r="F1000" s="215"/>
      <c r="G1000" s="21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 ht="15.75" customHeight="1">
      <c r="A1001" s="212"/>
      <c r="B1001" s="21"/>
      <c r="C1001" s="21"/>
      <c r="D1001" s="213"/>
      <c r="E1001" s="214"/>
      <c r="F1001" s="215"/>
      <c r="G1001" s="21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>
      <c r="A1002" s="212"/>
      <c r="B1002" s="21"/>
      <c r="C1002" s="21"/>
      <c r="D1002" s="213"/>
      <c r="E1002" s="214"/>
      <c r="F1002" s="215"/>
      <c r="G1002" s="21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>
      <c r="A1003" s="212"/>
      <c r="B1003" s="21"/>
      <c r="C1003" s="21"/>
      <c r="D1003" s="213"/>
      <c r="E1003" s="214"/>
      <c r="F1003" s="215"/>
      <c r="G1003" s="21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>
      <c r="A1004" s="212"/>
      <c r="B1004" s="21"/>
      <c r="C1004" s="21"/>
      <c r="D1004" s="213"/>
      <c r="E1004" s="214"/>
      <c r="F1004" s="215"/>
      <c r="G1004" s="21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>
      <c r="A1005" s="212"/>
      <c r="B1005" s="21"/>
      <c r="C1005" s="21"/>
      <c r="D1005" s="213"/>
      <c r="E1005" s="214"/>
      <c r="F1005" s="215"/>
      <c r="G1005" s="21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 ht="15.75" customHeight="1">
      <c r="A1006" s="212"/>
      <c r="B1006" s="21"/>
      <c r="C1006" s="21"/>
      <c r="D1006" s="213"/>
      <c r="E1006" s="214"/>
      <c r="F1006" s="215"/>
      <c r="G1006" s="21"/>
      <c r="H1006" s="110"/>
      <c r="I1006" s="110"/>
      <c r="J1006" s="21"/>
      <c r="K1006" s="21"/>
      <c r="L1006" s="221"/>
      <c r="M1006" s="21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>
      <c r="A1007" s="212"/>
      <c r="B1007" s="21"/>
      <c r="C1007" s="21"/>
      <c r="D1007" s="213"/>
      <c r="E1007" s="214"/>
      <c r="F1007" s="215"/>
      <c r="G1007" s="21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  <row r="1008">
      <c r="A1008" s="212"/>
      <c r="B1008" s="21"/>
      <c r="C1008" s="21"/>
      <c r="D1008" s="213"/>
      <c r="E1008" s="214"/>
      <c r="F1008" s="215"/>
      <c r="G1008" s="21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</row>
    <row r="1009">
      <c r="A1009" s="212"/>
      <c r="B1009" s="21"/>
      <c r="C1009" s="21"/>
      <c r="D1009" s="213"/>
      <c r="E1009" s="214"/>
      <c r="F1009" s="215"/>
      <c r="G1009" s="21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</row>
    <row r="1010">
      <c r="A1010" s="212"/>
      <c r="B1010" s="21"/>
      <c r="C1010" s="21"/>
      <c r="D1010" s="213"/>
      <c r="E1010" s="214"/>
      <c r="F1010" s="215"/>
      <c r="G1010" s="21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</row>
    <row r="1011">
      <c r="A1011" s="212"/>
      <c r="B1011" s="21"/>
      <c r="C1011" s="21"/>
      <c r="D1011" s="213"/>
      <c r="E1011" s="214"/>
      <c r="F1011" s="215"/>
      <c r="G1011" s="21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</row>
    <row r="1012">
      <c r="A1012" s="212"/>
      <c r="B1012" s="21"/>
      <c r="C1012" s="21"/>
      <c r="D1012" s="213"/>
      <c r="E1012" s="214"/>
      <c r="F1012" s="215"/>
      <c r="G1012" s="21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</row>
    <row r="1013">
      <c r="A1013" s="212"/>
      <c r="B1013" s="21"/>
      <c r="C1013" s="21"/>
      <c r="D1013" s="213"/>
      <c r="E1013" s="214"/>
      <c r="F1013" s="215"/>
      <c r="G1013" s="21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</row>
    <row r="1014">
      <c r="A1014" s="212"/>
      <c r="B1014" s="21"/>
      <c r="C1014" s="21"/>
      <c r="D1014" s="213"/>
      <c r="E1014" s="214"/>
      <c r="F1014" s="215"/>
      <c r="G1014" s="21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</row>
    <row r="1015">
      <c r="A1015" s="212"/>
      <c r="B1015" s="21"/>
      <c r="C1015" s="21"/>
      <c r="D1015" s="213"/>
      <c r="E1015" s="214"/>
      <c r="F1015" s="215"/>
      <c r="G1015" s="21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</row>
    <row r="1016">
      <c r="A1016" s="212"/>
      <c r="B1016" s="21"/>
      <c r="C1016" s="21"/>
      <c r="D1016" s="213"/>
      <c r="E1016" s="214"/>
      <c r="F1016" s="215"/>
      <c r="G1016" s="21"/>
      <c r="H1016" s="225"/>
      <c r="I1016" s="225"/>
      <c r="J1016" s="225"/>
      <c r="K1016" s="225"/>
      <c r="L1016" s="225"/>
      <c r="M1016" s="225"/>
      <c r="N1016" s="225"/>
      <c r="O1016" s="225"/>
      <c r="P1016" s="225"/>
      <c r="Q1016" s="225"/>
      <c r="R1016" s="225"/>
      <c r="S1016" s="225"/>
      <c r="T1016" s="225"/>
      <c r="U1016" s="225"/>
      <c r="V1016" s="225"/>
      <c r="W1016" s="225"/>
      <c r="X1016" s="225"/>
      <c r="Y1016" s="225"/>
      <c r="Z1016" s="225"/>
      <c r="AA1016" s="225"/>
      <c r="AB1016" s="225"/>
      <c r="AC1016" s="225"/>
      <c r="AD1016" s="225"/>
      <c r="AE1016" s="225"/>
      <c r="AF1016" s="225"/>
      <c r="AG1016" s="225"/>
      <c r="AH1016" s="225"/>
      <c r="AI1016" s="225"/>
      <c r="AJ1016" s="225"/>
      <c r="AK1016" s="225"/>
      <c r="AL1016" s="225"/>
      <c r="AM1016" s="225"/>
      <c r="AN1016" s="225"/>
      <c r="AO1016" s="225"/>
      <c r="AP1016" s="225"/>
      <c r="AQ1016" s="225"/>
      <c r="AR1016" s="225"/>
      <c r="AS1016" s="225"/>
      <c r="AT1016" s="225"/>
      <c r="AU1016" s="225"/>
      <c r="AV1016" s="225"/>
      <c r="AW1016" s="225"/>
      <c r="AX1016" s="225"/>
      <c r="AY1016" s="225"/>
      <c r="AZ1016" s="225"/>
      <c r="BA1016" s="225"/>
      <c r="BB1016" s="225"/>
      <c r="BC1016" s="225"/>
      <c r="BD1016" s="225"/>
      <c r="BE1016" s="225"/>
      <c r="BF1016" s="225"/>
      <c r="BG1016" s="225"/>
      <c r="BH1016" s="225"/>
      <c r="BI1016" s="225"/>
      <c r="BJ1016" s="225"/>
      <c r="BK1016" s="225"/>
      <c r="BL1016" s="225"/>
      <c r="BM1016" s="225"/>
      <c r="BN1016" s="225"/>
      <c r="BO1016" s="225"/>
      <c r="BP1016" s="225"/>
      <c r="BQ1016" s="225"/>
      <c r="BR1016" s="225"/>
      <c r="BS1016" s="225"/>
      <c r="BT1016" s="225"/>
      <c r="BU1016" s="225"/>
      <c r="BV1016" s="225"/>
      <c r="BW1016" s="225"/>
      <c r="BX1016" s="225"/>
      <c r="BY1016" s="225"/>
      <c r="BZ1016" s="225"/>
      <c r="CA1016" s="225"/>
      <c r="CB1016" s="225"/>
      <c r="CC1016" s="225"/>
      <c r="CD1016" s="225"/>
      <c r="CE1016" s="225"/>
      <c r="CF1016" s="225"/>
      <c r="CG1016" s="225"/>
      <c r="CH1016" s="225"/>
      <c r="CI1016" s="225"/>
      <c r="CJ1016" s="225"/>
      <c r="CK1016" s="225"/>
      <c r="CL1016" s="225"/>
      <c r="CM1016" s="225"/>
      <c r="CN1016" s="225"/>
      <c r="CO1016" s="225"/>
      <c r="CP1016" s="225"/>
      <c r="CQ1016" s="225"/>
      <c r="CR1016" s="225"/>
      <c r="CS1016" s="225"/>
      <c r="CT1016" s="225"/>
      <c r="CU1016" s="225"/>
      <c r="CV1016" s="225"/>
      <c r="CW1016" s="225"/>
      <c r="CX1016" s="225"/>
      <c r="CY1016" s="225"/>
      <c r="CZ1016" s="225"/>
      <c r="DA1016" s="225"/>
      <c r="DB1016" s="225"/>
      <c r="DC1016" s="225"/>
      <c r="DD1016" s="225"/>
      <c r="DE1016" s="225"/>
      <c r="DF1016" s="225"/>
      <c r="DG1016" s="225"/>
      <c r="DH1016" s="225"/>
      <c r="DI1016" s="225"/>
      <c r="DJ1016" s="225"/>
      <c r="DK1016" s="225"/>
      <c r="DL1016" s="225"/>
      <c r="DM1016" s="225"/>
      <c r="DN1016" s="225"/>
      <c r="DO1016" s="225"/>
      <c r="DP1016" s="225"/>
      <c r="DQ1016" s="225"/>
      <c r="DR1016" s="225"/>
      <c r="DS1016" s="225"/>
      <c r="DT1016" s="225"/>
      <c r="DU1016" s="225"/>
      <c r="DV1016" s="225"/>
      <c r="DW1016" s="225"/>
      <c r="DX1016" s="225"/>
      <c r="DY1016" s="225"/>
      <c r="DZ1016" s="225"/>
      <c r="EA1016" s="225"/>
      <c r="EB1016" s="225"/>
      <c r="EC1016" s="225"/>
      <c r="ED1016" s="225"/>
      <c r="EE1016" s="225"/>
      <c r="EF1016" s="225"/>
      <c r="EG1016" s="225"/>
      <c r="EH1016" s="225"/>
      <c r="EI1016" s="225"/>
      <c r="EJ1016" s="225"/>
      <c r="EK1016" s="225"/>
      <c r="EL1016" s="225"/>
      <c r="EM1016" s="225"/>
      <c r="EN1016" s="225"/>
      <c r="EO1016" s="225"/>
      <c r="EP1016" s="225"/>
      <c r="EQ1016" s="225"/>
      <c r="ER1016" s="225"/>
      <c r="ES1016" s="225"/>
      <c r="ET1016" s="225"/>
      <c r="EU1016" s="225"/>
      <c r="EV1016" s="225"/>
      <c r="EW1016" s="225"/>
      <c r="EX1016" s="225"/>
      <c r="EY1016" s="225"/>
      <c r="EZ1016" s="225"/>
      <c r="FA1016" s="225"/>
      <c r="FB1016" s="225"/>
      <c r="FC1016" s="225"/>
      <c r="FD1016" s="225"/>
      <c r="FE1016" s="225"/>
      <c r="FF1016" s="225"/>
      <c r="FG1016" s="225"/>
      <c r="FH1016" s="225"/>
      <c r="FI1016" s="225"/>
      <c r="FJ1016" s="225"/>
      <c r="FK1016" s="225"/>
      <c r="FL1016" s="225"/>
      <c r="FM1016" s="225"/>
      <c r="FN1016" s="225"/>
      <c r="FO1016" s="225"/>
      <c r="FP1016" s="225"/>
      <c r="FQ1016" s="225"/>
      <c r="FR1016" s="225"/>
      <c r="FS1016" s="225"/>
      <c r="FT1016" s="225"/>
      <c r="FU1016" s="225"/>
      <c r="FV1016" s="225"/>
      <c r="FW1016" s="225"/>
      <c r="FX1016" s="225"/>
      <c r="FY1016" s="225"/>
      <c r="FZ1016" s="225"/>
      <c r="GA1016" s="225"/>
      <c r="GB1016" s="225"/>
      <c r="GC1016" s="225"/>
      <c r="GD1016" s="225"/>
      <c r="GE1016" s="225"/>
      <c r="GF1016" s="225"/>
      <c r="GG1016" s="225"/>
      <c r="GH1016" s="225"/>
      <c r="GI1016" s="225"/>
      <c r="GJ1016" s="225"/>
      <c r="GK1016" s="225"/>
      <c r="GL1016" s="225"/>
      <c r="GM1016" s="225"/>
      <c r="GN1016" s="225"/>
    </row>
    <row r="1017">
      <c r="A1017" s="212"/>
      <c r="B1017" s="21"/>
      <c r="C1017" s="21"/>
      <c r="D1017" s="213"/>
      <c r="E1017" s="214"/>
      <c r="F1017" s="215"/>
      <c r="G1017" s="21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</row>
    <row r="1018">
      <c r="A1018" s="212"/>
      <c r="B1018" s="21"/>
      <c r="C1018" s="21"/>
      <c r="D1018" s="213"/>
      <c r="E1018" s="214"/>
      <c r="F1018" s="215"/>
      <c r="G1018" s="21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</row>
    <row r="1019">
      <c r="A1019" s="212"/>
      <c r="B1019" s="21"/>
      <c r="C1019" s="21"/>
      <c r="D1019" s="213"/>
      <c r="E1019" s="214"/>
      <c r="F1019" s="215"/>
      <c r="G1019" s="21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</row>
    <row r="1020">
      <c r="A1020" s="212"/>
      <c r="B1020" s="21"/>
      <c r="C1020" s="21"/>
      <c r="D1020" s="213"/>
      <c r="E1020" s="214"/>
      <c r="F1020" s="215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</row>
    <row r="1021">
      <c r="A1021" s="212"/>
      <c r="B1021" s="21"/>
      <c r="C1021" s="21"/>
      <c r="D1021" s="213"/>
      <c r="E1021" s="214"/>
      <c r="F1021" s="215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</row>
    <row r="1022">
      <c r="A1022" s="212"/>
      <c r="B1022" s="21"/>
      <c r="C1022" s="21"/>
      <c r="D1022" s="213"/>
      <c r="E1022" s="214"/>
      <c r="F1022" s="215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</row>
    <row r="1023">
      <c r="A1023" s="212"/>
      <c r="B1023" s="21"/>
      <c r="C1023" s="21"/>
      <c r="D1023" s="213"/>
      <c r="E1023" s="214"/>
      <c r="F1023" s="215"/>
      <c r="G1023" s="162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</row>
    <row r="1024">
      <c r="A1024" s="212"/>
      <c r="B1024" s="21"/>
      <c r="C1024" s="21"/>
      <c r="D1024" s="213"/>
      <c r="E1024" s="214"/>
      <c r="F1024" s="215"/>
      <c r="G1024" s="21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</row>
    <row r="1025">
      <c r="A1025" s="212"/>
      <c r="B1025" s="21"/>
      <c r="C1025" s="21"/>
      <c r="D1025" s="213"/>
      <c r="E1025" s="214"/>
      <c r="F1025" s="215"/>
      <c r="G1025" s="21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</row>
    <row r="1026">
      <c r="A1026" s="212"/>
      <c r="B1026" s="21"/>
      <c r="C1026" s="21"/>
      <c r="D1026" s="213"/>
      <c r="E1026" s="214"/>
      <c r="F1026" s="215"/>
      <c r="G1026" s="21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</row>
    <row r="1027">
      <c r="A1027" s="212"/>
      <c r="B1027" s="21"/>
      <c r="C1027" s="21"/>
      <c r="D1027" s="213"/>
      <c r="E1027" s="214"/>
      <c r="F1027" s="215"/>
      <c r="G1027" s="21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</row>
    <row r="1028">
      <c r="A1028" s="212"/>
      <c r="B1028" s="21"/>
      <c r="C1028" s="21"/>
      <c r="D1028" s="213"/>
      <c r="E1028" s="214"/>
      <c r="F1028" s="215"/>
      <c r="G1028" s="21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</row>
    <row r="1029">
      <c r="A1029" s="212"/>
      <c r="B1029" s="21"/>
      <c r="C1029" s="21"/>
      <c r="D1029" s="213"/>
      <c r="E1029" s="214"/>
      <c r="F1029" s="215"/>
      <c r="G1029" s="21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</row>
    <row r="1030">
      <c r="A1030" s="212"/>
      <c r="B1030" s="21"/>
      <c r="C1030" s="21"/>
      <c r="D1030" s="213"/>
      <c r="E1030" s="214"/>
      <c r="F1030" s="215"/>
      <c r="G1030" s="21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</row>
    <row r="1031">
      <c r="A1031" s="212"/>
      <c r="B1031" s="21"/>
      <c r="C1031" s="21"/>
      <c r="D1031" s="213"/>
      <c r="E1031" s="214"/>
      <c r="F1031" s="215"/>
      <c r="G1031" s="21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</row>
    <row r="1032">
      <c r="A1032" s="212"/>
      <c r="B1032" s="21"/>
      <c r="C1032" s="21"/>
      <c r="D1032" s="213"/>
      <c r="E1032" s="214"/>
      <c r="F1032" s="215"/>
      <c r="G1032" s="21"/>
      <c r="H1032" s="110"/>
      <c r="I1032" s="110"/>
      <c r="J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</row>
    <row r="1033">
      <c r="A1033" s="212"/>
      <c r="B1033" s="21"/>
      <c r="C1033" s="21"/>
      <c r="D1033" s="213"/>
      <c r="E1033" s="214"/>
      <c r="F1033" s="215"/>
      <c r="G1033" s="21"/>
      <c r="H1033" s="110"/>
      <c r="I1033" s="110"/>
      <c r="J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</row>
    <row r="1034">
      <c r="A1034" s="212"/>
      <c r="B1034" s="21"/>
      <c r="C1034" s="21"/>
      <c r="D1034" s="213"/>
      <c r="E1034" s="214"/>
      <c r="F1034" s="215"/>
      <c r="G1034" s="21"/>
      <c r="H1034" s="110"/>
      <c r="I1034" s="110"/>
      <c r="J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</row>
    <row r="1035">
      <c r="A1035" s="212"/>
      <c r="B1035" s="21"/>
      <c r="C1035" s="21"/>
      <c r="D1035" s="213"/>
      <c r="E1035" s="214"/>
      <c r="F1035" s="215"/>
      <c r="G1035" s="21"/>
      <c r="H1035" s="110"/>
      <c r="I1035" s="110"/>
      <c r="J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</row>
    <row r="1036">
      <c r="A1036" s="212"/>
      <c r="B1036" s="21"/>
      <c r="C1036" s="21"/>
      <c r="D1036" s="213"/>
      <c r="E1036" s="214"/>
      <c r="F1036" s="215"/>
      <c r="G1036" s="21"/>
      <c r="H1036" s="110"/>
      <c r="I1036" s="110"/>
      <c r="J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</row>
    <row r="1037">
      <c r="A1037" s="212"/>
      <c r="B1037" s="21"/>
      <c r="C1037" s="21"/>
      <c r="D1037" s="213"/>
      <c r="E1037" s="214"/>
      <c r="F1037" s="215"/>
      <c r="G1037" s="21"/>
      <c r="H1037" s="110"/>
      <c r="I1037" s="110"/>
      <c r="J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</row>
    <row r="1038">
      <c r="A1038" s="212"/>
      <c r="B1038" s="21"/>
      <c r="C1038" s="21"/>
      <c r="D1038" s="213"/>
      <c r="E1038" s="214"/>
      <c r="F1038" s="215"/>
      <c r="G1038" s="21"/>
      <c r="H1038" s="110"/>
      <c r="I1038" s="110"/>
      <c r="J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</row>
    <row r="1039">
      <c r="A1039" s="212"/>
      <c r="B1039" s="21"/>
      <c r="C1039" s="21"/>
      <c r="D1039" s="213"/>
      <c r="E1039" s="214"/>
      <c r="F1039" s="215"/>
      <c r="G1039" s="21"/>
      <c r="H1039" s="110"/>
      <c r="I1039" s="110"/>
      <c r="J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</row>
    <row r="1040">
      <c r="A1040" s="212"/>
      <c r="B1040" s="21"/>
      <c r="C1040" s="21"/>
      <c r="D1040" s="213"/>
      <c r="E1040" s="214"/>
      <c r="F1040" s="215"/>
      <c r="G1040" s="24"/>
      <c r="H1040" s="110"/>
      <c r="I1040" s="110"/>
      <c r="J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</row>
    <row r="1041">
      <c r="A1041" s="212"/>
      <c r="B1041" s="21"/>
      <c r="C1041" s="21"/>
      <c r="D1041" s="213"/>
      <c r="E1041" s="214"/>
      <c r="F1041" s="215"/>
      <c r="G1041" s="21"/>
      <c r="H1041" s="110"/>
      <c r="I1041" s="110"/>
      <c r="J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</row>
    <row r="1042">
      <c r="A1042" s="212"/>
      <c r="B1042" s="21"/>
      <c r="C1042" s="21"/>
      <c r="D1042" s="213"/>
      <c r="E1042" s="214"/>
      <c r="F1042" s="215"/>
      <c r="G1042" s="21"/>
      <c r="H1042" s="110"/>
      <c r="I1042" s="110"/>
      <c r="J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</row>
    <row r="1043">
      <c r="A1043" s="212"/>
      <c r="B1043" s="21"/>
      <c r="C1043" s="21"/>
      <c r="D1043" s="213"/>
      <c r="E1043" s="214"/>
      <c r="F1043" s="215"/>
      <c r="G1043" s="21"/>
      <c r="H1043" s="110"/>
      <c r="I1043" s="110"/>
      <c r="J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</row>
    <row r="1044">
      <c r="A1044" s="212"/>
      <c r="B1044" s="21"/>
      <c r="C1044" s="21"/>
      <c r="D1044" s="213"/>
      <c r="E1044" s="214"/>
      <c r="F1044" s="215"/>
      <c r="G1044" s="21"/>
      <c r="H1044" s="110"/>
      <c r="I1044" s="110"/>
      <c r="J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</row>
    <row r="1045">
      <c r="A1045" s="212"/>
      <c r="B1045" s="21"/>
      <c r="C1045" s="21"/>
      <c r="D1045" s="213"/>
      <c r="E1045" s="214"/>
      <c r="F1045" s="215"/>
      <c r="G1045" s="21"/>
      <c r="H1045" s="110"/>
      <c r="I1045" s="110"/>
      <c r="J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</row>
    <row r="1046">
      <c r="A1046" s="212"/>
      <c r="B1046" s="21"/>
      <c r="C1046" s="21"/>
      <c r="D1046" s="213"/>
      <c r="E1046" s="214"/>
      <c r="F1046" s="215"/>
      <c r="G1046" s="21"/>
      <c r="H1046" s="110"/>
      <c r="I1046" s="110"/>
      <c r="J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</row>
    <row r="1047">
      <c r="A1047" s="212"/>
      <c r="B1047" s="21"/>
      <c r="C1047" s="21"/>
      <c r="D1047" s="213"/>
      <c r="E1047" s="214"/>
      <c r="F1047" s="215"/>
      <c r="G1047" s="21"/>
      <c r="H1047" s="110"/>
      <c r="I1047" s="110"/>
      <c r="J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</row>
    <row r="1048">
      <c r="A1048" s="212"/>
      <c r="B1048" s="21"/>
      <c r="C1048" s="21"/>
      <c r="D1048" s="213"/>
      <c r="E1048" s="214"/>
      <c r="F1048" s="215"/>
      <c r="G1048" s="21"/>
      <c r="H1048" s="110"/>
      <c r="I1048" s="110"/>
      <c r="J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</row>
    <row r="1049">
      <c r="A1049" s="212"/>
      <c r="B1049" s="21"/>
      <c r="C1049" s="21"/>
      <c r="D1049" s="213"/>
      <c r="E1049" s="214"/>
      <c r="F1049" s="215"/>
      <c r="G1049" s="21"/>
      <c r="H1049" s="110"/>
      <c r="I1049" s="110"/>
      <c r="J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</row>
    <row r="1050">
      <c r="A1050" s="212"/>
      <c r="B1050" s="21"/>
      <c r="C1050" s="21"/>
      <c r="D1050" s="213"/>
      <c r="E1050" s="214"/>
      <c r="F1050" s="215"/>
      <c r="G1050" s="21"/>
      <c r="H1050" s="110"/>
      <c r="I1050" s="110"/>
      <c r="J1050" s="110"/>
      <c r="K1050" s="110"/>
      <c r="L1050" s="110"/>
      <c r="M1050" s="110"/>
      <c r="N1050" s="110"/>
      <c r="O1050" s="110"/>
      <c r="P1050" s="110"/>
      <c r="Q1050" s="110"/>
      <c r="R1050" s="110"/>
      <c r="S1050" s="110"/>
      <c r="T1050" s="110"/>
      <c r="U1050" s="110"/>
      <c r="V1050" s="110"/>
      <c r="W1050" s="110"/>
      <c r="X1050" s="110"/>
      <c r="Y1050" s="110"/>
      <c r="Z1050" s="110"/>
    </row>
    <row r="1051">
      <c r="A1051" s="212"/>
      <c r="B1051" s="21"/>
      <c r="C1051" s="21"/>
      <c r="D1051" s="213"/>
      <c r="E1051" s="214"/>
      <c r="F1051" s="215"/>
      <c r="G1051" s="21"/>
      <c r="H1051" s="124"/>
      <c r="I1051" s="21"/>
      <c r="J1051" s="24"/>
      <c r="K1051" s="21"/>
      <c r="L1051" s="21"/>
      <c r="M1051" s="24"/>
      <c r="N1051" s="21"/>
      <c r="O1051" s="21"/>
      <c r="P1051" s="124"/>
      <c r="Q1051" s="124"/>
      <c r="R1051" s="124"/>
      <c r="S1051" s="124"/>
      <c r="T1051" s="124"/>
      <c r="U1051" s="124"/>
      <c r="V1051" s="124"/>
      <c r="W1051" s="221"/>
      <c r="X1051" s="221"/>
      <c r="Y1051" s="221"/>
      <c r="Z1051" s="221"/>
      <c r="AA1051" s="230"/>
      <c r="AB1051" s="230"/>
      <c r="AC1051" s="230"/>
      <c r="AD1051" s="230"/>
      <c r="AE1051" s="230"/>
      <c r="AF1051" s="230"/>
      <c r="AG1051" s="230"/>
      <c r="AH1051" s="230"/>
      <c r="AI1051" s="230"/>
      <c r="AJ1051" s="230"/>
      <c r="AK1051" s="230"/>
      <c r="AL1051" s="230"/>
      <c r="AM1051" s="230"/>
      <c r="AN1051" s="230"/>
      <c r="AO1051" s="230"/>
      <c r="AP1051" s="230"/>
      <c r="AQ1051" s="230"/>
      <c r="AR1051" s="230"/>
      <c r="AS1051" s="230"/>
      <c r="AT1051" s="230"/>
      <c r="AU1051" s="230"/>
      <c r="AV1051" s="230"/>
      <c r="AW1051" s="230"/>
      <c r="AX1051" s="230"/>
      <c r="AY1051" s="230"/>
      <c r="AZ1051" s="230"/>
      <c r="BA1051" s="230"/>
      <c r="BB1051" s="230"/>
      <c r="BC1051" s="230"/>
      <c r="BD1051" s="230"/>
      <c r="BE1051" s="230"/>
      <c r="BF1051" s="230"/>
      <c r="BG1051" s="230"/>
      <c r="BH1051" s="230"/>
      <c r="BI1051" s="230"/>
      <c r="BJ1051" s="230"/>
      <c r="BK1051" s="230"/>
      <c r="BL1051" s="230"/>
      <c r="BM1051" s="230"/>
      <c r="BN1051" s="230"/>
      <c r="BO1051" s="230"/>
      <c r="BP1051" s="230"/>
      <c r="BQ1051" s="230"/>
      <c r="BR1051" s="230"/>
      <c r="BS1051" s="230"/>
      <c r="BT1051" s="230"/>
      <c r="BU1051" s="230"/>
      <c r="BV1051" s="230"/>
      <c r="BW1051" s="230"/>
      <c r="BX1051" s="230"/>
      <c r="BY1051" s="230"/>
      <c r="BZ1051" s="230"/>
      <c r="CA1051" s="230"/>
      <c r="CB1051" s="230"/>
      <c r="CC1051" s="230"/>
      <c r="CD1051" s="230"/>
      <c r="CE1051" s="230"/>
      <c r="CF1051" s="230"/>
      <c r="CG1051" s="230"/>
      <c r="CH1051" s="230"/>
      <c r="CI1051" s="230"/>
      <c r="CJ1051" s="230"/>
      <c r="CK1051" s="230"/>
      <c r="CL1051" s="230"/>
      <c r="CM1051" s="230"/>
      <c r="CN1051" s="230"/>
      <c r="CO1051" s="230"/>
      <c r="CP1051" s="230"/>
      <c r="CQ1051" s="230"/>
      <c r="CR1051" s="230"/>
      <c r="CS1051" s="230"/>
      <c r="CT1051" s="230"/>
      <c r="CU1051" s="230"/>
      <c r="CV1051" s="230"/>
      <c r="CW1051" s="230"/>
      <c r="CX1051" s="230"/>
      <c r="CY1051" s="230"/>
      <c r="CZ1051" s="230"/>
      <c r="DA1051" s="230"/>
      <c r="DB1051" s="230"/>
      <c r="DC1051" s="230"/>
      <c r="DD1051" s="230"/>
      <c r="DE1051" s="230"/>
      <c r="DF1051" s="230"/>
      <c r="DG1051" s="230"/>
      <c r="DH1051" s="230"/>
      <c r="DI1051" s="230"/>
      <c r="DJ1051" s="230"/>
      <c r="DK1051" s="230"/>
      <c r="DL1051" s="230"/>
      <c r="DM1051" s="230"/>
      <c r="DN1051" s="230"/>
      <c r="DO1051" s="230"/>
      <c r="DP1051" s="230"/>
      <c r="DQ1051" s="230"/>
      <c r="DR1051" s="230"/>
      <c r="DS1051" s="230"/>
      <c r="DT1051" s="230"/>
      <c r="DU1051" s="230"/>
      <c r="DV1051" s="230"/>
      <c r="DW1051" s="230"/>
      <c r="DX1051" s="230"/>
      <c r="DY1051" s="230"/>
      <c r="DZ1051" s="230"/>
      <c r="EA1051" s="230"/>
      <c r="EB1051" s="230"/>
      <c r="EC1051" s="230"/>
      <c r="ED1051" s="230"/>
      <c r="EE1051" s="230"/>
      <c r="EF1051" s="230"/>
      <c r="EG1051" s="230"/>
      <c r="EH1051" s="230"/>
      <c r="EI1051" s="230"/>
      <c r="EJ1051" s="230"/>
      <c r="EK1051" s="230"/>
      <c r="EL1051" s="230"/>
      <c r="EM1051" s="230"/>
      <c r="EN1051" s="230"/>
      <c r="EO1051" s="230"/>
      <c r="EP1051" s="230"/>
      <c r="EQ1051" s="230"/>
      <c r="ER1051" s="230"/>
      <c r="ES1051" s="230"/>
      <c r="ET1051" s="230"/>
      <c r="EU1051" s="230"/>
      <c r="EV1051" s="230"/>
      <c r="EW1051" s="230"/>
      <c r="EX1051" s="230"/>
      <c r="EY1051" s="230"/>
      <c r="EZ1051" s="230"/>
      <c r="FA1051" s="230"/>
      <c r="FB1051" s="230"/>
      <c r="FC1051" s="230"/>
      <c r="FD1051" s="230"/>
      <c r="FE1051" s="230"/>
      <c r="FF1051" s="230"/>
      <c r="FG1051" s="230"/>
      <c r="FH1051" s="230"/>
      <c r="FI1051" s="230"/>
      <c r="FJ1051" s="230"/>
      <c r="FK1051" s="230"/>
      <c r="FL1051" s="230"/>
      <c r="FM1051" s="230"/>
      <c r="FN1051" s="230"/>
      <c r="FO1051" s="230"/>
      <c r="FP1051" s="230"/>
      <c r="FQ1051" s="230"/>
      <c r="FR1051" s="230"/>
      <c r="FS1051" s="230"/>
      <c r="FT1051" s="230"/>
      <c r="FU1051" s="230"/>
      <c r="FV1051" s="230"/>
      <c r="FW1051" s="230"/>
      <c r="FX1051" s="230"/>
      <c r="FY1051" s="230"/>
      <c r="FZ1051" s="230"/>
      <c r="GA1051" s="230"/>
      <c r="GB1051" s="230"/>
      <c r="GC1051" s="230"/>
      <c r="GD1051" s="230"/>
      <c r="GE1051" s="230"/>
      <c r="GF1051" s="230"/>
      <c r="GG1051" s="230"/>
      <c r="GH1051" s="230"/>
      <c r="GI1051" s="230"/>
      <c r="GJ1051" s="230"/>
      <c r="GK1051" s="230"/>
      <c r="GL1051" s="230"/>
      <c r="GM1051" s="230"/>
      <c r="GN1051" s="230"/>
    </row>
    <row r="1052">
      <c r="A1052" s="212"/>
      <c r="B1052" s="21"/>
      <c r="C1052" s="21"/>
      <c r="D1052" s="213"/>
      <c r="E1052" s="214"/>
      <c r="F1052" s="215"/>
      <c r="G1052" s="21"/>
      <c r="H1052" s="124"/>
      <c r="I1052" s="21"/>
      <c r="J1052" s="24"/>
      <c r="K1052" s="21"/>
      <c r="L1052" s="21"/>
      <c r="M1052" s="24"/>
      <c r="N1052" s="21"/>
      <c r="O1052" s="21"/>
      <c r="P1052" s="124"/>
      <c r="Q1052" s="124"/>
      <c r="R1052" s="124"/>
      <c r="S1052" s="124"/>
      <c r="T1052" s="124"/>
      <c r="U1052" s="124"/>
      <c r="V1052" s="124"/>
      <c r="W1052" s="221"/>
      <c r="X1052" s="221"/>
      <c r="Y1052" s="221"/>
      <c r="Z1052" s="221"/>
      <c r="AA1052" s="230"/>
      <c r="AB1052" s="230"/>
      <c r="AC1052" s="230"/>
      <c r="AD1052" s="230"/>
      <c r="AE1052" s="230"/>
      <c r="AF1052" s="230"/>
      <c r="AG1052" s="230"/>
      <c r="AH1052" s="230"/>
      <c r="AI1052" s="230"/>
      <c r="AJ1052" s="230"/>
      <c r="AK1052" s="230"/>
      <c r="AL1052" s="230"/>
      <c r="AM1052" s="230"/>
      <c r="AN1052" s="230"/>
      <c r="AO1052" s="230"/>
      <c r="AP1052" s="230"/>
      <c r="AQ1052" s="230"/>
      <c r="AR1052" s="230"/>
      <c r="AS1052" s="230"/>
      <c r="AT1052" s="230"/>
      <c r="AU1052" s="230"/>
      <c r="AV1052" s="230"/>
      <c r="AW1052" s="230"/>
      <c r="AX1052" s="230"/>
      <c r="AY1052" s="230"/>
      <c r="AZ1052" s="230"/>
      <c r="BA1052" s="230"/>
      <c r="BB1052" s="230"/>
      <c r="BC1052" s="230"/>
      <c r="BD1052" s="230"/>
      <c r="BE1052" s="230"/>
      <c r="BF1052" s="230"/>
      <c r="BG1052" s="230"/>
      <c r="BH1052" s="230"/>
      <c r="BI1052" s="230"/>
      <c r="BJ1052" s="230"/>
      <c r="BK1052" s="230"/>
      <c r="BL1052" s="230"/>
      <c r="BM1052" s="230"/>
      <c r="BN1052" s="230"/>
      <c r="BO1052" s="230"/>
      <c r="BP1052" s="230"/>
      <c r="BQ1052" s="230"/>
      <c r="BR1052" s="230"/>
      <c r="BS1052" s="230"/>
      <c r="BT1052" s="230"/>
      <c r="BU1052" s="230"/>
      <c r="BV1052" s="230"/>
      <c r="BW1052" s="230"/>
      <c r="BX1052" s="230"/>
      <c r="BY1052" s="230"/>
      <c r="BZ1052" s="230"/>
      <c r="CA1052" s="230"/>
      <c r="CB1052" s="230"/>
      <c r="CC1052" s="230"/>
      <c r="CD1052" s="230"/>
      <c r="CE1052" s="230"/>
      <c r="CF1052" s="230"/>
      <c r="CG1052" s="230"/>
      <c r="CH1052" s="230"/>
      <c r="CI1052" s="230"/>
      <c r="CJ1052" s="230"/>
      <c r="CK1052" s="230"/>
      <c r="CL1052" s="230"/>
      <c r="CM1052" s="230"/>
      <c r="CN1052" s="230"/>
      <c r="CO1052" s="230"/>
      <c r="CP1052" s="230"/>
      <c r="CQ1052" s="230"/>
      <c r="CR1052" s="230"/>
      <c r="CS1052" s="230"/>
      <c r="CT1052" s="230"/>
      <c r="CU1052" s="230"/>
      <c r="CV1052" s="230"/>
      <c r="CW1052" s="230"/>
      <c r="CX1052" s="230"/>
      <c r="CY1052" s="230"/>
      <c r="CZ1052" s="230"/>
      <c r="DA1052" s="230"/>
      <c r="DB1052" s="230"/>
      <c r="DC1052" s="230"/>
      <c r="DD1052" s="230"/>
      <c r="DE1052" s="230"/>
      <c r="DF1052" s="230"/>
      <c r="DG1052" s="230"/>
      <c r="DH1052" s="230"/>
      <c r="DI1052" s="230"/>
      <c r="DJ1052" s="230"/>
      <c r="DK1052" s="230"/>
      <c r="DL1052" s="230"/>
      <c r="DM1052" s="230"/>
      <c r="DN1052" s="230"/>
      <c r="DO1052" s="230"/>
      <c r="DP1052" s="230"/>
      <c r="DQ1052" s="230"/>
      <c r="DR1052" s="230"/>
      <c r="DS1052" s="230"/>
      <c r="DT1052" s="230"/>
      <c r="DU1052" s="230"/>
      <c r="DV1052" s="230"/>
      <c r="DW1052" s="230"/>
      <c r="DX1052" s="230"/>
      <c r="DY1052" s="230"/>
      <c r="DZ1052" s="230"/>
      <c r="EA1052" s="230"/>
      <c r="EB1052" s="230"/>
      <c r="EC1052" s="230"/>
      <c r="ED1052" s="230"/>
      <c r="EE1052" s="230"/>
      <c r="EF1052" s="230"/>
      <c r="EG1052" s="230"/>
      <c r="EH1052" s="230"/>
      <c r="EI1052" s="230"/>
      <c r="EJ1052" s="230"/>
      <c r="EK1052" s="230"/>
      <c r="EL1052" s="230"/>
      <c r="EM1052" s="230"/>
      <c r="EN1052" s="230"/>
      <c r="EO1052" s="230"/>
      <c r="EP1052" s="230"/>
      <c r="EQ1052" s="230"/>
      <c r="ER1052" s="230"/>
      <c r="ES1052" s="230"/>
      <c r="ET1052" s="230"/>
      <c r="EU1052" s="230"/>
      <c r="EV1052" s="230"/>
      <c r="EW1052" s="230"/>
      <c r="EX1052" s="230"/>
      <c r="EY1052" s="230"/>
      <c r="EZ1052" s="230"/>
      <c r="FA1052" s="230"/>
      <c r="FB1052" s="230"/>
      <c r="FC1052" s="230"/>
      <c r="FD1052" s="230"/>
      <c r="FE1052" s="230"/>
      <c r="FF1052" s="230"/>
      <c r="FG1052" s="230"/>
      <c r="FH1052" s="230"/>
      <c r="FI1052" s="230"/>
      <c r="FJ1052" s="230"/>
      <c r="FK1052" s="230"/>
      <c r="FL1052" s="230"/>
      <c r="FM1052" s="230"/>
      <c r="FN1052" s="230"/>
      <c r="FO1052" s="230"/>
      <c r="FP1052" s="230"/>
      <c r="FQ1052" s="230"/>
      <c r="FR1052" s="230"/>
      <c r="FS1052" s="230"/>
      <c r="FT1052" s="230"/>
      <c r="FU1052" s="230"/>
      <c r="FV1052" s="230"/>
      <c r="FW1052" s="230"/>
      <c r="FX1052" s="230"/>
      <c r="FY1052" s="230"/>
      <c r="FZ1052" s="230"/>
      <c r="GA1052" s="230"/>
      <c r="GB1052" s="230"/>
      <c r="GC1052" s="230"/>
      <c r="GD1052" s="230"/>
      <c r="GE1052" s="230"/>
      <c r="GF1052" s="230"/>
      <c r="GG1052" s="230"/>
      <c r="GH1052" s="230"/>
      <c r="GI1052" s="230"/>
      <c r="GJ1052" s="230"/>
      <c r="GK1052" s="230"/>
      <c r="GL1052" s="230"/>
      <c r="GM1052" s="230"/>
      <c r="GN1052" s="230"/>
    </row>
    <row r="1053">
      <c r="A1053" s="212"/>
      <c r="B1053" s="21"/>
      <c r="C1053" s="21"/>
      <c r="D1053" s="213"/>
      <c r="E1053" s="214"/>
      <c r="F1053" s="215"/>
      <c r="G1053" s="21"/>
      <c r="H1053" s="124"/>
      <c r="I1053" s="21"/>
      <c r="J1053" s="24"/>
      <c r="K1053" s="21"/>
      <c r="L1053" s="21"/>
      <c r="M1053" s="24"/>
      <c r="N1053" s="21"/>
      <c r="O1053" s="21"/>
      <c r="P1053" s="124"/>
      <c r="Q1053" s="124"/>
      <c r="R1053" s="124"/>
      <c r="S1053" s="124"/>
      <c r="T1053" s="124"/>
      <c r="U1053" s="124"/>
      <c r="V1053" s="124"/>
      <c r="W1053" s="221"/>
      <c r="X1053" s="221"/>
      <c r="Y1053" s="221"/>
      <c r="Z1053" s="221"/>
      <c r="AA1053" s="230"/>
      <c r="AB1053" s="230"/>
      <c r="AC1053" s="230"/>
      <c r="AD1053" s="230"/>
      <c r="AE1053" s="230"/>
      <c r="AF1053" s="230"/>
      <c r="AG1053" s="230"/>
      <c r="AH1053" s="230"/>
      <c r="AI1053" s="230"/>
      <c r="AJ1053" s="230"/>
      <c r="AK1053" s="230"/>
      <c r="AL1053" s="230"/>
      <c r="AM1053" s="230"/>
      <c r="AN1053" s="230"/>
      <c r="AO1053" s="230"/>
      <c r="AP1053" s="230"/>
      <c r="AQ1053" s="230"/>
      <c r="AR1053" s="230"/>
      <c r="AS1053" s="230"/>
      <c r="AT1053" s="230"/>
      <c r="AU1053" s="230"/>
      <c r="AV1053" s="230"/>
      <c r="AW1053" s="230"/>
      <c r="AX1053" s="230"/>
      <c r="AY1053" s="230"/>
      <c r="AZ1053" s="230"/>
      <c r="BA1053" s="230"/>
      <c r="BB1053" s="230"/>
      <c r="BC1053" s="230"/>
      <c r="BD1053" s="230"/>
      <c r="BE1053" s="230"/>
      <c r="BF1053" s="230"/>
      <c r="BG1053" s="230"/>
      <c r="BH1053" s="230"/>
      <c r="BI1053" s="230"/>
      <c r="BJ1053" s="230"/>
      <c r="BK1053" s="230"/>
      <c r="BL1053" s="230"/>
      <c r="BM1053" s="230"/>
      <c r="BN1053" s="230"/>
      <c r="BO1053" s="230"/>
      <c r="BP1053" s="230"/>
      <c r="BQ1053" s="230"/>
      <c r="BR1053" s="230"/>
      <c r="BS1053" s="230"/>
      <c r="BT1053" s="230"/>
      <c r="BU1053" s="230"/>
      <c r="BV1053" s="230"/>
      <c r="BW1053" s="230"/>
      <c r="BX1053" s="230"/>
      <c r="BY1053" s="230"/>
      <c r="BZ1053" s="230"/>
      <c r="CA1053" s="230"/>
      <c r="CB1053" s="230"/>
      <c r="CC1053" s="230"/>
      <c r="CD1053" s="230"/>
      <c r="CE1053" s="230"/>
      <c r="CF1053" s="230"/>
      <c r="CG1053" s="230"/>
      <c r="CH1053" s="230"/>
      <c r="CI1053" s="230"/>
      <c r="CJ1053" s="230"/>
      <c r="CK1053" s="230"/>
      <c r="CL1053" s="230"/>
      <c r="CM1053" s="230"/>
      <c r="CN1053" s="230"/>
      <c r="CO1053" s="230"/>
      <c r="CP1053" s="230"/>
      <c r="CQ1053" s="230"/>
      <c r="CR1053" s="230"/>
      <c r="CS1053" s="230"/>
      <c r="CT1053" s="230"/>
      <c r="CU1053" s="230"/>
      <c r="CV1053" s="230"/>
      <c r="CW1053" s="230"/>
      <c r="CX1053" s="230"/>
      <c r="CY1053" s="230"/>
      <c r="CZ1053" s="230"/>
      <c r="DA1053" s="230"/>
      <c r="DB1053" s="230"/>
      <c r="DC1053" s="230"/>
      <c r="DD1053" s="230"/>
      <c r="DE1053" s="230"/>
      <c r="DF1053" s="230"/>
      <c r="DG1053" s="230"/>
      <c r="DH1053" s="230"/>
      <c r="DI1053" s="230"/>
      <c r="DJ1053" s="230"/>
      <c r="DK1053" s="230"/>
      <c r="DL1053" s="230"/>
      <c r="DM1053" s="230"/>
      <c r="DN1053" s="230"/>
      <c r="DO1053" s="230"/>
      <c r="DP1053" s="230"/>
      <c r="DQ1053" s="230"/>
      <c r="DR1053" s="230"/>
      <c r="DS1053" s="230"/>
      <c r="DT1053" s="230"/>
      <c r="DU1053" s="230"/>
      <c r="DV1053" s="230"/>
      <c r="DW1053" s="230"/>
      <c r="DX1053" s="230"/>
      <c r="DY1053" s="230"/>
      <c r="DZ1053" s="230"/>
      <c r="EA1053" s="230"/>
      <c r="EB1053" s="230"/>
      <c r="EC1053" s="230"/>
      <c r="ED1053" s="230"/>
      <c r="EE1053" s="230"/>
      <c r="EF1053" s="230"/>
      <c r="EG1053" s="230"/>
      <c r="EH1053" s="230"/>
      <c r="EI1053" s="230"/>
      <c r="EJ1053" s="230"/>
      <c r="EK1053" s="230"/>
      <c r="EL1053" s="230"/>
      <c r="EM1053" s="230"/>
      <c r="EN1053" s="230"/>
      <c r="EO1053" s="230"/>
      <c r="EP1053" s="230"/>
      <c r="EQ1053" s="230"/>
      <c r="ER1053" s="230"/>
      <c r="ES1053" s="230"/>
      <c r="ET1053" s="230"/>
      <c r="EU1053" s="230"/>
      <c r="EV1053" s="230"/>
      <c r="EW1053" s="230"/>
      <c r="EX1053" s="230"/>
      <c r="EY1053" s="230"/>
      <c r="EZ1053" s="230"/>
      <c r="FA1053" s="230"/>
      <c r="FB1053" s="230"/>
      <c r="FC1053" s="230"/>
      <c r="FD1053" s="230"/>
      <c r="FE1053" s="230"/>
      <c r="FF1053" s="230"/>
      <c r="FG1053" s="230"/>
      <c r="FH1053" s="230"/>
      <c r="FI1053" s="230"/>
      <c r="FJ1053" s="230"/>
      <c r="FK1053" s="230"/>
      <c r="FL1053" s="230"/>
      <c r="FM1053" s="230"/>
      <c r="FN1053" s="230"/>
      <c r="FO1053" s="230"/>
      <c r="FP1053" s="230"/>
      <c r="FQ1053" s="230"/>
      <c r="FR1053" s="230"/>
      <c r="FS1053" s="230"/>
      <c r="FT1053" s="230"/>
      <c r="FU1053" s="230"/>
      <c r="FV1053" s="230"/>
      <c r="FW1053" s="230"/>
      <c r="FX1053" s="230"/>
      <c r="FY1053" s="230"/>
      <c r="FZ1053" s="230"/>
      <c r="GA1053" s="230"/>
      <c r="GB1053" s="230"/>
      <c r="GC1053" s="230"/>
      <c r="GD1053" s="230"/>
      <c r="GE1053" s="230"/>
      <c r="GF1053" s="230"/>
      <c r="GG1053" s="230"/>
      <c r="GH1053" s="230"/>
      <c r="GI1053" s="230"/>
      <c r="GJ1053" s="230"/>
      <c r="GK1053" s="230"/>
      <c r="GL1053" s="230"/>
      <c r="GM1053" s="230"/>
      <c r="GN1053" s="230"/>
    </row>
    <row r="1054">
      <c r="A1054" s="212"/>
      <c r="B1054" s="21"/>
      <c r="C1054" s="21"/>
      <c r="D1054" s="213"/>
      <c r="E1054" s="214"/>
      <c r="F1054" s="215"/>
      <c r="G1054" s="21"/>
      <c r="H1054" s="124"/>
      <c r="I1054" s="21"/>
      <c r="J1054" s="24"/>
      <c r="K1054" s="21"/>
      <c r="L1054" s="21"/>
      <c r="M1054" s="24"/>
      <c r="N1054" s="21"/>
      <c r="O1054" s="21"/>
      <c r="P1054" s="124"/>
      <c r="Q1054" s="124"/>
      <c r="R1054" s="124"/>
      <c r="S1054" s="124"/>
      <c r="T1054" s="124"/>
      <c r="U1054" s="124"/>
      <c r="V1054" s="124"/>
      <c r="W1054" s="221"/>
      <c r="X1054" s="221"/>
      <c r="Y1054" s="221"/>
      <c r="Z1054" s="221"/>
      <c r="AA1054" s="230"/>
      <c r="AB1054" s="230"/>
      <c r="AC1054" s="230"/>
      <c r="AD1054" s="230"/>
      <c r="AE1054" s="230"/>
      <c r="AF1054" s="230"/>
      <c r="AG1054" s="230"/>
      <c r="AH1054" s="230"/>
      <c r="AI1054" s="230"/>
      <c r="AJ1054" s="230"/>
      <c r="AK1054" s="230"/>
      <c r="AL1054" s="230"/>
      <c r="AM1054" s="230"/>
      <c r="AN1054" s="230"/>
      <c r="AO1054" s="230"/>
      <c r="AP1054" s="230"/>
      <c r="AQ1054" s="230"/>
      <c r="AR1054" s="230"/>
      <c r="AS1054" s="230"/>
      <c r="AT1054" s="230"/>
      <c r="AU1054" s="230"/>
      <c r="AV1054" s="230"/>
      <c r="AW1054" s="230"/>
      <c r="AX1054" s="230"/>
      <c r="AY1054" s="230"/>
      <c r="AZ1054" s="230"/>
      <c r="BA1054" s="230"/>
      <c r="BB1054" s="230"/>
      <c r="BC1054" s="230"/>
      <c r="BD1054" s="230"/>
      <c r="BE1054" s="230"/>
      <c r="BF1054" s="230"/>
      <c r="BG1054" s="230"/>
      <c r="BH1054" s="230"/>
      <c r="BI1054" s="230"/>
      <c r="BJ1054" s="230"/>
      <c r="BK1054" s="230"/>
      <c r="BL1054" s="230"/>
      <c r="BM1054" s="230"/>
      <c r="BN1054" s="230"/>
      <c r="BO1054" s="230"/>
      <c r="BP1054" s="230"/>
      <c r="BQ1054" s="230"/>
      <c r="BR1054" s="230"/>
      <c r="BS1054" s="230"/>
      <c r="BT1054" s="230"/>
      <c r="BU1054" s="230"/>
      <c r="BV1054" s="230"/>
      <c r="BW1054" s="230"/>
      <c r="BX1054" s="230"/>
      <c r="BY1054" s="230"/>
      <c r="BZ1054" s="230"/>
      <c r="CA1054" s="230"/>
      <c r="CB1054" s="230"/>
      <c r="CC1054" s="230"/>
      <c r="CD1054" s="230"/>
      <c r="CE1054" s="230"/>
      <c r="CF1054" s="230"/>
      <c r="CG1054" s="230"/>
      <c r="CH1054" s="230"/>
      <c r="CI1054" s="230"/>
      <c r="CJ1054" s="230"/>
      <c r="CK1054" s="230"/>
      <c r="CL1054" s="230"/>
      <c r="CM1054" s="230"/>
      <c r="CN1054" s="230"/>
      <c r="CO1054" s="230"/>
      <c r="CP1054" s="230"/>
      <c r="CQ1054" s="230"/>
      <c r="CR1054" s="230"/>
      <c r="CS1054" s="230"/>
      <c r="CT1054" s="230"/>
      <c r="CU1054" s="230"/>
      <c r="CV1054" s="230"/>
      <c r="CW1054" s="230"/>
      <c r="CX1054" s="230"/>
      <c r="CY1054" s="230"/>
      <c r="CZ1054" s="230"/>
      <c r="DA1054" s="230"/>
      <c r="DB1054" s="230"/>
      <c r="DC1054" s="230"/>
      <c r="DD1054" s="230"/>
      <c r="DE1054" s="230"/>
      <c r="DF1054" s="230"/>
      <c r="DG1054" s="230"/>
      <c r="DH1054" s="230"/>
      <c r="DI1054" s="230"/>
      <c r="DJ1054" s="230"/>
      <c r="DK1054" s="230"/>
      <c r="DL1054" s="230"/>
      <c r="DM1054" s="230"/>
      <c r="DN1054" s="230"/>
      <c r="DO1054" s="230"/>
      <c r="DP1054" s="230"/>
      <c r="DQ1054" s="230"/>
      <c r="DR1054" s="230"/>
      <c r="DS1054" s="230"/>
      <c r="DT1054" s="230"/>
      <c r="DU1054" s="230"/>
      <c r="DV1054" s="230"/>
      <c r="DW1054" s="230"/>
      <c r="DX1054" s="230"/>
      <c r="DY1054" s="230"/>
      <c r="DZ1054" s="230"/>
      <c r="EA1054" s="230"/>
      <c r="EB1054" s="230"/>
      <c r="EC1054" s="230"/>
      <c r="ED1054" s="230"/>
      <c r="EE1054" s="230"/>
      <c r="EF1054" s="230"/>
      <c r="EG1054" s="230"/>
      <c r="EH1054" s="230"/>
      <c r="EI1054" s="230"/>
      <c r="EJ1054" s="230"/>
      <c r="EK1054" s="230"/>
      <c r="EL1054" s="230"/>
      <c r="EM1054" s="230"/>
      <c r="EN1054" s="230"/>
      <c r="EO1054" s="230"/>
      <c r="EP1054" s="230"/>
      <c r="EQ1054" s="230"/>
      <c r="ER1054" s="230"/>
      <c r="ES1054" s="230"/>
      <c r="ET1054" s="230"/>
      <c r="EU1054" s="230"/>
      <c r="EV1054" s="230"/>
      <c r="EW1054" s="230"/>
      <c r="EX1054" s="230"/>
      <c r="EY1054" s="230"/>
      <c r="EZ1054" s="230"/>
      <c r="FA1054" s="230"/>
      <c r="FB1054" s="230"/>
      <c r="FC1054" s="230"/>
      <c r="FD1054" s="230"/>
      <c r="FE1054" s="230"/>
      <c r="FF1054" s="230"/>
      <c r="FG1054" s="230"/>
      <c r="FH1054" s="230"/>
      <c r="FI1054" s="230"/>
      <c r="FJ1054" s="230"/>
      <c r="FK1054" s="230"/>
      <c r="FL1054" s="230"/>
      <c r="FM1054" s="230"/>
      <c r="FN1054" s="230"/>
      <c r="FO1054" s="230"/>
      <c r="FP1054" s="230"/>
      <c r="FQ1054" s="230"/>
      <c r="FR1054" s="230"/>
      <c r="FS1054" s="230"/>
      <c r="FT1054" s="230"/>
      <c r="FU1054" s="230"/>
      <c r="FV1054" s="230"/>
      <c r="FW1054" s="230"/>
      <c r="FX1054" s="230"/>
      <c r="FY1054" s="230"/>
      <c r="FZ1054" s="230"/>
      <c r="GA1054" s="230"/>
      <c r="GB1054" s="230"/>
      <c r="GC1054" s="230"/>
      <c r="GD1054" s="230"/>
      <c r="GE1054" s="230"/>
      <c r="GF1054" s="230"/>
      <c r="GG1054" s="230"/>
      <c r="GH1054" s="230"/>
      <c r="GI1054" s="230"/>
      <c r="GJ1054" s="230"/>
      <c r="GK1054" s="230"/>
      <c r="GL1054" s="230"/>
      <c r="GM1054" s="230"/>
      <c r="GN1054" s="230"/>
    </row>
    <row r="1055">
      <c r="A1055" s="212"/>
      <c r="B1055" s="21"/>
      <c r="C1055" s="21"/>
      <c r="D1055" s="213"/>
      <c r="E1055" s="214"/>
      <c r="F1055" s="215"/>
      <c r="G1055" s="21"/>
      <c r="H1055" s="124"/>
      <c r="I1055" s="21"/>
      <c r="J1055" s="24"/>
      <c r="K1055" s="21"/>
      <c r="L1055" s="21"/>
      <c r="M1055" s="24"/>
      <c r="N1055" s="21"/>
      <c r="O1055" s="21"/>
      <c r="P1055" s="124"/>
      <c r="Q1055" s="124"/>
      <c r="R1055" s="124"/>
      <c r="S1055" s="124"/>
      <c r="T1055" s="124"/>
      <c r="U1055" s="124"/>
      <c r="V1055" s="124"/>
      <c r="W1055" s="221"/>
      <c r="X1055" s="221"/>
      <c r="Y1055" s="221"/>
      <c r="Z1055" s="221"/>
      <c r="AA1055" s="230"/>
      <c r="AB1055" s="230"/>
      <c r="AC1055" s="230"/>
      <c r="AD1055" s="230"/>
      <c r="AE1055" s="230"/>
      <c r="AF1055" s="230"/>
      <c r="AG1055" s="230"/>
      <c r="AH1055" s="230"/>
      <c r="AI1055" s="230"/>
      <c r="AJ1055" s="230"/>
      <c r="AK1055" s="230"/>
      <c r="AL1055" s="230"/>
      <c r="AM1055" s="230"/>
      <c r="AN1055" s="230"/>
      <c r="AO1055" s="230"/>
      <c r="AP1055" s="230"/>
      <c r="AQ1055" s="230"/>
      <c r="AR1055" s="230"/>
      <c r="AS1055" s="230"/>
      <c r="AT1055" s="230"/>
      <c r="AU1055" s="230"/>
      <c r="AV1055" s="230"/>
      <c r="AW1055" s="230"/>
      <c r="AX1055" s="230"/>
      <c r="AY1055" s="230"/>
      <c r="AZ1055" s="230"/>
      <c r="BA1055" s="230"/>
      <c r="BB1055" s="230"/>
      <c r="BC1055" s="230"/>
      <c r="BD1055" s="230"/>
      <c r="BE1055" s="230"/>
      <c r="BF1055" s="230"/>
      <c r="BG1055" s="230"/>
      <c r="BH1055" s="230"/>
      <c r="BI1055" s="230"/>
      <c r="BJ1055" s="230"/>
      <c r="BK1055" s="230"/>
      <c r="BL1055" s="230"/>
      <c r="BM1055" s="230"/>
      <c r="BN1055" s="230"/>
      <c r="BO1055" s="230"/>
      <c r="BP1055" s="230"/>
      <c r="BQ1055" s="230"/>
      <c r="BR1055" s="230"/>
      <c r="BS1055" s="230"/>
      <c r="BT1055" s="230"/>
      <c r="BU1055" s="230"/>
      <c r="BV1055" s="230"/>
      <c r="BW1055" s="230"/>
      <c r="BX1055" s="230"/>
      <c r="BY1055" s="230"/>
      <c r="BZ1055" s="230"/>
      <c r="CA1055" s="230"/>
      <c r="CB1055" s="230"/>
      <c r="CC1055" s="230"/>
      <c r="CD1055" s="230"/>
      <c r="CE1055" s="230"/>
      <c r="CF1055" s="230"/>
      <c r="CG1055" s="230"/>
      <c r="CH1055" s="230"/>
      <c r="CI1055" s="230"/>
      <c r="CJ1055" s="230"/>
      <c r="CK1055" s="230"/>
      <c r="CL1055" s="230"/>
      <c r="CM1055" s="230"/>
      <c r="CN1055" s="230"/>
      <c r="CO1055" s="230"/>
      <c r="CP1055" s="230"/>
      <c r="CQ1055" s="230"/>
      <c r="CR1055" s="230"/>
      <c r="CS1055" s="230"/>
      <c r="CT1055" s="230"/>
      <c r="CU1055" s="230"/>
      <c r="CV1055" s="230"/>
      <c r="CW1055" s="230"/>
      <c r="CX1055" s="230"/>
      <c r="CY1055" s="230"/>
      <c r="CZ1055" s="230"/>
      <c r="DA1055" s="230"/>
      <c r="DB1055" s="230"/>
      <c r="DC1055" s="230"/>
      <c r="DD1055" s="230"/>
      <c r="DE1055" s="230"/>
      <c r="DF1055" s="230"/>
      <c r="DG1055" s="230"/>
      <c r="DH1055" s="230"/>
      <c r="DI1055" s="230"/>
      <c r="DJ1055" s="230"/>
      <c r="DK1055" s="230"/>
      <c r="DL1055" s="230"/>
      <c r="DM1055" s="230"/>
      <c r="DN1055" s="230"/>
      <c r="DO1055" s="230"/>
      <c r="DP1055" s="230"/>
      <c r="DQ1055" s="230"/>
      <c r="DR1055" s="230"/>
      <c r="DS1055" s="230"/>
      <c r="DT1055" s="230"/>
      <c r="DU1055" s="230"/>
      <c r="DV1055" s="230"/>
      <c r="DW1055" s="230"/>
      <c r="DX1055" s="230"/>
      <c r="DY1055" s="230"/>
      <c r="DZ1055" s="230"/>
      <c r="EA1055" s="230"/>
      <c r="EB1055" s="230"/>
      <c r="EC1055" s="230"/>
      <c r="ED1055" s="230"/>
      <c r="EE1055" s="230"/>
      <c r="EF1055" s="230"/>
      <c r="EG1055" s="230"/>
      <c r="EH1055" s="230"/>
      <c r="EI1055" s="230"/>
      <c r="EJ1055" s="230"/>
      <c r="EK1055" s="230"/>
      <c r="EL1055" s="230"/>
      <c r="EM1055" s="230"/>
      <c r="EN1055" s="230"/>
      <c r="EO1055" s="230"/>
      <c r="EP1055" s="230"/>
      <c r="EQ1055" s="230"/>
      <c r="ER1055" s="230"/>
      <c r="ES1055" s="230"/>
      <c r="ET1055" s="230"/>
      <c r="EU1055" s="230"/>
      <c r="EV1055" s="230"/>
      <c r="EW1055" s="230"/>
      <c r="EX1055" s="230"/>
      <c r="EY1055" s="230"/>
      <c r="EZ1055" s="230"/>
      <c r="FA1055" s="230"/>
      <c r="FB1055" s="230"/>
      <c r="FC1055" s="230"/>
      <c r="FD1055" s="230"/>
      <c r="FE1055" s="230"/>
      <c r="FF1055" s="230"/>
      <c r="FG1055" s="230"/>
      <c r="FH1055" s="230"/>
      <c r="FI1055" s="230"/>
      <c r="FJ1055" s="230"/>
      <c r="FK1055" s="230"/>
      <c r="FL1055" s="230"/>
      <c r="FM1055" s="230"/>
      <c r="FN1055" s="230"/>
      <c r="FO1055" s="230"/>
      <c r="FP1055" s="230"/>
      <c r="FQ1055" s="230"/>
      <c r="FR1055" s="230"/>
      <c r="FS1055" s="230"/>
      <c r="FT1055" s="230"/>
      <c r="FU1055" s="230"/>
      <c r="FV1055" s="230"/>
      <c r="FW1055" s="230"/>
      <c r="FX1055" s="230"/>
      <c r="FY1055" s="230"/>
      <c r="FZ1055" s="230"/>
      <c r="GA1055" s="230"/>
      <c r="GB1055" s="230"/>
      <c r="GC1055" s="230"/>
      <c r="GD1055" s="230"/>
      <c r="GE1055" s="230"/>
      <c r="GF1055" s="230"/>
      <c r="GG1055" s="230"/>
      <c r="GH1055" s="230"/>
      <c r="GI1055" s="230"/>
      <c r="GJ1055" s="230"/>
      <c r="GK1055" s="230"/>
      <c r="GL1055" s="230"/>
      <c r="GM1055" s="230"/>
      <c r="GN1055" s="230"/>
    </row>
    <row r="1056">
      <c r="A1056" s="212"/>
      <c r="B1056" s="21"/>
      <c r="C1056" s="21"/>
      <c r="D1056" s="213"/>
      <c r="E1056" s="214"/>
      <c r="F1056" s="215"/>
      <c r="G1056" s="124"/>
      <c r="H1056" s="124"/>
      <c r="I1056" s="21"/>
      <c r="J1056" s="24"/>
      <c r="K1056" s="21"/>
      <c r="L1056" s="21"/>
      <c r="M1056" s="24"/>
      <c r="N1056" s="21"/>
      <c r="O1056" s="21"/>
      <c r="P1056" s="124"/>
      <c r="Q1056" s="124"/>
      <c r="R1056" s="124"/>
      <c r="S1056" s="124"/>
      <c r="T1056" s="124"/>
      <c r="U1056" s="124"/>
      <c r="V1056" s="124"/>
      <c r="W1056" s="221"/>
      <c r="X1056" s="221"/>
      <c r="Y1056" s="221"/>
      <c r="Z1056" s="221"/>
      <c r="AA1056" s="221"/>
      <c r="AB1056" s="221"/>
      <c r="AC1056" s="221"/>
      <c r="AD1056" s="221"/>
      <c r="AE1056" s="221"/>
      <c r="AF1056" s="221"/>
      <c r="AG1056" s="221"/>
      <c r="AH1056" s="221"/>
      <c r="AI1056" s="221"/>
      <c r="AJ1056" s="221"/>
      <c r="AK1056" s="221"/>
      <c r="AL1056" s="221"/>
      <c r="AM1056" s="221"/>
      <c r="AN1056" s="221"/>
      <c r="AO1056" s="221"/>
      <c r="AP1056" s="221"/>
      <c r="AQ1056" s="221"/>
      <c r="AR1056" s="221"/>
      <c r="AS1056" s="221"/>
      <c r="AT1056" s="221"/>
      <c r="AU1056" s="221"/>
      <c r="AV1056" s="221"/>
      <c r="AW1056" s="221"/>
      <c r="AX1056" s="221"/>
      <c r="AY1056" s="221"/>
      <c r="AZ1056" s="221"/>
      <c r="BA1056" s="221"/>
      <c r="BB1056" s="221"/>
      <c r="BC1056" s="221"/>
      <c r="BD1056" s="221"/>
      <c r="BE1056" s="221"/>
      <c r="BF1056" s="221"/>
      <c r="BG1056" s="221"/>
      <c r="BH1056" s="221"/>
      <c r="BI1056" s="221"/>
      <c r="BJ1056" s="221"/>
      <c r="BK1056" s="221"/>
      <c r="BL1056" s="221"/>
      <c r="BM1056" s="221"/>
      <c r="BN1056" s="221"/>
      <c r="BO1056" s="221"/>
      <c r="BP1056" s="221"/>
      <c r="BQ1056" s="221"/>
      <c r="BR1056" s="221"/>
      <c r="BS1056" s="221"/>
      <c r="BT1056" s="221"/>
      <c r="BU1056" s="221"/>
      <c r="BV1056" s="221"/>
      <c r="BW1056" s="221"/>
      <c r="BX1056" s="221"/>
      <c r="BY1056" s="221"/>
      <c r="BZ1056" s="221"/>
      <c r="CA1056" s="221"/>
      <c r="CB1056" s="221"/>
      <c r="CC1056" s="221"/>
      <c r="CD1056" s="221"/>
      <c r="CE1056" s="221"/>
      <c r="CF1056" s="221"/>
      <c r="CG1056" s="221"/>
      <c r="CH1056" s="221"/>
      <c r="CI1056" s="221"/>
      <c r="CJ1056" s="221"/>
      <c r="CK1056" s="221"/>
      <c r="CL1056" s="221"/>
      <c r="CM1056" s="221"/>
      <c r="CN1056" s="221"/>
      <c r="CO1056" s="221"/>
      <c r="CP1056" s="221"/>
      <c r="CQ1056" s="221"/>
      <c r="CR1056" s="221"/>
      <c r="CS1056" s="221"/>
      <c r="CT1056" s="221"/>
      <c r="CU1056" s="221"/>
      <c r="CV1056" s="221"/>
      <c r="CW1056" s="221"/>
      <c r="CX1056" s="221"/>
      <c r="CY1056" s="221"/>
      <c r="CZ1056" s="221"/>
      <c r="DA1056" s="221"/>
      <c r="DB1056" s="221"/>
      <c r="DC1056" s="221"/>
      <c r="DD1056" s="221"/>
      <c r="DE1056" s="221"/>
      <c r="DF1056" s="221"/>
      <c r="DG1056" s="221"/>
      <c r="DH1056" s="221"/>
      <c r="DI1056" s="221"/>
      <c r="DJ1056" s="221"/>
      <c r="DK1056" s="221"/>
      <c r="DL1056" s="221"/>
      <c r="DM1056" s="221"/>
      <c r="DN1056" s="221"/>
      <c r="DO1056" s="221"/>
      <c r="DP1056" s="221"/>
      <c r="DQ1056" s="221"/>
      <c r="DR1056" s="221"/>
      <c r="DS1056" s="221"/>
      <c r="DT1056" s="221"/>
      <c r="DU1056" s="221"/>
      <c r="DV1056" s="221"/>
      <c r="DW1056" s="221"/>
      <c r="DX1056" s="221"/>
      <c r="DY1056" s="221"/>
      <c r="DZ1056" s="221"/>
      <c r="EA1056" s="221"/>
      <c r="EB1056" s="221"/>
      <c r="EC1056" s="221"/>
      <c r="ED1056" s="221"/>
      <c r="EE1056" s="221"/>
      <c r="EF1056" s="221"/>
      <c r="EG1056" s="221"/>
      <c r="EH1056" s="221"/>
      <c r="EI1056" s="221"/>
      <c r="EJ1056" s="221"/>
      <c r="EK1056" s="221"/>
      <c r="EL1056" s="221"/>
      <c r="EM1056" s="221"/>
      <c r="EN1056" s="221"/>
      <c r="EO1056" s="221"/>
      <c r="EP1056" s="221"/>
      <c r="EQ1056" s="221"/>
      <c r="ER1056" s="221"/>
      <c r="ES1056" s="221"/>
      <c r="ET1056" s="221"/>
      <c r="EU1056" s="221"/>
      <c r="EV1056" s="221"/>
      <c r="EW1056" s="221"/>
      <c r="EX1056" s="221"/>
      <c r="EY1056" s="221"/>
      <c r="EZ1056" s="221"/>
      <c r="FA1056" s="221"/>
      <c r="FB1056" s="221"/>
      <c r="FC1056" s="221"/>
      <c r="FD1056" s="221"/>
      <c r="FE1056" s="221"/>
      <c r="FF1056" s="221"/>
      <c r="FG1056" s="221"/>
      <c r="FH1056" s="221"/>
      <c r="FI1056" s="221"/>
      <c r="FJ1056" s="221"/>
      <c r="FK1056" s="221"/>
      <c r="FL1056" s="221"/>
      <c r="FM1056" s="221"/>
      <c r="FN1056" s="221"/>
      <c r="FO1056" s="221"/>
      <c r="FP1056" s="221"/>
      <c r="FQ1056" s="221"/>
      <c r="FR1056" s="221"/>
      <c r="FS1056" s="221"/>
      <c r="FT1056" s="221"/>
      <c r="FU1056" s="221"/>
      <c r="FV1056" s="221"/>
      <c r="FW1056" s="221"/>
      <c r="FX1056" s="221"/>
      <c r="FY1056" s="221"/>
      <c r="FZ1056" s="221"/>
      <c r="GA1056" s="221"/>
      <c r="GB1056" s="221"/>
      <c r="GC1056" s="221"/>
      <c r="GD1056" s="221"/>
      <c r="GE1056" s="221"/>
      <c r="GF1056" s="221"/>
      <c r="GG1056" s="221"/>
      <c r="GH1056" s="221"/>
      <c r="GI1056" s="221"/>
      <c r="GJ1056" s="221"/>
      <c r="GK1056" s="221"/>
      <c r="GL1056" s="221"/>
      <c r="GM1056" s="221"/>
      <c r="GN1056" s="221"/>
    </row>
    <row r="1057">
      <c r="A1057" s="212"/>
      <c r="B1057" s="21"/>
      <c r="C1057" s="21"/>
      <c r="D1057" s="213"/>
      <c r="E1057" s="214"/>
      <c r="F1057" s="215"/>
      <c r="G1057" s="21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221"/>
      <c r="R1057" s="221"/>
      <c r="S1057" s="221"/>
      <c r="T1057" s="221"/>
      <c r="U1057" s="221"/>
      <c r="V1057" s="221"/>
      <c r="W1057" s="221"/>
      <c r="X1057" s="221"/>
      <c r="Y1057" s="221"/>
      <c r="Z1057" s="221"/>
      <c r="AA1057" s="221"/>
      <c r="AB1057" s="221"/>
      <c r="AC1057" s="221"/>
      <c r="AD1057" s="221"/>
      <c r="AE1057" s="221"/>
      <c r="AF1057" s="221"/>
      <c r="AG1057" s="221"/>
      <c r="AH1057" s="221"/>
      <c r="AI1057" s="221"/>
      <c r="AJ1057" s="221"/>
      <c r="AK1057" s="221"/>
      <c r="AL1057" s="221"/>
      <c r="AM1057" s="221"/>
      <c r="AN1057" s="221"/>
      <c r="AO1057" s="221"/>
      <c r="AP1057" s="221"/>
      <c r="AQ1057" s="221"/>
      <c r="AR1057" s="221"/>
      <c r="AS1057" s="221"/>
      <c r="AT1057" s="221"/>
      <c r="AU1057" s="221"/>
      <c r="AV1057" s="221"/>
      <c r="AW1057" s="221"/>
      <c r="AX1057" s="221"/>
      <c r="AY1057" s="221"/>
      <c r="AZ1057" s="221"/>
      <c r="BA1057" s="221"/>
      <c r="BB1057" s="221"/>
      <c r="BC1057" s="221"/>
      <c r="BD1057" s="221"/>
      <c r="BE1057" s="221"/>
      <c r="BF1057" s="221"/>
      <c r="BG1057" s="221"/>
      <c r="BH1057" s="221"/>
      <c r="BI1057" s="221"/>
      <c r="BJ1057" s="221"/>
      <c r="BK1057" s="221"/>
      <c r="BL1057" s="221"/>
      <c r="BM1057" s="221"/>
      <c r="BN1057" s="221"/>
      <c r="BO1057" s="221"/>
      <c r="BP1057" s="221"/>
      <c r="BQ1057" s="221"/>
      <c r="BR1057" s="221"/>
      <c r="BS1057" s="221"/>
      <c r="BT1057" s="221"/>
      <c r="BU1057" s="221"/>
      <c r="BV1057" s="221"/>
      <c r="BW1057" s="221"/>
      <c r="BX1057" s="221"/>
      <c r="BY1057" s="221"/>
      <c r="BZ1057" s="221"/>
      <c r="CA1057" s="221"/>
      <c r="CB1057" s="221"/>
      <c r="CC1057" s="221"/>
      <c r="CD1057" s="221"/>
      <c r="CE1057" s="221"/>
      <c r="CF1057" s="221"/>
      <c r="CG1057" s="221"/>
      <c r="CH1057" s="221"/>
      <c r="CI1057" s="221"/>
      <c r="CJ1057" s="221"/>
      <c r="CK1057" s="221"/>
      <c r="CL1057" s="221"/>
      <c r="CM1057" s="221"/>
      <c r="CN1057" s="221"/>
      <c r="CO1057" s="221"/>
      <c r="CP1057" s="221"/>
      <c r="CQ1057" s="221"/>
      <c r="CR1057" s="221"/>
      <c r="CS1057" s="221"/>
      <c r="CT1057" s="221"/>
      <c r="CU1057" s="221"/>
      <c r="CV1057" s="221"/>
      <c r="CW1057" s="221"/>
      <c r="CX1057" s="221"/>
      <c r="CY1057" s="221"/>
      <c r="CZ1057" s="221"/>
      <c r="DA1057" s="221"/>
      <c r="DB1057" s="221"/>
      <c r="DC1057" s="221"/>
      <c r="DD1057" s="221"/>
      <c r="DE1057" s="221"/>
      <c r="DF1057" s="221"/>
      <c r="DG1057" s="221"/>
      <c r="DH1057" s="221"/>
      <c r="DI1057" s="221"/>
      <c r="DJ1057" s="221"/>
      <c r="DK1057" s="221"/>
      <c r="DL1057" s="221"/>
      <c r="DM1057" s="221"/>
      <c r="DN1057" s="221"/>
      <c r="DO1057" s="221"/>
      <c r="DP1057" s="221"/>
      <c r="DQ1057" s="221"/>
      <c r="DR1057" s="221"/>
      <c r="DS1057" s="221"/>
      <c r="DT1057" s="221"/>
      <c r="DU1057" s="221"/>
      <c r="DV1057" s="221"/>
      <c r="DW1057" s="221"/>
      <c r="DX1057" s="221"/>
      <c r="DY1057" s="221"/>
      <c r="DZ1057" s="221"/>
      <c r="EA1057" s="221"/>
      <c r="EB1057" s="221"/>
      <c r="EC1057" s="221"/>
      <c r="ED1057" s="221"/>
      <c r="EE1057" s="221"/>
      <c r="EF1057" s="221"/>
      <c r="EG1057" s="221"/>
      <c r="EH1057" s="221"/>
      <c r="EI1057" s="221"/>
      <c r="EJ1057" s="221"/>
      <c r="EK1057" s="221"/>
      <c r="EL1057" s="221"/>
      <c r="EM1057" s="221"/>
      <c r="EN1057" s="221"/>
      <c r="EO1057" s="221"/>
      <c r="EP1057" s="221"/>
      <c r="EQ1057" s="221"/>
      <c r="ER1057" s="221"/>
      <c r="ES1057" s="221"/>
      <c r="ET1057" s="221"/>
      <c r="EU1057" s="221"/>
      <c r="EV1057" s="221"/>
      <c r="EW1057" s="221"/>
      <c r="EX1057" s="221"/>
      <c r="EY1057" s="221"/>
      <c r="EZ1057" s="221"/>
      <c r="FA1057" s="221"/>
      <c r="FB1057" s="221"/>
      <c r="FC1057" s="221"/>
      <c r="FD1057" s="221"/>
      <c r="FE1057" s="221"/>
      <c r="FF1057" s="221"/>
      <c r="FG1057" s="221"/>
      <c r="FH1057" s="221"/>
      <c r="FI1057" s="221"/>
      <c r="FJ1057" s="221"/>
      <c r="FK1057" s="221"/>
      <c r="FL1057" s="221"/>
      <c r="FM1057" s="221"/>
      <c r="FN1057" s="221"/>
      <c r="FO1057" s="221"/>
      <c r="FP1057" s="221"/>
      <c r="FQ1057" s="221"/>
      <c r="FR1057" s="221"/>
      <c r="FS1057" s="221"/>
      <c r="FT1057" s="221"/>
      <c r="FU1057" s="221"/>
      <c r="FV1057" s="221"/>
      <c r="FW1057" s="221"/>
      <c r="FX1057" s="221"/>
      <c r="FY1057" s="221"/>
      <c r="FZ1057" s="221"/>
      <c r="GA1057" s="221"/>
      <c r="GB1057" s="221"/>
      <c r="GC1057" s="221"/>
      <c r="GD1057" s="221"/>
      <c r="GE1057" s="221"/>
      <c r="GF1057" s="221"/>
      <c r="GG1057" s="221"/>
      <c r="GH1057" s="221"/>
      <c r="GI1057" s="221"/>
      <c r="GJ1057" s="221"/>
      <c r="GK1057" s="221"/>
      <c r="GL1057" s="221"/>
      <c r="GM1057" s="221"/>
      <c r="GN1057" s="221"/>
    </row>
    <row r="1058">
      <c r="A1058" s="212"/>
      <c r="B1058" s="21"/>
      <c r="C1058" s="21"/>
      <c r="D1058" s="213"/>
      <c r="E1058" s="214"/>
      <c r="F1058" s="215"/>
      <c r="G1058" s="21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221"/>
      <c r="R1058" s="221"/>
      <c r="S1058" s="221"/>
      <c r="T1058" s="221"/>
      <c r="U1058" s="221"/>
      <c r="V1058" s="221"/>
      <c r="W1058" s="221"/>
      <c r="X1058" s="221"/>
      <c r="Y1058" s="221"/>
      <c r="Z1058" s="221"/>
      <c r="AA1058" s="221"/>
      <c r="AB1058" s="221"/>
      <c r="AC1058" s="221"/>
      <c r="AD1058" s="221"/>
      <c r="AE1058" s="221"/>
      <c r="AF1058" s="221"/>
      <c r="AG1058" s="221"/>
      <c r="AH1058" s="221"/>
      <c r="AI1058" s="221"/>
      <c r="AJ1058" s="221"/>
      <c r="AK1058" s="221"/>
      <c r="AL1058" s="221"/>
      <c r="AM1058" s="221"/>
      <c r="AN1058" s="221"/>
      <c r="AO1058" s="221"/>
      <c r="AP1058" s="221"/>
      <c r="AQ1058" s="221"/>
      <c r="AR1058" s="221"/>
      <c r="AS1058" s="221"/>
      <c r="AT1058" s="221"/>
      <c r="AU1058" s="221"/>
      <c r="AV1058" s="221"/>
      <c r="AW1058" s="221"/>
      <c r="AX1058" s="221"/>
      <c r="AY1058" s="221"/>
      <c r="AZ1058" s="221"/>
      <c r="BA1058" s="221"/>
      <c r="BB1058" s="221"/>
      <c r="BC1058" s="221"/>
      <c r="BD1058" s="221"/>
      <c r="BE1058" s="221"/>
      <c r="BF1058" s="221"/>
      <c r="BG1058" s="221"/>
      <c r="BH1058" s="221"/>
      <c r="BI1058" s="221"/>
      <c r="BJ1058" s="221"/>
      <c r="BK1058" s="221"/>
      <c r="BL1058" s="221"/>
      <c r="BM1058" s="221"/>
      <c r="BN1058" s="221"/>
      <c r="BO1058" s="221"/>
      <c r="BP1058" s="221"/>
      <c r="BQ1058" s="221"/>
      <c r="BR1058" s="221"/>
      <c r="BS1058" s="221"/>
      <c r="BT1058" s="221"/>
      <c r="BU1058" s="221"/>
      <c r="BV1058" s="221"/>
      <c r="BW1058" s="221"/>
      <c r="BX1058" s="221"/>
      <c r="BY1058" s="221"/>
      <c r="BZ1058" s="221"/>
      <c r="CA1058" s="221"/>
      <c r="CB1058" s="221"/>
      <c r="CC1058" s="221"/>
      <c r="CD1058" s="221"/>
      <c r="CE1058" s="221"/>
      <c r="CF1058" s="221"/>
      <c r="CG1058" s="221"/>
      <c r="CH1058" s="221"/>
      <c r="CI1058" s="221"/>
      <c r="CJ1058" s="221"/>
      <c r="CK1058" s="221"/>
      <c r="CL1058" s="221"/>
      <c r="CM1058" s="221"/>
      <c r="CN1058" s="221"/>
      <c r="CO1058" s="221"/>
      <c r="CP1058" s="221"/>
      <c r="CQ1058" s="221"/>
      <c r="CR1058" s="221"/>
      <c r="CS1058" s="221"/>
      <c r="CT1058" s="221"/>
      <c r="CU1058" s="221"/>
      <c r="CV1058" s="221"/>
      <c r="CW1058" s="221"/>
      <c r="CX1058" s="221"/>
      <c r="CY1058" s="221"/>
      <c r="CZ1058" s="221"/>
      <c r="DA1058" s="221"/>
      <c r="DB1058" s="221"/>
      <c r="DC1058" s="221"/>
      <c r="DD1058" s="221"/>
      <c r="DE1058" s="221"/>
      <c r="DF1058" s="221"/>
      <c r="DG1058" s="221"/>
      <c r="DH1058" s="221"/>
      <c r="DI1058" s="221"/>
      <c r="DJ1058" s="221"/>
      <c r="DK1058" s="221"/>
      <c r="DL1058" s="221"/>
      <c r="DM1058" s="221"/>
      <c r="DN1058" s="221"/>
      <c r="DO1058" s="221"/>
      <c r="DP1058" s="221"/>
      <c r="DQ1058" s="221"/>
      <c r="DR1058" s="221"/>
      <c r="DS1058" s="221"/>
      <c r="DT1058" s="221"/>
      <c r="DU1058" s="221"/>
      <c r="DV1058" s="221"/>
      <c r="DW1058" s="221"/>
      <c r="DX1058" s="221"/>
      <c r="DY1058" s="221"/>
      <c r="DZ1058" s="221"/>
      <c r="EA1058" s="221"/>
      <c r="EB1058" s="221"/>
      <c r="EC1058" s="221"/>
      <c r="ED1058" s="221"/>
      <c r="EE1058" s="221"/>
      <c r="EF1058" s="221"/>
      <c r="EG1058" s="221"/>
      <c r="EH1058" s="221"/>
      <c r="EI1058" s="221"/>
      <c r="EJ1058" s="221"/>
      <c r="EK1058" s="221"/>
      <c r="EL1058" s="221"/>
      <c r="EM1058" s="221"/>
      <c r="EN1058" s="221"/>
      <c r="EO1058" s="221"/>
      <c r="EP1058" s="221"/>
      <c r="EQ1058" s="221"/>
      <c r="ER1058" s="221"/>
      <c r="ES1058" s="221"/>
      <c r="ET1058" s="221"/>
      <c r="EU1058" s="221"/>
      <c r="EV1058" s="221"/>
      <c r="EW1058" s="221"/>
      <c r="EX1058" s="221"/>
      <c r="EY1058" s="221"/>
      <c r="EZ1058" s="221"/>
      <c r="FA1058" s="221"/>
      <c r="FB1058" s="221"/>
      <c r="FC1058" s="221"/>
      <c r="FD1058" s="221"/>
      <c r="FE1058" s="221"/>
      <c r="FF1058" s="221"/>
      <c r="FG1058" s="221"/>
      <c r="FH1058" s="221"/>
      <c r="FI1058" s="221"/>
      <c r="FJ1058" s="221"/>
      <c r="FK1058" s="221"/>
      <c r="FL1058" s="221"/>
      <c r="FM1058" s="221"/>
      <c r="FN1058" s="221"/>
      <c r="FO1058" s="221"/>
      <c r="FP1058" s="221"/>
      <c r="FQ1058" s="221"/>
      <c r="FR1058" s="221"/>
      <c r="FS1058" s="221"/>
      <c r="FT1058" s="221"/>
      <c r="FU1058" s="221"/>
      <c r="FV1058" s="221"/>
      <c r="FW1058" s="221"/>
      <c r="FX1058" s="221"/>
      <c r="FY1058" s="221"/>
      <c r="FZ1058" s="221"/>
      <c r="GA1058" s="221"/>
      <c r="GB1058" s="221"/>
      <c r="GC1058" s="221"/>
      <c r="GD1058" s="221"/>
      <c r="GE1058" s="221"/>
      <c r="GF1058" s="221"/>
      <c r="GG1058" s="221"/>
      <c r="GH1058" s="221"/>
      <c r="GI1058" s="221"/>
      <c r="GJ1058" s="221"/>
      <c r="GK1058" s="221"/>
      <c r="GL1058" s="221"/>
      <c r="GM1058" s="221"/>
      <c r="GN1058" s="221"/>
    </row>
    <row r="1059">
      <c r="A1059" s="212"/>
      <c r="B1059" s="21"/>
      <c r="C1059" s="21"/>
      <c r="D1059" s="213"/>
      <c r="E1059" s="214"/>
      <c r="F1059" s="215"/>
      <c r="G1059" s="21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221"/>
      <c r="R1059" s="221"/>
      <c r="S1059" s="221"/>
      <c r="T1059" s="221"/>
      <c r="U1059" s="221"/>
      <c r="V1059" s="221"/>
      <c r="W1059" s="221"/>
      <c r="X1059" s="221"/>
      <c r="Y1059" s="221"/>
      <c r="Z1059" s="221"/>
      <c r="AA1059" s="221"/>
      <c r="AB1059" s="221"/>
      <c r="AC1059" s="221"/>
      <c r="AD1059" s="221"/>
      <c r="AE1059" s="221"/>
      <c r="AF1059" s="221"/>
      <c r="AG1059" s="221"/>
      <c r="AH1059" s="221"/>
      <c r="AI1059" s="221"/>
      <c r="AJ1059" s="221"/>
      <c r="AK1059" s="221"/>
      <c r="AL1059" s="221"/>
      <c r="AM1059" s="221"/>
      <c r="AN1059" s="221"/>
      <c r="AO1059" s="221"/>
      <c r="AP1059" s="221"/>
      <c r="AQ1059" s="221"/>
      <c r="AR1059" s="221"/>
      <c r="AS1059" s="221"/>
      <c r="AT1059" s="221"/>
      <c r="AU1059" s="221"/>
      <c r="AV1059" s="221"/>
      <c r="AW1059" s="221"/>
      <c r="AX1059" s="221"/>
      <c r="AY1059" s="221"/>
      <c r="AZ1059" s="221"/>
      <c r="BA1059" s="221"/>
      <c r="BB1059" s="221"/>
      <c r="BC1059" s="221"/>
      <c r="BD1059" s="221"/>
      <c r="BE1059" s="221"/>
      <c r="BF1059" s="221"/>
      <c r="BG1059" s="221"/>
      <c r="BH1059" s="221"/>
      <c r="BI1059" s="221"/>
      <c r="BJ1059" s="221"/>
      <c r="BK1059" s="221"/>
      <c r="BL1059" s="221"/>
      <c r="BM1059" s="221"/>
      <c r="BN1059" s="221"/>
      <c r="BO1059" s="221"/>
      <c r="BP1059" s="221"/>
      <c r="BQ1059" s="221"/>
      <c r="BR1059" s="221"/>
      <c r="BS1059" s="221"/>
      <c r="BT1059" s="221"/>
      <c r="BU1059" s="221"/>
      <c r="BV1059" s="221"/>
      <c r="BW1059" s="221"/>
      <c r="BX1059" s="221"/>
      <c r="BY1059" s="221"/>
      <c r="BZ1059" s="221"/>
      <c r="CA1059" s="221"/>
      <c r="CB1059" s="221"/>
      <c r="CC1059" s="221"/>
      <c r="CD1059" s="221"/>
      <c r="CE1059" s="221"/>
      <c r="CF1059" s="221"/>
      <c r="CG1059" s="221"/>
      <c r="CH1059" s="221"/>
      <c r="CI1059" s="221"/>
      <c r="CJ1059" s="221"/>
      <c r="CK1059" s="221"/>
      <c r="CL1059" s="221"/>
      <c r="CM1059" s="221"/>
      <c r="CN1059" s="221"/>
      <c r="CO1059" s="221"/>
      <c r="CP1059" s="221"/>
      <c r="CQ1059" s="221"/>
      <c r="CR1059" s="221"/>
      <c r="CS1059" s="221"/>
      <c r="CT1059" s="221"/>
      <c r="CU1059" s="221"/>
      <c r="CV1059" s="221"/>
      <c r="CW1059" s="221"/>
      <c r="CX1059" s="221"/>
      <c r="CY1059" s="221"/>
      <c r="CZ1059" s="221"/>
      <c r="DA1059" s="221"/>
      <c r="DB1059" s="221"/>
      <c r="DC1059" s="221"/>
      <c r="DD1059" s="221"/>
      <c r="DE1059" s="221"/>
      <c r="DF1059" s="221"/>
      <c r="DG1059" s="221"/>
      <c r="DH1059" s="221"/>
      <c r="DI1059" s="221"/>
      <c r="DJ1059" s="221"/>
      <c r="DK1059" s="221"/>
      <c r="DL1059" s="221"/>
      <c r="DM1059" s="221"/>
      <c r="DN1059" s="221"/>
      <c r="DO1059" s="221"/>
      <c r="DP1059" s="221"/>
      <c r="DQ1059" s="221"/>
      <c r="DR1059" s="221"/>
      <c r="DS1059" s="221"/>
      <c r="DT1059" s="221"/>
      <c r="DU1059" s="221"/>
      <c r="DV1059" s="221"/>
      <c r="DW1059" s="221"/>
      <c r="DX1059" s="221"/>
      <c r="DY1059" s="221"/>
      <c r="DZ1059" s="221"/>
      <c r="EA1059" s="221"/>
      <c r="EB1059" s="221"/>
      <c r="EC1059" s="221"/>
      <c r="ED1059" s="221"/>
      <c r="EE1059" s="221"/>
      <c r="EF1059" s="221"/>
      <c r="EG1059" s="221"/>
      <c r="EH1059" s="221"/>
      <c r="EI1059" s="221"/>
      <c r="EJ1059" s="221"/>
      <c r="EK1059" s="221"/>
      <c r="EL1059" s="221"/>
      <c r="EM1059" s="221"/>
      <c r="EN1059" s="221"/>
      <c r="EO1059" s="221"/>
      <c r="EP1059" s="221"/>
      <c r="EQ1059" s="221"/>
      <c r="ER1059" s="221"/>
      <c r="ES1059" s="221"/>
      <c r="ET1059" s="221"/>
      <c r="EU1059" s="221"/>
      <c r="EV1059" s="221"/>
      <c r="EW1059" s="221"/>
      <c r="EX1059" s="221"/>
      <c r="EY1059" s="221"/>
      <c r="EZ1059" s="221"/>
      <c r="FA1059" s="221"/>
      <c r="FB1059" s="221"/>
      <c r="FC1059" s="221"/>
      <c r="FD1059" s="221"/>
      <c r="FE1059" s="221"/>
      <c r="FF1059" s="221"/>
      <c r="FG1059" s="221"/>
      <c r="FH1059" s="221"/>
      <c r="FI1059" s="221"/>
      <c r="FJ1059" s="221"/>
      <c r="FK1059" s="221"/>
      <c r="FL1059" s="221"/>
      <c r="FM1059" s="221"/>
      <c r="FN1059" s="221"/>
      <c r="FO1059" s="221"/>
      <c r="FP1059" s="221"/>
      <c r="FQ1059" s="221"/>
      <c r="FR1059" s="221"/>
      <c r="FS1059" s="221"/>
      <c r="FT1059" s="221"/>
      <c r="FU1059" s="221"/>
      <c r="FV1059" s="221"/>
      <c r="FW1059" s="221"/>
      <c r="FX1059" s="221"/>
      <c r="FY1059" s="221"/>
      <c r="FZ1059" s="221"/>
      <c r="GA1059" s="221"/>
      <c r="GB1059" s="221"/>
      <c r="GC1059" s="221"/>
      <c r="GD1059" s="221"/>
      <c r="GE1059" s="221"/>
      <c r="GF1059" s="221"/>
      <c r="GG1059" s="221"/>
      <c r="GH1059" s="221"/>
      <c r="GI1059" s="221"/>
      <c r="GJ1059" s="221"/>
      <c r="GK1059" s="221"/>
      <c r="GL1059" s="221"/>
      <c r="GM1059" s="221"/>
      <c r="GN1059" s="221"/>
    </row>
    <row r="1060">
      <c r="A1060" s="212"/>
      <c r="B1060" s="21"/>
      <c r="C1060" s="21"/>
      <c r="D1060" s="213"/>
      <c r="E1060" s="214"/>
      <c r="F1060" s="215"/>
      <c r="G1060" s="21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110"/>
    </row>
    <row r="1061">
      <c r="A1061" s="212"/>
      <c r="B1061" s="21"/>
      <c r="C1061" s="21"/>
      <c r="D1061" s="213"/>
      <c r="E1061" s="214"/>
      <c r="F1061" s="215"/>
      <c r="G1061" s="21"/>
      <c r="H1061" s="110"/>
      <c r="I1061" s="110"/>
      <c r="J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110"/>
    </row>
    <row r="1062">
      <c r="A1062" s="212"/>
      <c r="B1062" s="21"/>
      <c r="C1062" s="21"/>
      <c r="D1062" s="213"/>
      <c r="E1062" s="214"/>
      <c r="F1062" s="215"/>
      <c r="G1062" s="21"/>
      <c r="H1062" s="110"/>
      <c r="I1062" s="110"/>
      <c r="J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110"/>
    </row>
    <row r="1063">
      <c r="A1063" s="212"/>
      <c r="B1063" s="21"/>
      <c r="C1063" s="21"/>
      <c r="D1063" s="213"/>
      <c r="E1063" s="214"/>
      <c r="F1063" s="215"/>
      <c r="G1063" s="24"/>
      <c r="H1063" s="110"/>
      <c r="I1063" s="110"/>
      <c r="J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110"/>
    </row>
    <row r="1064">
      <c r="A1064" s="212"/>
      <c r="B1064" s="21"/>
      <c r="C1064" s="21"/>
      <c r="D1064" s="213"/>
      <c r="E1064" s="214"/>
      <c r="F1064" s="215"/>
      <c r="G1064" s="21"/>
      <c r="H1064" s="110"/>
      <c r="I1064" s="110"/>
      <c r="J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110"/>
    </row>
    <row r="1065">
      <c r="A1065" s="212"/>
      <c r="B1065" s="21"/>
      <c r="C1065" s="21"/>
      <c r="D1065" s="213"/>
      <c r="E1065" s="214"/>
      <c r="F1065" s="215"/>
      <c r="G1065" s="21"/>
      <c r="H1065" s="110"/>
      <c r="I1065" s="110"/>
      <c r="J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110"/>
    </row>
    <row r="1066">
      <c r="A1066" s="212"/>
      <c r="B1066" s="21"/>
      <c r="C1066" s="21"/>
      <c r="D1066" s="213"/>
      <c r="E1066" s="214"/>
      <c r="F1066" s="215"/>
      <c r="G1066" s="21"/>
      <c r="H1066" s="110"/>
      <c r="I1066" s="110"/>
      <c r="J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110"/>
    </row>
    <row r="1067">
      <c r="A1067" s="212"/>
      <c r="B1067" s="21"/>
      <c r="C1067" s="21"/>
      <c r="D1067" s="213"/>
      <c r="E1067" s="214"/>
      <c r="F1067" s="215"/>
      <c r="G1067" s="21"/>
      <c r="H1067" s="110"/>
      <c r="I1067" s="110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</row>
    <row r="1068">
      <c r="A1068" s="212"/>
      <c r="B1068" s="21"/>
      <c r="C1068" s="21"/>
      <c r="D1068" s="213"/>
      <c r="E1068" s="214"/>
      <c r="F1068" s="215"/>
      <c r="G1068" s="21"/>
      <c r="H1068" s="110"/>
      <c r="I1068" s="110"/>
      <c r="J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110"/>
    </row>
    <row r="1069">
      <c r="A1069" s="212"/>
      <c r="B1069" s="21"/>
      <c r="C1069" s="21"/>
      <c r="D1069" s="213"/>
      <c r="E1069" s="214"/>
      <c r="F1069" s="215"/>
      <c r="G1069" s="21"/>
      <c r="H1069" s="110"/>
      <c r="I1069" s="110"/>
      <c r="J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110"/>
    </row>
    <row r="1070">
      <c r="A1070" s="212"/>
      <c r="B1070" s="21"/>
      <c r="C1070" s="21"/>
      <c r="D1070" s="213"/>
      <c r="E1070" s="214"/>
      <c r="F1070" s="215"/>
      <c r="G1070" s="21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110"/>
    </row>
    <row r="1071">
      <c r="A1071" s="212"/>
      <c r="B1071" s="21"/>
      <c r="C1071" s="21"/>
      <c r="D1071" s="213"/>
      <c r="E1071" s="214"/>
      <c r="F1071" s="215"/>
      <c r="G1071" s="21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110"/>
    </row>
    <row r="1072">
      <c r="A1072" s="212"/>
      <c r="B1072" s="21"/>
      <c r="C1072" s="21"/>
      <c r="D1072" s="213"/>
      <c r="E1072" s="214"/>
      <c r="F1072" s="215"/>
      <c r="G1072" s="21"/>
      <c r="H1072" s="124"/>
      <c r="I1072" s="21"/>
      <c r="J1072" s="24"/>
      <c r="K1072" s="21"/>
      <c r="L1072" s="21"/>
      <c r="M1072" s="24"/>
      <c r="N1072" s="21"/>
      <c r="O1072" s="21"/>
      <c r="P1072" s="124"/>
      <c r="Q1072" s="124"/>
      <c r="R1072" s="124"/>
      <c r="S1072" s="124"/>
      <c r="T1072" s="124"/>
      <c r="U1072" s="124"/>
      <c r="V1072" s="124"/>
      <c r="W1072" s="221"/>
      <c r="X1072" s="221"/>
      <c r="Y1072" s="221"/>
      <c r="Z1072" s="221"/>
      <c r="AA1072" s="230"/>
      <c r="AB1072" s="230"/>
      <c r="AC1072" s="230"/>
      <c r="AD1072" s="230"/>
      <c r="AE1072" s="230"/>
      <c r="AF1072" s="230"/>
      <c r="AG1072" s="230"/>
      <c r="AH1072" s="230"/>
      <c r="AI1072" s="230"/>
      <c r="AJ1072" s="230"/>
      <c r="AK1072" s="230"/>
      <c r="AL1072" s="230"/>
      <c r="AM1072" s="230"/>
      <c r="AN1072" s="230"/>
      <c r="AO1072" s="230"/>
      <c r="AP1072" s="230"/>
      <c r="AQ1072" s="230"/>
      <c r="AR1072" s="230"/>
      <c r="AS1072" s="230"/>
      <c r="AT1072" s="230"/>
      <c r="AU1072" s="230"/>
      <c r="AV1072" s="230"/>
      <c r="AW1072" s="230"/>
      <c r="AX1072" s="230"/>
      <c r="AY1072" s="230"/>
      <c r="AZ1072" s="230"/>
      <c r="BA1072" s="230"/>
      <c r="BB1072" s="230"/>
      <c r="BC1072" s="230"/>
      <c r="BD1072" s="230"/>
      <c r="BE1072" s="230"/>
      <c r="BF1072" s="230"/>
      <c r="BG1072" s="230"/>
      <c r="BH1072" s="230"/>
      <c r="BI1072" s="230"/>
      <c r="BJ1072" s="230"/>
      <c r="BK1072" s="230"/>
      <c r="BL1072" s="230"/>
      <c r="BM1072" s="230"/>
      <c r="BN1072" s="230"/>
      <c r="BO1072" s="230"/>
      <c r="BP1072" s="230"/>
      <c r="BQ1072" s="230"/>
      <c r="BR1072" s="230"/>
      <c r="BS1072" s="230"/>
      <c r="BT1072" s="230"/>
      <c r="BU1072" s="230"/>
      <c r="BV1072" s="230"/>
      <c r="BW1072" s="230"/>
      <c r="BX1072" s="230"/>
      <c r="BY1072" s="230"/>
      <c r="BZ1072" s="230"/>
      <c r="CA1072" s="230"/>
      <c r="CB1072" s="230"/>
      <c r="CC1072" s="230"/>
      <c r="CD1072" s="230"/>
      <c r="CE1072" s="230"/>
      <c r="CF1072" s="230"/>
      <c r="CG1072" s="230"/>
      <c r="CH1072" s="230"/>
      <c r="CI1072" s="230"/>
      <c r="CJ1072" s="230"/>
      <c r="CK1072" s="230"/>
      <c r="CL1072" s="230"/>
      <c r="CM1072" s="230"/>
      <c r="CN1072" s="230"/>
      <c r="CO1072" s="230"/>
      <c r="CP1072" s="230"/>
      <c r="CQ1072" s="230"/>
      <c r="CR1072" s="230"/>
      <c r="CS1072" s="230"/>
      <c r="CT1072" s="230"/>
      <c r="CU1072" s="230"/>
      <c r="CV1072" s="230"/>
      <c r="CW1072" s="230"/>
      <c r="CX1072" s="230"/>
      <c r="CY1072" s="230"/>
      <c r="CZ1072" s="230"/>
      <c r="DA1072" s="230"/>
      <c r="DB1072" s="230"/>
      <c r="DC1072" s="230"/>
      <c r="DD1072" s="230"/>
      <c r="DE1072" s="230"/>
      <c r="DF1072" s="230"/>
      <c r="DG1072" s="230"/>
      <c r="DH1072" s="230"/>
      <c r="DI1072" s="230"/>
      <c r="DJ1072" s="230"/>
      <c r="DK1072" s="230"/>
      <c r="DL1072" s="230"/>
      <c r="DM1072" s="230"/>
      <c r="DN1072" s="230"/>
      <c r="DO1072" s="230"/>
      <c r="DP1072" s="230"/>
      <c r="DQ1072" s="230"/>
      <c r="DR1072" s="230"/>
      <c r="DS1072" s="230"/>
      <c r="DT1072" s="230"/>
      <c r="DU1072" s="230"/>
      <c r="DV1072" s="230"/>
      <c r="DW1072" s="230"/>
      <c r="DX1072" s="230"/>
      <c r="DY1072" s="230"/>
      <c r="DZ1072" s="230"/>
      <c r="EA1072" s="230"/>
      <c r="EB1072" s="230"/>
      <c r="EC1072" s="230"/>
      <c r="ED1072" s="230"/>
      <c r="EE1072" s="230"/>
      <c r="EF1072" s="230"/>
      <c r="EG1072" s="230"/>
      <c r="EH1072" s="230"/>
      <c r="EI1072" s="230"/>
      <c r="EJ1072" s="230"/>
      <c r="EK1072" s="230"/>
      <c r="EL1072" s="230"/>
      <c r="EM1072" s="230"/>
      <c r="EN1072" s="230"/>
      <c r="EO1072" s="230"/>
      <c r="EP1072" s="230"/>
      <c r="EQ1072" s="230"/>
      <c r="ER1072" s="230"/>
      <c r="ES1072" s="230"/>
      <c r="ET1072" s="230"/>
      <c r="EU1072" s="230"/>
      <c r="EV1072" s="230"/>
      <c r="EW1072" s="230"/>
      <c r="EX1072" s="230"/>
      <c r="EY1072" s="230"/>
      <c r="EZ1072" s="230"/>
      <c r="FA1072" s="230"/>
      <c r="FB1072" s="230"/>
      <c r="FC1072" s="230"/>
      <c r="FD1072" s="230"/>
      <c r="FE1072" s="230"/>
      <c r="FF1072" s="230"/>
      <c r="FG1072" s="230"/>
      <c r="FH1072" s="230"/>
      <c r="FI1072" s="230"/>
      <c r="FJ1072" s="230"/>
      <c r="FK1072" s="230"/>
      <c r="FL1072" s="230"/>
      <c r="FM1072" s="230"/>
      <c r="FN1072" s="230"/>
      <c r="FO1072" s="230"/>
      <c r="FP1072" s="230"/>
      <c r="FQ1072" s="230"/>
      <c r="FR1072" s="230"/>
      <c r="FS1072" s="230"/>
      <c r="FT1072" s="230"/>
      <c r="FU1072" s="230"/>
      <c r="FV1072" s="230"/>
      <c r="FW1072" s="230"/>
      <c r="FX1072" s="230"/>
      <c r="FY1072" s="230"/>
      <c r="FZ1072" s="230"/>
      <c r="GA1072" s="230"/>
      <c r="GB1072" s="230"/>
      <c r="GC1072" s="230"/>
      <c r="GD1072" s="230"/>
      <c r="GE1072" s="230"/>
      <c r="GF1072" s="230"/>
      <c r="GG1072" s="230"/>
      <c r="GH1072" s="230"/>
      <c r="GI1072" s="230"/>
      <c r="GJ1072" s="230"/>
      <c r="GK1072" s="230"/>
      <c r="GL1072" s="230"/>
      <c r="GM1072" s="230"/>
      <c r="GN1072" s="230"/>
    </row>
    <row r="1073">
      <c r="A1073" s="212"/>
      <c r="B1073" s="21"/>
      <c r="C1073" s="21"/>
      <c r="D1073" s="213"/>
      <c r="E1073" s="214"/>
      <c r="F1073" s="215"/>
      <c r="G1073" s="21"/>
      <c r="H1073" s="124"/>
      <c r="I1073" s="21" t="s">
        <v>102</v>
      </c>
      <c r="J1073" s="24"/>
      <c r="K1073" s="21"/>
      <c r="L1073" s="21"/>
      <c r="M1073" s="24"/>
      <c r="N1073" s="21"/>
      <c r="O1073" s="21"/>
      <c r="P1073" s="124"/>
      <c r="Q1073" s="124"/>
      <c r="R1073" s="124"/>
      <c r="S1073" s="124"/>
      <c r="T1073" s="124"/>
      <c r="U1073" s="124"/>
      <c r="V1073" s="124"/>
      <c r="W1073" s="221"/>
      <c r="X1073" s="221"/>
      <c r="Y1073" s="221"/>
      <c r="Z1073" s="221"/>
      <c r="AA1073" s="230"/>
      <c r="AB1073" s="230"/>
      <c r="AC1073" s="230"/>
      <c r="AD1073" s="230"/>
      <c r="AE1073" s="230"/>
      <c r="AF1073" s="230"/>
      <c r="AG1073" s="230"/>
      <c r="AH1073" s="230"/>
      <c r="AI1073" s="230"/>
      <c r="AJ1073" s="230"/>
      <c r="AK1073" s="230"/>
      <c r="AL1073" s="230"/>
      <c r="AM1073" s="230"/>
      <c r="AN1073" s="230"/>
      <c r="AO1073" s="230"/>
      <c r="AP1073" s="230"/>
      <c r="AQ1073" s="230"/>
      <c r="AR1073" s="230"/>
      <c r="AS1073" s="230"/>
      <c r="AT1073" s="230"/>
      <c r="AU1073" s="230"/>
      <c r="AV1073" s="230"/>
      <c r="AW1073" s="230"/>
      <c r="AX1073" s="230"/>
      <c r="AY1073" s="230"/>
      <c r="AZ1073" s="230"/>
      <c r="BA1073" s="230"/>
      <c r="BB1073" s="230"/>
      <c r="BC1073" s="230"/>
      <c r="BD1073" s="230"/>
      <c r="BE1073" s="230"/>
      <c r="BF1073" s="230"/>
      <c r="BG1073" s="230"/>
      <c r="BH1073" s="230"/>
      <c r="BI1073" s="230"/>
      <c r="BJ1073" s="230"/>
      <c r="BK1073" s="230"/>
      <c r="BL1073" s="230"/>
      <c r="BM1073" s="230"/>
      <c r="BN1073" s="230"/>
      <c r="BO1073" s="230"/>
      <c r="BP1073" s="230"/>
      <c r="BQ1073" s="230"/>
      <c r="BR1073" s="230"/>
      <c r="BS1073" s="230"/>
      <c r="BT1073" s="230"/>
      <c r="BU1073" s="230"/>
      <c r="BV1073" s="230"/>
      <c r="BW1073" s="230"/>
      <c r="BX1073" s="230"/>
      <c r="BY1073" s="230"/>
      <c r="BZ1073" s="230"/>
      <c r="CA1073" s="230"/>
      <c r="CB1073" s="230"/>
      <c r="CC1073" s="230"/>
      <c r="CD1073" s="230"/>
      <c r="CE1073" s="230"/>
      <c r="CF1073" s="230"/>
      <c r="CG1073" s="230"/>
      <c r="CH1073" s="230"/>
      <c r="CI1073" s="230"/>
      <c r="CJ1073" s="230"/>
      <c r="CK1073" s="230"/>
      <c r="CL1073" s="230"/>
      <c r="CM1073" s="230"/>
      <c r="CN1073" s="230"/>
      <c r="CO1073" s="230"/>
      <c r="CP1073" s="230"/>
      <c r="CQ1073" s="230"/>
      <c r="CR1073" s="230"/>
      <c r="CS1073" s="230"/>
      <c r="CT1073" s="230"/>
      <c r="CU1073" s="230"/>
      <c r="CV1073" s="230"/>
      <c r="CW1073" s="230"/>
      <c r="CX1073" s="230"/>
      <c r="CY1073" s="230"/>
      <c r="CZ1073" s="230"/>
      <c r="DA1073" s="230"/>
      <c r="DB1073" s="230"/>
      <c r="DC1073" s="230"/>
      <c r="DD1073" s="230"/>
      <c r="DE1073" s="230"/>
      <c r="DF1073" s="230"/>
      <c r="DG1073" s="230"/>
      <c r="DH1073" s="230"/>
      <c r="DI1073" s="230"/>
      <c r="DJ1073" s="230"/>
      <c r="DK1073" s="230"/>
      <c r="DL1073" s="230"/>
      <c r="DM1073" s="230"/>
      <c r="DN1073" s="230"/>
      <c r="DO1073" s="230"/>
      <c r="DP1073" s="230"/>
      <c r="DQ1073" s="230"/>
      <c r="DR1073" s="230"/>
      <c r="DS1073" s="230"/>
      <c r="DT1073" s="230"/>
      <c r="DU1073" s="230"/>
      <c r="DV1073" s="230"/>
      <c r="DW1073" s="230"/>
      <c r="DX1073" s="230"/>
      <c r="DY1073" s="230"/>
      <c r="DZ1073" s="230"/>
      <c r="EA1073" s="230"/>
      <c r="EB1073" s="230"/>
      <c r="EC1073" s="230"/>
      <c r="ED1073" s="230"/>
      <c r="EE1073" s="230"/>
      <c r="EF1073" s="230"/>
      <c r="EG1073" s="230"/>
      <c r="EH1073" s="230"/>
      <c r="EI1073" s="230"/>
      <c r="EJ1073" s="230"/>
      <c r="EK1073" s="230"/>
      <c r="EL1073" s="230"/>
      <c r="EM1073" s="230"/>
      <c r="EN1073" s="230"/>
      <c r="EO1073" s="230"/>
      <c r="EP1073" s="230"/>
      <c r="EQ1073" s="230"/>
      <c r="ER1073" s="230"/>
      <c r="ES1073" s="230"/>
      <c r="ET1073" s="230"/>
      <c r="EU1073" s="230"/>
      <c r="EV1073" s="230"/>
      <c r="EW1073" s="230"/>
      <c r="EX1073" s="230"/>
      <c r="EY1073" s="230"/>
      <c r="EZ1073" s="230"/>
      <c r="FA1073" s="230"/>
      <c r="FB1073" s="230"/>
      <c r="FC1073" s="230"/>
      <c r="FD1073" s="230"/>
      <c r="FE1073" s="230"/>
      <c r="FF1073" s="230"/>
      <c r="FG1073" s="230"/>
      <c r="FH1073" s="230"/>
      <c r="FI1073" s="230"/>
      <c r="FJ1073" s="230"/>
      <c r="FK1073" s="230"/>
      <c r="FL1073" s="230"/>
      <c r="FM1073" s="230"/>
      <c r="FN1073" s="230"/>
      <c r="FO1073" s="230"/>
      <c r="FP1073" s="230"/>
      <c r="FQ1073" s="230"/>
      <c r="FR1073" s="230"/>
      <c r="FS1073" s="230"/>
      <c r="FT1073" s="230"/>
      <c r="FU1073" s="230"/>
      <c r="FV1073" s="230"/>
      <c r="FW1073" s="230"/>
      <c r="FX1073" s="230"/>
      <c r="FY1073" s="230"/>
      <c r="FZ1073" s="230"/>
      <c r="GA1073" s="230"/>
      <c r="GB1073" s="230"/>
      <c r="GC1073" s="230"/>
      <c r="GD1073" s="230"/>
      <c r="GE1073" s="230"/>
      <c r="GF1073" s="230"/>
      <c r="GG1073" s="230"/>
      <c r="GH1073" s="230"/>
      <c r="GI1073" s="230"/>
      <c r="GJ1073" s="230"/>
      <c r="GK1073" s="230"/>
      <c r="GL1073" s="230"/>
      <c r="GM1073" s="230"/>
      <c r="GN1073" s="230"/>
    </row>
    <row r="1074">
      <c r="A1074" s="212"/>
      <c r="B1074" s="21"/>
      <c r="C1074" s="21"/>
      <c r="D1074" s="213"/>
      <c r="E1074" s="214"/>
      <c r="F1074" s="215"/>
      <c r="G1074" s="21"/>
      <c r="H1074" s="124"/>
      <c r="I1074" s="21"/>
      <c r="J1074" s="24"/>
      <c r="K1074" s="21"/>
      <c r="L1074" s="21"/>
      <c r="M1074" s="24"/>
      <c r="N1074" s="21"/>
      <c r="O1074" s="21"/>
      <c r="P1074" s="124"/>
      <c r="Q1074" s="124"/>
      <c r="R1074" s="124"/>
      <c r="S1074" s="124"/>
      <c r="T1074" s="124"/>
      <c r="U1074" s="124"/>
      <c r="V1074" s="124"/>
      <c r="W1074" s="221"/>
      <c r="X1074" s="221"/>
      <c r="Y1074" s="221"/>
      <c r="Z1074" s="221"/>
      <c r="AA1074" s="230"/>
      <c r="AB1074" s="230"/>
      <c r="AC1074" s="230"/>
      <c r="AD1074" s="230"/>
      <c r="AE1074" s="230"/>
      <c r="AF1074" s="230"/>
      <c r="AG1074" s="230"/>
      <c r="AH1074" s="230"/>
      <c r="AI1074" s="230"/>
      <c r="AJ1074" s="230"/>
      <c r="AK1074" s="230"/>
      <c r="AL1074" s="230"/>
      <c r="AM1074" s="230"/>
      <c r="AN1074" s="230"/>
      <c r="AO1074" s="230"/>
      <c r="AP1074" s="230"/>
      <c r="AQ1074" s="230"/>
      <c r="AR1074" s="230"/>
      <c r="AS1074" s="230"/>
      <c r="AT1074" s="230"/>
      <c r="AU1074" s="230"/>
      <c r="AV1074" s="230"/>
      <c r="AW1074" s="230"/>
      <c r="AX1074" s="230"/>
      <c r="AY1074" s="230"/>
      <c r="AZ1074" s="230"/>
      <c r="BA1074" s="230"/>
      <c r="BB1074" s="230"/>
      <c r="BC1074" s="230"/>
      <c r="BD1074" s="230"/>
      <c r="BE1074" s="230"/>
      <c r="BF1074" s="230"/>
      <c r="BG1074" s="230"/>
      <c r="BH1074" s="230"/>
      <c r="BI1074" s="230"/>
      <c r="BJ1074" s="230"/>
      <c r="BK1074" s="230"/>
      <c r="BL1074" s="230"/>
      <c r="BM1074" s="230"/>
      <c r="BN1074" s="230"/>
      <c r="BO1074" s="230"/>
      <c r="BP1074" s="230"/>
      <c r="BQ1074" s="230"/>
      <c r="BR1074" s="230"/>
      <c r="BS1074" s="230"/>
      <c r="BT1074" s="230"/>
      <c r="BU1074" s="230"/>
      <c r="BV1074" s="230"/>
      <c r="BW1074" s="230"/>
      <c r="BX1074" s="230"/>
      <c r="BY1074" s="230"/>
      <c r="BZ1074" s="230"/>
      <c r="CA1074" s="230"/>
      <c r="CB1074" s="230"/>
      <c r="CC1074" s="230"/>
      <c r="CD1074" s="230"/>
      <c r="CE1074" s="230"/>
      <c r="CF1074" s="230"/>
      <c r="CG1074" s="230"/>
      <c r="CH1074" s="230"/>
      <c r="CI1074" s="230"/>
      <c r="CJ1074" s="230"/>
      <c r="CK1074" s="230"/>
      <c r="CL1074" s="230"/>
      <c r="CM1074" s="230"/>
      <c r="CN1074" s="230"/>
      <c r="CO1074" s="230"/>
      <c r="CP1074" s="230"/>
      <c r="CQ1074" s="230"/>
      <c r="CR1074" s="230"/>
      <c r="CS1074" s="230"/>
      <c r="CT1074" s="230"/>
      <c r="CU1074" s="230"/>
      <c r="CV1074" s="230"/>
      <c r="CW1074" s="230"/>
      <c r="CX1074" s="230"/>
      <c r="CY1074" s="230"/>
      <c r="CZ1074" s="230"/>
      <c r="DA1074" s="230"/>
      <c r="DB1074" s="230"/>
      <c r="DC1074" s="230"/>
      <c r="DD1074" s="230"/>
      <c r="DE1074" s="230"/>
      <c r="DF1074" s="230"/>
      <c r="DG1074" s="230"/>
      <c r="DH1074" s="230"/>
      <c r="DI1074" s="230"/>
      <c r="DJ1074" s="230"/>
      <c r="DK1074" s="230"/>
      <c r="DL1074" s="230"/>
      <c r="DM1074" s="230"/>
      <c r="DN1074" s="230"/>
      <c r="DO1074" s="230"/>
      <c r="DP1074" s="230"/>
      <c r="DQ1074" s="230"/>
      <c r="DR1074" s="230"/>
      <c r="DS1074" s="230"/>
      <c r="DT1074" s="230"/>
      <c r="DU1074" s="230"/>
      <c r="DV1074" s="230"/>
      <c r="DW1074" s="230"/>
      <c r="DX1074" s="230"/>
      <c r="DY1074" s="230"/>
      <c r="DZ1074" s="230"/>
      <c r="EA1074" s="230"/>
      <c r="EB1074" s="230"/>
      <c r="EC1074" s="230"/>
      <c r="ED1074" s="230"/>
      <c r="EE1074" s="230"/>
      <c r="EF1074" s="230"/>
      <c r="EG1074" s="230"/>
      <c r="EH1074" s="230"/>
      <c r="EI1074" s="230"/>
      <c r="EJ1074" s="230"/>
      <c r="EK1074" s="230"/>
      <c r="EL1074" s="230"/>
      <c r="EM1074" s="230"/>
      <c r="EN1074" s="230"/>
      <c r="EO1074" s="230"/>
      <c r="EP1074" s="230"/>
      <c r="EQ1074" s="230"/>
      <c r="ER1074" s="230"/>
      <c r="ES1074" s="230"/>
      <c r="ET1074" s="230"/>
      <c r="EU1074" s="230"/>
      <c r="EV1074" s="230"/>
      <c r="EW1074" s="230"/>
      <c r="EX1074" s="230"/>
      <c r="EY1074" s="230"/>
      <c r="EZ1074" s="230"/>
      <c r="FA1074" s="230"/>
      <c r="FB1074" s="230"/>
      <c r="FC1074" s="230"/>
      <c r="FD1074" s="230"/>
      <c r="FE1074" s="230"/>
      <c r="FF1074" s="230"/>
      <c r="FG1074" s="230"/>
      <c r="FH1074" s="230"/>
      <c r="FI1074" s="230"/>
      <c r="FJ1074" s="230"/>
      <c r="FK1074" s="230"/>
      <c r="FL1074" s="230"/>
      <c r="FM1074" s="230"/>
      <c r="FN1074" s="230"/>
      <c r="FO1074" s="230"/>
      <c r="FP1074" s="230"/>
      <c r="FQ1074" s="230"/>
      <c r="FR1074" s="230"/>
      <c r="FS1074" s="230"/>
      <c r="FT1074" s="230"/>
      <c r="FU1074" s="230"/>
      <c r="FV1074" s="230"/>
      <c r="FW1074" s="230"/>
      <c r="FX1074" s="230"/>
      <c r="FY1074" s="230"/>
      <c r="FZ1074" s="230"/>
      <c r="GA1074" s="230"/>
      <c r="GB1074" s="230"/>
      <c r="GC1074" s="230"/>
      <c r="GD1074" s="230"/>
      <c r="GE1074" s="230"/>
      <c r="GF1074" s="230"/>
      <c r="GG1074" s="230"/>
      <c r="GH1074" s="230"/>
      <c r="GI1074" s="230"/>
      <c r="GJ1074" s="230"/>
      <c r="GK1074" s="230"/>
      <c r="GL1074" s="230"/>
      <c r="GM1074" s="230"/>
      <c r="GN1074" s="230"/>
    </row>
    <row r="1075">
      <c r="A1075" s="212"/>
      <c r="B1075" s="21"/>
      <c r="C1075" s="21"/>
      <c r="D1075" s="213"/>
      <c r="E1075" s="214"/>
      <c r="F1075" s="215"/>
      <c r="G1075" s="21"/>
      <c r="H1075" s="124"/>
      <c r="I1075" s="21"/>
      <c r="J1075" s="24"/>
      <c r="K1075" s="21"/>
      <c r="L1075" s="21"/>
      <c r="M1075" s="24"/>
      <c r="N1075" s="21"/>
      <c r="O1075" s="21"/>
      <c r="P1075" s="124"/>
      <c r="Q1075" s="124"/>
      <c r="R1075" s="124"/>
      <c r="S1075" s="124"/>
      <c r="T1075" s="124"/>
      <c r="U1075" s="124"/>
      <c r="V1075" s="124"/>
      <c r="W1075" s="221"/>
      <c r="X1075" s="221"/>
      <c r="Y1075" s="221"/>
      <c r="Z1075" s="221"/>
      <c r="AA1075" s="230"/>
      <c r="AB1075" s="230"/>
      <c r="AC1075" s="230"/>
      <c r="AD1075" s="230"/>
      <c r="AE1075" s="230"/>
      <c r="AF1075" s="230"/>
      <c r="AG1075" s="230"/>
      <c r="AH1075" s="230"/>
      <c r="AI1075" s="230"/>
      <c r="AJ1075" s="230"/>
      <c r="AK1075" s="230"/>
      <c r="AL1075" s="230"/>
      <c r="AM1075" s="230"/>
      <c r="AN1075" s="230"/>
      <c r="AO1075" s="230"/>
      <c r="AP1075" s="230"/>
      <c r="AQ1075" s="230"/>
      <c r="AR1075" s="230"/>
      <c r="AS1075" s="230"/>
      <c r="AT1075" s="230"/>
      <c r="AU1075" s="230"/>
      <c r="AV1075" s="230"/>
      <c r="AW1075" s="230"/>
      <c r="AX1075" s="230"/>
      <c r="AY1075" s="230"/>
      <c r="AZ1075" s="230"/>
      <c r="BA1075" s="230"/>
      <c r="BB1075" s="230"/>
      <c r="BC1075" s="230"/>
      <c r="BD1075" s="230"/>
      <c r="BE1075" s="230"/>
      <c r="BF1075" s="230"/>
      <c r="BG1075" s="230"/>
      <c r="BH1075" s="230"/>
      <c r="BI1075" s="230"/>
      <c r="BJ1075" s="230"/>
      <c r="BK1075" s="230"/>
      <c r="BL1075" s="230"/>
      <c r="BM1075" s="230"/>
      <c r="BN1075" s="230"/>
      <c r="BO1075" s="230"/>
      <c r="BP1075" s="230"/>
      <c r="BQ1075" s="230"/>
      <c r="BR1075" s="230"/>
      <c r="BS1075" s="230"/>
      <c r="BT1075" s="230"/>
      <c r="BU1075" s="230"/>
      <c r="BV1075" s="230"/>
      <c r="BW1075" s="230"/>
      <c r="BX1075" s="230"/>
      <c r="BY1075" s="230"/>
      <c r="BZ1075" s="230"/>
      <c r="CA1075" s="230"/>
      <c r="CB1075" s="230"/>
      <c r="CC1075" s="230"/>
      <c r="CD1075" s="230"/>
      <c r="CE1075" s="230"/>
      <c r="CF1075" s="230"/>
      <c r="CG1075" s="230"/>
      <c r="CH1075" s="230"/>
      <c r="CI1075" s="230"/>
      <c r="CJ1075" s="230"/>
      <c r="CK1075" s="230"/>
      <c r="CL1075" s="230"/>
      <c r="CM1075" s="230"/>
      <c r="CN1075" s="230"/>
      <c r="CO1075" s="230"/>
      <c r="CP1075" s="230"/>
      <c r="CQ1075" s="230"/>
      <c r="CR1075" s="230"/>
      <c r="CS1075" s="230"/>
      <c r="CT1075" s="230"/>
      <c r="CU1075" s="230"/>
      <c r="CV1075" s="230"/>
      <c r="CW1075" s="230"/>
      <c r="CX1075" s="230"/>
      <c r="CY1075" s="230"/>
      <c r="CZ1075" s="230"/>
      <c r="DA1075" s="230"/>
      <c r="DB1075" s="230"/>
      <c r="DC1075" s="230"/>
      <c r="DD1075" s="230"/>
      <c r="DE1075" s="230"/>
      <c r="DF1075" s="230"/>
      <c r="DG1075" s="230"/>
      <c r="DH1075" s="230"/>
      <c r="DI1075" s="230"/>
      <c r="DJ1075" s="230"/>
      <c r="DK1075" s="230"/>
      <c r="DL1075" s="230"/>
      <c r="DM1075" s="230"/>
      <c r="DN1075" s="230"/>
      <c r="DO1075" s="230"/>
      <c r="DP1075" s="230"/>
      <c r="DQ1075" s="230"/>
      <c r="DR1075" s="230"/>
      <c r="DS1075" s="230"/>
      <c r="DT1075" s="230"/>
      <c r="DU1075" s="230"/>
      <c r="DV1075" s="230"/>
      <c r="DW1075" s="230"/>
      <c r="DX1075" s="230"/>
      <c r="DY1075" s="230"/>
      <c r="DZ1075" s="230"/>
      <c r="EA1075" s="230"/>
      <c r="EB1075" s="230"/>
      <c r="EC1075" s="230"/>
      <c r="ED1075" s="230"/>
      <c r="EE1075" s="230"/>
      <c r="EF1075" s="230"/>
      <c r="EG1075" s="230"/>
      <c r="EH1075" s="230"/>
      <c r="EI1075" s="230"/>
      <c r="EJ1075" s="230"/>
      <c r="EK1075" s="230"/>
      <c r="EL1075" s="230"/>
      <c r="EM1075" s="230"/>
      <c r="EN1075" s="230"/>
      <c r="EO1075" s="230"/>
      <c r="EP1075" s="230"/>
      <c r="EQ1075" s="230"/>
      <c r="ER1075" s="230"/>
      <c r="ES1075" s="230"/>
      <c r="ET1075" s="230"/>
      <c r="EU1075" s="230"/>
      <c r="EV1075" s="230"/>
      <c r="EW1075" s="230"/>
      <c r="EX1075" s="230"/>
      <c r="EY1075" s="230"/>
      <c r="EZ1075" s="230"/>
      <c r="FA1075" s="230"/>
      <c r="FB1075" s="230"/>
      <c r="FC1075" s="230"/>
      <c r="FD1075" s="230"/>
      <c r="FE1075" s="230"/>
      <c r="FF1075" s="230"/>
      <c r="FG1075" s="230"/>
      <c r="FH1075" s="230"/>
      <c r="FI1075" s="230"/>
      <c r="FJ1075" s="230"/>
      <c r="FK1075" s="230"/>
      <c r="FL1075" s="230"/>
      <c r="FM1075" s="230"/>
      <c r="FN1075" s="230"/>
      <c r="FO1075" s="230"/>
      <c r="FP1075" s="230"/>
      <c r="FQ1075" s="230"/>
      <c r="FR1075" s="230"/>
      <c r="FS1075" s="230"/>
      <c r="FT1075" s="230"/>
      <c r="FU1075" s="230"/>
      <c r="FV1075" s="230"/>
      <c r="FW1075" s="230"/>
      <c r="FX1075" s="230"/>
      <c r="FY1075" s="230"/>
      <c r="FZ1075" s="230"/>
      <c r="GA1075" s="230"/>
      <c r="GB1075" s="230"/>
      <c r="GC1075" s="230"/>
      <c r="GD1075" s="230"/>
      <c r="GE1075" s="230"/>
      <c r="GF1075" s="230"/>
      <c r="GG1075" s="230"/>
      <c r="GH1075" s="230"/>
      <c r="GI1075" s="230"/>
      <c r="GJ1075" s="230"/>
      <c r="GK1075" s="230"/>
      <c r="GL1075" s="230"/>
      <c r="GM1075" s="230"/>
      <c r="GN1075" s="230"/>
    </row>
    <row r="1076">
      <c r="A1076" s="212"/>
      <c r="B1076" s="21"/>
      <c r="C1076" s="21"/>
      <c r="D1076" s="213"/>
      <c r="E1076" s="214"/>
      <c r="F1076" s="215"/>
      <c r="G1076" s="21"/>
      <c r="H1076" s="124"/>
      <c r="I1076" s="21"/>
      <c r="J1076" s="24"/>
      <c r="K1076" s="21"/>
      <c r="L1076" s="21"/>
      <c r="M1076" s="24"/>
      <c r="N1076" s="21"/>
      <c r="O1076" s="21"/>
      <c r="P1076" s="124"/>
      <c r="Q1076" s="124"/>
      <c r="R1076" s="124"/>
      <c r="S1076" s="124"/>
      <c r="T1076" s="124"/>
      <c r="U1076" s="124"/>
      <c r="V1076" s="124"/>
      <c r="W1076" s="221"/>
      <c r="X1076" s="221"/>
      <c r="Y1076" s="221"/>
      <c r="Z1076" s="221"/>
      <c r="AA1076" s="230"/>
      <c r="AB1076" s="230"/>
      <c r="AC1076" s="230"/>
      <c r="AD1076" s="230"/>
      <c r="AE1076" s="230"/>
      <c r="AF1076" s="230"/>
      <c r="AG1076" s="230"/>
      <c r="AH1076" s="230"/>
      <c r="AI1076" s="230"/>
      <c r="AJ1076" s="230"/>
      <c r="AK1076" s="230"/>
      <c r="AL1076" s="230"/>
      <c r="AM1076" s="230"/>
      <c r="AN1076" s="230"/>
      <c r="AO1076" s="230"/>
      <c r="AP1076" s="230"/>
      <c r="AQ1076" s="230"/>
      <c r="AR1076" s="230"/>
      <c r="AS1076" s="230"/>
      <c r="AT1076" s="230"/>
      <c r="AU1076" s="230"/>
      <c r="AV1076" s="230"/>
      <c r="AW1076" s="230"/>
      <c r="AX1076" s="230"/>
      <c r="AY1076" s="230"/>
      <c r="AZ1076" s="230"/>
      <c r="BA1076" s="230"/>
      <c r="BB1076" s="230"/>
      <c r="BC1076" s="230"/>
      <c r="BD1076" s="230"/>
      <c r="BE1076" s="230"/>
      <c r="BF1076" s="230"/>
      <c r="BG1076" s="230"/>
      <c r="BH1076" s="230"/>
      <c r="BI1076" s="230"/>
      <c r="BJ1076" s="230"/>
      <c r="BK1076" s="230"/>
      <c r="BL1076" s="230"/>
      <c r="BM1076" s="230"/>
      <c r="BN1076" s="230"/>
      <c r="BO1076" s="230"/>
      <c r="BP1076" s="230"/>
      <c r="BQ1076" s="230"/>
      <c r="BR1076" s="230"/>
      <c r="BS1076" s="230"/>
      <c r="BT1076" s="230"/>
      <c r="BU1076" s="230"/>
      <c r="BV1076" s="230"/>
      <c r="BW1076" s="230"/>
      <c r="BX1076" s="230"/>
      <c r="BY1076" s="230"/>
      <c r="BZ1076" s="230"/>
      <c r="CA1076" s="230"/>
      <c r="CB1076" s="230"/>
      <c r="CC1076" s="230"/>
      <c r="CD1076" s="230"/>
      <c r="CE1076" s="230"/>
      <c r="CF1076" s="230"/>
      <c r="CG1076" s="230"/>
      <c r="CH1076" s="230"/>
      <c r="CI1076" s="230"/>
      <c r="CJ1076" s="230"/>
      <c r="CK1076" s="230"/>
      <c r="CL1076" s="230"/>
      <c r="CM1076" s="230"/>
      <c r="CN1076" s="230"/>
      <c r="CO1076" s="230"/>
      <c r="CP1076" s="230"/>
      <c r="CQ1076" s="230"/>
      <c r="CR1076" s="230"/>
      <c r="CS1076" s="230"/>
      <c r="CT1076" s="230"/>
      <c r="CU1076" s="230"/>
      <c r="CV1076" s="230"/>
      <c r="CW1076" s="230"/>
      <c r="CX1076" s="230"/>
      <c r="CY1076" s="230"/>
      <c r="CZ1076" s="230"/>
      <c r="DA1076" s="230"/>
      <c r="DB1076" s="230"/>
      <c r="DC1076" s="230"/>
      <c r="DD1076" s="230"/>
      <c r="DE1076" s="230"/>
      <c r="DF1076" s="230"/>
      <c r="DG1076" s="230"/>
      <c r="DH1076" s="230"/>
      <c r="DI1076" s="230"/>
      <c r="DJ1076" s="230"/>
      <c r="DK1076" s="230"/>
      <c r="DL1076" s="230"/>
      <c r="DM1076" s="230"/>
      <c r="DN1076" s="230"/>
      <c r="DO1076" s="230"/>
      <c r="DP1076" s="230"/>
      <c r="DQ1076" s="230"/>
      <c r="DR1076" s="230"/>
      <c r="DS1076" s="230"/>
      <c r="DT1076" s="230"/>
      <c r="DU1076" s="230"/>
      <c r="DV1076" s="230"/>
      <c r="DW1076" s="230"/>
      <c r="DX1076" s="230"/>
      <c r="DY1076" s="230"/>
      <c r="DZ1076" s="230"/>
      <c r="EA1076" s="230"/>
      <c r="EB1076" s="230"/>
      <c r="EC1076" s="230"/>
      <c r="ED1076" s="230"/>
      <c r="EE1076" s="230"/>
      <c r="EF1076" s="230"/>
      <c r="EG1076" s="230"/>
      <c r="EH1076" s="230"/>
      <c r="EI1076" s="230"/>
      <c r="EJ1076" s="230"/>
      <c r="EK1076" s="230"/>
      <c r="EL1076" s="230"/>
      <c r="EM1076" s="230"/>
      <c r="EN1076" s="230"/>
      <c r="EO1076" s="230"/>
      <c r="EP1076" s="230"/>
      <c r="EQ1076" s="230"/>
      <c r="ER1076" s="230"/>
      <c r="ES1076" s="230"/>
      <c r="ET1076" s="230"/>
      <c r="EU1076" s="230"/>
      <c r="EV1076" s="230"/>
      <c r="EW1076" s="230"/>
      <c r="EX1076" s="230"/>
      <c r="EY1076" s="230"/>
      <c r="EZ1076" s="230"/>
      <c r="FA1076" s="230"/>
      <c r="FB1076" s="230"/>
      <c r="FC1076" s="230"/>
      <c r="FD1076" s="230"/>
      <c r="FE1076" s="230"/>
      <c r="FF1076" s="230"/>
      <c r="FG1076" s="230"/>
      <c r="FH1076" s="230"/>
      <c r="FI1076" s="230"/>
      <c r="FJ1076" s="230"/>
      <c r="FK1076" s="230"/>
      <c r="FL1076" s="230"/>
      <c r="FM1076" s="230"/>
      <c r="FN1076" s="230"/>
      <c r="FO1076" s="230"/>
      <c r="FP1076" s="230"/>
      <c r="FQ1076" s="230"/>
      <c r="FR1076" s="230"/>
      <c r="FS1076" s="230"/>
      <c r="FT1076" s="230"/>
      <c r="FU1076" s="230"/>
      <c r="FV1076" s="230"/>
      <c r="FW1076" s="230"/>
      <c r="FX1076" s="230"/>
      <c r="FY1076" s="230"/>
      <c r="FZ1076" s="230"/>
      <c r="GA1076" s="230"/>
      <c r="GB1076" s="230"/>
      <c r="GC1076" s="230"/>
      <c r="GD1076" s="230"/>
      <c r="GE1076" s="230"/>
      <c r="GF1076" s="230"/>
      <c r="GG1076" s="230"/>
      <c r="GH1076" s="230"/>
      <c r="GI1076" s="230"/>
      <c r="GJ1076" s="230"/>
      <c r="GK1076" s="230"/>
      <c r="GL1076" s="230"/>
      <c r="GM1076" s="230"/>
      <c r="GN1076" s="230"/>
    </row>
    <row r="1077">
      <c r="A1077" s="212"/>
      <c r="B1077" s="21"/>
      <c r="C1077" s="21"/>
      <c r="D1077" s="213"/>
      <c r="E1077" s="214"/>
      <c r="F1077" s="215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110"/>
    </row>
    <row r="1078">
      <c r="A1078" s="212"/>
      <c r="B1078" s="21"/>
      <c r="C1078" s="21"/>
      <c r="D1078" s="213"/>
      <c r="E1078" s="214"/>
      <c r="F1078" s="215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110"/>
    </row>
    <row r="1079">
      <c r="A1079" s="212"/>
      <c r="B1079" s="21"/>
      <c r="C1079" s="21"/>
      <c r="D1079" s="213"/>
      <c r="E1079" s="214"/>
      <c r="F1079" s="215"/>
      <c r="G1079" s="162"/>
      <c r="H1079" s="225"/>
      <c r="I1079" s="225"/>
      <c r="J1079" s="225"/>
      <c r="K1079" s="225"/>
      <c r="L1079" s="225"/>
      <c r="M1079" s="225"/>
      <c r="N1079" s="225"/>
      <c r="O1079" s="225"/>
      <c r="P1079" s="225"/>
      <c r="Q1079" s="225"/>
      <c r="R1079" s="225"/>
      <c r="S1079" s="225"/>
      <c r="T1079" s="225"/>
      <c r="U1079" s="225"/>
      <c r="V1079" s="225"/>
      <c r="W1079" s="110"/>
      <c r="X1079" s="110"/>
      <c r="Y1079" s="110"/>
      <c r="Z1079" s="110"/>
    </row>
    <row r="1080">
      <c r="A1080" s="212"/>
      <c r="B1080" s="21"/>
      <c r="C1080" s="21"/>
      <c r="D1080" s="213"/>
      <c r="E1080" s="214"/>
      <c r="F1080" s="215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110"/>
      <c r="X1080" s="110"/>
      <c r="Y1080" s="110"/>
      <c r="Z1080" s="110"/>
    </row>
    <row r="1081">
      <c r="A1081" s="212"/>
      <c r="B1081" s="21"/>
      <c r="C1081" s="21"/>
      <c r="D1081" s="213"/>
      <c r="E1081" s="214"/>
      <c r="F1081" s="215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110"/>
      <c r="X1081" s="110"/>
      <c r="Y1081" s="110"/>
      <c r="Z1081" s="110"/>
    </row>
    <row r="1082">
      <c r="A1082" s="212"/>
      <c r="B1082" s="21"/>
      <c r="C1082" s="21"/>
      <c r="D1082" s="213"/>
      <c r="E1082" s="214"/>
      <c r="F1082" s="215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110"/>
      <c r="X1082" s="110"/>
      <c r="Y1082" s="110"/>
      <c r="Z1082" s="110"/>
    </row>
    <row r="1083">
      <c r="A1083" s="212"/>
      <c r="B1083" s="21"/>
      <c r="C1083" s="21"/>
      <c r="D1083" s="213"/>
      <c r="E1083" s="214"/>
      <c r="F1083" s="215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110"/>
      <c r="X1083" s="110"/>
      <c r="Y1083" s="110"/>
      <c r="Z1083" s="110"/>
    </row>
    <row r="1084">
      <c r="A1084" s="212"/>
      <c r="B1084" s="21"/>
      <c r="C1084" s="21"/>
      <c r="D1084" s="213"/>
      <c r="E1084" s="214"/>
      <c r="F1084" s="215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110"/>
      <c r="X1084" s="110"/>
      <c r="Y1084" s="110"/>
      <c r="Z1084" s="110"/>
    </row>
    <row r="1085">
      <c r="A1085" s="212"/>
      <c r="B1085" s="21"/>
      <c r="C1085" s="21"/>
      <c r="D1085" s="213"/>
      <c r="E1085" s="214"/>
      <c r="F1085" s="215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110"/>
      <c r="X1085" s="110"/>
      <c r="Y1085" s="110"/>
      <c r="Z1085" s="110"/>
    </row>
    <row r="1086">
      <c r="A1086" s="212"/>
      <c r="B1086" s="21"/>
      <c r="C1086" s="21"/>
      <c r="D1086" s="213"/>
      <c r="E1086" s="214"/>
      <c r="F1086" s="215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110"/>
      <c r="X1086" s="110"/>
      <c r="Y1086" s="110"/>
      <c r="Z1086" s="110"/>
    </row>
    <row r="1087">
      <c r="A1087" s="212"/>
      <c r="B1087" s="21"/>
      <c r="C1087" s="21"/>
      <c r="D1087" s="213"/>
      <c r="E1087" s="214"/>
      <c r="F1087" s="215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110"/>
      <c r="X1087" s="110"/>
      <c r="Y1087" s="110"/>
      <c r="Z1087" s="110"/>
    </row>
    <row r="1088">
      <c r="A1088" s="212"/>
      <c r="B1088" s="21"/>
      <c r="C1088" s="21"/>
      <c r="D1088" s="213"/>
      <c r="E1088" s="214"/>
      <c r="F1088" s="215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110"/>
      <c r="X1088" s="110"/>
      <c r="Y1088" s="110"/>
      <c r="Z1088" s="110"/>
    </row>
    <row r="1089">
      <c r="A1089" s="212"/>
      <c r="B1089" s="21"/>
      <c r="C1089" s="21"/>
      <c r="D1089" s="213"/>
      <c r="E1089" s="214"/>
      <c r="F1089" s="215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110"/>
      <c r="X1089" s="110"/>
      <c r="Y1089" s="110"/>
      <c r="Z1089" s="110"/>
    </row>
    <row r="1090">
      <c r="A1090" s="212"/>
      <c r="B1090" s="21"/>
      <c r="C1090" s="21"/>
      <c r="D1090" s="213"/>
      <c r="E1090" s="214"/>
      <c r="F1090" s="215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110"/>
      <c r="X1090" s="110"/>
      <c r="Y1090" s="110"/>
      <c r="Z1090" s="110"/>
    </row>
    <row r="1091">
      <c r="A1091" s="212"/>
      <c r="B1091" s="21"/>
      <c r="C1091" s="21"/>
      <c r="D1091" s="213"/>
      <c r="E1091" s="214"/>
      <c r="F1091" s="215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110"/>
      <c r="X1091" s="110"/>
      <c r="Y1091" s="110"/>
      <c r="Z1091" s="110"/>
    </row>
    <row r="1092">
      <c r="A1092" s="212"/>
      <c r="B1092" s="21"/>
      <c r="C1092" s="21"/>
      <c r="D1092" s="213"/>
      <c r="E1092" s="214"/>
      <c r="F1092" s="215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110"/>
      <c r="X1092" s="110"/>
      <c r="Y1092" s="110"/>
      <c r="Z1092" s="110"/>
    </row>
    <row r="1093">
      <c r="A1093" s="212"/>
      <c r="B1093" s="21"/>
      <c r="C1093" s="21"/>
      <c r="D1093" s="213"/>
      <c r="E1093" s="214"/>
      <c r="F1093" s="215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110"/>
      <c r="X1093" s="110"/>
      <c r="Y1093" s="110"/>
      <c r="Z1093" s="110"/>
    </row>
    <row r="1094">
      <c r="A1094" s="212"/>
      <c r="B1094" s="21"/>
      <c r="C1094" s="21"/>
      <c r="D1094" s="213"/>
      <c r="E1094" s="214"/>
      <c r="F1094" s="215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110"/>
      <c r="X1094" s="110"/>
      <c r="Y1094" s="110"/>
      <c r="Z1094" s="110"/>
    </row>
    <row r="1095">
      <c r="A1095" s="212"/>
      <c r="B1095" s="21"/>
      <c r="C1095" s="21"/>
      <c r="D1095" s="213"/>
      <c r="E1095" s="214"/>
      <c r="F1095" s="215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110"/>
      <c r="X1095" s="110"/>
      <c r="Y1095" s="110"/>
      <c r="Z1095" s="110"/>
    </row>
    <row r="1096">
      <c r="A1096" s="212"/>
      <c r="B1096" s="21"/>
      <c r="C1096" s="21"/>
      <c r="D1096" s="213"/>
      <c r="E1096" s="214"/>
      <c r="F1096" s="215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110"/>
      <c r="X1096" s="110"/>
      <c r="Y1096" s="110"/>
      <c r="Z1096" s="110"/>
    </row>
    <row r="1097">
      <c r="A1097" s="212"/>
      <c r="B1097" s="21"/>
      <c r="C1097" s="21"/>
      <c r="D1097" s="213"/>
      <c r="E1097" s="214"/>
      <c r="F1097" s="215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110"/>
      <c r="X1097" s="110"/>
      <c r="Y1097" s="110"/>
      <c r="Z1097" s="110"/>
    </row>
    <row r="1098" ht="15.75" customHeight="1">
      <c r="A1098" s="212"/>
      <c r="B1098" s="21"/>
      <c r="C1098" s="21"/>
      <c r="D1098" s="213"/>
      <c r="E1098" s="214"/>
      <c r="F1098" s="215"/>
      <c r="G1098" s="21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110"/>
    </row>
    <row r="1099">
      <c r="A1099" s="212"/>
      <c r="B1099" s="21"/>
      <c r="C1099" s="21"/>
      <c r="D1099" s="213"/>
      <c r="E1099" s="214"/>
      <c r="F1099" s="215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110"/>
      <c r="X1099" s="110"/>
      <c r="Y1099" s="110"/>
      <c r="Z1099" s="110"/>
    </row>
    <row r="1100">
      <c r="A1100" s="212"/>
      <c r="B1100" s="21"/>
      <c r="C1100" s="21"/>
      <c r="D1100" s="213"/>
      <c r="E1100" s="214"/>
      <c r="F1100" s="215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110"/>
      <c r="X1100" s="110"/>
      <c r="Y1100" s="110"/>
      <c r="Z1100" s="110"/>
    </row>
    <row r="1101">
      <c r="A1101" s="212"/>
      <c r="B1101" s="21"/>
      <c r="C1101" s="21"/>
      <c r="D1101" s="213"/>
      <c r="E1101" s="214"/>
      <c r="F1101" s="215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110"/>
      <c r="X1101" s="110"/>
      <c r="Y1101" s="110"/>
      <c r="Z1101" s="110"/>
    </row>
    <row r="1102">
      <c r="A1102" s="212"/>
      <c r="B1102" s="21"/>
      <c r="C1102" s="21"/>
      <c r="D1102" s="213"/>
      <c r="E1102" s="214"/>
      <c r="F1102" s="215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110"/>
      <c r="X1102" s="110"/>
      <c r="Y1102" s="110"/>
      <c r="Z1102" s="110"/>
    </row>
    <row r="1103">
      <c r="A1103" s="212"/>
      <c r="B1103" s="21"/>
      <c r="C1103" s="21"/>
      <c r="D1103" s="213"/>
      <c r="E1103" s="214"/>
      <c r="F1103" s="215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110"/>
      <c r="X1103" s="110"/>
      <c r="Y1103" s="110"/>
      <c r="Z1103" s="110"/>
    </row>
    <row r="1104">
      <c r="A1104" s="212"/>
      <c r="B1104" s="21"/>
      <c r="C1104" s="21"/>
      <c r="D1104" s="213"/>
      <c r="E1104" s="214"/>
      <c r="F1104" s="215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110"/>
      <c r="X1104" s="110"/>
      <c r="Y1104" s="110"/>
      <c r="Z1104" s="110"/>
    </row>
    <row r="1105">
      <c r="A1105" s="212"/>
      <c r="B1105" s="21"/>
      <c r="C1105" s="21"/>
      <c r="D1105" s="213"/>
      <c r="E1105" s="214"/>
      <c r="F1105" s="215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110"/>
      <c r="X1105" s="110"/>
      <c r="Y1105" s="110"/>
      <c r="Z1105" s="110"/>
    </row>
    <row r="1106">
      <c r="A1106" s="212"/>
      <c r="B1106" s="21"/>
      <c r="C1106" s="21"/>
      <c r="D1106" s="213"/>
      <c r="E1106" s="214"/>
      <c r="F1106" s="215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110"/>
      <c r="X1106" s="110"/>
      <c r="Y1106" s="110"/>
      <c r="Z1106" s="110"/>
    </row>
    <row r="1107">
      <c r="A1107" s="212"/>
      <c r="B1107" s="21"/>
      <c r="C1107" s="21"/>
      <c r="D1107" s="213"/>
      <c r="E1107" s="214"/>
      <c r="F1107" s="215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110"/>
      <c r="X1107" s="110"/>
      <c r="Y1107" s="110"/>
      <c r="Z1107" s="110"/>
    </row>
    <row r="1108">
      <c r="A1108" s="212"/>
      <c r="B1108" s="21"/>
      <c r="C1108" s="21"/>
      <c r="D1108" s="213"/>
      <c r="E1108" s="214"/>
      <c r="F1108" s="215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110"/>
      <c r="X1108" s="110"/>
      <c r="Y1108" s="110"/>
      <c r="Z1108" s="110"/>
    </row>
    <row r="1109">
      <c r="A1109" s="212"/>
      <c r="B1109" s="21"/>
      <c r="C1109" s="21"/>
      <c r="D1109" s="213"/>
      <c r="E1109" s="214"/>
      <c r="F1109" s="215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110"/>
      <c r="X1109" s="110"/>
      <c r="Y1109" s="110"/>
      <c r="Z1109" s="110"/>
    </row>
    <row r="1110">
      <c r="A1110" s="212"/>
      <c r="B1110" s="21"/>
      <c r="C1110" s="21"/>
      <c r="D1110" s="213"/>
      <c r="E1110" s="214"/>
      <c r="F1110" s="215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110"/>
      <c r="X1110" s="110"/>
      <c r="Y1110" s="110"/>
      <c r="Z1110" s="110"/>
    </row>
    <row r="1111">
      <c r="A1111" s="212"/>
      <c r="B1111" s="21"/>
      <c r="C1111" s="21"/>
      <c r="D1111" s="213"/>
      <c r="E1111" s="214"/>
      <c r="F1111" s="215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110"/>
      <c r="X1111" s="110"/>
      <c r="Y1111" s="110"/>
      <c r="Z1111" s="110"/>
    </row>
    <row r="1112">
      <c r="A1112" s="212"/>
      <c r="B1112" s="21"/>
      <c r="C1112" s="21"/>
      <c r="D1112" s="213"/>
      <c r="E1112" s="214"/>
      <c r="F1112" s="215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110"/>
      <c r="X1112" s="110"/>
      <c r="Y1112" s="110"/>
      <c r="Z1112" s="110"/>
    </row>
    <row r="1113">
      <c r="A1113" s="212"/>
      <c r="B1113" s="21"/>
      <c r="C1113" s="21"/>
      <c r="D1113" s="213"/>
      <c r="E1113" s="214"/>
      <c r="F1113" s="215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110"/>
      <c r="X1113" s="110"/>
      <c r="Y1113" s="110"/>
      <c r="Z1113" s="110"/>
    </row>
    <row r="1114">
      <c r="A1114" s="212"/>
      <c r="B1114" s="21"/>
      <c r="C1114" s="21"/>
      <c r="D1114" s="213"/>
      <c r="E1114" s="214"/>
      <c r="F1114" s="215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110"/>
      <c r="X1114" s="110"/>
      <c r="Y1114" s="110"/>
      <c r="Z1114" s="110"/>
    </row>
    <row r="1115">
      <c r="A1115" s="212"/>
      <c r="B1115" s="21"/>
      <c r="C1115" s="21"/>
      <c r="D1115" s="213"/>
      <c r="E1115" s="214"/>
      <c r="F1115" s="215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110"/>
      <c r="X1115" s="110"/>
      <c r="Y1115" s="110"/>
      <c r="Z1115" s="110"/>
    </row>
    <row r="1116">
      <c r="A1116" s="212"/>
      <c r="B1116" s="21"/>
      <c r="C1116" s="21"/>
      <c r="D1116" s="213"/>
      <c r="E1116" s="214"/>
      <c r="F1116" s="215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110"/>
      <c r="X1116" s="110"/>
      <c r="Y1116" s="110"/>
      <c r="Z1116" s="110"/>
    </row>
    <row r="1117">
      <c r="A1117" s="212"/>
      <c r="B1117" s="21"/>
      <c r="C1117" s="21"/>
      <c r="D1117" s="213"/>
      <c r="E1117" s="214"/>
      <c r="F1117" s="215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110"/>
      <c r="X1117" s="110"/>
      <c r="Y1117" s="110"/>
      <c r="Z1117" s="110"/>
    </row>
    <row r="1118">
      <c r="A1118" s="212"/>
      <c r="B1118" s="21"/>
      <c r="C1118" s="21"/>
      <c r="D1118" s="213"/>
      <c r="E1118" s="214"/>
      <c r="F1118" s="215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110"/>
      <c r="X1118" s="110"/>
      <c r="Y1118" s="110"/>
      <c r="Z1118" s="110"/>
    </row>
    <row r="1119">
      <c r="A1119" s="212"/>
      <c r="B1119" s="21"/>
      <c r="C1119" s="21"/>
      <c r="D1119" s="213"/>
      <c r="E1119" s="214"/>
      <c r="F1119" s="215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110"/>
      <c r="X1119" s="110"/>
      <c r="Y1119" s="110"/>
      <c r="Z1119" s="110"/>
    </row>
    <row r="1120">
      <c r="A1120" s="212"/>
      <c r="B1120" s="21"/>
      <c r="C1120" s="21"/>
      <c r="D1120" s="213"/>
      <c r="E1120" s="214"/>
      <c r="F1120" s="215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110"/>
      <c r="X1120" s="110"/>
      <c r="Y1120" s="110"/>
      <c r="Z1120" s="110"/>
    </row>
    <row r="1121">
      <c r="A1121" s="212"/>
      <c r="B1121" s="21"/>
      <c r="C1121" s="21"/>
      <c r="D1121" s="213"/>
      <c r="E1121" s="214"/>
      <c r="F1121" s="215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110"/>
      <c r="X1121" s="110"/>
      <c r="Y1121" s="110"/>
      <c r="Z1121" s="110"/>
    </row>
    <row r="1122">
      <c r="A1122" s="212"/>
      <c r="B1122" s="21"/>
      <c r="C1122" s="21"/>
      <c r="D1122" s="213"/>
      <c r="E1122" s="214"/>
      <c r="F1122" s="215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110"/>
      <c r="X1122" s="110"/>
      <c r="Y1122" s="110"/>
      <c r="Z1122" s="110"/>
    </row>
    <row r="1123">
      <c r="A1123" s="212"/>
      <c r="B1123" s="21"/>
      <c r="C1123" s="21"/>
      <c r="D1123" s="213"/>
      <c r="E1123" s="214"/>
      <c r="F1123" s="215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110"/>
      <c r="X1123" s="110"/>
      <c r="Y1123" s="110"/>
      <c r="Z1123" s="110"/>
    </row>
    <row r="1124">
      <c r="A1124" s="212"/>
      <c r="B1124" s="21"/>
      <c r="C1124" s="21"/>
      <c r="D1124" s="213"/>
      <c r="E1124" s="214"/>
      <c r="F1124" s="215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110"/>
      <c r="X1124" s="110"/>
      <c r="Y1124" s="110"/>
      <c r="Z1124" s="110"/>
    </row>
    <row r="1125">
      <c r="A1125" s="212"/>
      <c r="B1125" s="21"/>
      <c r="C1125" s="21"/>
      <c r="D1125" s="213"/>
      <c r="E1125" s="214"/>
      <c r="F1125" s="215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110"/>
      <c r="X1125" s="110"/>
      <c r="Y1125" s="110"/>
      <c r="Z1125" s="110"/>
    </row>
    <row r="1126">
      <c r="A1126" s="212"/>
      <c r="B1126" s="21"/>
      <c r="C1126" s="21"/>
      <c r="D1126" s="213"/>
      <c r="E1126" s="214"/>
      <c r="F1126" s="215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110"/>
      <c r="X1126" s="110"/>
      <c r="Y1126" s="110"/>
      <c r="Z1126" s="110"/>
    </row>
    <row r="1127">
      <c r="A1127" s="212"/>
      <c r="B1127" s="21"/>
      <c r="C1127" s="21"/>
      <c r="D1127" s="213"/>
      <c r="E1127" s="214"/>
      <c r="F1127" s="215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110"/>
      <c r="X1127" s="110"/>
      <c r="Y1127" s="110"/>
      <c r="Z1127" s="110"/>
    </row>
    <row r="1128">
      <c r="A1128" s="212"/>
      <c r="B1128" s="21"/>
      <c r="C1128" s="21"/>
      <c r="D1128" s="213"/>
      <c r="E1128" s="214"/>
      <c r="F1128" s="215"/>
      <c r="G1128" s="124"/>
      <c r="H1128" s="124"/>
      <c r="I1128" s="21"/>
      <c r="J1128" s="24"/>
      <c r="K1128" s="21"/>
      <c r="L1128" s="21"/>
      <c r="M1128" s="24"/>
      <c r="N1128" s="21"/>
      <c r="O1128" s="21"/>
      <c r="P1128" s="124"/>
      <c r="Q1128" s="124"/>
      <c r="R1128" s="124"/>
      <c r="S1128" s="124"/>
      <c r="T1128" s="124"/>
      <c r="U1128" s="124"/>
      <c r="V1128" s="124"/>
      <c r="W1128" s="221"/>
      <c r="X1128" s="221"/>
      <c r="Y1128" s="221"/>
      <c r="Z1128" s="221"/>
      <c r="AA1128" s="221"/>
      <c r="AB1128" s="221"/>
      <c r="AC1128" s="221"/>
      <c r="AD1128" s="221"/>
      <c r="AE1128" s="221"/>
      <c r="AF1128" s="221"/>
      <c r="AG1128" s="221"/>
      <c r="AH1128" s="221"/>
      <c r="AI1128" s="221"/>
      <c r="AJ1128" s="221"/>
      <c r="AK1128" s="221"/>
      <c r="AL1128" s="221"/>
      <c r="AM1128" s="221"/>
      <c r="AN1128" s="221"/>
      <c r="AO1128" s="221"/>
      <c r="AP1128" s="221"/>
      <c r="AQ1128" s="221"/>
      <c r="AR1128" s="221"/>
      <c r="AS1128" s="221"/>
      <c r="AT1128" s="221"/>
      <c r="AU1128" s="221"/>
      <c r="AV1128" s="221"/>
      <c r="AW1128" s="221"/>
      <c r="AX1128" s="221"/>
      <c r="AY1128" s="221"/>
      <c r="AZ1128" s="221"/>
      <c r="BA1128" s="221"/>
      <c r="BB1128" s="221"/>
      <c r="BC1128" s="221"/>
      <c r="BD1128" s="221"/>
      <c r="BE1128" s="221"/>
      <c r="BF1128" s="221"/>
      <c r="BG1128" s="221"/>
      <c r="BH1128" s="221"/>
      <c r="BI1128" s="221"/>
      <c r="BJ1128" s="221"/>
      <c r="BK1128" s="221"/>
      <c r="BL1128" s="221"/>
      <c r="BM1128" s="221"/>
      <c r="BN1128" s="221"/>
      <c r="BO1128" s="221"/>
      <c r="BP1128" s="221"/>
      <c r="BQ1128" s="221"/>
      <c r="BR1128" s="221"/>
      <c r="BS1128" s="221"/>
      <c r="BT1128" s="221"/>
      <c r="BU1128" s="221"/>
      <c r="BV1128" s="221"/>
      <c r="BW1128" s="221"/>
      <c r="BX1128" s="221"/>
      <c r="BY1128" s="221"/>
      <c r="BZ1128" s="221"/>
      <c r="CA1128" s="221"/>
      <c r="CB1128" s="221"/>
      <c r="CC1128" s="221"/>
      <c r="CD1128" s="221"/>
      <c r="CE1128" s="221"/>
      <c r="CF1128" s="221"/>
      <c r="CG1128" s="221"/>
      <c r="CH1128" s="221"/>
      <c r="CI1128" s="221"/>
      <c r="CJ1128" s="221"/>
      <c r="CK1128" s="221"/>
      <c r="CL1128" s="221"/>
      <c r="CM1128" s="221"/>
      <c r="CN1128" s="221"/>
      <c r="CO1128" s="221"/>
      <c r="CP1128" s="221"/>
      <c r="CQ1128" s="221"/>
      <c r="CR1128" s="221"/>
      <c r="CS1128" s="221"/>
      <c r="CT1128" s="221"/>
      <c r="CU1128" s="221"/>
      <c r="CV1128" s="221"/>
      <c r="CW1128" s="221"/>
      <c r="CX1128" s="221"/>
      <c r="CY1128" s="221"/>
      <c r="CZ1128" s="221"/>
      <c r="DA1128" s="221"/>
      <c r="DB1128" s="221"/>
      <c r="DC1128" s="221"/>
      <c r="DD1128" s="221"/>
      <c r="DE1128" s="221"/>
      <c r="DF1128" s="221"/>
      <c r="DG1128" s="221"/>
      <c r="DH1128" s="221"/>
      <c r="DI1128" s="221"/>
      <c r="DJ1128" s="221"/>
      <c r="DK1128" s="221"/>
      <c r="DL1128" s="221"/>
      <c r="DM1128" s="221"/>
      <c r="DN1128" s="221"/>
      <c r="DO1128" s="221"/>
      <c r="DP1128" s="221"/>
      <c r="DQ1128" s="221"/>
      <c r="DR1128" s="221"/>
      <c r="DS1128" s="221"/>
      <c r="DT1128" s="221"/>
      <c r="DU1128" s="221"/>
      <c r="DV1128" s="221"/>
      <c r="DW1128" s="221"/>
      <c r="DX1128" s="221"/>
      <c r="DY1128" s="221"/>
      <c r="DZ1128" s="221"/>
      <c r="EA1128" s="221"/>
      <c r="EB1128" s="221"/>
      <c r="EC1128" s="221"/>
      <c r="ED1128" s="221"/>
      <c r="EE1128" s="221"/>
      <c r="EF1128" s="221"/>
      <c r="EG1128" s="221"/>
      <c r="EH1128" s="221"/>
      <c r="EI1128" s="221"/>
      <c r="EJ1128" s="221"/>
      <c r="EK1128" s="221"/>
      <c r="EL1128" s="221"/>
      <c r="EM1128" s="221"/>
      <c r="EN1128" s="221"/>
      <c r="EO1128" s="221"/>
      <c r="EP1128" s="221"/>
      <c r="EQ1128" s="221"/>
      <c r="ER1128" s="221"/>
      <c r="ES1128" s="221"/>
      <c r="ET1128" s="221"/>
      <c r="EU1128" s="221"/>
      <c r="EV1128" s="221"/>
      <c r="EW1128" s="221"/>
      <c r="EX1128" s="221"/>
      <c r="EY1128" s="221"/>
      <c r="EZ1128" s="221"/>
      <c r="FA1128" s="221"/>
      <c r="FB1128" s="221"/>
      <c r="FC1128" s="221"/>
      <c r="FD1128" s="221"/>
      <c r="FE1128" s="221"/>
      <c r="FF1128" s="221"/>
      <c r="FG1128" s="221"/>
      <c r="FH1128" s="221"/>
      <c r="FI1128" s="221"/>
      <c r="FJ1128" s="221"/>
      <c r="FK1128" s="221"/>
      <c r="FL1128" s="221"/>
      <c r="FM1128" s="221"/>
      <c r="FN1128" s="221"/>
      <c r="FO1128" s="221"/>
      <c r="FP1128" s="221"/>
      <c r="FQ1128" s="221"/>
      <c r="FR1128" s="221"/>
      <c r="FS1128" s="221"/>
      <c r="FT1128" s="221"/>
      <c r="FU1128" s="221"/>
      <c r="FV1128" s="221"/>
      <c r="FW1128" s="221"/>
      <c r="FX1128" s="221"/>
      <c r="FY1128" s="221"/>
      <c r="FZ1128" s="221"/>
      <c r="GA1128" s="221"/>
      <c r="GB1128" s="221"/>
      <c r="GC1128" s="221"/>
      <c r="GD1128" s="221"/>
      <c r="GE1128" s="221"/>
      <c r="GF1128" s="221"/>
      <c r="GG1128" s="221"/>
      <c r="GH1128" s="221"/>
      <c r="GI1128" s="221"/>
      <c r="GJ1128" s="221"/>
      <c r="GK1128" s="221"/>
      <c r="GL1128" s="221"/>
      <c r="GM1128" s="221"/>
      <c r="GN1128" s="221"/>
    </row>
    <row r="1129">
      <c r="A1129" s="212"/>
      <c r="B1129" s="21"/>
      <c r="C1129" s="21"/>
      <c r="D1129" s="213"/>
      <c r="E1129" s="214"/>
      <c r="F1129" s="215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0"/>
      <c r="V1129" s="110"/>
      <c r="W1129" s="110"/>
      <c r="X1129" s="110"/>
      <c r="Y1129" s="110"/>
      <c r="Z1129" s="110"/>
    </row>
    <row r="1130">
      <c r="A1130" s="212"/>
      <c r="B1130" s="21"/>
      <c r="C1130" s="21"/>
      <c r="D1130" s="213"/>
      <c r="E1130" s="214"/>
      <c r="F1130" s="215"/>
      <c r="G1130" s="110"/>
      <c r="H1130" s="110"/>
      <c r="I1130" s="110"/>
      <c r="J1130" s="110"/>
      <c r="K1130" s="110"/>
      <c r="L1130" s="110"/>
      <c r="M1130" s="110"/>
      <c r="N1130" s="110"/>
      <c r="O1130" s="110"/>
      <c r="P1130" s="110"/>
      <c r="Q1130" s="110"/>
      <c r="R1130" s="110"/>
      <c r="S1130" s="110"/>
      <c r="T1130" s="110"/>
      <c r="U1130" s="110"/>
      <c r="V1130" s="110"/>
      <c r="W1130" s="110"/>
      <c r="X1130" s="110"/>
      <c r="Y1130" s="110"/>
      <c r="Z1130" s="110"/>
    </row>
    <row r="1131">
      <c r="A1131" s="212"/>
      <c r="B1131" s="21"/>
      <c r="C1131" s="21"/>
      <c r="D1131" s="213"/>
      <c r="E1131" s="214"/>
      <c r="F1131" s="215"/>
      <c r="G1131" s="21"/>
      <c r="H1131" s="110"/>
      <c r="I1131" s="110"/>
      <c r="J1131" s="110"/>
      <c r="K1131" s="110"/>
      <c r="L1131" s="110"/>
      <c r="M1131" s="110"/>
      <c r="N1131" s="110"/>
      <c r="O1131" s="110"/>
      <c r="P1131" s="110"/>
      <c r="Q1131" s="110"/>
      <c r="R1131" s="110"/>
      <c r="S1131" s="110"/>
      <c r="T1131" s="110"/>
      <c r="U1131" s="110"/>
      <c r="V1131" s="110"/>
      <c r="W1131" s="110"/>
      <c r="X1131" s="110"/>
      <c r="Y1131" s="110"/>
      <c r="Z1131" s="110"/>
    </row>
    <row r="1132">
      <c r="A1132" s="212"/>
      <c r="B1132" s="21"/>
      <c r="C1132" s="21"/>
      <c r="D1132" s="213"/>
      <c r="E1132" s="214"/>
      <c r="F1132" s="215"/>
      <c r="G1132" s="21"/>
      <c r="H1132" s="110"/>
      <c r="I1132" s="110"/>
      <c r="J1132" s="110"/>
      <c r="K1132" s="110"/>
      <c r="L1132" s="110"/>
      <c r="M1132" s="110"/>
      <c r="N1132" s="110"/>
      <c r="O1132" s="110"/>
      <c r="P1132" s="110"/>
      <c r="Q1132" s="110"/>
      <c r="R1132" s="110"/>
      <c r="S1132" s="110"/>
      <c r="T1132" s="110"/>
      <c r="U1132" s="110"/>
      <c r="V1132" s="110"/>
      <c r="W1132" s="110"/>
      <c r="X1132" s="110"/>
      <c r="Y1132" s="110"/>
      <c r="Z1132" s="110"/>
    </row>
    <row r="1133">
      <c r="A1133" s="212"/>
      <c r="B1133" s="21"/>
      <c r="C1133" s="21"/>
      <c r="D1133" s="213"/>
      <c r="E1133" s="214"/>
      <c r="F1133" s="215"/>
      <c r="G1133" s="21"/>
      <c r="H1133" s="110"/>
      <c r="I1133" s="110"/>
      <c r="J1133" s="110"/>
      <c r="K1133" s="110"/>
      <c r="L1133" s="110"/>
      <c r="M1133" s="110"/>
      <c r="N1133" s="110"/>
      <c r="O1133" s="110"/>
      <c r="P1133" s="110"/>
      <c r="Q1133" s="110"/>
      <c r="R1133" s="110"/>
      <c r="S1133" s="110"/>
      <c r="T1133" s="110"/>
      <c r="U1133" s="110"/>
      <c r="V1133" s="110"/>
      <c r="W1133" s="110"/>
      <c r="X1133" s="110"/>
      <c r="Y1133" s="110"/>
      <c r="Z1133" s="110"/>
    </row>
    <row r="1134">
      <c r="A1134" s="212"/>
      <c r="B1134" s="21"/>
      <c r="C1134" s="21"/>
      <c r="D1134" s="213"/>
      <c r="E1134" s="214"/>
      <c r="F1134" s="215"/>
      <c r="G1134" s="21"/>
      <c r="H1134" s="110"/>
      <c r="I1134" s="110"/>
      <c r="J1134" s="110"/>
      <c r="K1134" s="110"/>
      <c r="L1134" s="110"/>
      <c r="M1134" s="110"/>
      <c r="N1134" s="110"/>
      <c r="O1134" s="110"/>
      <c r="P1134" s="110"/>
      <c r="Q1134" s="110"/>
      <c r="R1134" s="110"/>
      <c r="S1134" s="110"/>
      <c r="T1134" s="110"/>
      <c r="U1134" s="110"/>
      <c r="V1134" s="110"/>
      <c r="W1134" s="110"/>
      <c r="X1134" s="110"/>
      <c r="Y1134" s="110"/>
      <c r="Z1134" s="110"/>
    </row>
    <row r="1135">
      <c r="A1135" s="212"/>
      <c r="B1135" s="21"/>
      <c r="C1135" s="21"/>
      <c r="D1135" s="213"/>
      <c r="E1135" s="214"/>
      <c r="F1135" s="215"/>
      <c r="G1135" s="21"/>
      <c r="H1135" s="110"/>
      <c r="I1135" s="110"/>
      <c r="J1135" s="110"/>
      <c r="K1135" s="110"/>
      <c r="L1135" s="110"/>
      <c r="M1135" s="110"/>
      <c r="N1135" s="110"/>
      <c r="O1135" s="110"/>
      <c r="P1135" s="110"/>
      <c r="Q1135" s="110"/>
      <c r="R1135" s="110"/>
      <c r="S1135" s="110"/>
      <c r="T1135" s="110"/>
      <c r="U1135" s="110"/>
      <c r="V1135" s="110"/>
      <c r="W1135" s="110"/>
      <c r="X1135" s="110"/>
      <c r="Y1135" s="110"/>
      <c r="Z1135" s="110"/>
    </row>
    <row r="1136">
      <c r="A1136" s="212"/>
      <c r="B1136" s="21"/>
      <c r="C1136" s="21"/>
      <c r="D1136" s="213"/>
      <c r="E1136" s="214"/>
      <c r="F1136" s="215"/>
      <c r="G1136" s="21"/>
      <c r="H1136" s="110"/>
      <c r="I1136" s="110"/>
      <c r="J1136" s="110"/>
      <c r="K1136" s="110"/>
      <c r="L1136" s="110"/>
      <c r="M1136" s="110"/>
      <c r="N1136" s="110"/>
      <c r="O1136" s="110"/>
      <c r="P1136" s="110"/>
      <c r="Q1136" s="110"/>
      <c r="R1136" s="110"/>
      <c r="S1136" s="110"/>
      <c r="T1136" s="110"/>
      <c r="U1136" s="110"/>
      <c r="V1136" s="110"/>
      <c r="W1136" s="110"/>
      <c r="X1136" s="110"/>
      <c r="Y1136" s="110"/>
      <c r="Z1136" s="110"/>
    </row>
    <row r="1137">
      <c r="A1137" s="212"/>
      <c r="B1137" s="21"/>
      <c r="C1137" s="21"/>
      <c r="D1137" s="213"/>
      <c r="E1137" s="214"/>
      <c r="F1137" s="215"/>
      <c r="G1137" s="21"/>
      <c r="H1137" s="110"/>
      <c r="I1137" s="110"/>
      <c r="J1137" s="110"/>
      <c r="K1137" s="110"/>
      <c r="L1137" s="110"/>
      <c r="M1137" s="110"/>
      <c r="N1137" s="110"/>
      <c r="O1137" s="110"/>
      <c r="P1137" s="110"/>
      <c r="Q1137" s="110"/>
      <c r="R1137" s="110"/>
      <c r="S1137" s="110"/>
      <c r="T1137" s="110"/>
      <c r="U1137" s="110"/>
      <c r="V1137" s="110"/>
      <c r="W1137" s="110"/>
      <c r="X1137" s="110"/>
      <c r="Y1137" s="110"/>
      <c r="Z1137" s="110"/>
    </row>
    <row r="1138">
      <c r="A1138" s="212"/>
      <c r="B1138" s="21"/>
      <c r="C1138" s="21"/>
      <c r="D1138" s="213"/>
      <c r="E1138" s="214"/>
      <c r="F1138" s="215"/>
      <c r="G1138" s="21"/>
      <c r="H1138" s="110"/>
      <c r="I1138" s="110"/>
      <c r="J1138" s="110"/>
      <c r="K1138" s="110"/>
      <c r="L1138" s="110"/>
      <c r="M1138" s="110"/>
      <c r="N1138" s="110"/>
      <c r="O1138" s="110"/>
      <c r="P1138" s="110"/>
      <c r="Q1138" s="110"/>
      <c r="R1138" s="110"/>
      <c r="S1138" s="110"/>
      <c r="T1138" s="110"/>
      <c r="U1138" s="110"/>
      <c r="V1138" s="110"/>
      <c r="W1138" s="110"/>
      <c r="X1138" s="110"/>
      <c r="Y1138" s="110"/>
      <c r="Z1138" s="110"/>
    </row>
    <row r="1139">
      <c r="A1139" s="212"/>
      <c r="B1139" s="21"/>
      <c r="C1139" s="21"/>
      <c r="D1139" s="213"/>
      <c r="E1139" s="214"/>
      <c r="F1139" s="215"/>
      <c r="G1139" s="21"/>
      <c r="H1139" s="110"/>
      <c r="I1139" s="110"/>
      <c r="J1139" s="110"/>
      <c r="K1139" s="110"/>
      <c r="L1139" s="110"/>
      <c r="M1139" s="110"/>
      <c r="N1139" s="110"/>
      <c r="O1139" s="110"/>
      <c r="P1139" s="110"/>
      <c r="Q1139" s="110"/>
      <c r="R1139" s="110"/>
      <c r="S1139" s="110"/>
      <c r="T1139" s="110"/>
      <c r="U1139" s="110"/>
      <c r="V1139" s="110"/>
      <c r="W1139" s="110"/>
      <c r="X1139" s="110"/>
      <c r="Y1139" s="110"/>
      <c r="Z1139" s="110"/>
    </row>
    <row r="1140">
      <c r="A1140" s="212"/>
      <c r="B1140" s="21"/>
      <c r="C1140" s="21"/>
      <c r="D1140" s="213"/>
      <c r="E1140" s="214"/>
      <c r="F1140" s="215"/>
      <c r="G1140" s="21"/>
      <c r="H1140" s="110"/>
      <c r="I1140" s="110"/>
      <c r="J1140" s="110"/>
      <c r="K1140" s="110"/>
      <c r="L1140" s="110"/>
      <c r="M1140" s="110"/>
      <c r="N1140" s="110"/>
      <c r="O1140" s="110"/>
      <c r="P1140" s="110"/>
      <c r="Q1140" s="110"/>
      <c r="R1140" s="110"/>
      <c r="S1140" s="110"/>
      <c r="T1140" s="110"/>
      <c r="U1140" s="110"/>
      <c r="V1140" s="110"/>
      <c r="W1140" s="110"/>
      <c r="X1140" s="110"/>
      <c r="Y1140" s="110"/>
      <c r="Z1140" s="110"/>
    </row>
    <row r="1141">
      <c r="A1141" s="212"/>
      <c r="B1141" s="21"/>
      <c r="C1141" s="21"/>
      <c r="D1141" s="213"/>
      <c r="E1141" s="214"/>
      <c r="F1141" s="215"/>
      <c r="G1141" s="21"/>
      <c r="H1141" s="110"/>
      <c r="I1141" s="110"/>
      <c r="J1141" s="110"/>
      <c r="K1141" s="110"/>
      <c r="L1141" s="110"/>
      <c r="M1141" s="110"/>
      <c r="N1141" s="110"/>
      <c r="O1141" s="110"/>
      <c r="P1141" s="110"/>
      <c r="Q1141" s="110"/>
      <c r="R1141" s="110"/>
      <c r="S1141" s="110"/>
      <c r="T1141" s="110"/>
      <c r="U1141" s="110"/>
      <c r="V1141" s="110"/>
      <c r="W1141" s="110"/>
      <c r="X1141" s="110"/>
      <c r="Y1141" s="110"/>
      <c r="Z1141" s="110"/>
    </row>
    <row r="1142">
      <c r="A1142" s="212"/>
      <c r="B1142" s="21"/>
      <c r="C1142" s="21"/>
      <c r="D1142" s="213"/>
      <c r="E1142" s="214"/>
      <c r="F1142" s="215"/>
      <c r="G1142" s="21"/>
      <c r="H1142" s="110"/>
      <c r="I1142" s="110"/>
      <c r="J1142" s="110"/>
      <c r="K1142" s="110"/>
      <c r="L1142" s="110"/>
      <c r="M1142" s="110"/>
      <c r="N1142" s="110"/>
      <c r="O1142" s="110"/>
      <c r="P1142" s="110"/>
      <c r="Q1142" s="110"/>
      <c r="R1142" s="110"/>
      <c r="S1142" s="110"/>
      <c r="T1142" s="110"/>
      <c r="U1142" s="110"/>
      <c r="V1142" s="110"/>
      <c r="W1142" s="110"/>
      <c r="X1142" s="110"/>
      <c r="Y1142" s="110"/>
      <c r="Z1142" s="110"/>
    </row>
    <row r="1143">
      <c r="A1143" s="212"/>
      <c r="B1143" s="21"/>
      <c r="C1143" s="21"/>
      <c r="D1143" s="213"/>
      <c r="E1143" s="214"/>
      <c r="F1143" s="215"/>
      <c r="G1143" s="21"/>
      <c r="H1143" s="110"/>
      <c r="I1143" s="110"/>
      <c r="J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110"/>
    </row>
    <row r="1144">
      <c r="A1144" s="212"/>
      <c r="B1144" s="21"/>
      <c r="C1144" s="21"/>
      <c r="D1144" s="213"/>
      <c r="E1144" s="214"/>
      <c r="F1144" s="215"/>
      <c r="G1144" s="21"/>
      <c r="H1144" s="110"/>
      <c r="I1144" s="110"/>
      <c r="J1144" s="110"/>
      <c r="K1144" s="110"/>
      <c r="L1144" s="110"/>
      <c r="M1144" s="110"/>
      <c r="N1144" s="110"/>
      <c r="O1144" s="110"/>
      <c r="P1144" s="110"/>
      <c r="Q1144" s="110"/>
      <c r="R1144" s="110"/>
      <c r="S1144" s="110"/>
      <c r="T1144" s="110"/>
      <c r="U1144" s="110"/>
      <c r="V1144" s="110"/>
      <c r="W1144" s="110"/>
      <c r="X1144" s="110"/>
      <c r="Y1144" s="110"/>
      <c r="Z1144" s="110"/>
    </row>
    <row r="1145">
      <c r="A1145" s="212"/>
      <c r="B1145" s="21"/>
      <c r="C1145" s="21"/>
      <c r="D1145" s="213"/>
      <c r="E1145" s="214"/>
      <c r="F1145" s="215"/>
      <c r="G1145" s="21"/>
      <c r="H1145" s="110"/>
      <c r="I1145" s="110"/>
      <c r="J1145" s="110"/>
      <c r="K1145" s="110"/>
      <c r="L1145" s="110"/>
      <c r="M1145" s="110"/>
      <c r="N1145" s="110"/>
      <c r="O1145" s="110"/>
      <c r="P1145" s="110"/>
      <c r="Q1145" s="110"/>
      <c r="R1145" s="110"/>
      <c r="S1145" s="110"/>
      <c r="T1145" s="110"/>
      <c r="U1145" s="110"/>
      <c r="V1145" s="110"/>
      <c r="W1145" s="110"/>
      <c r="X1145" s="110"/>
      <c r="Y1145" s="110"/>
      <c r="Z1145" s="110"/>
    </row>
    <row r="1146">
      <c r="A1146" s="212"/>
      <c r="B1146" s="21"/>
      <c r="C1146" s="21"/>
      <c r="D1146" s="213"/>
      <c r="E1146" s="214"/>
      <c r="F1146" s="215"/>
      <c r="G1146" s="21"/>
      <c r="H1146" s="110"/>
      <c r="I1146" s="110"/>
      <c r="J1146" s="110"/>
      <c r="K1146" s="110"/>
      <c r="L1146" s="110"/>
      <c r="M1146" s="110"/>
      <c r="N1146" s="110"/>
      <c r="O1146" s="110"/>
      <c r="P1146" s="110"/>
      <c r="Q1146" s="110"/>
      <c r="R1146" s="110"/>
      <c r="S1146" s="110"/>
      <c r="T1146" s="110"/>
      <c r="U1146" s="110"/>
      <c r="V1146" s="110"/>
      <c r="W1146" s="110"/>
      <c r="X1146" s="110"/>
      <c r="Y1146" s="110"/>
      <c r="Z1146" s="110"/>
    </row>
    <row r="1147">
      <c r="A1147" s="212"/>
      <c r="B1147" s="21"/>
      <c r="C1147" s="21"/>
      <c r="D1147" s="213"/>
      <c r="E1147" s="214"/>
      <c r="F1147" s="215"/>
      <c r="G1147" s="21"/>
      <c r="H1147" s="110"/>
      <c r="I1147" s="110"/>
      <c r="J1147" s="110"/>
      <c r="K1147" s="110"/>
      <c r="L1147" s="110"/>
      <c r="M1147" s="110"/>
      <c r="N1147" s="110"/>
      <c r="O1147" s="110"/>
      <c r="P1147" s="110"/>
      <c r="Q1147" s="110"/>
      <c r="R1147" s="110"/>
      <c r="S1147" s="110"/>
      <c r="T1147" s="110"/>
      <c r="U1147" s="110"/>
      <c r="V1147" s="110"/>
      <c r="W1147" s="110"/>
      <c r="X1147" s="110"/>
      <c r="Y1147" s="110"/>
      <c r="Z1147" s="110"/>
    </row>
    <row r="1148">
      <c r="A1148" s="212"/>
      <c r="B1148" s="21"/>
      <c r="C1148" s="21"/>
      <c r="D1148" s="213"/>
      <c r="E1148" s="214"/>
      <c r="F1148" s="215"/>
      <c r="G1148" s="21"/>
      <c r="H1148" s="110"/>
      <c r="I1148" s="110"/>
      <c r="J1148" s="110"/>
      <c r="K1148" s="110"/>
      <c r="L1148" s="110"/>
      <c r="M1148" s="110"/>
      <c r="N1148" s="110"/>
      <c r="O1148" s="110"/>
      <c r="P1148" s="110"/>
      <c r="Q1148" s="110"/>
      <c r="R1148" s="110"/>
      <c r="S1148" s="110"/>
      <c r="T1148" s="110"/>
      <c r="U1148" s="110"/>
      <c r="V1148" s="110"/>
      <c r="W1148" s="110"/>
      <c r="X1148" s="110"/>
      <c r="Y1148" s="110"/>
      <c r="Z1148" s="110"/>
    </row>
    <row r="1149">
      <c r="A1149" s="212"/>
      <c r="B1149" s="21"/>
      <c r="C1149" s="21"/>
      <c r="D1149" s="213"/>
      <c r="E1149" s="214"/>
      <c r="F1149" s="215"/>
      <c r="G1149" s="21"/>
      <c r="H1149" s="110"/>
      <c r="I1149" s="110"/>
      <c r="J1149" s="110"/>
      <c r="K1149" s="110"/>
      <c r="L1149" s="110"/>
      <c r="M1149" s="110"/>
      <c r="N1149" s="110"/>
      <c r="O1149" s="110"/>
      <c r="P1149" s="110"/>
      <c r="Q1149" s="110"/>
      <c r="R1149" s="110"/>
      <c r="S1149" s="110"/>
      <c r="T1149" s="110"/>
      <c r="U1149" s="110"/>
      <c r="V1149" s="110"/>
      <c r="W1149" s="110"/>
      <c r="X1149" s="110"/>
      <c r="Y1149" s="110"/>
      <c r="Z1149" s="110"/>
    </row>
    <row r="1150">
      <c r="A1150" s="212"/>
      <c r="B1150" s="21"/>
      <c r="C1150" s="21"/>
      <c r="D1150" s="213"/>
      <c r="E1150" s="214"/>
      <c r="F1150" s="215"/>
      <c r="G1150" s="21"/>
      <c r="H1150" s="110"/>
      <c r="I1150" s="110"/>
      <c r="J1150" s="110"/>
      <c r="K1150" s="110"/>
      <c r="L1150" s="110"/>
      <c r="M1150" s="110"/>
      <c r="N1150" s="110"/>
      <c r="O1150" s="110"/>
      <c r="P1150" s="110"/>
      <c r="Q1150" s="110"/>
      <c r="R1150" s="110"/>
      <c r="S1150" s="110"/>
      <c r="T1150" s="110"/>
      <c r="U1150" s="110"/>
      <c r="V1150" s="110"/>
      <c r="W1150" s="110"/>
      <c r="X1150" s="110"/>
      <c r="Y1150" s="110"/>
      <c r="Z1150" s="110"/>
    </row>
    <row r="1151">
      <c r="A1151" s="212"/>
      <c r="B1151" s="21"/>
      <c r="C1151" s="21"/>
      <c r="D1151" s="213"/>
      <c r="E1151" s="214"/>
      <c r="F1151" s="215"/>
      <c r="G1151" s="21"/>
      <c r="H1151" s="110"/>
      <c r="I1151" s="110"/>
      <c r="J1151" s="110"/>
      <c r="K1151" s="110"/>
      <c r="L1151" s="110"/>
      <c r="M1151" s="110"/>
      <c r="N1151" s="110"/>
      <c r="O1151" s="110"/>
      <c r="P1151" s="110"/>
      <c r="Q1151" s="110"/>
      <c r="R1151" s="110"/>
      <c r="S1151" s="110"/>
      <c r="T1151" s="110"/>
      <c r="U1151" s="110"/>
      <c r="V1151" s="110"/>
      <c r="W1151" s="110"/>
      <c r="X1151" s="110"/>
      <c r="Y1151" s="110"/>
      <c r="Z1151" s="110"/>
    </row>
    <row r="1152">
      <c r="A1152" s="212"/>
      <c r="B1152" s="21"/>
      <c r="C1152" s="21"/>
      <c r="D1152" s="213"/>
      <c r="E1152" s="214"/>
      <c r="F1152" s="215"/>
      <c r="G1152" s="21"/>
      <c r="H1152" s="110"/>
      <c r="I1152" s="110"/>
      <c r="J1152" s="110"/>
      <c r="K1152" s="110"/>
      <c r="L1152" s="110"/>
      <c r="M1152" s="110"/>
      <c r="N1152" s="110"/>
      <c r="O1152" s="110"/>
      <c r="P1152" s="110"/>
      <c r="Q1152" s="110"/>
      <c r="R1152" s="110"/>
      <c r="S1152" s="110"/>
      <c r="T1152" s="110"/>
      <c r="U1152" s="110"/>
      <c r="V1152" s="110"/>
      <c r="W1152" s="110"/>
      <c r="X1152" s="110"/>
      <c r="Y1152" s="110"/>
      <c r="Z1152" s="110"/>
    </row>
    <row r="1153">
      <c r="A1153" s="212"/>
      <c r="B1153" s="21"/>
      <c r="C1153" s="21"/>
      <c r="D1153" s="213"/>
      <c r="E1153" s="214"/>
      <c r="F1153" s="215"/>
      <c r="G1153" s="21"/>
      <c r="H1153" s="110"/>
      <c r="I1153" s="110"/>
      <c r="J1153" s="110"/>
      <c r="K1153" s="110"/>
      <c r="L1153" s="110"/>
      <c r="M1153" s="110"/>
      <c r="N1153" s="110"/>
      <c r="O1153" s="110"/>
      <c r="P1153" s="110"/>
      <c r="Q1153" s="110"/>
      <c r="R1153" s="110"/>
      <c r="S1153" s="110"/>
      <c r="T1153" s="110"/>
      <c r="U1153" s="110"/>
      <c r="V1153" s="110"/>
      <c r="W1153" s="110"/>
      <c r="X1153" s="110"/>
      <c r="Y1153" s="110"/>
      <c r="Z1153" s="110"/>
    </row>
    <row r="1154">
      <c r="A1154" s="212"/>
      <c r="B1154" s="21"/>
      <c r="C1154" s="21"/>
      <c r="D1154" s="213"/>
      <c r="E1154" s="214"/>
      <c r="F1154" s="215"/>
      <c r="G1154" s="21"/>
      <c r="H1154" s="110"/>
      <c r="I1154" s="110"/>
      <c r="J1154" s="110"/>
      <c r="K1154" s="110"/>
      <c r="L1154" s="110"/>
      <c r="M1154" s="110"/>
      <c r="N1154" s="110"/>
      <c r="O1154" s="110"/>
      <c r="P1154" s="110"/>
      <c r="Q1154" s="110"/>
      <c r="R1154" s="110"/>
      <c r="S1154" s="110"/>
      <c r="T1154" s="110"/>
      <c r="U1154" s="110"/>
      <c r="V1154" s="110"/>
      <c r="W1154" s="110"/>
      <c r="X1154" s="110"/>
      <c r="Y1154" s="110"/>
      <c r="Z1154" s="110"/>
    </row>
    <row r="1155">
      <c r="A1155" s="212"/>
      <c r="B1155" s="21"/>
      <c r="C1155" s="21"/>
      <c r="D1155" s="213"/>
      <c r="E1155" s="214"/>
      <c r="F1155" s="215"/>
      <c r="G1155" s="21"/>
      <c r="H1155" s="110"/>
      <c r="I1155" s="110"/>
      <c r="J1155" s="110"/>
      <c r="K1155" s="110"/>
      <c r="L1155" s="110"/>
      <c r="M1155" s="110"/>
      <c r="N1155" s="110"/>
      <c r="O1155" s="110"/>
      <c r="P1155" s="110"/>
      <c r="Q1155" s="110"/>
      <c r="R1155" s="110"/>
      <c r="S1155" s="110"/>
      <c r="T1155" s="110"/>
      <c r="U1155" s="110"/>
      <c r="V1155" s="110"/>
      <c r="W1155" s="110"/>
      <c r="X1155" s="110"/>
      <c r="Y1155" s="110"/>
      <c r="Z1155" s="110"/>
    </row>
    <row r="1156">
      <c r="A1156" s="212"/>
      <c r="B1156" s="21"/>
      <c r="C1156" s="21"/>
      <c r="D1156" s="213"/>
      <c r="E1156" s="214"/>
      <c r="F1156" s="215"/>
      <c r="G1156" s="21"/>
      <c r="H1156" s="110"/>
      <c r="I1156" s="110"/>
      <c r="J1156" s="110"/>
      <c r="K1156" s="110"/>
      <c r="L1156" s="110"/>
      <c r="M1156" s="110"/>
      <c r="N1156" s="110"/>
      <c r="O1156" s="110"/>
      <c r="P1156" s="110"/>
      <c r="Q1156" s="110"/>
      <c r="R1156" s="110"/>
      <c r="S1156" s="110"/>
      <c r="T1156" s="110"/>
      <c r="U1156" s="110"/>
      <c r="V1156" s="110"/>
      <c r="W1156" s="110"/>
      <c r="X1156" s="110"/>
      <c r="Y1156" s="110"/>
      <c r="Z1156" s="110"/>
    </row>
    <row r="1157">
      <c r="A1157" s="212"/>
      <c r="B1157" s="21"/>
      <c r="C1157" s="21"/>
      <c r="D1157" s="213"/>
      <c r="E1157" s="214"/>
      <c r="F1157" s="215"/>
      <c r="G1157" s="21"/>
      <c r="H1157" s="110"/>
      <c r="I1157" s="110"/>
      <c r="J1157" s="110"/>
      <c r="K1157" s="110"/>
      <c r="L1157" s="110"/>
      <c r="M1157" s="110"/>
      <c r="N1157" s="110"/>
      <c r="O1157" s="110"/>
      <c r="P1157" s="110"/>
      <c r="Q1157" s="110"/>
      <c r="R1157" s="110"/>
      <c r="S1157" s="110"/>
      <c r="T1157" s="110"/>
      <c r="U1157" s="110"/>
      <c r="V1157" s="110"/>
      <c r="W1157" s="110"/>
      <c r="X1157" s="110"/>
      <c r="Y1157" s="110"/>
      <c r="Z1157" s="110"/>
    </row>
    <row r="1158">
      <c r="A1158" s="212"/>
      <c r="B1158" s="21"/>
      <c r="C1158" s="21"/>
      <c r="D1158" s="213"/>
      <c r="E1158" s="214"/>
      <c r="F1158" s="215"/>
      <c r="G1158" s="21"/>
      <c r="H1158" s="110"/>
      <c r="I1158" s="110"/>
      <c r="J1158" s="110"/>
      <c r="K1158" s="110"/>
      <c r="L1158" s="110"/>
      <c r="M1158" s="110"/>
      <c r="N1158" s="110"/>
      <c r="O1158" s="110"/>
      <c r="P1158" s="110"/>
      <c r="Q1158" s="110"/>
      <c r="R1158" s="110"/>
      <c r="S1158" s="110"/>
      <c r="T1158" s="110"/>
      <c r="U1158" s="110"/>
      <c r="V1158" s="110"/>
      <c r="W1158" s="110"/>
      <c r="X1158" s="110"/>
      <c r="Y1158" s="110"/>
      <c r="Z1158" s="110"/>
    </row>
    <row r="1159">
      <c r="A1159" s="212"/>
      <c r="B1159" s="21"/>
      <c r="C1159" s="21"/>
      <c r="D1159" s="213"/>
      <c r="E1159" s="214"/>
      <c r="F1159" s="215"/>
      <c r="G1159" s="21"/>
      <c r="H1159" s="110"/>
      <c r="I1159" s="110"/>
      <c r="J1159" s="110"/>
      <c r="K1159" s="110"/>
      <c r="L1159" s="110"/>
      <c r="M1159" s="110"/>
      <c r="N1159" s="110"/>
      <c r="O1159" s="110"/>
      <c r="P1159" s="110"/>
      <c r="Q1159" s="110"/>
      <c r="R1159" s="110"/>
      <c r="S1159" s="110"/>
      <c r="T1159" s="110"/>
      <c r="U1159" s="110"/>
      <c r="V1159" s="110"/>
      <c r="W1159" s="110"/>
      <c r="X1159" s="110"/>
      <c r="Y1159" s="110"/>
      <c r="Z1159" s="110"/>
    </row>
    <row r="1160">
      <c r="A1160" s="212"/>
      <c r="B1160" s="21"/>
      <c r="C1160" s="21"/>
      <c r="D1160" s="213"/>
      <c r="E1160" s="214"/>
      <c r="F1160" s="215"/>
      <c r="G1160" s="21"/>
      <c r="H1160" s="110"/>
      <c r="I1160" s="110"/>
      <c r="J1160" s="110"/>
      <c r="K1160" s="110"/>
      <c r="L1160" s="110"/>
      <c r="M1160" s="110"/>
      <c r="N1160" s="110"/>
      <c r="O1160" s="110"/>
      <c r="P1160" s="110"/>
      <c r="Q1160" s="110"/>
      <c r="R1160" s="110"/>
      <c r="S1160" s="110"/>
      <c r="T1160" s="110"/>
      <c r="U1160" s="110"/>
      <c r="V1160" s="110"/>
      <c r="W1160" s="110"/>
      <c r="X1160" s="110"/>
      <c r="Y1160" s="110"/>
      <c r="Z1160" s="110"/>
    </row>
    <row r="1161">
      <c r="A1161" s="212"/>
      <c r="B1161" s="21"/>
      <c r="C1161" s="21"/>
      <c r="D1161" s="213"/>
      <c r="E1161" s="214"/>
      <c r="F1161" s="215"/>
      <c r="G1161" s="21"/>
      <c r="H1161" s="110"/>
      <c r="I1161" s="110"/>
      <c r="J1161" s="110"/>
      <c r="K1161" s="110"/>
      <c r="L1161" s="110"/>
      <c r="M1161" s="110"/>
      <c r="N1161" s="110"/>
      <c r="O1161" s="110"/>
      <c r="P1161" s="110"/>
      <c r="Q1161" s="110"/>
      <c r="R1161" s="110"/>
      <c r="S1161" s="110"/>
      <c r="T1161" s="110"/>
      <c r="U1161" s="110"/>
      <c r="V1161" s="110"/>
      <c r="W1161" s="110"/>
      <c r="X1161" s="110"/>
      <c r="Y1161" s="110"/>
      <c r="Z1161" s="110"/>
    </row>
    <row r="1162">
      <c r="A1162" s="212"/>
      <c r="B1162" s="21"/>
      <c r="C1162" s="21"/>
      <c r="D1162" s="213"/>
      <c r="E1162" s="214"/>
      <c r="F1162" s="215"/>
      <c r="G1162" s="21"/>
      <c r="H1162" s="110"/>
      <c r="I1162" s="110"/>
      <c r="J1162" s="110"/>
      <c r="K1162" s="110"/>
      <c r="L1162" s="110"/>
      <c r="M1162" s="110"/>
      <c r="N1162" s="110"/>
      <c r="O1162" s="110"/>
      <c r="P1162" s="110"/>
      <c r="Q1162" s="110"/>
      <c r="R1162" s="110"/>
      <c r="S1162" s="110"/>
      <c r="T1162" s="110"/>
      <c r="U1162" s="110"/>
      <c r="V1162" s="110"/>
      <c r="W1162" s="110"/>
      <c r="X1162" s="110"/>
      <c r="Y1162" s="110"/>
      <c r="Z1162" s="110"/>
    </row>
    <row r="1163">
      <c r="A1163" s="212"/>
      <c r="B1163" s="21"/>
      <c r="C1163" s="21"/>
      <c r="D1163" s="213"/>
      <c r="E1163" s="214"/>
      <c r="F1163" s="215"/>
      <c r="G1163" s="21"/>
      <c r="H1163" s="110"/>
      <c r="I1163" s="110"/>
      <c r="J1163" s="110"/>
      <c r="K1163" s="110"/>
      <c r="L1163" s="110"/>
      <c r="M1163" s="110"/>
      <c r="N1163" s="110"/>
      <c r="O1163" s="110"/>
      <c r="P1163" s="110"/>
      <c r="Q1163" s="110"/>
      <c r="R1163" s="110"/>
      <c r="S1163" s="110"/>
      <c r="T1163" s="110"/>
      <c r="U1163" s="110"/>
      <c r="V1163" s="110"/>
      <c r="W1163" s="110"/>
      <c r="X1163" s="110"/>
      <c r="Y1163" s="110"/>
      <c r="Z1163" s="110"/>
    </row>
    <row r="1164">
      <c r="A1164" s="212"/>
      <c r="B1164" s="21"/>
      <c r="C1164" s="21"/>
      <c r="D1164" s="213"/>
      <c r="E1164" s="214"/>
      <c r="F1164" s="215"/>
      <c r="G1164" s="21"/>
      <c r="H1164" s="110"/>
      <c r="I1164" s="110"/>
      <c r="J1164" s="110"/>
      <c r="K1164" s="110"/>
      <c r="L1164" s="110"/>
      <c r="M1164" s="110"/>
      <c r="N1164" s="110"/>
      <c r="O1164" s="110"/>
      <c r="P1164" s="110"/>
      <c r="Q1164" s="110"/>
      <c r="R1164" s="110"/>
      <c r="S1164" s="110"/>
      <c r="T1164" s="110"/>
      <c r="U1164" s="110"/>
      <c r="V1164" s="110"/>
      <c r="W1164" s="110"/>
      <c r="X1164" s="110"/>
      <c r="Y1164" s="110"/>
      <c r="Z1164" s="110"/>
    </row>
    <row r="1165">
      <c r="A1165" s="212"/>
      <c r="B1165" s="21"/>
      <c r="C1165" s="21"/>
      <c r="D1165" s="213"/>
      <c r="E1165" s="214"/>
      <c r="F1165" s="215"/>
      <c r="G1165" s="21"/>
      <c r="H1165" s="110"/>
      <c r="I1165" s="110"/>
      <c r="J1165" s="110"/>
      <c r="K1165" s="110"/>
      <c r="L1165" s="110"/>
      <c r="M1165" s="110"/>
      <c r="N1165" s="110"/>
      <c r="O1165" s="110"/>
      <c r="P1165" s="110"/>
      <c r="Q1165" s="110"/>
      <c r="R1165" s="110"/>
      <c r="S1165" s="110"/>
      <c r="T1165" s="110"/>
      <c r="U1165" s="110"/>
      <c r="V1165" s="110"/>
      <c r="W1165" s="110"/>
      <c r="X1165" s="110"/>
      <c r="Y1165" s="110"/>
      <c r="Z1165" s="110"/>
    </row>
    <row r="1166">
      <c r="A1166" s="212"/>
      <c r="B1166" s="21"/>
      <c r="C1166" s="21"/>
      <c r="D1166" s="213"/>
      <c r="E1166" s="214"/>
      <c r="F1166" s="215"/>
      <c r="G1166" s="124"/>
      <c r="H1166" s="110"/>
      <c r="I1166" s="110"/>
      <c r="J1166" s="110"/>
      <c r="K1166" s="110"/>
      <c r="L1166" s="110"/>
      <c r="M1166" s="110"/>
      <c r="N1166" s="110"/>
      <c r="O1166" s="110"/>
      <c r="P1166" s="110"/>
      <c r="Q1166" s="110"/>
      <c r="R1166" s="110"/>
      <c r="S1166" s="110"/>
      <c r="T1166" s="110"/>
      <c r="U1166" s="110"/>
      <c r="V1166" s="110"/>
      <c r="W1166" s="110"/>
      <c r="X1166" s="110"/>
      <c r="Y1166" s="110"/>
      <c r="Z1166" s="110"/>
    </row>
    <row r="1167">
      <c r="A1167" s="212"/>
      <c r="B1167" s="21"/>
      <c r="C1167" s="21"/>
      <c r="D1167" s="213"/>
      <c r="E1167" s="214"/>
      <c r="F1167" s="215"/>
      <c r="G1167" s="124"/>
      <c r="H1167" s="110"/>
      <c r="I1167" s="110"/>
      <c r="J1167" s="110"/>
      <c r="K1167" s="110"/>
      <c r="L1167" s="110"/>
      <c r="M1167" s="110"/>
      <c r="N1167" s="110"/>
      <c r="O1167" s="110"/>
      <c r="P1167" s="110"/>
      <c r="Q1167" s="110"/>
      <c r="R1167" s="110"/>
      <c r="S1167" s="110"/>
      <c r="T1167" s="110"/>
      <c r="U1167" s="110"/>
      <c r="V1167" s="110"/>
      <c r="W1167" s="110"/>
      <c r="X1167" s="110"/>
      <c r="Y1167" s="110"/>
      <c r="Z1167" s="110"/>
    </row>
    <row r="1168">
      <c r="A1168" s="212"/>
      <c r="B1168" s="21"/>
      <c r="C1168" s="21"/>
      <c r="D1168" s="213"/>
      <c r="E1168" s="214"/>
      <c r="F1168" s="215"/>
      <c r="G1168" s="110"/>
      <c r="H1168" s="110"/>
      <c r="I1168" s="110"/>
      <c r="J1168" s="110"/>
      <c r="K1168" s="110"/>
      <c r="L1168" s="110"/>
      <c r="M1168" s="110"/>
      <c r="N1168" s="110"/>
      <c r="O1168" s="110"/>
      <c r="P1168" s="110"/>
      <c r="Q1168" s="110"/>
      <c r="R1168" s="110"/>
      <c r="S1168" s="110"/>
      <c r="T1168" s="110"/>
      <c r="U1168" s="110"/>
      <c r="V1168" s="110"/>
      <c r="W1168" s="110"/>
      <c r="X1168" s="110"/>
      <c r="Y1168" s="110"/>
      <c r="Z1168" s="110"/>
    </row>
    <row r="1169">
      <c r="A1169" s="212"/>
      <c r="B1169" s="21"/>
      <c r="C1169" s="21"/>
      <c r="D1169" s="213"/>
      <c r="E1169" s="214"/>
      <c r="F1169" s="215"/>
      <c r="G1169" s="162"/>
      <c r="H1169" s="225"/>
      <c r="I1169" s="225"/>
      <c r="J1169" s="225"/>
      <c r="K1169" s="225"/>
      <c r="L1169" s="225"/>
      <c r="M1169" s="225"/>
      <c r="N1169" s="225"/>
      <c r="O1169" s="225"/>
      <c r="P1169" s="225"/>
      <c r="Q1169" s="225"/>
      <c r="R1169" s="225"/>
      <c r="S1169" s="225"/>
      <c r="T1169" s="225"/>
      <c r="U1169" s="225"/>
      <c r="V1169" s="225"/>
      <c r="W1169" s="110"/>
      <c r="X1169" s="110"/>
      <c r="Y1169" s="110"/>
      <c r="Z1169" s="110"/>
    </row>
    <row r="1170">
      <c r="A1170" s="212"/>
      <c r="B1170" s="21"/>
      <c r="C1170" s="21"/>
      <c r="D1170" s="213"/>
      <c r="E1170" s="214"/>
      <c r="F1170" s="215"/>
      <c r="G1170" s="21"/>
      <c r="H1170" s="225"/>
      <c r="I1170" s="225"/>
      <c r="J1170" s="225"/>
      <c r="K1170" s="225"/>
      <c r="L1170" s="225"/>
      <c r="M1170" s="225"/>
      <c r="N1170" s="225"/>
      <c r="O1170" s="225"/>
      <c r="P1170" s="225"/>
      <c r="Q1170" s="225"/>
      <c r="R1170" s="225"/>
      <c r="S1170" s="225"/>
      <c r="T1170" s="225"/>
      <c r="U1170" s="225"/>
      <c r="V1170" s="225"/>
      <c r="W1170" s="221"/>
      <c r="X1170" s="221"/>
      <c r="Y1170" s="221"/>
      <c r="Z1170" s="221"/>
      <c r="AA1170" s="221"/>
      <c r="AB1170" s="221"/>
      <c r="AC1170" s="221"/>
      <c r="AD1170" s="221"/>
      <c r="AE1170" s="221"/>
      <c r="AF1170" s="221"/>
      <c r="AG1170" s="221"/>
      <c r="AH1170" s="221"/>
      <c r="AI1170" s="221"/>
      <c r="AJ1170" s="221"/>
      <c r="AK1170" s="221"/>
      <c r="AL1170" s="221"/>
      <c r="AM1170" s="221"/>
      <c r="AN1170" s="221"/>
      <c r="AO1170" s="221"/>
      <c r="AP1170" s="221"/>
      <c r="AQ1170" s="221"/>
      <c r="AR1170" s="221"/>
      <c r="AS1170" s="221"/>
      <c r="AT1170" s="221"/>
      <c r="AU1170" s="221"/>
      <c r="AV1170" s="221"/>
      <c r="AW1170" s="221"/>
      <c r="AX1170" s="221"/>
      <c r="AY1170" s="221"/>
      <c r="AZ1170" s="221"/>
      <c r="BA1170" s="221"/>
      <c r="BB1170" s="221"/>
      <c r="BC1170" s="221"/>
      <c r="BD1170" s="221"/>
      <c r="BE1170" s="221"/>
      <c r="BF1170" s="221"/>
      <c r="BG1170" s="221"/>
      <c r="BH1170" s="221"/>
      <c r="BI1170" s="221"/>
      <c r="BJ1170" s="221"/>
      <c r="BK1170" s="221"/>
      <c r="BL1170" s="221"/>
      <c r="BM1170" s="221"/>
      <c r="BN1170" s="221"/>
      <c r="BO1170" s="221"/>
      <c r="BP1170" s="221"/>
      <c r="BQ1170" s="221"/>
      <c r="BR1170" s="221"/>
      <c r="BS1170" s="221"/>
      <c r="BT1170" s="221"/>
      <c r="BU1170" s="221"/>
      <c r="BV1170" s="221"/>
      <c r="BW1170" s="221"/>
      <c r="BX1170" s="221"/>
      <c r="BY1170" s="221"/>
      <c r="BZ1170" s="221"/>
      <c r="CA1170" s="221"/>
      <c r="CB1170" s="221"/>
      <c r="CC1170" s="221"/>
      <c r="CD1170" s="221"/>
      <c r="CE1170" s="221"/>
      <c r="CF1170" s="221"/>
      <c r="CG1170" s="221"/>
      <c r="CH1170" s="221"/>
      <c r="CI1170" s="221"/>
      <c r="CJ1170" s="221"/>
      <c r="CK1170" s="221"/>
      <c r="CL1170" s="221"/>
      <c r="CM1170" s="221"/>
      <c r="CN1170" s="221"/>
      <c r="CO1170" s="221"/>
      <c r="CP1170" s="221"/>
      <c r="CQ1170" s="221"/>
      <c r="CR1170" s="221"/>
      <c r="CS1170" s="221"/>
      <c r="CT1170" s="221"/>
      <c r="CU1170" s="221"/>
      <c r="CV1170" s="221"/>
      <c r="CW1170" s="221"/>
      <c r="CX1170" s="221"/>
      <c r="CY1170" s="221"/>
      <c r="CZ1170" s="221"/>
      <c r="DA1170" s="221"/>
      <c r="DB1170" s="221"/>
      <c r="DC1170" s="221"/>
      <c r="DD1170" s="221"/>
      <c r="DE1170" s="221"/>
      <c r="DF1170" s="221"/>
      <c r="DG1170" s="221"/>
      <c r="DH1170" s="221"/>
      <c r="DI1170" s="221"/>
      <c r="DJ1170" s="221"/>
      <c r="DK1170" s="221"/>
      <c r="DL1170" s="221"/>
      <c r="DM1170" s="221"/>
      <c r="DN1170" s="221"/>
      <c r="DO1170" s="221"/>
      <c r="DP1170" s="221"/>
      <c r="DQ1170" s="221"/>
      <c r="DR1170" s="221"/>
      <c r="DS1170" s="221"/>
      <c r="DT1170" s="221"/>
      <c r="DU1170" s="221"/>
      <c r="DV1170" s="221"/>
      <c r="DW1170" s="221"/>
      <c r="DX1170" s="221"/>
      <c r="DY1170" s="221"/>
      <c r="DZ1170" s="221"/>
      <c r="EA1170" s="221"/>
      <c r="EB1170" s="221"/>
      <c r="EC1170" s="221"/>
      <c r="ED1170" s="221"/>
      <c r="EE1170" s="221"/>
      <c r="EF1170" s="221"/>
      <c r="EG1170" s="221"/>
      <c r="EH1170" s="221"/>
      <c r="EI1170" s="221"/>
      <c r="EJ1170" s="221"/>
      <c r="EK1170" s="221"/>
      <c r="EL1170" s="221"/>
      <c r="EM1170" s="221"/>
      <c r="EN1170" s="221"/>
      <c r="EO1170" s="221"/>
      <c r="EP1170" s="221"/>
      <c r="EQ1170" s="221"/>
      <c r="ER1170" s="221"/>
      <c r="ES1170" s="221"/>
      <c r="ET1170" s="221"/>
      <c r="EU1170" s="221"/>
      <c r="EV1170" s="221"/>
      <c r="EW1170" s="221"/>
      <c r="EX1170" s="221"/>
      <c r="EY1170" s="221"/>
      <c r="EZ1170" s="221"/>
      <c r="FA1170" s="221"/>
      <c r="FB1170" s="221"/>
      <c r="FC1170" s="221"/>
      <c r="FD1170" s="221"/>
      <c r="FE1170" s="221"/>
      <c r="FF1170" s="221"/>
      <c r="FG1170" s="221"/>
      <c r="FH1170" s="221"/>
      <c r="FI1170" s="221"/>
      <c r="FJ1170" s="221"/>
      <c r="FK1170" s="221"/>
      <c r="FL1170" s="221"/>
      <c r="FM1170" s="221"/>
      <c r="FN1170" s="221"/>
      <c r="FO1170" s="221"/>
      <c r="FP1170" s="221"/>
      <c r="FQ1170" s="221"/>
      <c r="FR1170" s="221"/>
      <c r="FS1170" s="221"/>
      <c r="FT1170" s="221"/>
      <c r="FU1170" s="221"/>
      <c r="FV1170" s="221"/>
      <c r="FW1170" s="221"/>
      <c r="FX1170" s="221"/>
      <c r="FY1170" s="221"/>
      <c r="FZ1170" s="221"/>
      <c r="GA1170" s="221"/>
      <c r="GB1170" s="221"/>
      <c r="GC1170" s="221"/>
      <c r="GD1170" s="221"/>
      <c r="GE1170" s="221"/>
      <c r="GF1170" s="221"/>
      <c r="GG1170" s="221"/>
      <c r="GH1170" s="221"/>
      <c r="GI1170" s="221"/>
      <c r="GJ1170" s="221"/>
      <c r="GK1170" s="221"/>
      <c r="GL1170" s="221"/>
      <c r="GM1170" s="221"/>
      <c r="GN1170" s="221"/>
    </row>
    <row r="1171">
      <c r="A1171" s="212"/>
      <c r="B1171" s="21"/>
      <c r="C1171" s="21"/>
      <c r="D1171" s="213"/>
      <c r="E1171" s="214"/>
      <c r="F1171" s="215"/>
      <c r="G1171" s="21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  <c r="T1171" s="225"/>
      <c r="U1171" s="225"/>
      <c r="V1171" s="225"/>
      <c r="W1171" s="221"/>
      <c r="X1171" s="221"/>
      <c r="Y1171" s="221"/>
      <c r="Z1171" s="221"/>
      <c r="AA1171" s="221"/>
      <c r="AB1171" s="221"/>
      <c r="AC1171" s="221"/>
      <c r="AD1171" s="221"/>
      <c r="AE1171" s="221"/>
      <c r="AF1171" s="221"/>
      <c r="AG1171" s="221"/>
      <c r="AH1171" s="221"/>
      <c r="AI1171" s="221"/>
      <c r="AJ1171" s="221"/>
      <c r="AK1171" s="221"/>
      <c r="AL1171" s="221"/>
      <c r="AM1171" s="221"/>
      <c r="AN1171" s="221"/>
      <c r="AO1171" s="221"/>
      <c r="AP1171" s="221"/>
      <c r="AQ1171" s="221"/>
      <c r="AR1171" s="221"/>
      <c r="AS1171" s="221"/>
      <c r="AT1171" s="221"/>
      <c r="AU1171" s="221"/>
      <c r="AV1171" s="221"/>
      <c r="AW1171" s="221"/>
      <c r="AX1171" s="221"/>
      <c r="AY1171" s="221"/>
      <c r="AZ1171" s="221"/>
      <c r="BA1171" s="221"/>
      <c r="BB1171" s="221"/>
      <c r="BC1171" s="221"/>
      <c r="BD1171" s="221"/>
      <c r="BE1171" s="221"/>
      <c r="BF1171" s="221"/>
      <c r="BG1171" s="221"/>
      <c r="BH1171" s="221"/>
      <c r="BI1171" s="221"/>
      <c r="BJ1171" s="221"/>
      <c r="BK1171" s="221"/>
      <c r="BL1171" s="221"/>
      <c r="BM1171" s="221"/>
      <c r="BN1171" s="221"/>
      <c r="BO1171" s="221"/>
      <c r="BP1171" s="221"/>
      <c r="BQ1171" s="221"/>
      <c r="BR1171" s="221"/>
      <c r="BS1171" s="221"/>
      <c r="BT1171" s="221"/>
      <c r="BU1171" s="221"/>
      <c r="BV1171" s="221"/>
      <c r="BW1171" s="221"/>
      <c r="BX1171" s="221"/>
      <c r="BY1171" s="221"/>
      <c r="BZ1171" s="221"/>
      <c r="CA1171" s="221"/>
      <c r="CB1171" s="221"/>
      <c r="CC1171" s="221"/>
      <c r="CD1171" s="221"/>
      <c r="CE1171" s="221"/>
      <c r="CF1171" s="221"/>
      <c r="CG1171" s="221"/>
      <c r="CH1171" s="221"/>
      <c r="CI1171" s="221"/>
      <c r="CJ1171" s="221"/>
      <c r="CK1171" s="221"/>
      <c r="CL1171" s="221"/>
      <c r="CM1171" s="221"/>
      <c r="CN1171" s="221"/>
      <c r="CO1171" s="221"/>
      <c r="CP1171" s="221"/>
      <c r="CQ1171" s="221"/>
      <c r="CR1171" s="221"/>
      <c r="CS1171" s="221"/>
      <c r="CT1171" s="221"/>
      <c r="CU1171" s="221"/>
      <c r="CV1171" s="221"/>
      <c r="CW1171" s="221"/>
      <c r="CX1171" s="221"/>
      <c r="CY1171" s="221"/>
      <c r="CZ1171" s="221"/>
      <c r="DA1171" s="221"/>
      <c r="DB1171" s="221"/>
      <c r="DC1171" s="221"/>
      <c r="DD1171" s="221"/>
      <c r="DE1171" s="221"/>
      <c r="DF1171" s="221"/>
      <c r="DG1171" s="221"/>
      <c r="DH1171" s="221"/>
      <c r="DI1171" s="221"/>
      <c r="DJ1171" s="221"/>
      <c r="DK1171" s="221"/>
      <c r="DL1171" s="221"/>
      <c r="DM1171" s="221"/>
      <c r="DN1171" s="221"/>
      <c r="DO1171" s="221"/>
      <c r="DP1171" s="221"/>
      <c r="DQ1171" s="221"/>
      <c r="DR1171" s="221"/>
      <c r="DS1171" s="221"/>
      <c r="DT1171" s="221"/>
      <c r="DU1171" s="221"/>
      <c r="DV1171" s="221"/>
      <c r="DW1171" s="221"/>
      <c r="DX1171" s="221"/>
      <c r="DY1171" s="221"/>
      <c r="DZ1171" s="221"/>
      <c r="EA1171" s="221"/>
      <c r="EB1171" s="221"/>
      <c r="EC1171" s="221"/>
      <c r="ED1171" s="221"/>
      <c r="EE1171" s="221"/>
      <c r="EF1171" s="221"/>
      <c r="EG1171" s="221"/>
      <c r="EH1171" s="221"/>
      <c r="EI1171" s="221"/>
      <c r="EJ1171" s="221"/>
      <c r="EK1171" s="221"/>
      <c r="EL1171" s="221"/>
      <c r="EM1171" s="221"/>
      <c r="EN1171" s="221"/>
      <c r="EO1171" s="221"/>
      <c r="EP1171" s="221"/>
      <c r="EQ1171" s="221"/>
      <c r="ER1171" s="221"/>
      <c r="ES1171" s="221"/>
      <c r="ET1171" s="221"/>
      <c r="EU1171" s="221"/>
      <c r="EV1171" s="221"/>
      <c r="EW1171" s="221"/>
      <c r="EX1171" s="221"/>
      <c r="EY1171" s="221"/>
      <c r="EZ1171" s="221"/>
      <c r="FA1171" s="221"/>
      <c r="FB1171" s="221"/>
      <c r="FC1171" s="221"/>
      <c r="FD1171" s="221"/>
      <c r="FE1171" s="221"/>
      <c r="FF1171" s="221"/>
      <c r="FG1171" s="221"/>
      <c r="FH1171" s="221"/>
      <c r="FI1171" s="221"/>
      <c r="FJ1171" s="221"/>
      <c r="FK1171" s="221"/>
      <c r="FL1171" s="221"/>
      <c r="FM1171" s="221"/>
      <c r="FN1171" s="221"/>
      <c r="FO1171" s="221"/>
      <c r="FP1171" s="221"/>
      <c r="FQ1171" s="221"/>
      <c r="FR1171" s="221"/>
      <c r="FS1171" s="221"/>
      <c r="FT1171" s="221"/>
      <c r="FU1171" s="221"/>
      <c r="FV1171" s="221"/>
      <c r="FW1171" s="221"/>
      <c r="FX1171" s="221"/>
      <c r="FY1171" s="221"/>
      <c r="FZ1171" s="221"/>
      <c r="GA1171" s="221"/>
      <c r="GB1171" s="221"/>
      <c r="GC1171" s="221"/>
      <c r="GD1171" s="221"/>
      <c r="GE1171" s="221"/>
      <c r="GF1171" s="221"/>
      <c r="GG1171" s="221"/>
      <c r="GH1171" s="221"/>
      <c r="GI1171" s="221"/>
      <c r="GJ1171" s="221"/>
      <c r="GK1171" s="221"/>
      <c r="GL1171" s="221"/>
      <c r="GM1171" s="221"/>
      <c r="GN1171" s="221"/>
    </row>
    <row r="1172">
      <c r="A1172" s="212"/>
      <c r="B1172" s="21"/>
      <c r="C1172" s="21"/>
      <c r="D1172" s="213"/>
      <c r="E1172" s="214"/>
      <c r="F1172" s="215"/>
      <c r="G1172" s="21"/>
      <c r="H1172" s="225"/>
      <c r="I1172" s="225"/>
      <c r="J1172" s="225"/>
      <c r="K1172" s="225"/>
      <c r="L1172" s="225"/>
      <c r="M1172" s="225"/>
      <c r="N1172" s="225"/>
      <c r="O1172" s="225"/>
      <c r="P1172" s="225"/>
      <c r="Q1172" s="225"/>
      <c r="R1172" s="225"/>
      <c r="S1172" s="225"/>
      <c r="T1172" s="225"/>
      <c r="U1172" s="225"/>
      <c r="V1172" s="225"/>
      <c r="W1172" s="221"/>
      <c r="X1172" s="221"/>
      <c r="Y1172" s="221"/>
      <c r="Z1172" s="221"/>
      <c r="AA1172" s="221"/>
      <c r="AB1172" s="221"/>
      <c r="AC1172" s="221"/>
      <c r="AD1172" s="221"/>
      <c r="AE1172" s="221"/>
      <c r="AF1172" s="221"/>
      <c r="AG1172" s="221"/>
      <c r="AH1172" s="221"/>
      <c r="AI1172" s="221"/>
      <c r="AJ1172" s="221"/>
      <c r="AK1172" s="221"/>
      <c r="AL1172" s="221"/>
      <c r="AM1172" s="221"/>
      <c r="AN1172" s="221"/>
      <c r="AO1172" s="221"/>
      <c r="AP1172" s="221"/>
      <c r="AQ1172" s="221"/>
      <c r="AR1172" s="221"/>
      <c r="AS1172" s="221"/>
      <c r="AT1172" s="221"/>
      <c r="AU1172" s="221"/>
      <c r="AV1172" s="221"/>
      <c r="AW1172" s="221"/>
      <c r="AX1172" s="221"/>
      <c r="AY1172" s="221"/>
      <c r="AZ1172" s="221"/>
      <c r="BA1172" s="221"/>
      <c r="BB1172" s="221"/>
      <c r="BC1172" s="221"/>
      <c r="BD1172" s="221"/>
      <c r="BE1172" s="221"/>
      <c r="BF1172" s="221"/>
      <c r="BG1172" s="221"/>
      <c r="BH1172" s="221"/>
      <c r="BI1172" s="221"/>
      <c r="BJ1172" s="221"/>
      <c r="BK1172" s="221"/>
      <c r="BL1172" s="221"/>
      <c r="BM1172" s="221"/>
      <c r="BN1172" s="221"/>
      <c r="BO1172" s="221"/>
      <c r="BP1172" s="221"/>
      <c r="BQ1172" s="221"/>
      <c r="BR1172" s="221"/>
      <c r="BS1172" s="221"/>
      <c r="BT1172" s="221"/>
      <c r="BU1172" s="221"/>
      <c r="BV1172" s="221"/>
      <c r="BW1172" s="221"/>
      <c r="BX1172" s="221"/>
      <c r="BY1172" s="221"/>
      <c r="BZ1172" s="221"/>
      <c r="CA1172" s="221"/>
      <c r="CB1172" s="221"/>
      <c r="CC1172" s="221"/>
      <c r="CD1172" s="221"/>
      <c r="CE1172" s="221"/>
      <c r="CF1172" s="221"/>
      <c r="CG1172" s="221"/>
      <c r="CH1172" s="221"/>
      <c r="CI1172" s="221"/>
      <c r="CJ1172" s="221"/>
      <c r="CK1172" s="221"/>
      <c r="CL1172" s="221"/>
      <c r="CM1172" s="221"/>
      <c r="CN1172" s="221"/>
      <c r="CO1172" s="221"/>
      <c r="CP1172" s="221"/>
      <c r="CQ1172" s="221"/>
      <c r="CR1172" s="221"/>
      <c r="CS1172" s="221"/>
      <c r="CT1172" s="221"/>
      <c r="CU1172" s="221"/>
      <c r="CV1172" s="221"/>
      <c r="CW1172" s="221"/>
      <c r="CX1172" s="221"/>
      <c r="CY1172" s="221"/>
      <c r="CZ1172" s="221"/>
      <c r="DA1172" s="221"/>
      <c r="DB1172" s="221"/>
      <c r="DC1172" s="221"/>
      <c r="DD1172" s="221"/>
      <c r="DE1172" s="221"/>
      <c r="DF1172" s="221"/>
      <c r="DG1172" s="221"/>
      <c r="DH1172" s="221"/>
      <c r="DI1172" s="221"/>
      <c r="DJ1172" s="221"/>
      <c r="DK1172" s="221"/>
      <c r="DL1172" s="221"/>
      <c r="DM1172" s="221"/>
      <c r="DN1172" s="221"/>
      <c r="DO1172" s="221"/>
      <c r="DP1172" s="221"/>
      <c r="DQ1172" s="221"/>
      <c r="DR1172" s="221"/>
      <c r="DS1172" s="221"/>
      <c r="DT1172" s="221"/>
      <c r="DU1172" s="221"/>
      <c r="DV1172" s="221"/>
      <c r="DW1172" s="221"/>
      <c r="DX1172" s="221"/>
      <c r="DY1172" s="221"/>
      <c r="DZ1172" s="221"/>
      <c r="EA1172" s="221"/>
      <c r="EB1172" s="221"/>
      <c r="EC1172" s="221"/>
      <c r="ED1172" s="221"/>
      <c r="EE1172" s="221"/>
      <c r="EF1172" s="221"/>
      <c r="EG1172" s="221"/>
      <c r="EH1172" s="221"/>
      <c r="EI1172" s="221"/>
      <c r="EJ1172" s="221"/>
      <c r="EK1172" s="221"/>
      <c r="EL1172" s="221"/>
      <c r="EM1172" s="221"/>
      <c r="EN1172" s="221"/>
      <c r="EO1172" s="221"/>
      <c r="EP1172" s="221"/>
      <c r="EQ1172" s="221"/>
      <c r="ER1172" s="221"/>
      <c r="ES1172" s="221"/>
      <c r="ET1172" s="221"/>
      <c r="EU1172" s="221"/>
      <c r="EV1172" s="221"/>
      <c r="EW1172" s="221"/>
      <c r="EX1172" s="221"/>
      <c r="EY1172" s="221"/>
      <c r="EZ1172" s="221"/>
      <c r="FA1172" s="221"/>
      <c r="FB1172" s="221"/>
      <c r="FC1172" s="221"/>
      <c r="FD1172" s="221"/>
      <c r="FE1172" s="221"/>
      <c r="FF1172" s="221"/>
      <c r="FG1172" s="221"/>
      <c r="FH1172" s="221"/>
      <c r="FI1172" s="221"/>
      <c r="FJ1172" s="221"/>
      <c r="FK1172" s="221"/>
      <c r="FL1172" s="221"/>
      <c r="FM1172" s="221"/>
      <c r="FN1172" s="221"/>
      <c r="FO1172" s="221"/>
      <c r="FP1172" s="221"/>
      <c r="FQ1172" s="221"/>
      <c r="FR1172" s="221"/>
      <c r="FS1172" s="221"/>
      <c r="FT1172" s="221"/>
      <c r="FU1172" s="221"/>
      <c r="FV1172" s="221"/>
      <c r="FW1172" s="221"/>
      <c r="FX1172" s="221"/>
      <c r="FY1172" s="221"/>
      <c r="FZ1172" s="221"/>
      <c r="GA1172" s="221"/>
      <c r="GB1172" s="221"/>
      <c r="GC1172" s="221"/>
      <c r="GD1172" s="221"/>
      <c r="GE1172" s="221"/>
      <c r="GF1172" s="221"/>
      <c r="GG1172" s="221"/>
      <c r="GH1172" s="221"/>
      <c r="GI1172" s="221"/>
      <c r="GJ1172" s="221"/>
      <c r="GK1172" s="221"/>
      <c r="GL1172" s="221"/>
      <c r="GM1172" s="221"/>
      <c r="GN1172" s="221"/>
    </row>
    <row r="1173">
      <c r="A1173" s="212"/>
      <c r="B1173" s="21"/>
      <c r="C1173" s="21"/>
      <c r="D1173" s="213"/>
      <c r="E1173" s="214"/>
      <c r="F1173" s="215"/>
      <c r="G1173" s="21"/>
      <c r="H1173" s="225"/>
      <c r="I1173" s="225"/>
      <c r="J1173" s="225"/>
      <c r="K1173" s="225"/>
      <c r="L1173" s="225"/>
      <c r="M1173" s="225"/>
      <c r="N1173" s="225"/>
      <c r="O1173" s="225"/>
      <c r="P1173" s="225"/>
      <c r="Q1173" s="225"/>
      <c r="R1173" s="225"/>
      <c r="S1173" s="225"/>
      <c r="T1173" s="225"/>
      <c r="U1173" s="225"/>
      <c r="V1173" s="225"/>
      <c r="W1173" s="221"/>
      <c r="X1173" s="221"/>
      <c r="Y1173" s="221"/>
      <c r="Z1173" s="221"/>
      <c r="AA1173" s="221"/>
      <c r="AB1173" s="221"/>
      <c r="AC1173" s="221"/>
      <c r="AD1173" s="221"/>
      <c r="AE1173" s="221"/>
      <c r="AF1173" s="221"/>
      <c r="AG1173" s="221"/>
      <c r="AH1173" s="221"/>
      <c r="AI1173" s="221"/>
      <c r="AJ1173" s="221"/>
      <c r="AK1173" s="221"/>
      <c r="AL1173" s="221"/>
      <c r="AM1173" s="221"/>
      <c r="AN1173" s="221"/>
      <c r="AO1173" s="221"/>
      <c r="AP1173" s="221"/>
      <c r="AQ1173" s="221"/>
      <c r="AR1173" s="221"/>
      <c r="AS1173" s="221"/>
      <c r="AT1173" s="221"/>
      <c r="AU1173" s="221"/>
      <c r="AV1173" s="221"/>
      <c r="AW1173" s="221"/>
      <c r="AX1173" s="221"/>
      <c r="AY1173" s="221"/>
      <c r="AZ1173" s="221"/>
      <c r="BA1173" s="221"/>
      <c r="BB1173" s="221"/>
      <c r="BC1173" s="221"/>
      <c r="BD1173" s="221"/>
      <c r="BE1173" s="221"/>
      <c r="BF1173" s="221"/>
      <c r="BG1173" s="221"/>
      <c r="BH1173" s="221"/>
      <c r="BI1173" s="221"/>
      <c r="BJ1173" s="221"/>
      <c r="BK1173" s="221"/>
      <c r="BL1173" s="221"/>
      <c r="BM1173" s="221"/>
      <c r="BN1173" s="221"/>
      <c r="BO1173" s="221"/>
      <c r="BP1173" s="221"/>
      <c r="BQ1173" s="221"/>
      <c r="BR1173" s="221"/>
      <c r="BS1173" s="221"/>
      <c r="BT1173" s="221"/>
      <c r="BU1173" s="221"/>
      <c r="BV1173" s="221"/>
      <c r="BW1173" s="221"/>
      <c r="BX1173" s="221"/>
      <c r="BY1173" s="221"/>
      <c r="BZ1173" s="221"/>
      <c r="CA1173" s="221"/>
      <c r="CB1173" s="221"/>
      <c r="CC1173" s="221"/>
      <c r="CD1173" s="221"/>
      <c r="CE1173" s="221"/>
      <c r="CF1173" s="221"/>
      <c r="CG1173" s="221"/>
      <c r="CH1173" s="221"/>
      <c r="CI1173" s="221"/>
      <c r="CJ1173" s="221"/>
      <c r="CK1173" s="221"/>
      <c r="CL1173" s="221"/>
      <c r="CM1173" s="221"/>
      <c r="CN1173" s="221"/>
      <c r="CO1173" s="221"/>
      <c r="CP1173" s="221"/>
      <c r="CQ1173" s="221"/>
      <c r="CR1173" s="221"/>
      <c r="CS1173" s="221"/>
      <c r="CT1173" s="221"/>
      <c r="CU1173" s="221"/>
      <c r="CV1173" s="221"/>
      <c r="CW1173" s="221"/>
      <c r="CX1173" s="221"/>
      <c r="CY1173" s="221"/>
      <c r="CZ1173" s="221"/>
      <c r="DA1173" s="221"/>
      <c r="DB1173" s="221"/>
      <c r="DC1173" s="221"/>
      <c r="DD1173" s="221"/>
      <c r="DE1173" s="221"/>
      <c r="DF1173" s="221"/>
      <c r="DG1173" s="221"/>
      <c r="DH1173" s="221"/>
      <c r="DI1173" s="221"/>
      <c r="DJ1173" s="221"/>
      <c r="DK1173" s="221"/>
      <c r="DL1173" s="221"/>
      <c r="DM1173" s="221"/>
      <c r="DN1173" s="221"/>
      <c r="DO1173" s="221"/>
      <c r="DP1173" s="221"/>
      <c r="DQ1173" s="221"/>
      <c r="DR1173" s="221"/>
      <c r="DS1173" s="221"/>
      <c r="DT1173" s="221"/>
      <c r="DU1173" s="221"/>
      <c r="DV1173" s="221"/>
      <c r="DW1173" s="221"/>
      <c r="DX1173" s="221"/>
      <c r="DY1173" s="221"/>
      <c r="DZ1173" s="221"/>
      <c r="EA1173" s="221"/>
      <c r="EB1173" s="221"/>
      <c r="EC1173" s="221"/>
      <c r="ED1173" s="221"/>
      <c r="EE1173" s="221"/>
      <c r="EF1173" s="221"/>
      <c r="EG1173" s="221"/>
      <c r="EH1173" s="221"/>
      <c r="EI1173" s="221"/>
      <c r="EJ1173" s="221"/>
      <c r="EK1173" s="221"/>
      <c r="EL1173" s="221"/>
      <c r="EM1173" s="221"/>
      <c r="EN1173" s="221"/>
      <c r="EO1173" s="221"/>
      <c r="EP1173" s="221"/>
      <c r="EQ1173" s="221"/>
      <c r="ER1173" s="221"/>
      <c r="ES1173" s="221"/>
      <c r="ET1173" s="221"/>
      <c r="EU1173" s="221"/>
      <c r="EV1173" s="221"/>
      <c r="EW1173" s="221"/>
      <c r="EX1173" s="221"/>
      <c r="EY1173" s="221"/>
      <c r="EZ1173" s="221"/>
      <c r="FA1173" s="221"/>
      <c r="FB1173" s="221"/>
      <c r="FC1173" s="221"/>
      <c r="FD1173" s="221"/>
      <c r="FE1173" s="221"/>
      <c r="FF1173" s="221"/>
      <c r="FG1173" s="221"/>
      <c r="FH1173" s="221"/>
      <c r="FI1173" s="221"/>
      <c r="FJ1173" s="221"/>
      <c r="FK1173" s="221"/>
      <c r="FL1173" s="221"/>
      <c r="FM1173" s="221"/>
      <c r="FN1173" s="221"/>
      <c r="FO1173" s="221"/>
      <c r="FP1173" s="221"/>
      <c r="FQ1173" s="221"/>
      <c r="FR1173" s="221"/>
      <c r="FS1173" s="221"/>
      <c r="FT1173" s="221"/>
      <c r="FU1173" s="221"/>
      <c r="FV1173" s="221"/>
      <c r="FW1173" s="221"/>
      <c r="FX1173" s="221"/>
      <c r="FY1173" s="221"/>
      <c r="FZ1173" s="221"/>
      <c r="GA1173" s="221"/>
      <c r="GB1173" s="221"/>
      <c r="GC1173" s="221"/>
      <c r="GD1173" s="221"/>
      <c r="GE1173" s="221"/>
      <c r="GF1173" s="221"/>
      <c r="GG1173" s="221"/>
      <c r="GH1173" s="221"/>
      <c r="GI1173" s="221"/>
      <c r="GJ1173" s="221"/>
      <c r="GK1173" s="221"/>
      <c r="GL1173" s="221"/>
      <c r="GM1173" s="221"/>
      <c r="GN1173" s="221"/>
    </row>
    <row r="1174">
      <c r="A1174" s="212"/>
      <c r="B1174" s="21"/>
      <c r="C1174" s="21"/>
      <c r="D1174" s="213"/>
      <c r="E1174" s="214"/>
      <c r="F1174" s="215"/>
      <c r="G1174" s="21"/>
      <c r="H1174" s="225"/>
      <c r="I1174" s="225"/>
      <c r="J1174" s="225"/>
      <c r="K1174" s="225"/>
      <c r="L1174" s="225"/>
      <c r="M1174" s="225"/>
      <c r="N1174" s="225"/>
      <c r="O1174" s="225"/>
      <c r="P1174" s="225"/>
      <c r="Q1174" s="225"/>
      <c r="R1174" s="225"/>
      <c r="S1174" s="225"/>
      <c r="T1174" s="225"/>
      <c r="U1174" s="225"/>
      <c r="V1174" s="225"/>
      <c r="W1174" s="221"/>
      <c r="X1174" s="221"/>
      <c r="Y1174" s="221"/>
      <c r="Z1174" s="221"/>
      <c r="AA1174" s="221"/>
      <c r="AB1174" s="221"/>
      <c r="AC1174" s="221"/>
      <c r="AD1174" s="221"/>
      <c r="AE1174" s="221"/>
      <c r="AF1174" s="221"/>
      <c r="AG1174" s="221"/>
      <c r="AH1174" s="221"/>
      <c r="AI1174" s="221"/>
      <c r="AJ1174" s="221"/>
      <c r="AK1174" s="221"/>
      <c r="AL1174" s="221"/>
      <c r="AM1174" s="221"/>
      <c r="AN1174" s="221"/>
      <c r="AO1174" s="221"/>
      <c r="AP1174" s="221"/>
      <c r="AQ1174" s="221"/>
      <c r="AR1174" s="221"/>
      <c r="AS1174" s="221"/>
      <c r="AT1174" s="221"/>
      <c r="AU1174" s="221"/>
      <c r="AV1174" s="221"/>
      <c r="AW1174" s="221"/>
      <c r="AX1174" s="221"/>
      <c r="AY1174" s="221"/>
      <c r="AZ1174" s="221"/>
      <c r="BA1174" s="221"/>
      <c r="BB1174" s="221"/>
      <c r="BC1174" s="221"/>
      <c r="BD1174" s="221"/>
      <c r="BE1174" s="221"/>
      <c r="BF1174" s="221"/>
      <c r="BG1174" s="221"/>
      <c r="BH1174" s="221"/>
      <c r="BI1174" s="221"/>
      <c r="BJ1174" s="221"/>
      <c r="BK1174" s="221"/>
      <c r="BL1174" s="221"/>
      <c r="BM1174" s="221"/>
      <c r="BN1174" s="221"/>
      <c r="BO1174" s="221"/>
      <c r="BP1174" s="221"/>
      <c r="BQ1174" s="221"/>
      <c r="BR1174" s="221"/>
      <c r="BS1174" s="221"/>
      <c r="BT1174" s="221"/>
      <c r="BU1174" s="221"/>
      <c r="BV1174" s="221"/>
      <c r="BW1174" s="221"/>
      <c r="BX1174" s="221"/>
      <c r="BY1174" s="221"/>
      <c r="BZ1174" s="221"/>
      <c r="CA1174" s="221"/>
      <c r="CB1174" s="221"/>
      <c r="CC1174" s="221"/>
      <c r="CD1174" s="221"/>
      <c r="CE1174" s="221"/>
      <c r="CF1174" s="221"/>
      <c r="CG1174" s="221"/>
      <c r="CH1174" s="221"/>
      <c r="CI1174" s="221"/>
      <c r="CJ1174" s="221"/>
      <c r="CK1174" s="221"/>
      <c r="CL1174" s="221"/>
      <c r="CM1174" s="221"/>
      <c r="CN1174" s="221"/>
      <c r="CO1174" s="221"/>
      <c r="CP1174" s="221"/>
      <c r="CQ1174" s="221"/>
      <c r="CR1174" s="221"/>
      <c r="CS1174" s="221"/>
      <c r="CT1174" s="221"/>
      <c r="CU1174" s="221"/>
      <c r="CV1174" s="221"/>
      <c r="CW1174" s="221"/>
      <c r="CX1174" s="221"/>
      <c r="CY1174" s="221"/>
      <c r="CZ1174" s="221"/>
      <c r="DA1174" s="221"/>
      <c r="DB1174" s="221"/>
      <c r="DC1174" s="221"/>
      <c r="DD1174" s="221"/>
      <c r="DE1174" s="221"/>
      <c r="DF1174" s="221"/>
      <c r="DG1174" s="221"/>
      <c r="DH1174" s="221"/>
      <c r="DI1174" s="221"/>
      <c r="DJ1174" s="221"/>
      <c r="DK1174" s="221"/>
      <c r="DL1174" s="221"/>
      <c r="DM1174" s="221"/>
      <c r="DN1174" s="221"/>
      <c r="DO1174" s="221"/>
      <c r="DP1174" s="221"/>
      <c r="DQ1174" s="221"/>
      <c r="DR1174" s="221"/>
      <c r="DS1174" s="221"/>
      <c r="DT1174" s="221"/>
      <c r="DU1174" s="221"/>
      <c r="DV1174" s="221"/>
      <c r="DW1174" s="221"/>
      <c r="DX1174" s="221"/>
      <c r="DY1174" s="221"/>
      <c r="DZ1174" s="221"/>
      <c r="EA1174" s="221"/>
      <c r="EB1174" s="221"/>
      <c r="EC1174" s="221"/>
      <c r="ED1174" s="221"/>
      <c r="EE1174" s="221"/>
      <c r="EF1174" s="221"/>
      <c r="EG1174" s="221"/>
      <c r="EH1174" s="221"/>
      <c r="EI1174" s="221"/>
      <c r="EJ1174" s="221"/>
      <c r="EK1174" s="221"/>
      <c r="EL1174" s="221"/>
      <c r="EM1174" s="221"/>
      <c r="EN1174" s="221"/>
      <c r="EO1174" s="221"/>
      <c r="EP1174" s="221"/>
      <c r="EQ1174" s="221"/>
      <c r="ER1174" s="221"/>
      <c r="ES1174" s="221"/>
      <c r="ET1174" s="221"/>
      <c r="EU1174" s="221"/>
      <c r="EV1174" s="221"/>
      <c r="EW1174" s="221"/>
      <c r="EX1174" s="221"/>
      <c r="EY1174" s="221"/>
      <c r="EZ1174" s="221"/>
      <c r="FA1174" s="221"/>
      <c r="FB1174" s="221"/>
      <c r="FC1174" s="221"/>
      <c r="FD1174" s="221"/>
      <c r="FE1174" s="221"/>
      <c r="FF1174" s="221"/>
      <c r="FG1174" s="221"/>
      <c r="FH1174" s="221"/>
      <c r="FI1174" s="221"/>
      <c r="FJ1174" s="221"/>
      <c r="FK1174" s="221"/>
      <c r="FL1174" s="221"/>
      <c r="FM1174" s="221"/>
      <c r="FN1174" s="221"/>
      <c r="FO1174" s="221"/>
      <c r="FP1174" s="221"/>
      <c r="FQ1174" s="221"/>
      <c r="FR1174" s="221"/>
      <c r="FS1174" s="221"/>
      <c r="FT1174" s="221"/>
      <c r="FU1174" s="221"/>
      <c r="FV1174" s="221"/>
      <c r="FW1174" s="221"/>
      <c r="FX1174" s="221"/>
      <c r="FY1174" s="221"/>
      <c r="FZ1174" s="221"/>
      <c r="GA1174" s="221"/>
      <c r="GB1174" s="221"/>
      <c r="GC1174" s="221"/>
      <c r="GD1174" s="221"/>
      <c r="GE1174" s="221"/>
      <c r="GF1174" s="221"/>
      <c r="GG1174" s="221"/>
      <c r="GH1174" s="221"/>
      <c r="GI1174" s="221"/>
      <c r="GJ1174" s="221"/>
      <c r="GK1174" s="221"/>
      <c r="GL1174" s="221"/>
      <c r="GM1174" s="221"/>
      <c r="GN1174" s="221"/>
    </row>
    <row r="1175">
      <c r="A1175" s="212"/>
      <c r="B1175" s="21"/>
      <c r="C1175" s="21"/>
      <c r="D1175" s="213"/>
      <c r="E1175" s="214"/>
      <c r="F1175" s="215"/>
      <c r="G1175" s="21"/>
      <c r="H1175" s="225"/>
      <c r="I1175" s="225"/>
      <c r="J1175" s="225"/>
      <c r="K1175" s="225"/>
      <c r="L1175" s="225"/>
      <c r="M1175" s="225"/>
      <c r="N1175" s="225"/>
      <c r="O1175" s="225"/>
      <c r="P1175" s="225"/>
      <c r="Q1175" s="225"/>
      <c r="R1175" s="225"/>
      <c r="S1175" s="225"/>
      <c r="T1175" s="225"/>
      <c r="U1175" s="225"/>
      <c r="V1175" s="225"/>
      <c r="W1175" s="221"/>
      <c r="X1175" s="221"/>
      <c r="Y1175" s="221"/>
      <c r="Z1175" s="221"/>
      <c r="AA1175" s="221"/>
      <c r="AB1175" s="221"/>
      <c r="AC1175" s="221"/>
      <c r="AD1175" s="221"/>
      <c r="AE1175" s="221"/>
      <c r="AF1175" s="221"/>
      <c r="AG1175" s="221"/>
      <c r="AH1175" s="221"/>
      <c r="AI1175" s="221"/>
      <c r="AJ1175" s="221"/>
      <c r="AK1175" s="221"/>
      <c r="AL1175" s="221"/>
      <c r="AM1175" s="221"/>
      <c r="AN1175" s="221"/>
      <c r="AO1175" s="221"/>
      <c r="AP1175" s="221"/>
      <c r="AQ1175" s="221"/>
      <c r="AR1175" s="221"/>
      <c r="AS1175" s="221"/>
      <c r="AT1175" s="221"/>
      <c r="AU1175" s="221"/>
      <c r="AV1175" s="221"/>
      <c r="AW1175" s="221"/>
      <c r="AX1175" s="221"/>
      <c r="AY1175" s="221"/>
      <c r="AZ1175" s="221"/>
      <c r="BA1175" s="221"/>
      <c r="BB1175" s="221"/>
      <c r="BC1175" s="221"/>
      <c r="BD1175" s="221"/>
      <c r="BE1175" s="221"/>
      <c r="BF1175" s="221"/>
      <c r="BG1175" s="221"/>
      <c r="BH1175" s="221"/>
      <c r="BI1175" s="221"/>
      <c r="BJ1175" s="221"/>
      <c r="BK1175" s="221"/>
      <c r="BL1175" s="221"/>
      <c r="BM1175" s="221"/>
      <c r="BN1175" s="221"/>
      <c r="BO1175" s="221"/>
      <c r="BP1175" s="221"/>
      <c r="BQ1175" s="221"/>
      <c r="BR1175" s="221"/>
      <c r="BS1175" s="221"/>
      <c r="BT1175" s="221"/>
      <c r="BU1175" s="221"/>
      <c r="BV1175" s="221"/>
      <c r="BW1175" s="221"/>
      <c r="BX1175" s="221"/>
      <c r="BY1175" s="221"/>
      <c r="BZ1175" s="221"/>
      <c r="CA1175" s="221"/>
      <c r="CB1175" s="221"/>
      <c r="CC1175" s="221"/>
      <c r="CD1175" s="221"/>
      <c r="CE1175" s="221"/>
      <c r="CF1175" s="221"/>
      <c r="CG1175" s="221"/>
      <c r="CH1175" s="221"/>
      <c r="CI1175" s="221"/>
      <c r="CJ1175" s="221"/>
      <c r="CK1175" s="221"/>
      <c r="CL1175" s="221"/>
      <c r="CM1175" s="221"/>
      <c r="CN1175" s="221"/>
      <c r="CO1175" s="221"/>
      <c r="CP1175" s="221"/>
      <c r="CQ1175" s="221"/>
      <c r="CR1175" s="221"/>
      <c r="CS1175" s="221"/>
      <c r="CT1175" s="221"/>
      <c r="CU1175" s="221"/>
      <c r="CV1175" s="221"/>
      <c r="CW1175" s="221"/>
      <c r="CX1175" s="221"/>
      <c r="CY1175" s="221"/>
      <c r="CZ1175" s="221"/>
      <c r="DA1175" s="221"/>
      <c r="DB1175" s="221"/>
      <c r="DC1175" s="221"/>
      <c r="DD1175" s="221"/>
      <c r="DE1175" s="221"/>
      <c r="DF1175" s="221"/>
      <c r="DG1175" s="221"/>
      <c r="DH1175" s="221"/>
      <c r="DI1175" s="221"/>
      <c r="DJ1175" s="221"/>
      <c r="DK1175" s="221"/>
      <c r="DL1175" s="221"/>
      <c r="DM1175" s="221"/>
      <c r="DN1175" s="221"/>
      <c r="DO1175" s="221"/>
      <c r="DP1175" s="221"/>
      <c r="DQ1175" s="221"/>
      <c r="DR1175" s="221"/>
      <c r="DS1175" s="221"/>
      <c r="DT1175" s="221"/>
      <c r="DU1175" s="221"/>
      <c r="DV1175" s="221"/>
      <c r="DW1175" s="221"/>
      <c r="DX1175" s="221"/>
      <c r="DY1175" s="221"/>
      <c r="DZ1175" s="221"/>
      <c r="EA1175" s="221"/>
      <c r="EB1175" s="221"/>
      <c r="EC1175" s="221"/>
      <c r="ED1175" s="221"/>
      <c r="EE1175" s="221"/>
      <c r="EF1175" s="221"/>
      <c r="EG1175" s="221"/>
      <c r="EH1175" s="221"/>
      <c r="EI1175" s="221"/>
      <c r="EJ1175" s="221"/>
      <c r="EK1175" s="221"/>
      <c r="EL1175" s="221"/>
      <c r="EM1175" s="221"/>
      <c r="EN1175" s="221"/>
      <c r="EO1175" s="221"/>
      <c r="EP1175" s="221"/>
      <c r="EQ1175" s="221"/>
      <c r="ER1175" s="221"/>
      <c r="ES1175" s="221"/>
      <c r="ET1175" s="221"/>
      <c r="EU1175" s="221"/>
      <c r="EV1175" s="221"/>
      <c r="EW1175" s="221"/>
      <c r="EX1175" s="221"/>
      <c r="EY1175" s="221"/>
      <c r="EZ1175" s="221"/>
      <c r="FA1175" s="221"/>
      <c r="FB1175" s="221"/>
      <c r="FC1175" s="221"/>
      <c r="FD1175" s="221"/>
      <c r="FE1175" s="221"/>
      <c r="FF1175" s="221"/>
      <c r="FG1175" s="221"/>
      <c r="FH1175" s="221"/>
      <c r="FI1175" s="221"/>
      <c r="FJ1175" s="221"/>
      <c r="FK1175" s="221"/>
      <c r="FL1175" s="221"/>
      <c r="FM1175" s="221"/>
      <c r="FN1175" s="221"/>
      <c r="FO1175" s="221"/>
      <c r="FP1175" s="221"/>
      <c r="FQ1175" s="221"/>
      <c r="FR1175" s="221"/>
      <c r="FS1175" s="221"/>
      <c r="FT1175" s="221"/>
      <c r="FU1175" s="221"/>
      <c r="FV1175" s="221"/>
      <c r="FW1175" s="221"/>
      <c r="FX1175" s="221"/>
      <c r="FY1175" s="221"/>
      <c r="FZ1175" s="221"/>
      <c r="GA1175" s="221"/>
      <c r="GB1175" s="221"/>
      <c r="GC1175" s="221"/>
      <c r="GD1175" s="221"/>
      <c r="GE1175" s="221"/>
      <c r="GF1175" s="221"/>
      <c r="GG1175" s="221"/>
      <c r="GH1175" s="221"/>
      <c r="GI1175" s="221"/>
      <c r="GJ1175" s="221"/>
      <c r="GK1175" s="221"/>
      <c r="GL1175" s="221"/>
      <c r="GM1175" s="221"/>
      <c r="GN1175" s="221"/>
    </row>
    <row r="1176">
      <c r="A1176" s="212"/>
      <c r="B1176" s="21"/>
      <c r="C1176" s="21"/>
      <c r="D1176" s="213"/>
      <c r="E1176" s="214"/>
      <c r="F1176" s="215"/>
      <c r="G1176" s="21"/>
      <c r="H1176" s="225"/>
      <c r="I1176" s="225"/>
      <c r="J1176" s="225"/>
      <c r="K1176" s="225"/>
      <c r="L1176" s="225"/>
      <c r="M1176" s="225"/>
      <c r="N1176" s="225"/>
      <c r="O1176" s="225"/>
      <c r="P1176" s="225"/>
      <c r="Q1176" s="225"/>
      <c r="R1176" s="225"/>
      <c r="S1176" s="225"/>
      <c r="T1176" s="225"/>
      <c r="U1176" s="225"/>
      <c r="V1176" s="225"/>
      <c r="W1176" s="221"/>
      <c r="X1176" s="221"/>
      <c r="Y1176" s="221"/>
      <c r="Z1176" s="221"/>
      <c r="AA1176" s="221"/>
      <c r="AB1176" s="221"/>
      <c r="AC1176" s="221"/>
      <c r="AD1176" s="221"/>
      <c r="AE1176" s="221"/>
      <c r="AF1176" s="221"/>
      <c r="AG1176" s="221"/>
      <c r="AH1176" s="221"/>
      <c r="AI1176" s="221"/>
      <c r="AJ1176" s="221"/>
      <c r="AK1176" s="221"/>
      <c r="AL1176" s="221"/>
      <c r="AM1176" s="221"/>
      <c r="AN1176" s="221"/>
      <c r="AO1176" s="221"/>
      <c r="AP1176" s="221"/>
      <c r="AQ1176" s="221"/>
      <c r="AR1176" s="221"/>
      <c r="AS1176" s="221"/>
      <c r="AT1176" s="221"/>
      <c r="AU1176" s="221"/>
      <c r="AV1176" s="221"/>
      <c r="AW1176" s="221"/>
      <c r="AX1176" s="221"/>
      <c r="AY1176" s="221"/>
      <c r="AZ1176" s="221"/>
      <c r="BA1176" s="221"/>
      <c r="BB1176" s="221"/>
      <c r="BC1176" s="221"/>
      <c r="BD1176" s="221"/>
      <c r="BE1176" s="221"/>
      <c r="BF1176" s="221"/>
      <c r="BG1176" s="221"/>
      <c r="BH1176" s="221"/>
      <c r="BI1176" s="221"/>
      <c r="BJ1176" s="221"/>
      <c r="BK1176" s="221"/>
      <c r="BL1176" s="221"/>
      <c r="BM1176" s="221"/>
      <c r="BN1176" s="221"/>
      <c r="BO1176" s="221"/>
      <c r="BP1176" s="221"/>
      <c r="BQ1176" s="221"/>
      <c r="BR1176" s="221"/>
      <c r="BS1176" s="221"/>
      <c r="BT1176" s="221"/>
      <c r="BU1176" s="221"/>
      <c r="BV1176" s="221"/>
      <c r="BW1176" s="221"/>
      <c r="BX1176" s="221"/>
      <c r="BY1176" s="221"/>
      <c r="BZ1176" s="221"/>
      <c r="CA1176" s="221"/>
      <c r="CB1176" s="221"/>
      <c r="CC1176" s="221"/>
      <c r="CD1176" s="221"/>
      <c r="CE1176" s="221"/>
      <c r="CF1176" s="221"/>
      <c r="CG1176" s="221"/>
      <c r="CH1176" s="221"/>
      <c r="CI1176" s="221"/>
      <c r="CJ1176" s="221"/>
      <c r="CK1176" s="221"/>
      <c r="CL1176" s="221"/>
      <c r="CM1176" s="221"/>
      <c r="CN1176" s="221"/>
      <c r="CO1176" s="221"/>
      <c r="CP1176" s="221"/>
      <c r="CQ1176" s="221"/>
      <c r="CR1176" s="221"/>
      <c r="CS1176" s="221"/>
      <c r="CT1176" s="221"/>
      <c r="CU1176" s="221"/>
      <c r="CV1176" s="221"/>
      <c r="CW1176" s="221"/>
      <c r="CX1176" s="221"/>
      <c r="CY1176" s="221"/>
      <c r="CZ1176" s="221"/>
      <c r="DA1176" s="221"/>
      <c r="DB1176" s="221"/>
      <c r="DC1176" s="221"/>
      <c r="DD1176" s="221"/>
      <c r="DE1176" s="221"/>
      <c r="DF1176" s="221"/>
      <c r="DG1176" s="221"/>
      <c r="DH1176" s="221"/>
      <c r="DI1176" s="221"/>
      <c r="DJ1176" s="221"/>
      <c r="DK1176" s="221"/>
      <c r="DL1176" s="221"/>
      <c r="DM1176" s="221"/>
      <c r="DN1176" s="221"/>
      <c r="DO1176" s="221"/>
      <c r="DP1176" s="221"/>
      <c r="DQ1176" s="221"/>
      <c r="DR1176" s="221"/>
      <c r="DS1176" s="221"/>
      <c r="DT1176" s="221"/>
      <c r="DU1176" s="221"/>
      <c r="DV1176" s="221"/>
      <c r="DW1176" s="221"/>
      <c r="DX1176" s="221"/>
      <c r="DY1176" s="221"/>
      <c r="DZ1176" s="221"/>
      <c r="EA1176" s="221"/>
      <c r="EB1176" s="221"/>
      <c r="EC1176" s="221"/>
      <c r="ED1176" s="221"/>
      <c r="EE1176" s="221"/>
      <c r="EF1176" s="221"/>
      <c r="EG1176" s="221"/>
      <c r="EH1176" s="221"/>
      <c r="EI1176" s="221"/>
      <c r="EJ1176" s="221"/>
      <c r="EK1176" s="221"/>
      <c r="EL1176" s="221"/>
      <c r="EM1176" s="221"/>
      <c r="EN1176" s="221"/>
      <c r="EO1176" s="221"/>
      <c r="EP1176" s="221"/>
      <c r="EQ1176" s="221"/>
      <c r="ER1176" s="221"/>
      <c r="ES1176" s="221"/>
      <c r="ET1176" s="221"/>
      <c r="EU1176" s="221"/>
      <c r="EV1176" s="221"/>
      <c r="EW1176" s="221"/>
      <c r="EX1176" s="221"/>
      <c r="EY1176" s="221"/>
      <c r="EZ1176" s="221"/>
      <c r="FA1176" s="221"/>
      <c r="FB1176" s="221"/>
      <c r="FC1176" s="221"/>
      <c r="FD1176" s="221"/>
      <c r="FE1176" s="221"/>
      <c r="FF1176" s="221"/>
      <c r="FG1176" s="221"/>
      <c r="FH1176" s="221"/>
      <c r="FI1176" s="221"/>
      <c r="FJ1176" s="221"/>
      <c r="FK1176" s="221"/>
      <c r="FL1176" s="221"/>
      <c r="FM1176" s="221"/>
      <c r="FN1176" s="221"/>
      <c r="FO1176" s="221"/>
      <c r="FP1176" s="221"/>
      <c r="FQ1176" s="221"/>
      <c r="FR1176" s="221"/>
      <c r="FS1176" s="221"/>
      <c r="FT1176" s="221"/>
      <c r="FU1176" s="221"/>
      <c r="FV1176" s="221"/>
      <c r="FW1176" s="221"/>
      <c r="FX1176" s="221"/>
      <c r="FY1176" s="221"/>
      <c r="FZ1176" s="221"/>
      <c r="GA1176" s="221"/>
      <c r="GB1176" s="221"/>
      <c r="GC1176" s="221"/>
      <c r="GD1176" s="221"/>
      <c r="GE1176" s="221"/>
      <c r="GF1176" s="221"/>
      <c r="GG1176" s="221"/>
      <c r="GH1176" s="221"/>
      <c r="GI1176" s="221"/>
      <c r="GJ1176" s="221"/>
      <c r="GK1176" s="221"/>
      <c r="GL1176" s="221"/>
      <c r="GM1176" s="221"/>
      <c r="GN1176" s="221"/>
    </row>
    <row r="1177">
      <c r="A1177" s="212"/>
      <c r="B1177" s="21"/>
      <c r="C1177" s="21"/>
      <c r="D1177" s="213"/>
      <c r="E1177" s="214"/>
      <c r="F1177" s="215"/>
      <c r="G1177" s="21"/>
      <c r="H1177" s="225"/>
      <c r="I1177" s="225"/>
      <c r="J1177" s="225"/>
      <c r="K1177" s="225"/>
      <c r="L1177" s="225"/>
      <c r="M1177" s="225"/>
      <c r="N1177" s="225"/>
      <c r="O1177" s="225"/>
      <c r="P1177" s="225"/>
      <c r="Q1177" s="225"/>
      <c r="R1177" s="225"/>
      <c r="S1177" s="225"/>
      <c r="T1177" s="225"/>
      <c r="U1177" s="225"/>
      <c r="V1177" s="225"/>
      <c r="W1177" s="221"/>
      <c r="X1177" s="221"/>
      <c r="Y1177" s="221"/>
      <c r="Z1177" s="221"/>
      <c r="AA1177" s="221"/>
      <c r="AB1177" s="221"/>
      <c r="AC1177" s="221"/>
      <c r="AD1177" s="221"/>
      <c r="AE1177" s="221"/>
      <c r="AF1177" s="221"/>
      <c r="AG1177" s="221"/>
      <c r="AH1177" s="221"/>
      <c r="AI1177" s="221"/>
      <c r="AJ1177" s="221"/>
      <c r="AK1177" s="221"/>
      <c r="AL1177" s="221"/>
      <c r="AM1177" s="221"/>
      <c r="AN1177" s="221"/>
      <c r="AO1177" s="221"/>
      <c r="AP1177" s="221"/>
      <c r="AQ1177" s="221"/>
      <c r="AR1177" s="221"/>
      <c r="AS1177" s="221"/>
      <c r="AT1177" s="221"/>
      <c r="AU1177" s="221"/>
      <c r="AV1177" s="221"/>
      <c r="AW1177" s="221"/>
      <c r="AX1177" s="221"/>
      <c r="AY1177" s="221"/>
      <c r="AZ1177" s="221"/>
      <c r="BA1177" s="221"/>
      <c r="BB1177" s="221"/>
      <c r="BC1177" s="221"/>
      <c r="BD1177" s="221"/>
      <c r="BE1177" s="221"/>
      <c r="BF1177" s="221"/>
      <c r="BG1177" s="221"/>
      <c r="BH1177" s="221"/>
      <c r="BI1177" s="221"/>
      <c r="BJ1177" s="221"/>
      <c r="BK1177" s="221"/>
      <c r="BL1177" s="221"/>
      <c r="BM1177" s="221"/>
      <c r="BN1177" s="221"/>
      <c r="BO1177" s="221"/>
      <c r="BP1177" s="221"/>
      <c r="BQ1177" s="221"/>
      <c r="BR1177" s="221"/>
      <c r="BS1177" s="221"/>
      <c r="BT1177" s="221"/>
      <c r="BU1177" s="221"/>
      <c r="BV1177" s="221"/>
      <c r="BW1177" s="221"/>
      <c r="BX1177" s="221"/>
      <c r="BY1177" s="221"/>
      <c r="BZ1177" s="221"/>
      <c r="CA1177" s="221"/>
      <c r="CB1177" s="221"/>
      <c r="CC1177" s="221"/>
      <c r="CD1177" s="221"/>
      <c r="CE1177" s="221"/>
      <c r="CF1177" s="221"/>
      <c r="CG1177" s="221"/>
      <c r="CH1177" s="221"/>
      <c r="CI1177" s="221"/>
      <c r="CJ1177" s="221"/>
      <c r="CK1177" s="221"/>
      <c r="CL1177" s="221"/>
      <c r="CM1177" s="221"/>
      <c r="CN1177" s="221"/>
      <c r="CO1177" s="221"/>
      <c r="CP1177" s="221"/>
      <c r="CQ1177" s="221"/>
      <c r="CR1177" s="221"/>
      <c r="CS1177" s="221"/>
      <c r="CT1177" s="221"/>
      <c r="CU1177" s="221"/>
      <c r="CV1177" s="221"/>
      <c r="CW1177" s="221"/>
      <c r="CX1177" s="221"/>
      <c r="CY1177" s="221"/>
      <c r="CZ1177" s="221"/>
      <c r="DA1177" s="221"/>
      <c r="DB1177" s="221"/>
      <c r="DC1177" s="221"/>
      <c r="DD1177" s="221"/>
      <c r="DE1177" s="221"/>
      <c r="DF1177" s="221"/>
      <c r="DG1177" s="221"/>
      <c r="DH1177" s="221"/>
      <c r="DI1177" s="221"/>
      <c r="DJ1177" s="221"/>
      <c r="DK1177" s="221"/>
      <c r="DL1177" s="221"/>
      <c r="DM1177" s="221"/>
      <c r="DN1177" s="221"/>
      <c r="DO1177" s="221"/>
      <c r="DP1177" s="221"/>
      <c r="DQ1177" s="221"/>
      <c r="DR1177" s="221"/>
      <c r="DS1177" s="221"/>
      <c r="DT1177" s="221"/>
      <c r="DU1177" s="221"/>
      <c r="DV1177" s="221"/>
      <c r="DW1177" s="221"/>
      <c r="DX1177" s="221"/>
      <c r="DY1177" s="221"/>
      <c r="DZ1177" s="221"/>
      <c r="EA1177" s="221"/>
      <c r="EB1177" s="221"/>
      <c r="EC1177" s="221"/>
      <c r="ED1177" s="221"/>
      <c r="EE1177" s="221"/>
      <c r="EF1177" s="221"/>
      <c r="EG1177" s="221"/>
      <c r="EH1177" s="221"/>
      <c r="EI1177" s="221"/>
      <c r="EJ1177" s="221"/>
      <c r="EK1177" s="221"/>
      <c r="EL1177" s="221"/>
      <c r="EM1177" s="221"/>
      <c r="EN1177" s="221"/>
      <c r="EO1177" s="221"/>
      <c r="EP1177" s="221"/>
      <c r="EQ1177" s="221"/>
      <c r="ER1177" s="221"/>
      <c r="ES1177" s="221"/>
      <c r="ET1177" s="221"/>
      <c r="EU1177" s="221"/>
      <c r="EV1177" s="221"/>
      <c r="EW1177" s="221"/>
      <c r="EX1177" s="221"/>
      <c r="EY1177" s="221"/>
      <c r="EZ1177" s="221"/>
      <c r="FA1177" s="221"/>
      <c r="FB1177" s="221"/>
      <c r="FC1177" s="221"/>
      <c r="FD1177" s="221"/>
      <c r="FE1177" s="221"/>
      <c r="FF1177" s="221"/>
      <c r="FG1177" s="221"/>
      <c r="FH1177" s="221"/>
      <c r="FI1177" s="221"/>
      <c r="FJ1177" s="221"/>
      <c r="FK1177" s="221"/>
      <c r="FL1177" s="221"/>
      <c r="FM1177" s="221"/>
      <c r="FN1177" s="221"/>
      <c r="FO1177" s="221"/>
      <c r="FP1177" s="221"/>
      <c r="FQ1177" s="221"/>
      <c r="FR1177" s="221"/>
      <c r="FS1177" s="221"/>
      <c r="FT1177" s="221"/>
      <c r="FU1177" s="221"/>
      <c r="FV1177" s="221"/>
      <c r="FW1177" s="221"/>
      <c r="FX1177" s="221"/>
      <c r="FY1177" s="221"/>
      <c r="FZ1177" s="221"/>
      <c r="GA1177" s="221"/>
      <c r="GB1177" s="221"/>
      <c r="GC1177" s="221"/>
      <c r="GD1177" s="221"/>
      <c r="GE1177" s="221"/>
      <c r="GF1177" s="221"/>
      <c r="GG1177" s="221"/>
      <c r="GH1177" s="221"/>
      <c r="GI1177" s="221"/>
      <c r="GJ1177" s="221"/>
      <c r="GK1177" s="221"/>
      <c r="GL1177" s="221"/>
      <c r="GM1177" s="221"/>
      <c r="GN1177" s="221"/>
    </row>
    <row r="1178">
      <c r="A1178" s="212"/>
      <c r="B1178" s="21"/>
      <c r="C1178" s="21"/>
      <c r="D1178" s="213"/>
      <c r="E1178" s="214"/>
      <c r="F1178" s="215"/>
      <c r="G1178" s="21"/>
      <c r="H1178" s="225"/>
      <c r="I1178" s="225"/>
      <c r="J1178" s="225"/>
      <c r="K1178" s="225"/>
      <c r="L1178" s="225"/>
      <c r="M1178" s="225"/>
      <c r="N1178" s="225"/>
      <c r="O1178" s="225"/>
      <c r="P1178" s="225"/>
      <c r="Q1178" s="225"/>
      <c r="R1178" s="225"/>
      <c r="S1178" s="225"/>
      <c r="T1178" s="225"/>
      <c r="U1178" s="225"/>
      <c r="V1178" s="225"/>
      <c r="W1178" s="221"/>
      <c r="X1178" s="221"/>
      <c r="Y1178" s="221"/>
      <c r="Z1178" s="221"/>
      <c r="AA1178" s="221"/>
      <c r="AB1178" s="221"/>
      <c r="AC1178" s="221"/>
      <c r="AD1178" s="221"/>
      <c r="AE1178" s="221"/>
      <c r="AF1178" s="221"/>
      <c r="AG1178" s="221"/>
      <c r="AH1178" s="221"/>
      <c r="AI1178" s="221"/>
      <c r="AJ1178" s="221"/>
      <c r="AK1178" s="221"/>
      <c r="AL1178" s="221"/>
      <c r="AM1178" s="221"/>
      <c r="AN1178" s="221"/>
      <c r="AO1178" s="221"/>
      <c r="AP1178" s="221"/>
      <c r="AQ1178" s="221"/>
      <c r="AR1178" s="221"/>
      <c r="AS1178" s="221"/>
      <c r="AT1178" s="221"/>
      <c r="AU1178" s="221"/>
      <c r="AV1178" s="221"/>
      <c r="AW1178" s="221"/>
      <c r="AX1178" s="221"/>
      <c r="AY1178" s="221"/>
      <c r="AZ1178" s="221"/>
      <c r="BA1178" s="221"/>
      <c r="BB1178" s="221"/>
      <c r="BC1178" s="221"/>
      <c r="BD1178" s="221"/>
      <c r="BE1178" s="221"/>
      <c r="BF1178" s="221"/>
      <c r="BG1178" s="221"/>
      <c r="BH1178" s="221"/>
      <c r="BI1178" s="221"/>
      <c r="BJ1178" s="221"/>
      <c r="BK1178" s="221"/>
      <c r="BL1178" s="221"/>
      <c r="BM1178" s="221"/>
      <c r="BN1178" s="221"/>
      <c r="BO1178" s="221"/>
      <c r="BP1178" s="221"/>
      <c r="BQ1178" s="221"/>
      <c r="BR1178" s="221"/>
      <c r="BS1178" s="221"/>
      <c r="BT1178" s="221"/>
      <c r="BU1178" s="221"/>
      <c r="BV1178" s="221"/>
      <c r="BW1178" s="221"/>
      <c r="BX1178" s="221"/>
      <c r="BY1178" s="221"/>
      <c r="BZ1178" s="221"/>
      <c r="CA1178" s="221"/>
      <c r="CB1178" s="221"/>
      <c r="CC1178" s="221"/>
      <c r="CD1178" s="221"/>
      <c r="CE1178" s="221"/>
      <c r="CF1178" s="221"/>
      <c r="CG1178" s="221"/>
      <c r="CH1178" s="221"/>
      <c r="CI1178" s="221"/>
      <c r="CJ1178" s="221"/>
      <c r="CK1178" s="221"/>
      <c r="CL1178" s="221"/>
      <c r="CM1178" s="221"/>
      <c r="CN1178" s="221"/>
      <c r="CO1178" s="221"/>
      <c r="CP1178" s="221"/>
      <c r="CQ1178" s="221"/>
      <c r="CR1178" s="221"/>
      <c r="CS1178" s="221"/>
      <c r="CT1178" s="221"/>
      <c r="CU1178" s="221"/>
      <c r="CV1178" s="221"/>
      <c r="CW1178" s="221"/>
      <c r="CX1178" s="221"/>
      <c r="CY1178" s="221"/>
      <c r="CZ1178" s="221"/>
      <c r="DA1178" s="221"/>
      <c r="DB1178" s="221"/>
      <c r="DC1178" s="221"/>
      <c r="DD1178" s="221"/>
      <c r="DE1178" s="221"/>
      <c r="DF1178" s="221"/>
      <c r="DG1178" s="221"/>
      <c r="DH1178" s="221"/>
      <c r="DI1178" s="221"/>
      <c r="DJ1178" s="221"/>
      <c r="DK1178" s="221"/>
      <c r="DL1178" s="221"/>
      <c r="DM1178" s="221"/>
      <c r="DN1178" s="221"/>
      <c r="DO1178" s="221"/>
      <c r="DP1178" s="221"/>
      <c r="DQ1178" s="221"/>
      <c r="DR1178" s="221"/>
      <c r="DS1178" s="221"/>
      <c r="DT1178" s="221"/>
      <c r="DU1178" s="221"/>
      <c r="DV1178" s="221"/>
      <c r="DW1178" s="221"/>
      <c r="DX1178" s="221"/>
      <c r="DY1178" s="221"/>
      <c r="DZ1178" s="221"/>
      <c r="EA1178" s="221"/>
      <c r="EB1178" s="221"/>
      <c r="EC1178" s="221"/>
      <c r="ED1178" s="221"/>
      <c r="EE1178" s="221"/>
      <c r="EF1178" s="221"/>
      <c r="EG1178" s="221"/>
      <c r="EH1178" s="221"/>
      <c r="EI1178" s="221"/>
      <c r="EJ1178" s="221"/>
      <c r="EK1178" s="221"/>
      <c r="EL1178" s="221"/>
      <c r="EM1178" s="221"/>
      <c r="EN1178" s="221"/>
      <c r="EO1178" s="221"/>
      <c r="EP1178" s="221"/>
      <c r="EQ1178" s="221"/>
      <c r="ER1178" s="221"/>
      <c r="ES1178" s="221"/>
      <c r="ET1178" s="221"/>
      <c r="EU1178" s="221"/>
      <c r="EV1178" s="221"/>
      <c r="EW1178" s="221"/>
      <c r="EX1178" s="221"/>
      <c r="EY1178" s="221"/>
      <c r="EZ1178" s="221"/>
      <c r="FA1178" s="221"/>
      <c r="FB1178" s="221"/>
      <c r="FC1178" s="221"/>
      <c r="FD1178" s="221"/>
      <c r="FE1178" s="221"/>
      <c r="FF1178" s="221"/>
      <c r="FG1178" s="221"/>
      <c r="FH1178" s="221"/>
      <c r="FI1178" s="221"/>
      <c r="FJ1178" s="221"/>
      <c r="FK1178" s="221"/>
      <c r="FL1178" s="221"/>
      <c r="FM1178" s="221"/>
      <c r="FN1178" s="221"/>
      <c r="FO1178" s="221"/>
      <c r="FP1178" s="221"/>
      <c r="FQ1178" s="221"/>
      <c r="FR1178" s="221"/>
      <c r="FS1178" s="221"/>
      <c r="FT1178" s="221"/>
      <c r="FU1178" s="221"/>
      <c r="FV1178" s="221"/>
      <c r="FW1178" s="221"/>
      <c r="FX1178" s="221"/>
      <c r="FY1178" s="221"/>
      <c r="FZ1178" s="221"/>
      <c r="GA1178" s="221"/>
      <c r="GB1178" s="221"/>
      <c r="GC1178" s="221"/>
      <c r="GD1178" s="221"/>
      <c r="GE1178" s="221"/>
      <c r="GF1178" s="221"/>
      <c r="GG1178" s="221"/>
      <c r="GH1178" s="221"/>
      <c r="GI1178" s="221"/>
      <c r="GJ1178" s="221"/>
      <c r="GK1178" s="221"/>
      <c r="GL1178" s="221"/>
      <c r="GM1178" s="221"/>
      <c r="GN1178" s="221"/>
    </row>
    <row r="1179">
      <c r="A1179" s="212"/>
      <c r="B1179" s="21"/>
      <c r="C1179" s="21"/>
      <c r="D1179" s="213"/>
      <c r="E1179" s="214"/>
      <c r="F1179" s="215"/>
      <c r="G1179" s="21"/>
      <c r="H1179" s="225"/>
      <c r="I1179" s="225"/>
      <c r="J1179" s="225"/>
      <c r="K1179" s="225"/>
      <c r="L1179" s="225"/>
      <c r="M1179" s="225"/>
      <c r="N1179" s="225"/>
      <c r="O1179" s="225"/>
      <c r="P1179" s="225"/>
      <c r="Q1179" s="225"/>
      <c r="R1179" s="225"/>
      <c r="S1179" s="225"/>
      <c r="T1179" s="225"/>
      <c r="U1179" s="225"/>
      <c r="V1179" s="225"/>
      <c r="W1179" s="221"/>
      <c r="X1179" s="221"/>
      <c r="Y1179" s="221"/>
      <c r="Z1179" s="221"/>
      <c r="AA1179" s="221"/>
      <c r="AB1179" s="221"/>
      <c r="AC1179" s="221"/>
      <c r="AD1179" s="221"/>
      <c r="AE1179" s="221"/>
      <c r="AF1179" s="221"/>
      <c r="AG1179" s="221"/>
      <c r="AH1179" s="221"/>
      <c r="AI1179" s="221"/>
      <c r="AJ1179" s="221"/>
      <c r="AK1179" s="221"/>
      <c r="AL1179" s="221"/>
      <c r="AM1179" s="221"/>
      <c r="AN1179" s="221"/>
      <c r="AO1179" s="221"/>
      <c r="AP1179" s="221"/>
      <c r="AQ1179" s="221"/>
      <c r="AR1179" s="221"/>
      <c r="AS1179" s="221"/>
      <c r="AT1179" s="221"/>
      <c r="AU1179" s="221"/>
      <c r="AV1179" s="221"/>
      <c r="AW1179" s="221"/>
      <c r="AX1179" s="221"/>
      <c r="AY1179" s="221"/>
      <c r="AZ1179" s="221"/>
      <c r="BA1179" s="221"/>
      <c r="BB1179" s="221"/>
      <c r="BC1179" s="221"/>
      <c r="BD1179" s="221"/>
      <c r="BE1179" s="221"/>
      <c r="BF1179" s="221"/>
      <c r="BG1179" s="221"/>
      <c r="BH1179" s="221"/>
      <c r="BI1179" s="221"/>
      <c r="BJ1179" s="221"/>
      <c r="BK1179" s="221"/>
      <c r="BL1179" s="221"/>
      <c r="BM1179" s="221"/>
      <c r="BN1179" s="221"/>
      <c r="BO1179" s="221"/>
      <c r="BP1179" s="221"/>
      <c r="BQ1179" s="221"/>
      <c r="BR1179" s="221"/>
      <c r="BS1179" s="221"/>
      <c r="BT1179" s="221"/>
      <c r="BU1179" s="221"/>
      <c r="BV1179" s="221"/>
      <c r="BW1179" s="221"/>
      <c r="BX1179" s="221"/>
      <c r="BY1179" s="221"/>
      <c r="BZ1179" s="221"/>
      <c r="CA1179" s="221"/>
      <c r="CB1179" s="221"/>
      <c r="CC1179" s="221"/>
      <c r="CD1179" s="221"/>
      <c r="CE1179" s="221"/>
      <c r="CF1179" s="221"/>
      <c r="CG1179" s="221"/>
      <c r="CH1179" s="221"/>
      <c r="CI1179" s="221"/>
      <c r="CJ1179" s="221"/>
      <c r="CK1179" s="221"/>
      <c r="CL1179" s="221"/>
      <c r="CM1179" s="221"/>
      <c r="CN1179" s="221"/>
      <c r="CO1179" s="221"/>
      <c r="CP1179" s="221"/>
      <c r="CQ1179" s="221"/>
      <c r="CR1179" s="221"/>
      <c r="CS1179" s="221"/>
      <c r="CT1179" s="221"/>
      <c r="CU1179" s="221"/>
      <c r="CV1179" s="221"/>
      <c r="CW1179" s="221"/>
      <c r="CX1179" s="221"/>
      <c r="CY1179" s="221"/>
      <c r="CZ1179" s="221"/>
      <c r="DA1179" s="221"/>
      <c r="DB1179" s="221"/>
      <c r="DC1179" s="221"/>
      <c r="DD1179" s="221"/>
      <c r="DE1179" s="221"/>
      <c r="DF1179" s="221"/>
      <c r="DG1179" s="221"/>
      <c r="DH1179" s="221"/>
      <c r="DI1179" s="221"/>
      <c r="DJ1179" s="221"/>
      <c r="DK1179" s="221"/>
      <c r="DL1179" s="221"/>
      <c r="DM1179" s="221"/>
      <c r="DN1179" s="221"/>
      <c r="DO1179" s="221"/>
      <c r="DP1179" s="221"/>
      <c r="DQ1179" s="221"/>
      <c r="DR1179" s="221"/>
      <c r="DS1179" s="221"/>
      <c r="DT1179" s="221"/>
      <c r="DU1179" s="221"/>
      <c r="DV1179" s="221"/>
      <c r="DW1179" s="221"/>
      <c r="DX1179" s="221"/>
      <c r="DY1179" s="221"/>
      <c r="DZ1179" s="221"/>
      <c r="EA1179" s="221"/>
      <c r="EB1179" s="221"/>
      <c r="EC1179" s="221"/>
      <c r="ED1179" s="221"/>
      <c r="EE1179" s="221"/>
      <c r="EF1179" s="221"/>
      <c r="EG1179" s="221"/>
      <c r="EH1179" s="221"/>
      <c r="EI1179" s="221"/>
      <c r="EJ1179" s="221"/>
      <c r="EK1179" s="221"/>
      <c r="EL1179" s="221"/>
      <c r="EM1179" s="221"/>
      <c r="EN1179" s="221"/>
      <c r="EO1179" s="221"/>
      <c r="EP1179" s="221"/>
      <c r="EQ1179" s="221"/>
      <c r="ER1179" s="221"/>
      <c r="ES1179" s="221"/>
      <c r="ET1179" s="221"/>
      <c r="EU1179" s="221"/>
      <c r="EV1179" s="221"/>
      <c r="EW1179" s="221"/>
      <c r="EX1179" s="221"/>
      <c r="EY1179" s="221"/>
      <c r="EZ1179" s="221"/>
      <c r="FA1179" s="221"/>
      <c r="FB1179" s="221"/>
      <c r="FC1179" s="221"/>
      <c r="FD1179" s="221"/>
      <c r="FE1179" s="221"/>
      <c r="FF1179" s="221"/>
      <c r="FG1179" s="221"/>
      <c r="FH1179" s="221"/>
      <c r="FI1179" s="221"/>
      <c r="FJ1179" s="221"/>
      <c r="FK1179" s="221"/>
      <c r="FL1179" s="221"/>
      <c r="FM1179" s="221"/>
      <c r="FN1179" s="221"/>
      <c r="FO1179" s="221"/>
      <c r="FP1179" s="221"/>
      <c r="FQ1179" s="221"/>
      <c r="FR1179" s="221"/>
      <c r="FS1179" s="221"/>
      <c r="FT1179" s="221"/>
      <c r="FU1179" s="221"/>
      <c r="FV1179" s="221"/>
      <c r="FW1179" s="221"/>
      <c r="FX1179" s="221"/>
      <c r="FY1179" s="221"/>
      <c r="FZ1179" s="221"/>
      <c r="GA1179" s="221"/>
      <c r="GB1179" s="221"/>
      <c r="GC1179" s="221"/>
      <c r="GD1179" s="221"/>
      <c r="GE1179" s="221"/>
      <c r="GF1179" s="221"/>
      <c r="GG1179" s="221"/>
      <c r="GH1179" s="221"/>
      <c r="GI1179" s="221"/>
      <c r="GJ1179" s="221"/>
      <c r="GK1179" s="221"/>
      <c r="GL1179" s="221"/>
      <c r="GM1179" s="221"/>
      <c r="GN1179" s="221"/>
    </row>
    <row r="1180">
      <c r="A1180" s="212"/>
      <c r="B1180" s="21"/>
      <c r="C1180" s="21"/>
      <c r="D1180" s="213"/>
      <c r="E1180" s="214"/>
      <c r="F1180" s="215"/>
      <c r="G1180" s="21"/>
      <c r="H1180" s="225"/>
      <c r="I1180" s="225"/>
      <c r="J1180" s="225"/>
      <c r="K1180" s="225"/>
      <c r="L1180" s="225"/>
      <c r="M1180" s="225"/>
      <c r="N1180" s="225"/>
      <c r="O1180" s="225"/>
      <c r="P1180" s="225"/>
      <c r="Q1180" s="225"/>
      <c r="R1180" s="225"/>
      <c r="S1180" s="225"/>
      <c r="T1180" s="225"/>
      <c r="U1180" s="225"/>
      <c r="V1180" s="225"/>
      <c r="W1180" s="221"/>
      <c r="X1180" s="221"/>
      <c r="Y1180" s="221"/>
      <c r="Z1180" s="221"/>
      <c r="AA1180" s="221"/>
      <c r="AB1180" s="221"/>
      <c r="AC1180" s="221"/>
      <c r="AD1180" s="221"/>
      <c r="AE1180" s="221"/>
      <c r="AF1180" s="221"/>
      <c r="AG1180" s="221"/>
      <c r="AH1180" s="221"/>
      <c r="AI1180" s="221"/>
      <c r="AJ1180" s="221"/>
      <c r="AK1180" s="221"/>
      <c r="AL1180" s="221"/>
      <c r="AM1180" s="221"/>
      <c r="AN1180" s="221"/>
      <c r="AO1180" s="221"/>
      <c r="AP1180" s="221"/>
      <c r="AQ1180" s="221"/>
      <c r="AR1180" s="221"/>
      <c r="AS1180" s="221"/>
      <c r="AT1180" s="221"/>
      <c r="AU1180" s="221"/>
      <c r="AV1180" s="221"/>
      <c r="AW1180" s="221"/>
      <c r="AX1180" s="221"/>
      <c r="AY1180" s="221"/>
      <c r="AZ1180" s="221"/>
      <c r="BA1180" s="221"/>
      <c r="BB1180" s="221"/>
      <c r="BC1180" s="221"/>
      <c r="BD1180" s="221"/>
      <c r="BE1180" s="221"/>
      <c r="BF1180" s="221"/>
      <c r="BG1180" s="221"/>
      <c r="BH1180" s="221"/>
      <c r="BI1180" s="221"/>
      <c r="BJ1180" s="221"/>
      <c r="BK1180" s="221"/>
      <c r="BL1180" s="221"/>
      <c r="BM1180" s="221"/>
      <c r="BN1180" s="221"/>
      <c r="BO1180" s="221"/>
      <c r="BP1180" s="221"/>
      <c r="BQ1180" s="221"/>
      <c r="BR1180" s="221"/>
      <c r="BS1180" s="221"/>
      <c r="BT1180" s="221"/>
      <c r="BU1180" s="221"/>
      <c r="BV1180" s="221"/>
      <c r="BW1180" s="221"/>
      <c r="BX1180" s="221"/>
      <c r="BY1180" s="221"/>
      <c r="BZ1180" s="221"/>
      <c r="CA1180" s="221"/>
      <c r="CB1180" s="221"/>
      <c r="CC1180" s="221"/>
      <c r="CD1180" s="221"/>
      <c r="CE1180" s="221"/>
      <c r="CF1180" s="221"/>
      <c r="CG1180" s="221"/>
      <c r="CH1180" s="221"/>
      <c r="CI1180" s="221"/>
      <c r="CJ1180" s="221"/>
      <c r="CK1180" s="221"/>
      <c r="CL1180" s="221"/>
      <c r="CM1180" s="221"/>
      <c r="CN1180" s="221"/>
      <c r="CO1180" s="221"/>
      <c r="CP1180" s="221"/>
      <c r="CQ1180" s="221"/>
      <c r="CR1180" s="221"/>
      <c r="CS1180" s="221"/>
      <c r="CT1180" s="221"/>
      <c r="CU1180" s="221"/>
      <c r="CV1180" s="221"/>
      <c r="CW1180" s="221"/>
      <c r="CX1180" s="221"/>
      <c r="CY1180" s="221"/>
      <c r="CZ1180" s="221"/>
      <c r="DA1180" s="221"/>
      <c r="DB1180" s="221"/>
      <c r="DC1180" s="221"/>
      <c r="DD1180" s="221"/>
      <c r="DE1180" s="221"/>
      <c r="DF1180" s="221"/>
      <c r="DG1180" s="221"/>
      <c r="DH1180" s="221"/>
      <c r="DI1180" s="221"/>
      <c r="DJ1180" s="221"/>
      <c r="DK1180" s="221"/>
      <c r="DL1180" s="221"/>
      <c r="DM1180" s="221"/>
      <c r="DN1180" s="221"/>
      <c r="DO1180" s="221"/>
      <c r="DP1180" s="221"/>
      <c r="DQ1180" s="221"/>
      <c r="DR1180" s="221"/>
      <c r="DS1180" s="221"/>
      <c r="DT1180" s="221"/>
      <c r="DU1180" s="221"/>
      <c r="DV1180" s="221"/>
      <c r="DW1180" s="221"/>
      <c r="DX1180" s="221"/>
      <c r="DY1180" s="221"/>
      <c r="DZ1180" s="221"/>
      <c r="EA1180" s="221"/>
      <c r="EB1180" s="221"/>
      <c r="EC1180" s="221"/>
      <c r="ED1180" s="221"/>
      <c r="EE1180" s="221"/>
      <c r="EF1180" s="221"/>
      <c r="EG1180" s="221"/>
      <c r="EH1180" s="221"/>
      <c r="EI1180" s="221"/>
      <c r="EJ1180" s="221"/>
      <c r="EK1180" s="221"/>
      <c r="EL1180" s="221"/>
      <c r="EM1180" s="221"/>
      <c r="EN1180" s="221"/>
      <c r="EO1180" s="221"/>
      <c r="EP1180" s="221"/>
      <c r="EQ1180" s="221"/>
      <c r="ER1180" s="221"/>
      <c r="ES1180" s="221"/>
      <c r="ET1180" s="221"/>
      <c r="EU1180" s="221"/>
      <c r="EV1180" s="221"/>
      <c r="EW1180" s="221"/>
      <c r="EX1180" s="221"/>
      <c r="EY1180" s="221"/>
      <c r="EZ1180" s="221"/>
      <c r="FA1180" s="221"/>
      <c r="FB1180" s="221"/>
      <c r="FC1180" s="221"/>
      <c r="FD1180" s="221"/>
      <c r="FE1180" s="221"/>
      <c r="FF1180" s="221"/>
      <c r="FG1180" s="221"/>
      <c r="FH1180" s="221"/>
      <c r="FI1180" s="221"/>
      <c r="FJ1180" s="221"/>
      <c r="FK1180" s="221"/>
      <c r="FL1180" s="221"/>
      <c r="FM1180" s="221"/>
      <c r="FN1180" s="221"/>
      <c r="FO1180" s="221"/>
      <c r="FP1180" s="221"/>
      <c r="FQ1180" s="221"/>
      <c r="FR1180" s="221"/>
      <c r="FS1180" s="221"/>
      <c r="FT1180" s="221"/>
      <c r="FU1180" s="221"/>
      <c r="FV1180" s="221"/>
      <c r="FW1180" s="221"/>
      <c r="FX1180" s="221"/>
      <c r="FY1180" s="221"/>
      <c r="FZ1180" s="221"/>
      <c r="GA1180" s="221"/>
      <c r="GB1180" s="221"/>
      <c r="GC1180" s="221"/>
      <c r="GD1180" s="221"/>
      <c r="GE1180" s="221"/>
      <c r="GF1180" s="221"/>
      <c r="GG1180" s="221"/>
      <c r="GH1180" s="221"/>
      <c r="GI1180" s="221"/>
      <c r="GJ1180" s="221"/>
      <c r="GK1180" s="221"/>
      <c r="GL1180" s="221"/>
      <c r="GM1180" s="221"/>
      <c r="GN1180" s="221"/>
    </row>
    <row r="1181">
      <c r="A1181" s="212"/>
      <c r="B1181" s="21"/>
      <c r="C1181" s="21"/>
      <c r="D1181" s="213"/>
      <c r="E1181" s="214"/>
      <c r="F1181" s="215"/>
      <c r="G1181" s="21"/>
      <c r="H1181" s="225"/>
      <c r="I1181" s="225"/>
      <c r="J1181" s="225"/>
      <c r="K1181" s="225"/>
      <c r="L1181" s="225"/>
      <c r="M1181" s="225"/>
      <c r="N1181" s="225"/>
      <c r="O1181" s="225"/>
      <c r="P1181" s="225"/>
      <c r="Q1181" s="225"/>
      <c r="R1181" s="225"/>
      <c r="S1181" s="225"/>
      <c r="T1181" s="225"/>
      <c r="U1181" s="225"/>
      <c r="V1181" s="225"/>
      <c r="W1181" s="221"/>
      <c r="X1181" s="221"/>
      <c r="Y1181" s="221"/>
      <c r="Z1181" s="221"/>
      <c r="AA1181" s="221"/>
      <c r="AB1181" s="221"/>
      <c r="AC1181" s="221"/>
      <c r="AD1181" s="221"/>
      <c r="AE1181" s="221"/>
      <c r="AF1181" s="221"/>
      <c r="AG1181" s="221"/>
      <c r="AH1181" s="221"/>
      <c r="AI1181" s="221"/>
      <c r="AJ1181" s="221"/>
      <c r="AK1181" s="221"/>
      <c r="AL1181" s="221"/>
      <c r="AM1181" s="221"/>
      <c r="AN1181" s="221"/>
      <c r="AO1181" s="221"/>
      <c r="AP1181" s="221"/>
      <c r="AQ1181" s="221"/>
      <c r="AR1181" s="221"/>
      <c r="AS1181" s="221"/>
      <c r="AT1181" s="221"/>
      <c r="AU1181" s="221"/>
      <c r="AV1181" s="221"/>
      <c r="AW1181" s="221"/>
      <c r="AX1181" s="221"/>
      <c r="AY1181" s="221"/>
      <c r="AZ1181" s="221"/>
      <c r="BA1181" s="221"/>
      <c r="BB1181" s="221"/>
      <c r="BC1181" s="221"/>
      <c r="BD1181" s="221"/>
      <c r="BE1181" s="221"/>
      <c r="BF1181" s="221"/>
      <c r="BG1181" s="221"/>
      <c r="BH1181" s="221"/>
      <c r="BI1181" s="221"/>
      <c r="BJ1181" s="221"/>
      <c r="BK1181" s="221"/>
      <c r="BL1181" s="221"/>
      <c r="BM1181" s="221"/>
      <c r="BN1181" s="221"/>
      <c r="BO1181" s="221"/>
      <c r="BP1181" s="221"/>
      <c r="BQ1181" s="221"/>
      <c r="BR1181" s="221"/>
      <c r="BS1181" s="221"/>
      <c r="BT1181" s="221"/>
      <c r="BU1181" s="221"/>
      <c r="BV1181" s="221"/>
      <c r="BW1181" s="221"/>
      <c r="BX1181" s="221"/>
      <c r="BY1181" s="221"/>
      <c r="BZ1181" s="221"/>
      <c r="CA1181" s="221"/>
      <c r="CB1181" s="221"/>
      <c r="CC1181" s="221"/>
      <c r="CD1181" s="221"/>
      <c r="CE1181" s="221"/>
      <c r="CF1181" s="221"/>
      <c r="CG1181" s="221"/>
      <c r="CH1181" s="221"/>
      <c r="CI1181" s="221"/>
      <c r="CJ1181" s="221"/>
      <c r="CK1181" s="221"/>
      <c r="CL1181" s="221"/>
      <c r="CM1181" s="221"/>
      <c r="CN1181" s="221"/>
      <c r="CO1181" s="221"/>
      <c r="CP1181" s="221"/>
      <c r="CQ1181" s="221"/>
      <c r="CR1181" s="221"/>
      <c r="CS1181" s="221"/>
      <c r="CT1181" s="221"/>
      <c r="CU1181" s="221"/>
      <c r="CV1181" s="221"/>
      <c r="CW1181" s="221"/>
      <c r="CX1181" s="221"/>
      <c r="CY1181" s="221"/>
      <c r="CZ1181" s="221"/>
      <c r="DA1181" s="221"/>
      <c r="DB1181" s="221"/>
      <c r="DC1181" s="221"/>
      <c r="DD1181" s="221"/>
      <c r="DE1181" s="221"/>
      <c r="DF1181" s="221"/>
      <c r="DG1181" s="221"/>
      <c r="DH1181" s="221"/>
      <c r="DI1181" s="221"/>
      <c r="DJ1181" s="221"/>
      <c r="DK1181" s="221"/>
      <c r="DL1181" s="221"/>
      <c r="DM1181" s="221"/>
      <c r="DN1181" s="221"/>
      <c r="DO1181" s="221"/>
      <c r="DP1181" s="221"/>
      <c r="DQ1181" s="221"/>
      <c r="DR1181" s="221"/>
      <c r="DS1181" s="221"/>
      <c r="DT1181" s="221"/>
      <c r="DU1181" s="221"/>
      <c r="DV1181" s="221"/>
      <c r="DW1181" s="221"/>
      <c r="DX1181" s="221"/>
      <c r="DY1181" s="221"/>
      <c r="DZ1181" s="221"/>
      <c r="EA1181" s="221"/>
      <c r="EB1181" s="221"/>
      <c r="EC1181" s="221"/>
      <c r="ED1181" s="221"/>
      <c r="EE1181" s="221"/>
      <c r="EF1181" s="221"/>
      <c r="EG1181" s="221"/>
      <c r="EH1181" s="221"/>
      <c r="EI1181" s="221"/>
      <c r="EJ1181" s="221"/>
      <c r="EK1181" s="221"/>
      <c r="EL1181" s="221"/>
      <c r="EM1181" s="221"/>
      <c r="EN1181" s="221"/>
      <c r="EO1181" s="221"/>
      <c r="EP1181" s="221"/>
      <c r="EQ1181" s="221"/>
      <c r="ER1181" s="221"/>
      <c r="ES1181" s="221"/>
      <c r="ET1181" s="221"/>
      <c r="EU1181" s="221"/>
      <c r="EV1181" s="221"/>
      <c r="EW1181" s="221"/>
      <c r="EX1181" s="221"/>
      <c r="EY1181" s="221"/>
      <c r="EZ1181" s="221"/>
      <c r="FA1181" s="221"/>
      <c r="FB1181" s="221"/>
      <c r="FC1181" s="221"/>
      <c r="FD1181" s="221"/>
      <c r="FE1181" s="221"/>
      <c r="FF1181" s="221"/>
      <c r="FG1181" s="221"/>
      <c r="FH1181" s="221"/>
      <c r="FI1181" s="221"/>
      <c r="FJ1181" s="221"/>
      <c r="FK1181" s="221"/>
      <c r="FL1181" s="221"/>
      <c r="FM1181" s="221"/>
      <c r="FN1181" s="221"/>
      <c r="FO1181" s="221"/>
      <c r="FP1181" s="221"/>
      <c r="FQ1181" s="221"/>
      <c r="FR1181" s="221"/>
      <c r="FS1181" s="221"/>
      <c r="FT1181" s="221"/>
      <c r="FU1181" s="221"/>
      <c r="FV1181" s="221"/>
      <c r="FW1181" s="221"/>
      <c r="FX1181" s="221"/>
      <c r="FY1181" s="221"/>
      <c r="FZ1181" s="221"/>
      <c r="GA1181" s="221"/>
      <c r="GB1181" s="221"/>
      <c r="GC1181" s="221"/>
      <c r="GD1181" s="221"/>
      <c r="GE1181" s="221"/>
      <c r="GF1181" s="221"/>
      <c r="GG1181" s="221"/>
      <c r="GH1181" s="221"/>
      <c r="GI1181" s="221"/>
      <c r="GJ1181" s="221"/>
      <c r="GK1181" s="221"/>
      <c r="GL1181" s="221"/>
      <c r="GM1181" s="221"/>
      <c r="GN1181" s="221"/>
    </row>
    <row r="1182">
      <c r="A1182" s="212"/>
      <c r="B1182" s="21"/>
      <c r="C1182" s="21"/>
      <c r="D1182" s="213"/>
      <c r="E1182" s="214"/>
      <c r="F1182" s="215"/>
      <c r="G1182" s="21"/>
      <c r="H1182" s="225"/>
      <c r="I1182" s="225"/>
      <c r="J1182" s="225"/>
      <c r="K1182" s="225"/>
      <c r="L1182" s="225"/>
      <c r="M1182" s="225"/>
      <c r="N1182" s="225"/>
      <c r="O1182" s="225"/>
      <c r="P1182" s="225"/>
      <c r="Q1182" s="225"/>
      <c r="R1182" s="225"/>
      <c r="S1182" s="225"/>
      <c r="T1182" s="225"/>
      <c r="U1182" s="225"/>
      <c r="V1182" s="225"/>
      <c r="W1182" s="221"/>
      <c r="X1182" s="221"/>
      <c r="Y1182" s="221"/>
      <c r="Z1182" s="221"/>
      <c r="AA1182" s="221"/>
      <c r="AB1182" s="221"/>
      <c r="AC1182" s="221"/>
      <c r="AD1182" s="221"/>
      <c r="AE1182" s="221"/>
      <c r="AF1182" s="221"/>
      <c r="AG1182" s="221"/>
      <c r="AH1182" s="221"/>
      <c r="AI1182" s="221"/>
      <c r="AJ1182" s="221"/>
      <c r="AK1182" s="221"/>
      <c r="AL1182" s="221"/>
      <c r="AM1182" s="221"/>
      <c r="AN1182" s="221"/>
      <c r="AO1182" s="221"/>
      <c r="AP1182" s="221"/>
      <c r="AQ1182" s="221"/>
      <c r="AR1182" s="221"/>
      <c r="AS1182" s="221"/>
      <c r="AT1182" s="221"/>
      <c r="AU1182" s="221"/>
      <c r="AV1182" s="221"/>
      <c r="AW1182" s="221"/>
      <c r="AX1182" s="221"/>
      <c r="AY1182" s="221"/>
      <c r="AZ1182" s="221"/>
      <c r="BA1182" s="221"/>
      <c r="BB1182" s="221"/>
      <c r="BC1182" s="221"/>
      <c r="BD1182" s="221"/>
      <c r="BE1182" s="221"/>
      <c r="BF1182" s="221"/>
      <c r="BG1182" s="221"/>
      <c r="BH1182" s="221"/>
      <c r="BI1182" s="221"/>
      <c r="BJ1182" s="221"/>
      <c r="BK1182" s="221"/>
      <c r="BL1182" s="221"/>
      <c r="BM1182" s="221"/>
      <c r="BN1182" s="221"/>
      <c r="BO1182" s="221"/>
      <c r="BP1182" s="221"/>
      <c r="BQ1182" s="221"/>
      <c r="BR1182" s="221"/>
      <c r="BS1182" s="221"/>
      <c r="BT1182" s="221"/>
      <c r="BU1182" s="221"/>
      <c r="BV1182" s="221"/>
      <c r="BW1182" s="221"/>
      <c r="BX1182" s="221"/>
      <c r="BY1182" s="221"/>
      <c r="BZ1182" s="221"/>
      <c r="CA1182" s="221"/>
      <c r="CB1182" s="221"/>
      <c r="CC1182" s="221"/>
      <c r="CD1182" s="221"/>
      <c r="CE1182" s="221"/>
      <c r="CF1182" s="221"/>
      <c r="CG1182" s="221"/>
      <c r="CH1182" s="221"/>
      <c r="CI1182" s="221"/>
      <c r="CJ1182" s="221"/>
      <c r="CK1182" s="221"/>
      <c r="CL1182" s="221"/>
      <c r="CM1182" s="221"/>
      <c r="CN1182" s="221"/>
      <c r="CO1182" s="221"/>
      <c r="CP1182" s="221"/>
      <c r="CQ1182" s="221"/>
      <c r="CR1182" s="221"/>
      <c r="CS1182" s="221"/>
      <c r="CT1182" s="221"/>
      <c r="CU1182" s="221"/>
      <c r="CV1182" s="221"/>
      <c r="CW1182" s="221"/>
      <c r="CX1182" s="221"/>
      <c r="CY1182" s="221"/>
      <c r="CZ1182" s="221"/>
      <c r="DA1182" s="221"/>
      <c r="DB1182" s="221"/>
      <c r="DC1182" s="221"/>
      <c r="DD1182" s="221"/>
      <c r="DE1182" s="221"/>
      <c r="DF1182" s="221"/>
      <c r="DG1182" s="221"/>
      <c r="DH1182" s="221"/>
      <c r="DI1182" s="221"/>
      <c r="DJ1182" s="221"/>
      <c r="DK1182" s="221"/>
      <c r="DL1182" s="221"/>
      <c r="DM1182" s="221"/>
      <c r="DN1182" s="221"/>
      <c r="DO1182" s="221"/>
      <c r="DP1182" s="221"/>
      <c r="DQ1182" s="221"/>
      <c r="DR1182" s="221"/>
      <c r="DS1182" s="221"/>
      <c r="DT1182" s="221"/>
      <c r="DU1182" s="221"/>
      <c r="DV1182" s="221"/>
      <c r="DW1182" s="221"/>
      <c r="DX1182" s="221"/>
      <c r="DY1182" s="221"/>
      <c r="DZ1182" s="221"/>
      <c r="EA1182" s="221"/>
      <c r="EB1182" s="221"/>
      <c r="EC1182" s="221"/>
      <c r="ED1182" s="221"/>
      <c r="EE1182" s="221"/>
      <c r="EF1182" s="221"/>
      <c r="EG1182" s="221"/>
      <c r="EH1182" s="221"/>
      <c r="EI1182" s="221"/>
      <c r="EJ1182" s="221"/>
      <c r="EK1182" s="221"/>
      <c r="EL1182" s="221"/>
      <c r="EM1182" s="221"/>
      <c r="EN1182" s="221"/>
      <c r="EO1182" s="221"/>
      <c r="EP1182" s="221"/>
      <c r="EQ1182" s="221"/>
      <c r="ER1182" s="221"/>
      <c r="ES1182" s="221"/>
      <c r="ET1182" s="221"/>
      <c r="EU1182" s="221"/>
      <c r="EV1182" s="221"/>
      <c r="EW1182" s="221"/>
      <c r="EX1182" s="221"/>
      <c r="EY1182" s="221"/>
      <c r="EZ1182" s="221"/>
      <c r="FA1182" s="221"/>
      <c r="FB1182" s="221"/>
      <c r="FC1182" s="221"/>
      <c r="FD1182" s="221"/>
      <c r="FE1182" s="221"/>
      <c r="FF1182" s="221"/>
      <c r="FG1182" s="221"/>
      <c r="FH1182" s="221"/>
      <c r="FI1182" s="221"/>
      <c r="FJ1182" s="221"/>
      <c r="FK1182" s="221"/>
      <c r="FL1182" s="221"/>
      <c r="FM1182" s="221"/>
      <c r="FN1182" s="221"/>
      <c r="FO1182" s="221"/>
      <c r="FP1182" s="221"/>
      <c r="FQ1182" s="221"/>
      <c r="FR1182" s="221"/>
      <c r="FS1182" s="221"/>
      <c r="FT1182" s="221"/>
      <c r="FU1182" s="221"/>
      <c r="FV1182" s="221"/>
      <c r="FW1182" s="221"/>
      <c r="FX1182" s="221"/>
      <c r="FY1182" s="221"/>
      <c r="FZ1182" s="221"/>
      <c r="GA1182" s="221"/>
      <c r="GB1182" s="221"/>
      <c r="GC1182" s="221"/>
      <c r="GD1182" s="221"/>
      <c r="GE1182" s="221"/>
      <c r="GF1182" s="221"/>
      <c r="GG1182" s="221"/>
      <c r="GH1182" s="221"/>
      <c r="GI1182" s="221"/>
      <c r="GJ1182" s="221"/>
      <c r="GK1182" s="221"/>
      <c r="GL1182" s="221"/>
      <c r="GM1182" s="221"/>
      <c r="GN1182" s="221"/>
    </row>
    <row r="1183">
      <c r="A1183" s="212"/>
      <c r="B1183" s="21"/>
      <c r="C1183" s="21"/>
      <c r="D1183" s="213"/>
      <c r="E1183" s="214"/>
      <c r="F1183" s="215"/>
      <c r="G1183" s="21"/>
      <c r="H1183" s="225"/>
      <c r="I1183" s="225"/>
      <c r="J1183" s="225"/>
      <c r="K1183" s="225"/>
      <c r="L1183" s="225"/>
      <c r="M1183" s="225"/>
      <c r="N1183" s="225"/>
      <c r="O1183" s="225"/>
      <c r="P1183" s="225"/>
      <c r="Q1183" s="225"/>
      <c r="R1183" s="225"/>
      <c r="S1183" s="225"/>
      <c r="T1183" s="225"/>
      <c r="U1183" s="225"/>
      <c r="V1183" s="225"/>
      <c r="W1183" s="221"/>
      <c r="X1183" s="221"/>
      <c r="Y1183" s="221"/>
      <c r="Z1183" s="221"/>
      <c r="AA1183" s="221"/>
      <c r="AB1183" s="221"/>
      <c r="AC1183" s="221"/>
      <c r="AD1183" s="221"/>
      <c r="AE1183" s="221"/>
      <c r="AF1183" s="221"/>
      <c r="AG1183" s="221"/>
      <c r="AH1183" s="221"/>
      <c r="AI1183" s="221"/>
      <c r="AJ1183" s="221"/>
      <c r="AK1183" s="221"/>
      <c r="AL1183" s="221"/>
      <c r="AM1183" s="221"/>
      <c r="AN1183" s="221"/>
      <c r="AO1183" s="221"/>
      <c r="AP1183" s="221"/>
      <c r="AQ1183" s="221"/>
      <c r="AR1183" s="221"/>
      <c r="AS1183" s="221"/>
      <c r="AT1183" s="221"/>
      <c r="AU1183" s="221"/>
      <c r="AV1183" s="221"/>
      <c r="AW1183" s="221"/>
      <c r="AX1183" s="221"/>
      <c r="AY1183" s="221"/>
      <c r="AZ1183" s="221"/>
      <c r="BA1183" s="221"/>
      <c r="BB1183" s="221"/>
      <c r="BC1183" s="221"/>
      <c r="BD1183" s="221"/>
      <c r="BE1183" s="221"/>
      <c r="BF1183" s="221"/>
      <c r="BG1183" s="221"/>
      <c r="BH1183" s="221"/>
      <c r="BI1183" s="221"/>
      <c r="BJ1183" s="221"/>
      <c r="BK1183" s="221"/>
      <c r="BL1183" s="221"/>
      <c r="BM1183" s="221"/>
      <c r="BN1183" s="221"/>
      <c r="BO1183" s="221"/>
      <c r="BP1183" s="221"/>
      <c r="BQ1183" s="221"/>
      <c r="BR1183" s="221"/>
      <c r="BS1183" s="221"/>
      <c r="BT1183" s="221"/>
      <c r="BU1183" s="221"/>
      <c r="BV1183" s="221"/>
      <c r="BW1183" s="221"/>
      <c r="BX1183" s="221"/>
      <c r="BY1183" s="221"/>
      <c r="BZ1183" s="221"/>
      <c r="CA1183" s="221"/>
      <c r="CB1183" s="221"/>
      <c r="CC1183" s="221"/>
      <c r="CD1183" s="221"/>
      <c r="CE1183" s="221"/>
      <c r="CF1183" s="221"/>
      <c r="CG1183" s="221"/>
      <c r="CH1183" s="221"/>
      <c r="CI1183" s="221"/>
      <c r="CJ1183" s="221"/>
      <c r="CK1183" s="221"/>
      <c r="CL1183" s="221"/>
      <c r="CM1183" s="221"/>
      <c r="CN1183" s="221"/>
      <c r="CO1183" s="221"/>
      <c r="CP1183" s="221"/>
      <c r="CQ1183" s="221"/>
      <c r="CR1183" s="221"/>
      <c r="CS1183" s="221"/>
      <c r="CT1183" s="221"/>
      <c r="CU1183" s="221"/>
      <c r="CV1183" s="221"/>
      <c r="CW1183" s="221"/>
      <c r="CX1183" s="221"/>
      <c r="CY1183" s="221"/>
      <c r="CZ1183" s="221"/>
      <c r="DA1183" s="221"/>
      <c r="DB1183" s="221"/>
      <c r="DC1183" s="221"/>
      <c r="DD1183" s="221"/>
      <c r="DE1183" s="221"/>
      <c r="DF1183" s="221"/>
      <c r="DG1183" s="221"/>
      <c r="DH1183" s="221"/>
      <c r="DI1183" s="221"/>
      <c r="DJ1183" s="221"/>
      <c r="DK1183" s="221"/>
      <c r="DL1183" s="221"/>
      <c r="DM1183" s="221"/>
      <c r="DN1183" s="221"/>
      <c r="DO1183" s="221"/>
      <c r="DP1183" s="221"/>
      <c r="DQ1183" s="221"/>
      <c r="DR1183" s="221"/>
      <c r="DS1183" s="221"/>
      <c r="DT1183" s="221"/>
      <c r="DU1183" s="221"/>
      <c r="DV1183" s="221"/>
      <c r="DW1183" s="221"/>
      <c r="DX1183" s="221"/>
      <c r="DY1183" s="221"/>
      <c r="DZ1183" s="221"/>
      <c r="EA1183" s="221"/>
      <c r="EB1183" s="221"/>
      <c r="EC1183" s="221"/>
      <c r="ED1183" s="221"/>
      <c r="EE1183" s="221"/>
      <c r="EF1183" s="221"/>
      <c r="EG1183" s="221"/>
      <c r="EH1183" s="221"/>
      <c r="EI1183" s="221"/>
      <c r="EJ1183" s="221"/>
      <c r="EK1183" s="221"/>
      <c r="EL1183" s="221"/>
      <c r="EM1183" s="221"/>
      <c r="EN1183" s="221"/>
      <c r="EO1183" s="221"/>
      <c r="EP1183" s="221"/>
      <c r="EQ1183" s="221"/>
      <c r="ER1183" s="221"/>
      <c r="ES1183" s="221"/>
      <c r="ET1183" s="221"/>
      <c r="EU1183" s="221"/>
      <c r="EV1183" s="221"/>
      <c r="EW1183" s="221"/>
      <c r="EX1183" s="221"/>
      <c r="EY1183" s="221"/>
      <c r="EZ1183" s="221"/>
      <c r="FA1183" s="221"/>
      <c r="FB1183" s="221"/>
      <c r="FC1183" s="221"/>
      <c r="FD1183" s="221"/>
      <c r="FE1183" s="221"/>
      <c r="FF1183" s="221"/>
      <c r="FG1183" s="221"/>
      <c r="FH1183" s="221"/>
      <c r="FI1183" s="221"/>
      <c r="FJ1183" s="221"/>
      <c r="FK1183" s="221"/>
      <c r="FL1183" s="221"/>
      <c r="FM1183" s="221"/>
      <c r="FN1183" s="221"/>
      <c r="FO1183" s="221"/>
      <c r="FP1183" s="221"/>
      <c r="FQ1183" s="221"/>
      <c r="FR1183" s="221"/>
      <c r="FS1183" s="221"/>
      <c r="FT1183" s="221"/>
      <c r="FU1183" s="221"/>
      <c r="FV1183" s="221"/>
      <c r="FW1183" s="221"/>
      <c r="FX1183" s="221"/>
      <c r="FY1183" s="221"/>
      <c r="FZ1183" s="221"/>
      <c r="GA1183" s="221"/>
      <c r="GB1183" s="221"/>
      <c r="GC1183" s="221"/>
      <c r="GD1183" s="221"/>
      <c r="GE1183" s="221"/>
      <c r="GF1183" s="221"/>
      <c r="GG1183" s="221"/>
      <c r="GH1183" s="221"/>
      <c r="GI1183" s="221"/>
      <c r="GJ1183" s="221"/>
      <c r="GK1183" s="221"/>
      <c r="GL1183" s="221"/>
      <c r="GM1183" s="221"/>
      <c r="GN1183" s="221"/>
    </row>
    <row r="1184">
      <c r="A1184" s="212"/>
      <c r="B1184" s="21"/>
      <c r="C1184" s="21"/>
      <c r="D1184" s="213"/>
      <c r="E1184" s="214"/>
      <c r="F1184" s="215"/>
      <c r="G1184" s="21"/>
      <c r="H1184" s="225"/>
      <c r="I1184" s="225"/>
      <c r="J1184" s="225"/>
      <c r="K1184" s="225"/>
      <c r="L1184" s="225"/>
      <c r="M1184" s="225"/>
      <c r="N1184" s="225"/>
      <c r="O1184" s="225"/>
      <c r="P1184" s="225"/>
      <c r="Q1184" s="225"/>
      <c r="R1184" s="225"/>
      <c r="S1184" s="225"/>
      <c r="T1184" s="225"/>
      <c r="U1184" s="225"/>
      <c r="V1184" s="225"/>
      <c r="W1184" s="221"/>
      <c r="X1184" s="221"/>
      <c r="Y1184" s="221"/>
      <c r="Z1184" s="221"/>
      <c r="AA1184" s="221"/>
      <c r="AB1184" s="221"/>
      <c r="AC1184" s="221"/>
      <c r="AD1184" s="221"/>
      <c r="AE1184" s="221"/>
      <c r="AF1184" s="221"/>
      <c r="AG1184" s="221"/>
      <c r="AH1184" s="221"/>
      <c r="AI1184" s="221"/>
      <c r="AJ1184" s="221"/>
      <c r="AK1184" s="221"/>
      <c r="AL1184" s="221"/>
      <c r="AM1184" s="221"/>
      <c r="AN1184" s="221"/>
      <c r="AO1184" s="221"/>
      <c r="AP1184" s="221"/>
      <c r="AQ1184" s="221"/>
      <c r="AR1184" s="221"/>
      <c r="AS1184" s="221"/>
      <c r="AT1184" s="221"/>
      <c r="AU1184" s="221"/>
      <c r="AV1184" s="221"/>
      <c r="AW1184" s="221"/>
      <c r="AX1184" s="221"/>
      <c r="AY1184" s="221"/>
      <c r="AZ1184" s="221"/>
      <c r="BA1184" s="221"/>
      <c r="BB1184" s="221"/>
      <c r="BC1184" s="221"/>
      <c r="BD1184" s="221"/>
      <c r="BE1184" s="221"/>
      <c r="BF1184" s="221"/>
      <c r="BG1184" s="221"/>
      <c r="BH1184" s="221"/>
      <c r="BI1184" s="221"/>
      <c r="BJ1184" s="221"/>
      <c r="BK1184" s="221"/>
      <c r="BL1184" s="221"/>
      <c r="BM1184" s="221"/>
      <c r="BN1184" s="221"/>
      <c r="BO1184" s="221"/>
      <c r="BP1184" s="221"/>
      <c r="BQ1184" s="221"/>
      <c r="BR1184" s="221"/>
      <c r="BS1184" s="221"/>
      <c r="BT1184" s="221"/>
      <c r="BU1184" s="221"/>
      <c r="BV1184" s="221"/>
      <c r="BW1184" s="221"/>
      <c r="BX1184" s="221"/>
      <c r="BY1184" s="221"/>
      <c r="BZ1184" s="221"/>
      <c r="CA1184" s="221"/>
      <c r="CB1184" s="221"/>
      <c r="CC1184" s="221"/>
      <c r="CD1184" s="221"/>
      <c r="CE1184" s="221"/>
      <c r="CF1184" s="221"/>
      <c r="CG1184" s="221"/>
      <c r="CH1184" s="221"/>
      <c r="CI1184" s="221"/>
      <c r="CJ1184" s="221"/>
      <c r="CK1184" s="221"/>
      <c r="CL1184" s="221"/>
      <c r="CM1184" s="221"/>
      <c r="CN1184" s="221"/>
      <c r="CO1184" s="221"/>
      <c r="CP1184" s="221"/>
      <c r="CQ1184" s="221"/>
      <c r="CR1184" s="221"/>
      <c r="CS1184" s="221"/>
      <c r="CT1184" s="221"/>
      <c r="CU1184" s="221"/>
      <c r="CV1184" s="221"/>
      <c r="CW1184" s="221"/>
      <c r="CX1184" s="221"/>
      <c r="CY1184" s="221"/>
      <c r="CZ1184" s="221"/>
      <c r="DA1184" s="221"/>
      <c r="DB1184" s="221"/>
      <c r="DC1184" s="221"/>
      <c r="DD1184" s="221"/>
      <c r="DE1184" s="221"/>
      <c r="DF1184" s="221"/>
      <c r="DG1184" s="221"/>
      <c r="DH1184" s="221"/>
      <c r="DI1184" s="221"/>
      <c r="DJ1184" s="221"/>
      <c r="DK1184" s="221"/>
      <c r="DL1184" s="221"/>
      <c r="DM1184" s="221"/>
      <c r="DN1184" s="221"/>
      <c r="DO1184" s="221"/>
      <c r="DP1184" s="221"/>
      <c r="DQ1184" s="221"/>
      <c r="DR1184" s="221"/>
      <c r="DS1184" s="221"/>
      <c r="DT1184" s="221"/>
      <c r="DU1184" s="221"/>
      <c r="DV1184" s="221"/>
      <c r="DW1184" s="221"/>
      <c r="DX1184" s="221"/>
      <c r="DY1184" s="221"/>
      <c r="DZ1184" s="221"/>
      <c r="EA1184" s="221"/>
      <c r="EB1184" s="221"/>
      <c r="EC1184" s="221"/>
      <c r="ED1184" s="221"/>
      <c r="EE1184" s="221"/>
      <c r="EF1184" s="221"/>
      <c r="EG1184" s="221"/>
      <c r="EH1184" s="221"/>
      <c r="EI1184" s="221"/>
      <c r="EJ1184" s="221"/>
      <c r="EK1184" s="221"/>
      <c r="EL1184" s="221"/>
      <c r="EM1184" s="221"/>
      <c r="EN1184" s="221"/>
      <c r="EO1184" s="221"/>
      <c r="EP1184" s="221"/>
      <c r="EQ1184" s="221"/>
      <c r="ER1184" s="221"/>
      <c r="ES1184" s="221"/>
      <c r="ET1184" s="221"/>
      <c r="EU1184" s="221"/>
      <c r="EV1184" s="221"/>
      <c r="EW1184" s="221"/>
      <c r="EX1184" s="221"/>
      <c r="EY1184" s="221"/>
      <c r="EZ1184" s="221"/>
      <c r="FA1184" s="221"/>
      <c r="FB1184" s="221"/>
      <c r="FC1184" s="221"/>
      <c r="FD1184" s="221"/>
      <c r="FE1184" s="221"/>
      <c r="FF1184" s="221"/>
      <c r="FG1184" s="221"/>
      <c r="FH1184" s="221"/>
      <c r="FI1184" s="221"/>
      <c r="FJ1184" s="221"/>
      <c r="FK1184" s="221"/>
      <c r="FL1184" s="221"/>
      <c r="FM1184" s="221"/>
      <c r="FN1184" s="221"/>
      <c r="FO1184" s="221"/>
      <c r="FP1184" s="221"/>
      <c r="FQ1184" s="221"/>
      <c r="FR1184" s="221"/>
      <c r="FS1184" s="221"/>
      <c r="FT1184" s="221"/>
      <c r="FU1184" s="221"/>
      <c r="FV1184" s="221"/>
      <c r="FW1184" s="221"/>
      <c r="FX1184" s="221"/>
      <c r="FY1184" s="221"/>
      <c r="FZ1184" s="221"/>
      <c r="GA1184" s="221"/>
      <c r="GB1184" s="221"/>
      <c r="GC1184" s="221"/>
      <c r="GD1184" s="221"/>
      <c r="GE1184" s="221"/>
      <c r="GF1184" s="221"/>
      <c r="GG1184" s="221"/>
      <c r="GH1184" s="221"/>
      <c r="GI1184" s="221"/>
      <c r="GJ1184" s="221"/>
      <c r="GK1184" s="221"/>
      <c r="GL1184" s="221"/>
      <c r="GM1184" s="221"/>
      <c r="GN1184" s="221"/>
    </row>
    <row r="1185">
      <c r="A1185" s="212"/>
      <c r="B1185" s="21"/>
      <c r="C1185" s="21"/>
      <c r="D1185" s="213"/>
      <c r="E1185" s="214"/>
      <c r="F1185" s="215"/>
      <c r="G1185" s="21"/>
      <c r="H1185" s="225"/>
      <c r="I1185" s="225"/>
      <c r="J1185" s="225"/>
      <c r="K1185" s="225"/>
      <c r="L1185" s="225"/>
      <c r="M1185" s="225"/>
      <c r="N1185" s="225"/>
      <c r="O1185" s="225"/>
      <c r="P1185" s="225"/>
      <c r="Q1185" s="225"/>
      <c r="R1185" s="225"/>
      <c r="S1185" s="225"/>
      <c r="T1185" s="225"/>
      <c r="U1185" s="225"/>
      <c r="V1185" s="225"/>
      <c r="W1185" s="221"/>
      <c r="X1185" s="221"/>
      <c r="Y1185" s="221"/>
      <c r="Z1185" s="221"/>
      <c r="AA1185" s="221"/>
      <c r="AB1185" s="221"/>
      <c r="AC1185" s="221"/>
      <c r="AD1185" s="221"/>
      <c r="AE1185" s="221"/>
      <c r="AF1185" s="221"/>
      <c r="AG1185" s="221"/>
      <c r="AH1185" s="221"/>
      <c r="AI1185" s="221"/>
      <c r="AJ1185" s="221"/>
      <c r="AK1185" s="221"/>
      <c r="AL1185" s="221"/>
      <c r="AM1185" s="221"/>
      <c r="AN1185" s="221"/>
      <c r="AO1185" s="221"/>
      <c r="AP1185" s="221"/>
      <c r="AQ1185" s="221"/>
      <c r="AR1185" s="221"/>
      <c r="AS1185" s="221"/>
      <c r="AT1185" s="221"/>
      <c r="AU1185" s="221"/>
      <c r="AV1185" s="221"/>
      <c r="AW1185" s="221"/>
      <c r="AX1185" s="221"/>
      <c r="AY1185" s="221"/>
      <c r="AZ1185" s="221"/>
      <c r="BA1185" s="221"/>
      <c r="BB1185" s="221"/>
      <c r="BC1185" s="221"/>
      <c r="BD1185" s="221"/>
      <c r="BE1185" s="221"/>
      <c r="BF1185" s="221"/>
      <c r="BG1185" s="221"/>
      <c r="BH1185" s="221"/>
      <c r="BI1185" s="221"/>
      <c r="BJ1185" s="221"/>
      <c r="BK1185" s="221"/>
      <c r="BL1185" s="221"/>
      <c r="BM1185" s="221"/>
      <c r="BN1185" s="221"/>
      <c r="BO1185" s="221"/>
      <c r="BP1185" s="221"/>
      <c r="BQ1185" s="221"/>
      <c r="BR1185" s="221"/>
      <c r="BS1185" s="221"/>
      <c r="BT1185" s="221"/>
      <c r="BU1185" s="221"/>
      <c r="BV1185" s="221"/>
      <c r="BW1185" s="221"/>
      <c r="BX1185" s="221"/>
      <c r="BY1185" s="221"/>
      <c r="BZ1185" s="221"/>
      <c r="CA1185" s="221"/>
      <c r="CB1185" s="221"/>
      <c r="CC1185" s="221"/>
      <c r="CD1185" s="221"/>
      <c r="CE1185" s="221"/>
      <c r="CF1185" s="221"/>
      <c r="CG1185" s="221"/>
      <c r="CH1185" s="221"/>
      <c r="CI1185" s="221"/>
      <c r="CJ1185" s="221"/>
      <c r="CK1185" s="221"/>
      <c r="CL1185" s="221"/>
      <c r="CM1185" s="221"/>
      <c r="CN1185" s="221"/>
      <c r="CO1185" s="221"/>
      <c r="CP1185" s="221"/>
      <c r="CQ1185" s="221"/>
      <c r="CR1185" s="221"/>
      <c r="CS1185" s="221"/>
      <c r="CT1185" s="221"/>
      <c r="CU1185" s="221"/>
      <c r="CV1185" s="221"/>
      <c r="CW1185" s="221"/>
      <c r="CX1185" s="221"/>
      <c r="CY1185" s="221"/>
      <c r="CZ1185" s="221"/>
      <c r="DA1185" s="221"/>
      <c r="DB1185" s="221"/>
      <c r="DC1185" s="221"/>
      <c r="DD1185" s="221"/>
      <c r="DE1185" s="221"/>
      <c r="DF1185" s="221"/>
      <c r="DG1185" s="221"/>
      <c r="DH1185" s="221"/>
      <c r="DI1185" s="221"/>
      <c r="DJ1185" s="221"/>
      <c r="DK1185" s="221"/>
      <c r="DL1185" s="221"/>
      <c r="DM1185" s="221"/>
      <c r="DN1185" s="221"/>
      <c r="DO1185" s="221"/>
      <c r="DP1185" s="221"/>
      <c r="DQ1185" s="221"/>
      <c r="DR1185" s="221"/>
      <c r="DS1185" s="221"/>
      <c r="DT1185" s="221"/>
      <c r="DU1185" s="221"/>
      <c r="DV1185" s="221"/>
      <c r="DW1185" s="221"/>
      <c r="DX1185" s="221"/>
      <c r="DY1185" s="221"/>
      <c r="DZ1185" s="221"/>
      <c r="EA1185" s="221"/>
      <c r="EB1185" s="221"/>
      <c r="EC1185" s="221"/>
      <c r="ED1185" s="221"/>
      <c r="EE1185" s="221"/>
      <c r="EF1185" s="221"/>
      <c r="EG1185" s="221"/>
      <c r="EH1185" s="221"/>
      <c r="EI1185" s="221"/>
      <c r="EJ1185" s="221"/>
      <c r="EK1185" s="221"/>
      <c r="EL1185" s="221"/>
      <c r="EM1185" s="221"/>
      <c r="EN1185" s="221"/>
      <c r="EO1185" s="221"/>
      <c r="EP1185" s="221"/>
      <c r="EQ1185" s="221"/>
      <c r="ER1185" s="221"/>
      <c r="ES1185" s="221"/>
      <c r="ET1185" s="221"/>
      <c r="EU1185" s="221"/>
      <c r="EV1185" s="221"/>
      <c r="EW1185" s="221"/>
      <c r="EX1185" s="221"/>
      <c r="EY1185" s="221"/>
      <c r="EZ1185" s="221"/>
      <c r="FA1185" s="221"/>
      <c r="FB1185" s="221"/>
      <c r="FC1185" s="221"/>
      <c r="FD1185" s="221"/>
      <c r="FE1185" s="221"/>
      <c r="FF1185" s="221"/>
      <c r="FG1185" s="221"/>
      <c r="FH1185" s="221"/>
      <c r="FI1185" s="221"/>
      <c r="FJ1185" s="221"/>
      <c r="FK1185" s="221"/>
      <c r="FL1185" s="221"/>
      <c r="FM1185" s="221"/>
      <c r="FN1185" s="221"/>
      <c r="FO1185" s="221"/>
      <c r="FP1185" s="221"/>
      <c r="FQ1185" s="221"/>
      <c r="FR1185" s="221"/>
      <c r="FS1185" s="221"/>
      <c r="FT1185" s="221"/>
      <c r="FU1185" s="221"/>
      <c r="FV1185" s="221"/>
      <c r="FW1185" s="221"/>
      <c r="FX1185" s="221"/>
      <c r="FY1185" s="221"/>
      <c r="FZ1185" s="221"/>
      <c r="GA1185" s="221"/>
      <c r="GB1185" s="221"/>
      <c r="GC1185" s="221"/>
      <c r="GD1185" s="221"/>
      <c r="GE1185" s="221"/>
      <c r="GF1185" s="221"/>
      <c r="GG1185" s="221"/>
      <c r="GH1185" s="221"/>
      <c r="GI1185" s="221"/>
      <c r="GJ1185" s="221"/>
      <c r="GK1185" s="221"/>
      <c r="GL1185" s="221"/>
      <c r="GM1185" s="221"/>
      <c r="GN1185" s="221"/>
    </row>
    <row r="1186">
      <c r="A1186" s="212"/>
      <c r="B1186" s="21"/>
      <c r="C1186" s="21"/>
      <c r="D1186" s="213"/>
      <c r="E1186" s="214"/>
      <c r="F1186" s="215"/>
      <c r="G1186" s="21"/>
      <c r="H1186" s="225"/>
      <c r="I1186" s="225"/>
      <c r="J1186" s="225"/>
      <c r="K1186" s="225"/>
      <c r="L1186" s="225"/>
      <c r="M1186" s="225"/>
      <c r="N1186" s="225"/>
      <c r="O1186" s="225"/>
      <c r="P1186" s="225"/>
      <c r="Q1186" s="225"/>
      <c r="R1186" s="225"/>
      <c r="S1186" s="225"/>
      <c r="T1186" s="225"/>
      <c r="U1186" s="225"/>
      <c r="V1186" s="225"/>
      <c r="W1186" s="221"/>
      <c r="X1186" s="221"/>
      <c r="Y1186" s="221"/>
      <c r="Z1186" s="221"/>
      <c r="AA1186" s="221"/>
      <c r="AB1186" s="221"/>
      <c r="AC1186" s="221"/>
      <c r="AD1186" s="221"/>
      <c r="AE1186" s="221"/>
      <c r="AF1186" s="221"/>
      <c r="AG1186" s="221"/>
      <c r="AH1186" s="221"/>
      <c r="AI1186" s="221"/>
      <c r="AJ1186" s="221"/>
      <c r="AK1186" s="221"/>
      <c r="AL1186" s="221"/>
      <c r="AM1186" s="221"/>
      <c r="AN1186" s="221"/>
      <c r="AO1186" s="221"/>
      <c r="AP1186" s="221"/>
      <c r="AQ1186" s="221"/>
      <c r="AR1186" s="221"/>
      <c r="AS1186" s="221"/>
      <c r="AT1186" s="221"/>
      <c r="AU1186" s="221"/>
      <c r="AV1186" s="221"/>
      <c r="AW1186" s="221"/>
      <c r="AX1186" s="221"/>
      <c r="AY1186" s="221"/>
      <c r="AZ1186" s="221"/>
      <c r="BA1186" s="221"/>
      <c r="BB1186" s="221"/>
      <c r="BC1186" s="221"/>
      <c r="BD1186" s="221"/>
      <c r="BE1186" s="221"/>
      <c r="BF1186" s="221"/>
      <c r="BG1186" s="221"/>
      <c r="BH1186" s="221"/>
      <c r="BI1186" s="221"/>
      <c r="BJ1186" s="221"/>
      <c r="BK1186" s="221"/>
      <c r="BL1186" s="221"/>
      <c r="BM1186" s="221"/>
      <c r="BN1186" s="221"/>
      <c r="BO1186" s="221"/>
      <c r="BP1186" s="221"/>
      <c r="BQ1186" s="221"/>
      <c r="BR1186" s="221"/>
      <c r="BS1186" s="221"/>
      <c r="BT1186" s="221"/>
      <c r="BU1186" s="221"/>
      <c r="BV1186" s="221"/>
      <c r="BW1186" s="221"/>
      <c r="BX1186" s="221"/>
      <c r="BY1186" s="221"/>
      <c r="BZ1186" s="221"/>
      <c r="CA1186" s="221"/>
      <c r="CB1186" s="221"/>
      <c r="CC1186" s="221"/>
      <c r="CD1186" s="221"/>
      <c r="CE1186" s="221"/>
      <c r="CF1186" s="221"/>
      <c r="CG1186" s="221"/>
      <c r="CH1186" s="221"/>
      <c r="CI1186" s="221"/>
      <c r="CJ1186" s="221"/>
      <c r="CK1186" s="221"/>
      <c r="CL1186" s="221"/>
      <c r="CM1186" s="221"/>
      <c r="CN1186" s="221"/>
      <c r="CO1186" s="221"/>
      <c r="CP1186" s="221"/>
      <c r="CQ1186" s="221"/>
      <c r="CR1186" s="221"/>
      <c r="CS1186" s="221"/>
      <c r="CT1186" s="221"/>
      <c r="CU1186" s="221"/>
      <c r="CV1186" s="221"/>
      <c r="CW1186" s="221"/>
      <c r="CX1186" s="221"/>
      <c r="CY1186" s="221"/>
      <c r="CZ1186" s="221"/>
      <c r="DA1186" s="221"/>
      <c r="DB1186" s="221"/>
      <c r="DC1186" s="221"/>
      <c r="DD1186" s="221"/>
      <c r="DE1186" s="221"/>
      <c r="DF1186" s="221"/>
      <c r="DG1186" s="221"/>
      <c r="DH1186" s="221"/>
      <c r="DI1186" s="221"/>
      <c r="DJ1186" s="221"/>
      <c r="DK1186" s="221"/>
      <c r="DL1186" s="221"/>
      <c r="DM1186" s="221"/>
      <c r="DN1186" s="221"/>
      <c r="DO1186" s="221"/>
      <c r="DP1186" s="221"/>
      <c r="DQ1186" s="221"/>
      <c r="DR1186" s="221"/>
      <c r="DS1186" s="221"/>
      <c r="DT1186" s="221"/>
      <c r="DU1186" s="221"/>
      <c r="DV1186" s="221"/>
      <c r="DW1186" s="221"/>
      <c r="DX1186" s="221"/>
      <c r="DY1186" s="221"/>
      <c r="DZ1186" s="221"/>
      <c r="EA1186" s="221"/>
      <c r="EB1186" s="221"/>
      <c r="EC1186" s="221"/>
      <c r="ED1186" s="221"/>
      <c r="EE1186" s="221"/>
      <c r="EF1186" s="221"/>
      <c r="EG1186" s="221"/>
      <c r="EH1186" s="221"/>
      <c r="EI1186" s="221"/>
      <c r="EJ1186" s="221"/>
      <c r="EK1186" s="221"/>
      <c r="EL1186" s="221"/>
      <c r="EM1186" s="221"/>
      <c r="EN1186" s="221"/>
      <c r="EO1186" s="221"/>
      <c r="EP1186" s="221"/>
      <c r="EQ1186" s="221"/>
      <c r="ER1186" s="221"/>
      <c r="ES1186" s="221"/>
      <c r="ET1186" s="221"/>
      <c r="EU1186" s="221"/>
      <c r="EV1186" s="221"/>
      <c r="EW1186" s="221"/>
      <c r="EX1186" s="221"/>
      <c r="EY1186" s="221"/>
      <c r="EZ1186" s="221"/>
      <c r="FA1186" s="221"/>
      <c r="FB1186" s="221"/>
      <c r="FC1186" s="221"/>
      <c r="FD1186" s="221"/>
      <c r="FE1186" s="221"/>
      <c r="FF1186" s="221"/>
      <c r="FG1186" s="221"/>
      <c r="FH1186" s="221"/>
      <c r="FI1186" s="221"/>
      <c r="FJ1186" s="221"/>
      <c r="FK1186" s="221"/>
      <c r="FL1186" s="221"/>
      <c r="FM1186" s="221"/>
      <c r="FN1186" s="221"/>
      <c r="FO1186" s="221"/>
      <c r="FP1186" s="221"/>
      <c r="FQ1186" s="221"/>
      <c r="FR1186" s="221"/>
      <c r="FS1186" s="221"/>
      <c r="FT1186" s="221"/>
      <c r="FU1186" s="221"/>
      <c r="FV1186" s="221"/>
      <c r="FW1186" s="221"/>
      <c r="FX1186" s="221"/>
      <c r="FY1186" s="221"/>
      <c r="FZ1186" s="221"/>
      <c r="GA1186" s="221"/>
      <c r="GB1186" s="221"/>
      <c r="GC1186" s="221"/>
      <c r="GD1186" s="221"/>
      <c r="GE1186" s="221"/>
      <c r="GF1186" s="221"/>
      <c r="GG1186" s="221"/>
      <c r="GH1186" s="221"/>
      <c r="GI1186" s="221"/>
      <c r="GJ1186" s="221"/>
      <c r="GK1186" s="221"/>
      <c r="GL1186" s="221"/>
      <c r="GM1186" s="221"/>
      <c r="GN1186" s="221"/>
    </row>
    <row r="1187">
      <c r="A1187" s="212"/>
      <c r="B1187" s="21"/>
      <c r="C1187" s="21"/>
      <c r="D1187" s="213"/>
      <c r="E1187" s="214"/>
      <c r="F1187" s="215"/>
      <c r="G1187" s="21"/>
      <c r="H1187" s="225"/>
      <c r="I1187" s="225"/>
      <c r="J1187" s="225"/>
      <c r="K1187" s="225"/>
      <c r="L1187" s="225"/>
      <c r="M1187" s="225"/>
      <c r="N1187" s="225"/>
      <c r="O1187" s="225"/>
      <c r="P1187" s="225"/>
      <c r="Q1187" s="225"/>
      <c r="R1187" s="225"/>
      <c r="S1187" s="225"/>
      <c r="T1187" s="225"/>
      <c r="U1187" s="225"/>
      <c r="V1187" s="225"/>
      <c r="W1187" s="221"/>
      <c r="X1187" s="221"/>
      <c r="Y1187" s="221"/>
      <c r="Z1187" s="221"/>
      <c r="AA1187" s="221"/>
      <c r="AB1187" s="221"/>
      <c r="AC1187" s="221"/>
      <c r="AD1187" s="221"/>
      <c r="AE1187" s="221"/>
      <c r="AF1187" s="221"/>
      <c r="AG1187" s="221"/>
      <c r="AH1187" s="221"/>
      <c r="AI1187" s="221"/>
      <c r="AJ1187" s="221"/>
      <c r="AK1187" s="221"/>
      <c r="AL1187" s="221"/>
      <c r="AM1187" s="221"/>
      <c r="AN1187" s="221"/>
      <c r="AO1187" s="221"/>
      <c r="AP1187" s="221"/>
      <c r="AQ1187" s="221"/>
      <c r="AR1187" s="221"/>
      <c r="AS1187" s="221"/>
      <c r="AT1187" s="221"/>
      <c r="AU1187" s="221"/>
      <c r="AV1187" s="221"/>
      <c r="AW1187" s="221"/>
      <c r="AX1187" s="221"/>
      <c r="AY1187" s="221"/>
      <c r="AZ1187" s="221"/>
      <c r="BA1187" s="221"/>
      <c r="BB1187" s="221"/>
      <c r="BC1187" s="221"/>
      <c r="BD1187" s="221"/>
      <c r="BE1187" s="221"/>
      <c r="BF1187" s="221"/>
      <c r="BG1187" s="221"/>
      <c r="BH1187" s="221"/>
      <c r="BI1187" s="221"/>
      <c r="BJ1187" s="221"/>
      <c r="BK1187" s="221"/>
      <c r="BL1187" s="221"/>
      <c r="BM1187" s="221"/>
      <c r="BN1187" s="221"/>
      <c r="BO1187" s="221"/>
      <c r="BP1187" s="221"/>
      <c r="BQ1187" s="221"/>
      <c r="BR1187" s="221"/>
      <c r="BS1187" s="221"/>
      <c r="BT1187" s="221"/>
      <c r="BU1187" s="221"/>
      <c r="BV1187" s="221"/>
      <c r="BW1187" s="221"/>
      <c r="BX1187" s="221"/>
      <c r="BY1187" s="221"/>
      <c r="BZ1187" s="221"/>
      <c r="CA1187" s="221"/>
      <c r="CB1187" s="221"/>
      <c r="CC1187" s="221"/>
      <c r="CD1187" s="221"/>
      <c r="CE1187" s="221"/>
      <c r="CF1187" s="221"/>
      <c r="CG1187" s="221"/>
      <c r="CH1187" s="221"/>
      <c r="CI1187" s="221"/>
      <c r="CJ1187" s="221"/>
      <c r="CK1187" s="221"/>
      <c r="CL1187" s="221"/>
      <c r="CM1187" s="221"/>
      <c r="CN1187" s="221"/>
      <c r="CO1187" s="221"/>
      <c r="CP1187" s="221"/>
      <c r="CQ1187" s="221"/>
      <c r="CR1187" s="221"/>
      <c r="CS1187" s="221"/>
      <c r="CT1187" s="221"/>
      <c r="CU1187" s="221"/>
      <c r="CV1187" s="221"/>
      <c r="CW1187" s="221"/>
      <c r="CX1187" s="221"/>
      <c r="CY1187" s="221"/>
      <c r="CZ1187" s="221"/>
      <c r="DA1187" s="221"/>
      <c r="DB1187" s="221"/>
      <c r="DC1187" s="221"/>
      <c r="DD1187" s="221"/>
      <c r="DE1187" s="221"/>
      <c r="DF1187" s="221"/>
      <c r="DG1187" s="221"/>
      <c r="DH1187" s="221"/>
      <c r="DI1187" s="221"/>
      <c r="DJ1187" s="221"/>
      <c r="DK1187" s="221"/>
      <c r="DL1187" s="221"/>
      <c r="DM1187" s="221"/>
      <c r="DN1187" s="221"/>
      <c r="DO1187" s="221"/>
      <c r="DP1187" s="221"/>
      <c r="DQ1187" s="221"/>
      <c r="DR1187" s="221"/>
      <c r="DS1187" s="221"/>
      <c r="DT1187" s="221"/>
      <c r="DU1187" s="221"/>
      <c r="DV1187" s="221"/>
      <c r="DW1187" s="221"/>
      <c r="DX1187" s="221"/>
      <c r="DY1187" s="221"/>
      <c r="DZ1187" s="221"/>
      <c r="EA1187" s="221"/>
      <c r="EB1187" s="221"/>
      <c r="EC1187" s="221"/>
      <c r="ED1187" s="221"/>
      <c r="EE1187" s="221"/>
      <c r="EF1187" s="221"/>
      <c r="EG1187" s="221"/>
      <c r="EH1187" s="221"/>
      <c r="EI1187" s="221"/>
      <c r="EJ1187" s="221"/>
      <c r="EK1187" s="221"/>
      <c r="EL1187" s="221"/>
      <c r="EM1187" s="221"/>
      <c r="EN1187" s="221"/>
      <c r="EO1187" s="221"/>
      <c r="EP1187" s="221"/>
      <c r="EQ1187" s="221"/>
      <c r="ER1187" s="221"/>
      <c r="ES1187" s="221"/>
      <c r="ET1187" s="221"/>
      <c r="EU1187" s="221"/>
      <c r="EV1187" s="221"/>
      <c r="EW1187" s="221"/>
      <c r="EX1187" s="221"/>
      <c r="EY1187" s="221"/>
      <c r="EZ1187" s="221"/>
      <c r="FA1187" s="221"/>
      <c r="FB1187" s="221"/>
      <c r="FC1187" s="221"/>
      <c r="FD1187" s="221"/>
      <c r="FE1187" s="221"/>
      <c r="FF1187" s="221"/>
      <c r="FG1187" s="221"/>
      <c r="FH1187" s="221"/>
      <c r="FI1187" s="221"/>
      <c r="FJ1187" s="221"/>
      <c r="FK1187" s="221"/>
      <c r="FL1187" s="221"/>
      <c r="FM1187" s="221"/>
      <c r="FN1187" s="221"/>
      <c r="FO1187" s="221"/>
      <c r="FP1187" s="221"/>
      <c r="FQ1187" s="221"/>
      <c r="FR1187" s="221"/>
      <c r="FS1187" s="221"/>
      <c r="FT1187" s="221"/>
      <c r="FU1187" s="221"/>
      <c r="FV1187" s="221"/>
      <c r="FW1187" s="221"/>
      <c r="FX1187" s="221"/>
      <c r="FY1187" s="221"/>
      <c r="FZ1187" s="221"/>
      <c r="GA1187" s="221"/>
      <c r="GB1187" s="221"/>
      <c r="GC1187" s="221"/>
      <c r="GD1187" s="221"/>
      <c r="GE1187" s="221"/>
      <c r="GF1187" s="221"/>
      <c r="GG1187" s="221"/>
      <c r="GH1187" s="221"/>
      <c r="GI1187" s="221"/>
      <c r="GJ1187" s="221"/>
      <c r="GK1187" s="221"/>
      <c r="GL1187" s="221"/>
      <c r="GM1187" s="221"/>
      <c r="GN1187" s="221"/>
    </row>
    <row r="1188">
      <c r="A1188" s="212"/>
      <c r="B1188" s="21"/>
      <c r="C1188" s="21"/>
      <c r="D1188" s="213"/>
      <c r="E1188" s="214"/>
      <c r="F1188" s="215"/>
      <c r="G1188" s="21"/>
      <c r="H1188" s="225"/>
      <c r="I1188" s="225"/>
      <c r="J1188" s="225"/>
      <c r="K1188" s="225"/>
      <c r="L1188" s="225"/>
      <c r="M1188" s="225"/>
      <c r="N1188" s="225"/>
      <c r="O1188" s="225"/>
      <c r="P1188" s="225"/>
      <c r="Q1188" s="225"/>
      <c r="R1188" s="225"/>
      <c r="S1188" s="225"/>
      <c r="T1188" s="225"/>
      <c r="U1188" s="225"/>
      <c r="V1188" s="225"/>
      <c r="W1188" s="221"/>
      <c r="X1188" s="221"/>
      <c r="Y1188" s="221"/>
      <c r="Z1188" s="221"/>
      <c r="AA1188" s="221"/>
      <c r="AB1188" s="221"/>
      <c r="AC1188" s="221"/>
      <c r="AD1188" s="221"/>
      <c r="AE1188" s="221"/>
      <c r="AF1188" s="221"/>
      <c r="AG1188" s="221"/>
      <c r="AH1188" s="221"/>
      <c r="AI1188" s="221"/>
      <c r="AJ1188" s="221"/>
      <c r="AK1188" s="221"/>
      <c r="AL1188" s="221"/>
      <c r="AM1188" s="221"/>
      <c r="AN1188" s="221"/>
      <c r="AO1188" s="221"/>
      <c r="AP1188" s="221"/>
      <c r="AQ1188" s="221"/>
      <c r="AR1188" s="221"/>
      <c r="AS1188" s="221"/>
      <c r="AT1188" s="221"/>
      <c r="AU1188" s="221"/>
      <c r="AV1188" s="221"/>
      <c r="AW1188" s="221"/>
      <c r="AX1188" s="221"/>
      <c r="AY1188" s="221"/>
      <c r="AZ1188" s="221"/>
      <c r="BA1188" s="221"/>
      <c r="BB1188" s="221"/>
      <c r="BC1188" s="221"/>
      <c r="BD1188" s="221"/>
      <c r="BE1188" s="221"/>
      <c r="BF1188" s="221"/>
      <c r="BG1188" s="221"/>
      <c r="BH1188" s="221"/>
      <c r="BI1188" s="221"/>
      <c r="BJ1188" s="221"/>
      <c r="BK1188" s="221"/>
      <c r="BL1188" s="221"/>
      <c r="BM1188" s="221"/>
      <c r="BN1188" s="221"/>
      <c r="BO1188" s="221"/>
      <c r="BP1188" s="221"/>
      <c r="BQ1188" s="221"/>
      <c r="BR1188" s="221"/>
      <c r="BS1188" s="221"/>
      <c r="BT1188" s="221"/>
      <c r="BU1188" s="221"/>
      <c r="BV1188" s="221"/>
      <c r="BW1188" s="221"/>
      <c r="BX1188" s="221"/>
      <c r="BY1188" s="221"/>
      <c r="BZ1188" s="221"/>
      <c r="CA1188" s="221"/>
      <c r="CB1188" s="221"/>
      <c r="CC1188" s="221"/>
      <c r="CD1188" s="221"/>
      <c r="CE1188" s="221"/>
      <c r="CF1188" s="221"/>
      <c r="CG1188" s="221"/>
      <c r="CH1188" s="221"/>
      <c r="CI1188" s="221"/>
      <c r="CJ1188" s="221"/>
      <c r="CK1188" s="221"/>
      <c r="CL1188" s="221"/>
      <c r="CM1188" s="221"/>
      <c r="CN1188" s="221"/>
      <c r="CO1188" s="221"/>
      <c r="CP1188" s="221"/>
      <c r="CQ1188" s="221"/>
      <c r="CR1188" s="221"/>
      <c r="CS1188" s="221"/>
      <c r="CT1188" s="221"/>
      <c r="CU1188" s="221"/>
      <c r="CV1188" s="221"/>
      <c r="CW1188" s="221"/>
      <c r="CX1188" s="221"/>
      <c r="CY1188" s="221"/>
      <c r="CZ1188" s="221"/>
      <c r="DA1188" s="221"/>
      <c r="DB1188" s="221"/>
      <c r="DC1188" s="221"/>
      <c r="DD1188" s="221"/>
      <c r="DE1188" s="221"/>
      <c r="DF1188" s="221"/>
      <c r="DG1188" s="221"/>
      <c r="DH1188" s="221"/>
      <c r="DI1188" s="221"/>
      <c r="DJ1188" s="221"/>
      <c r="DK1188" s="221"/>
      <c r="DL1188" s="221"/>
      <c r="DM1188" s="221"/>
      <c r="DN1188" s="221"/>
      <c r="DO1188" s="221"/>
      <c r="DP1188" s="221"/>
      <c r="DQ1188" s="221"/>
      <c r="DR1188" s="221"/>
      <c r="DS1188" s="221"/>
      <c r="DT1188" s="221"/>
      <c r="DU1188" s="221"/>
      <c r="DV1188" s="221"/>
      <c r="DW1188" s="221"/>
      <c r="DX1188" s="221"/>
      <c r="DY1188" s="221"/>
      <c r="DZ1188" s="221"/>
      <c r="EA1188" s="221"/>
      <c r="EB1188" s="221"/>
      <c r="EC1188" s="221"/>
      <c r="ED1188" s="221"/>
      <c r="EE1188" s="221"/>
      <c r="EF1188" s="221"/>
      <c r="EG1188" s="221"/>
      <c r="EH1188" s="221"/>
      <c r="EI1188" s="221"/>
      <c r="EJ1188" s="221"/>
      <c r="EK1188" s="221"/>
      <c r="EL1188" s="221"/>
      <c r="EM1188" s="221"/>
      <c r="EN1188" s="221"/>
      <c r="EO1188" s="221"/>
      <c r="EP1188" s="221"/>
      <c r="EQ1188" s="221"/>
      <c r="ER1188" s="221"/>
      <c r="ES1188" s="221"/>
      <c r="ET1188" s="221"/>
      <c r="EU1188" s="221"/>
      <c r="EV1188" s="221"/>
      <c r="EW1188" s="221"/>
      <c r="EX1188" s="221"/>
      <c r="EY1188" s="221"/>
      <c r="EZ1188" s="221"/>
      <c r="FA1188" s="221"/>
      <c r="FB1188" s="221"/>
      <c r="FC1188" s="221"/>
      <c r="FD1188" s="221"/>
      <c r="FE1188" s="221"/>
      <c r="FF1188" s="221"/>
      <c r="FG1188" s="221"/>
      <c r="FH1188" s="221"/>
      <c r="FI1188" s="221"/>
      <c r="FJ1188" s="221"/>
      <c r="FK1188" s="221"/>
      <c r="FL1188" s="221"/>
      <c r="FM1188" s="221"/>
      <c r="FN1188" s="221"/>
      <c r="FO1188" s="221"/>
      <c r="FP1188" s="221"/>
      <c r="FQ1188" s="221"/>
      <c r="FR1188" s="221"/>
      <c r="FS1188" s="221"/>
      <c r="FT1188" s="221"/>
      <c r="FU1188" s="221"/>
      <c r="FV1188" s="221"/>
      <c r="FW1188" s="221"/>
      <c r="FX1188" s="221"/>
      <c r="FY1188" s="221"/>
      <c r="FZ1188" s="221"/>
      <c r="GA1188" s="221"/>
      <c r="GB1188" s="221"/>
      <c r="GC1188" s="221"/>
      <c r="GD1188" s="221"/>
      <c r="GE1188" s="221"/>
      <c r="GF1188" s="221"/>
      <c r="GG1188" s="221"/>
      <c r="GH1188" s="221"/>
      <c r="GI1188" s="221"/>
      <c r="GJ1188" s="221"/>
      <c r="GK1188" s="221"/>
      <c r="GL1188" s="221"/>
      <c r="GM1188" s="221"/>
      <c r="GN1188" s="221"/>
    </row>
    <row r="1189">
      <c r="A1189" s="212"/>
      <c r="B1189" s="21"/>
      <c r="C1189" s="21"/>
      <c r="D1189" s="213"/>
      <c r="E1189" s="214"/>
      <c r="F1189" s="215"/>
      <c r="G1189" s="21"/>
      <c r="H1189" s="225"/>
      <c r="I1189" s="225"/>
      <c r="J1189" s="225"/>
      <c r="K1189" s="225"/>
      <c r="L1189" s="225"/>
      <c r="M1189" s="225"/>
      <c r="N1189" s="225"/>
      <c r="O1189" s="225"/>
      <c r="P1189" s="225"/>
      <c r="Q1189" s="225"/>
      <c r="R1189" s="225"/>
      <c r="S1189" s="225"/>
      <c r="T1189" s="225"/>
      <c r="U1189" s="225"/>
      <c r="V1189" s="225"/>
      <c r="W1189" s="221"/>
      <c r="X1189" s="221"/>
      <c r="Y1189" s="221"/>
      <c r="Z1189" s="221"/>
      <c r="AA1189" s="221"/>
      <c r="AB1189" s="221"/>
      <c r="AC1189" s="221"/>
      <c r="AD1189" s="221"/>
      <c r="AE1189" s="221"/>
      <c r="AF1189" s="221"/>
      <c r="AG1189" s="221"/>
      <c r="AH1189" s="221"/>
      <c r="AI1189" s="221"/>
      <c r="AJ1189" s="221"/>
      <c r="AK1189" s="221"/>
      <c r="AL1189" s="221"/>
      <c r="AM1189" s="221"/>
      <c r="AN1189" s="221"/>
      <c r="AO1189" s="221"/>
      <c r="AP1189" s="221"/>
      <c r="AQ1189" s="221"/>
      <c r="AR1189" s="221"/>
      <c r="AS1189" s="221"/>
      <c r="AT1189" s="221"/>
      <c r="AU1189" s="221"/>
      <c r="AV1189" s="221"/>
      <c r="AW1189" s="221"/>
      <c r="AX1189" s="221"/>
      <c r="AY1189" s="221"/>
      <c r="AZ1189" s="221"/>
      <c r="BA1189" s="221"/>
      <c r="BB1189" s="221"/>
      <c r="BC1189" s="221"/>
      <c r="BD1189" s="221"/>
      <c r="BE1189" s="221"/>
      <c r="BF1189" s="221"/>
      <c r="BG1189" s="221"/>
      <c r="BH1189" s="221"/>
      <c r="BI1189" s="221"/>
      <c r="BJ1189" s="221"/>
      <c r="BK1189" s="221"/>
      <c r="BL1189" s="221"/>
      <c r="BM1189" s="221"/>
      <c r="BN1189" s="221"/>
      <c r="BO1189" s="221"/>
      <c r="BP1189" s="221"/>
      <c r="BQ1189" s="221"/>
      <c r="BR1189" s="221"/>
      <c r="BS1189" s="221"/>
      <c r="BT1189" s="221"/>
      <c r="BU1189" s="221"/>
      <c r="BV1189" s="221"/>
      <c r="BW1189" s="221"/>
      <c r="BX1189" s="221"/>
      <c r="BY1189" s="221"/>
      <c r="BZ1189" s="221"/>
      <c r="CA1189" s="221"/>
      <c r="CB1189" s="221"/>
      <c r="CC1189" s="221"/>
      <c r="CD1189" s="221"/>
      <c r="CE1189" s="221"/>
      <c r="CF1189" s="221"/>
      <c r="CG1189" s="221"/>
      <c r="CH1189" s="221"/>
      <c r="CI1189" s="221"/>
      <c r="CJ1189" s="221"/>
      <c r="CK1189" s="221"/>
      <c r="CL1189" s="221"/>
      <c r="CM1189" s="221"/>
      <c r="CN1189" s="221"/>
      <c r="CO1189" s="221"/>
      <c r="CP1189" s="221"/>
      <c r="CQ1189" s="221"/>
      <c r="CR1189" s="221"/>
      <c r="CS1189" s="221"/>
      <c r="CT1189" s="221"/>
      <c r="CU1189" s="221"/>
      <c r="CV1189" s="221"/>
      <c r="CW1189" s="221"/>
      <c r="CX1189" s="221"/>
      <c r="CY1189" s="221"/>
      <c r="CZ1189" s="221"/>
      <c r="DA1189" s="221"/>
      <c r="DB1189" s="221"/>
      <c r="DC1189" s="221"/>
      <c r="DD1189" s="221"/>
      <c r="DE1189" s="221"/>
      <c r="DF1189" s="221"/>
      <c r="DG1189" s="221"/>
      <c r="DH1189" s="221"/>
      <c r="DI1189" s="221"/>
      <c r="DJ1189" s="221"/>
      <c r="DK1189" s="221"/>
      <c r="DL1189" s="221"/>
      <c r="DM1189" s="221"/>
      <c r="DN1189" s="221"/>
      <c r="DO1189" s="221"/>
      <c r="DP1189" s="221"/>
      <c r="DQ1189" s="221"/>
      <c r="DR1189" s="221"/>
      <c r="DS1189" s="221"/>
      <c r="DT1189" s="221"/>
      <c r="DU1189" s="221"/>
      <c r="DV1189" s="221"/>
      <c r="DW1189" s="221"/>
      <c r="DX1189" s="221"/>
      <c r="DY1189" s="221"/>
      <c r="DZ1189" s="221"/>
      <c r="EA1189" s="221"/>
      <c r="EB1189" s="221"/>
      <c r="EC1189" s="221"/>
      <c r="ED1189" s="221"/>
      <c r="EE1189" s="221"/>
      <c r="EF1189" s="221"/>
      <c r="EG1189" s="221"/>
      <c r="EH1189" s="221"/>
      <c r="EI1189" s="221"/>
      <c r="EJ1189" s="221"/>
      <c r="EK1189" s="221"/>
      <c r="EL1189" s="221"/>
      <c r="EM1189" s="221"/>
      <c r="EN1189" s="221"/>
      <c r="EO1189" s="221"/>
      <c r="EP1189" s="221"/>
      <c r="EQ1189" s="221"/>
      <c r="ER1189" s="221"/>
      <c r="ES1189" s="221"/>
      <c r="ET1189" s="221"/>
      <c r="EU1189" s="221"/>
      <c r="EV1189" s="221"/>
      <c r="EW1189" s="221"/>
      <c r="EX1189" s="221"/>
      <c r="EY1189" s="221"/>
      <c r="EZ1189" s="221"/>
      <c r="FA1189" s="221"/>
      <c r="FB1189" s="221"/>
      <c r="FC1189" s="221"/>
      <c r="FD1189" s="221"/>
      <c r="FE1189" s="221"/>
      <c r="FF1189" s="221"/>
      <c r="FG1189" s="221"/>
      <c r="FH1189" s="221"/>
      <c r="FI1189" s="221"/>
      <c r="FJ1189" s="221"/>
      <c r="FK1189" s="221"/>
      <c r="FL1189" s="221"/>
      <c r="FM1189" s="221"/>
      <c r="FN1189" s="221"/>
      <c r="FO1189" s="221"/>
      <c r="FP1189" s="221"/>
      <c r="FQ1189" s="221"/>
      <c r="FR1189" s="221"/>
      <c r="FS1189" s="221"/>
      <c r="FT1189" s="221"/>
      <c r="FU1189" s="221"/>
      <c r="FV1189" s="221"/>
      <c r="FW1189" s="221"/>
      <c r="FX1189" s="221"/>
      <c r="FY1189" s="221"/>
      <c r="FZ1189" s="221"/>
      <c r="GA1189" s="221"/>
      <c r="GB1189" s="221"/>
      <c r="GC1189" s="221"/>
      <c r="GD1189" s="221"/>
      <c r="GE1189" s="221"/>
      <c r="GF1189" s="221"/>
      <c r="GG1189" s="221"/>
      <c r="GH1189" s="221"/>
      <c r="GI1189" s="221"/>
      <c r="GJ1189" s="221"/>
      <c r="GK1189" s="221"/>
      <c r="GL1189" s="221"/>
      <c r="GM1189" s="221"/>
      <c r="GN1189" s="221"/>
    </row>
    <row r="1190">
      <c r="A1190" s="212"/>
      <c r="B1190" s="21"/>
      <c r="C1190" s="21"/>
      <c r="D1190" s="213"/>
      <c r="E1190" s="214"/>
      <c r="F1190" s="215"/>
      <c r="G1190" s="21"/>
      <c r="H1190" s="225"/>
      <c r="I1190" s="225"/>
      <c r="J1190" s="225"/>
      <c r="K1190" s="225"/>
      <c r="L1190" s="225"/>
      <c r="M1190" s="225"/>
      <c r="N1190" s="225"/>
      <c r="O1190" s="225"/>
      <c r="P1190" s="225"/>
      <c r="Q1190" s="225"/>
      <c r="R1190" s="225"/>
      <c r="S1190" s="225"/>
      <c r="T1190" s="225"/>
      <c r="U1190" s="225"/>
      <c r="V1190" s="225"/>
      <c r="W1190" s="221"/>
      <c r="X1190" s="221"/>
      <c r="Y1190" s="221"/>
      <c r="Z1190" s="221"/>
      <c r="AA1190" s="221"/>
      <c r="AB1190" s="221"/>
      <c r="AC1190" s="221"/>
      <c r="AD1190" s="221"/>
      <c r="AE1190" s="221"/>
      <c r="AF1190" s="221"/>
      <c r="AG1190" s="221"/>
      <c r="AH1190" s="221"/>
      <c r="AI1190" s="221"/>
      <c r="AJ1190" s="221"/>
      <c r="AK1190" s="221"/>
      <c r="AL1190" s="221"/>
      <c r="AM1190" s="221"/>
      <c r="AN1190" s="221"/>
      <c r="AO1190" s="221"/>
      <c r="AP1190" s="221"/>
      <c r="AQ1190" s="221"/>
      <c r="AR1190" s="221"/>
      <c r="AS1190" s="221"/>
      <c r="AT1190" s="221"/>
      <c r="AU1190" s="221"/>
      <c r="AV1190" s="221"/>
      <c r="AW1190" s="221"/>
      <c r="AX1190" s="221"/>
      <c r="AY1190" s="221"/>
      <c r="AZ1190" s="221"/>
      <c r="BA1190" s="221"/>
      <c r="BB1190" s="221"/>
      <c r="BC1190" s="221"/>
      <c r="BD1190" s="221"/>
      <c r="BE1190" s="221"/>
      <c r="BF1190" s="221"/>
      <c r="BG1190" s="221"/>
      <c r="BH1190" s="221"/>
      <c r="BI1190" s="221"/>
      <c r="BJ1190" s="221"/>
      <c r="BK1190" s="221"/>
      <c r="BL1190" s="221"/>
      <c r="BM1190" s="221"/>
      <c r="BN1190" s="221"/>
      <c r="BO1190" s="221"/>
      <c r="BP1190" s="221"/>
      <c r="BQ1190" s="221"/>
      <c r="BR1190" s="221"/>
      <c r="BS1190" s="221"/>
      <c r="BT1190" s="221"/>
      <c r="BU1190" s="221"/>
      <c r="BV1190" s="221"/>
      <c r="BW1190" s="221"/>
      <c r="BX1190" s="221"/>
      <c r="BY1190" s="221"/>
      <c r="BZ1190" s="221"/>
      <c r="CA1190" s="221"/>
      <c r="CB1190" s="221"/>
      <c r="CC1190" s="221"/>
      <c r="CD1190" s="221"/>
      <c r="CE1190" s="221"/>
      <c r="CF1190" s="221"/>
      <c r="CG1190" s="221"/>
      <c r="CH1190" s="221"/>
      <c r="CI1190" s="221"/>
      <c r="CJ1190" s="221"/>
      <c r="CK1190" s="221"/>
      <c r="CL1190" s="221"/>
      <c r="CM1190" s="221"/>
      <c r="CN1190" s="221"/>
      <c r="CO1190" s="221"/>
      <c r="CP1190" s="221"/>
      <c r="CQ1190" s="221"/>
      <c r="CR1190" s="221"/>
      <c r="CS1190" s="221"/>
      <c r="CT1190" s="221"/>
      <c r="CU1190" s="221"/>
      <c r="CV1190" s="221"/>
      <c r="CW1190" s="221"/>
      <c r="CX1190" s="221"/>
      <c r="CY1190" s="221"/>
      <c r="CZ1190" s="221"/>
      <c r="DA1190" s="221"/>
      <c r="DB1190" s="221"/>
      <c r="DC1190" s="221"/>
      <c r="DD1190" s="221"/>
      <c r="DE1190" s="221"/>
      <c r="DF1190" s="221"/>
      <c r="DG1190" s="221"/>
      <c r="DH1190" s="221"/>
      <c r="DI1190" s="221"/>
      <c r="DJ1190" s="221"/>
      <c r="DK1190" s="221"/>
      <c r="DL1190" s="221"/>
      <c r="DM1190" s="221"/>
      <c r="DN1190" s="221"/>
      <c r="DO1190" s="221"/>
      <c r="DP1190" s="221"/>
      <c r="DQ1190" s="221"/>
      <c r="DR1190" s="221"/>
      <c r="DS1190" s="221"/>
      <c r="DT1190" s="221"/>
      <c r="DU1190" s="221"/>
      <c r="DV1190" s="221"/>
      <c r="DW1190" s="221"/>
      <c r="DX1190" s="221"/>
      <c r="DY1190" s="221"/>
      <c r="DZ1190" s="221"/>
      <c r="EA1190" s="221"/>
      <c r="EB1190" s="221"/>
      <c r="EC1190" s="221"/>
      <c r="ED1190" s="221"/>
      <c r="EE1190" s="221"/>
      <c r="EF1190" s="221"/>
      <c r="EG1190" s="221"/>
      <c r="EH1190" s="221"/>
      <c r="EI1190" s="221"/>
      <c r="EJ1190" s="221"/>
      <c r="EK1190" s="221"/>
      <c r="EL1190" s="221"/>
      <c r="EM1190" s="221"/>
      <c r="EN1190" s="221"/>
      <c r="EO1190" s="221"/>
      <c r="EP1190" s="221"/>
      <c r="EQ1190" s="221"/>
      <c r="ER1190" s="221"/>
      <c r="ES1190" s="221"/>
      <c r="ET1190" s="221"/>
      <c r="EU1190" s="221"/>
      <c r="EV1190" s="221"/>
      <c r="EW1190" s="221"/>
      <c r="EX1190" s="221"/>
      <c r="EY1190" s="221"/>
      <c r="EZ1190" s="221"/>
      <c r="FA1190" s="221"/>
      <c r="FB1190" s="221"/>
      <c r="FC1190" s="221"/>
      <c r="FD1190" s="221"/>
      <c r="FE1190" s="221"/>
      <c r="FF1190" s="221"/>
      <c r="FG1190" s="221"/>
      <c r="FH1190" s="221"/>
      <c r="FI1190" s="221"/>
      <c r="FJ1190" s="221"/>
      <c r="FK1190" s="221"/>
      <c r="FL1190" s="221"/>
      <c r="FM1190" s="221"/>
      <c r="FN1190" s="221"/>
      <c r="FO1190" s="221"/>
      <c r="FP1190" s="221"/>
      <c r="FQ1190" s="221"/>
      <c r="FR1190" s="221"/>
      <c r="FS1190" s="221"/>
      <c r="FT1190" s="221"/>
      <c r="FU1190" s="221"/>
      <c r="FV1190" s="221"/>
      <c r="FW1190" s="221"/>
      <c r="FX1190" s="221"/>
      <c r="FY1190" s="221"/>
      <c r="FZ1190" s="221"/>
      <c r="GA1190" s="221"/>
      <c r="GB1190" s="221"/>
      <c r="GC1190" s="221"/>
      <c r="GD1190" s="221"/>
      <c r="GE1190" s="221"/>
      <c r="GF1190" s="221"/>
      <c r="GG1190" s="221"/>
      <c r="GH1190" s="221"/>
      <c r="GI1190" s="221"/>
      <c r="GJ1190" s="221"/>
      <c r="GK1190" s="221"/>
      <c r="GL1190" s="221"/>
      <c r="GM1190" s="221"/>
      <c r="GN1190" s="221"/>
    </row>
    <row r="1191">
      <c r="A1191" s="212"/>
      <c r="B1191" s="21"/>
      <c r="C1191" s="21"/>
      <c r="D1191" s="213"/>
      <c r="E1191" s="214"/>
      <c r="F1191" s="215"/>
      <c r="G1191" s="21"/>
      <c r="H1191" s="225"/>
      <c r="I1191" s="225"/>
      <c r="J1191" s="225"/>
      <c r="K1191" s="225"/>
      <c r="L1191" s="225"/>
      <c r="M1191" s="225"/>
      <c r="N1191" s="225"/>
      <c r="O1191" s="225"/>
      <c r="P1191" s="225"/>
      <c r="Q1191" s="225"/>
      <c r="R1191" s="225"/>
      <c r="S1191" s="225"/>
      <c r="T1191" s="225"/>
      <c r="U1191" s="225"/>
      <c r="V1191" s="225"/>
      <c r="W1191" s="221"/>
      <c r="X1191" s="221"/>
      <c r="Y1191" s="221"/>
      <c r="Z1191" s="221"/>
      <c r="AA1191" s="221"/>
      <c r="AB1191" s="221"/>
      <c r="AC1191" s="221"/>
      <c r="AD1191" s="221"/>
      <c r="AE1191" s="221"/>
      <c r="AF1191" s="221"/>
      <c r="AG1191" s="221"/>
      <c r="AH1191" s="221"/>
      <c r="AI1191" s="221"/>
      <c r="AJ1191" s="221"/>
      <c r="AK1191" s="221"/>
      <c r="AL1191" s="221"/>
      <c r="AM1191" s="221"/>
      <c r="AN1191" s="221"/>
      <c r="AO1191" s="221"/>
      <c r="AP1191" s="221"/>
      <c r="AQ1191" s="221"/>
      <c r="AR1191" s="221"/>
      <c r="AS1191" s="221"/>
      <c r="AT1191" s="221"/>
      <c r="AU1191" s="221"/>
      <c r="AV1191" s="221"/>
      <c r="AW1191" s="221"/>
      <c r="AX1191" s="221"/>
      <c r="AY1191" s="221"/>
      <c r="AZ1191" s="221"/>
      <c r="BA1191" s="221"/>
      <c r="BB1191" s="221"/>
      <c r="BC1191" s="221"/>
      <c r="BD1191" s="221"/>
      <c r="BE1191" s="221"/>
      <c r="BF1191" s="221"/>
      <c r="BG1191" s="221"/>
      <c r="BH1191" s="221"/>
      <c r="BI1191" s="221"/>
      <c r="BJ1191" s="221"/>
      <c r="BK1191" s="221"/>
      <c r="BL1191" s="221"/>
      <c r="BM1191" s="221"/>
      <c r="BN1191" s="221"/>
      <c r="BO1191" s="221"/>
      <c r="BP1191" s="221"/>
      <c r="BQ1191" s="221"/>
      <c r="BR1191" s="221"/>
      <c r="BS1191" s="221"/>
      <c r="BT1191" s="221"/>
      <c r="BU1191" s="221"/>
      <c r="BV1191" s="221"/>
      <c r="BW1191" s="221"/>
      <c r="BX1191" s="221"/>
      <c r="BY1191" s="221"/>
      <c r="BZ1191" s="221"/>
      <c r="CA1191" s="221"/>
      <c r="CB1191" s="221"/>
      <c r="CC1191" s="221"/>
      <c r="CD1191" s="221"/>
      <c r="CE1191" s="221"/>
      <c r="CF1191" s="221"/>
      <c r="CG1191" s="221"/>
      <c r="CH1191" s="221"/>
      <c r="CI1191" s="221"/>
      <c r="CJ1191" s="221"/>
      <c r="CK1191" s="221"/>
      <c r="CL1191" s="221"/>
      <c r="CM1191" s="221"/>
      <c r="CN1191" s="221"/>
      <c r="CO1191" s="221"/>
      <c r="CP1191" s="221"/>
      <c r="CQ1191" s="221"/>
      <c r="CR1191" s="221"/>
      <c r="CS1191" s="221"/>
      <c r="CT1191" s="221"/>
      <c r="CU1191" s="221"/>
      <c r="CV1191" s="221"/>
      <c r="CW1191" s="221"/>
      <c r="CX1191" s="221"/>
      <c r="CY1191" s="221"/>
      <c r="CZ1191" s="221"/>
      <c r="DA1191" s="221"/>
      <c r="DB1191" s="221"/>
      <c r="DC1191" s="221"/>
      <c r="DD1191" s="221"/>
      <c r="DE1191" s="221"/>
      <c r="DF1191" s="221"/>
      <c r="DG1191" s="221"/>
      <c r="DH1191" s="221"/>
      <c r="DI1191" s="221"/>
      <c r="DJ1191" s="221"/>
      <c r="DK1191" s="221"/>
      <c r="DL1191" s="221"/>
      <c r="DM1191" s="221"/>
      <c r="DN1191" s="221"/>
      <c r="DO1191" s="221"/>
      <c r="DP1191" s="221"/>
      <c r="DQ1191" s="221"/>
      <c r="DR1191" s="221"/>
      <c r="DS1191" s="221"/>
      <c r="DT1191" s="221"/>
      <c r="DU1191" s="221"/>
      <c r="DV1191" s="221"/>
      <c r="DW1191" s="221"/>
      <c r="DX1191" s="221"/>
      <c r="DY1191" s="221"/>
      <c r="DZ1191" s="221"/>
      <c r="EA1191" s="221"/>
      <c r="EB1191" s="221"/>
      <c r="EC1191" s="221"/>
      <c r="ED1191" s="221"/>
      <c r="EE1191" s="221"/>
      <c r="EF1191" s="221"/>
      <c r="EG1191" s="221"/>
      <c r="EH1191" s="221"/>
      <c r="EI1191" s="221"/>
      <c r="EJ1191" s="221"/>
      <c r="EK1191" s="221"/>
      <c r="EL1191" s="221"/>
      <c r="EM1191" s="221"/>
      <c r="EN1191" s="221"/>
      <c r="EO1191" s="221"/>
      <c r="EP1191" s="221"/>
      <c r="EQ1191" s="221"/>
      <c r="ER1191" s="221"/>
      <c r="ES1191" s="221"/>
      <c r="ET1191" s="221"/>
      <c r="EU1191" s="221"/>
      <c r="EV1191" s="221"/>
      <c r="EW1191" s="221"/>
      <c r="EX1191" s="221"/>
      <c r="EY1191" s="221"/>
      <c r="EZ1191" s="221"/>
      <c r="FA1191" s="221"/>
      <c r="FB1191" s="221"/>
      <c r="FC1191" s="221"/>
      <c r="FD1191" s="221"/>
      <c r="FE1191" s="221"/>
      <c r="FF1191" s="221"/>
      <c r="FG1191" s="221"/>
      <c r="FH1191" s="221"/>
      <c r="FI1191" s="221"/>
      <c r="FJ1191" s="221"/>
      <c r="FK1191" s="221"/>
      <c r="FL1191" s="221"/>
      <c r="FM1191" s="221"/>
      <c r="FN1191" s="221"/>
      <c r="FO1191" s="221"/>
      <c r="FP1191" s="221"/>
      <c r="FQ1191" s="221"/>
      <c r="FR1191" s="221"/>
      <c r="FS1191" s="221"/>
      <c r="FT1191" s="221"/>
      <c r="FU1191" s="221"/>
      <c r="FV1191" s="221"/>
      <c r="FW1191" s="221"/>
      <c r="FX1191" s="221"/>
      <c r="FY1191" s="221"/>
      <c r="FZ1191" s="221"/>
      <c r="GA1191" s="221"/>
      <c r="GB1191" s="221"/>
      <c r="GC1191" s="221"/>
      <c r="GD1191" s="221"/>
      <c r="GE1191" s="221"/>
      <c r="GF1191" s="221"/>
      <c r="GG1191" s="221"/>
      <c r="GH1191" s="221"/>
      <c r="GI1191" s="221"/>
      <c r="GJ1191" s="221"/>
      <c r="GK1191" s="221"/>
      <c r="GL1191" s="221"/>
      <c r="GM1191" s="221"/>
      <c r="GN1191" s="221"/>
    </row>
    <row r="1192">
      <c r="A1192" s="212"/>
      <c r="B1192" s="21"/>
      <c r="C1192" s="21"/>
      <c r="D1192" s="213"/>
      <c r="E1192" s="214"/>
      <c r="F1192" s="215"/>
      <c r="G1192" s="21"/>
      <c r="H1192" s="225"/>
      <c r="I1192" s="225"/>
      <c r="J1192" s="225"/>
      <c r="K1192" s="225"/>
      <c r="L1192" s="225"/>
      <c r="M1192" s="225"/>
      <c r="N1192" s="225"/>
      <c r="O1192" s="225"/>
      <c r="P1192" s="225"/>
      <c r="Q1192" s="225"/>
      <c r="R1192" s="225"/>
      <c r="S1192" s="225"/>
      <c r="T1192" s="225"/>
      <c r="U1192" s="225"/>
      <c r="V1192" s="225"/>
      <c r="W1192" s="221"/>
      <c r="X1192" s="221"/>
      <c r="Y1192" s="221"/>
      <c r="Z1192" s="221"/>
      <c r="AA1192" s="221"/>
      <c r="AB1192" s="221"/>
      <c r="AC1192" s="221"/>
      <c r="AD1192" s="221"/>
      <c r="AE1192" s="221"/>
      <c r="AF1192" s="221"/>
      <c r="AG1192" s="221"/>
      <c r="AH1192" s="221"/>
      <c r="AI1192" s="221"/>
      <c r="AJ1192" s="221"/>
      <c r="AK1192" s="221"/>
      <c r="AL1192" s="221"/>
      <c r="AM1192" s="221"/>
      <c r="AN1192" s="221"/>
      <c r="AO1192" s="221"/>
      <c r="AP1192" s="221"/>
      <c r="AQ1192" s="221"/>
      <c r="AR1192" s="221"/>
      <c r="AS1192" s="221"/>
      <c r="AT1192" s="221"/>
      <c r="AU1192" s="221"/>
      <c r="AV1192" s="221"/>
      <c r="AW1192" s="221"/>
      <c r="AX1192" s="221"/>
      <c r="AY1192" s="221"/>
      <c r="AZ1192" s="221"/>
      <c r="BA1192" s="221"/>
      <c r="BB1192" s="221"/>
      <c r="BC1192" s="221"/>
      <c r="BD1192" s="221"/>
      <c r="BE1192" s="221"/>
      <c r="BF1192" s="221"/>
      <c r="BG1192" s="221"/>
      <c r="BH1192" s="221"/>
      <c r="BI1192" s="221"/>
      <c r="BJ1192" s="221"/>
      <c r="BK1192" s="221"/>
      <c r="BL1192" s="221"/>
      <c r="BM1192" s="221"/>
      <c r="BN1192" s="221"/>
      <c r="BO1192" s="221"/>
      <c r="BP1192" s="221"/>
      <c r="BQ1192" s="221"/>
      <c r="BR1192" s="221"/>
      <c r="BS1192" s="221"/>
      <c r="BT1192" s="221"/>
      <c r="BU1192" s="221"/>
      <c r="BV1192" s="221"/>
      <c r="BW1192" s="221"/>
      <c r="BX1192" s="221"/>
      <c r="BY1192" s="221"/>
      <c r="BZ1192" s="221"/>
      <c r="CA1192" s="221"/>
      <c r="CB1192" s="221"/>
      <c r="CC1192" s="221"/>
      <c r="CD1192" s="221"/>
      <c r="CE1192" s="221"/>
      <c r="CF1192" s="221"/>
      <c r="CG1192" s="221"/>
      <c r="CH1192" s="221"/>
      <c r="CI1192" s="221"/>
      <c r="CJ1192" s="221"/>
      <c r="CK1192" s="221"/>
      <c r="CL1192" s="221"/>
      <c r="CM1192" s="221"/>
      <c r="CN1192" s="221"/>
      <c r="CO1192" s="221"/>
      <c r="CP1192" s="221"/>
      <c r="CQ1192" s="221"/>
      <c r="CR1192" s="221"/>
      <c r="CS1192" s="221"/>
      <c r="CT1192" s="221"/>
      <c r="CU1192" s="221"/>
      <c r="CV1192" s="221"/>
      <c r="CW1192" s="221"/>
      <c r="CX1192" s="221"/>
      <c r="CY1192" s="221"/>
      <c r="CZ1192" s="221"/>
      <c r="DA1192" s="221"/>
      <c r="DB1192" s="221"/>
      <c r="DC1192" s="221"/>
      <c r="DD1192" s="221"/>
      <c r="DE1192" s="221"/>
      <c r="DF1192" s="221"/>
      <c r="DG1192" s="221"/>
      <c r="DH1192" s="221"/>
      <c r="DI1192" s="221"/>
      <c r="DJ1192" s="221"/>
      <c r="DK1192" s="221"/>
      <c r="DL1192" s="221"/>
      <c r="DM1192" s="221"/>
      <c r="DN1192" s="221"/>
      <c r="DO1192" s="221"/>
      <c r="DP1192" s="221"/>
      <c r="DQ1192" s="221"/>
      <c r="DR1192" s="221"/>
      <c r="DS1192" s="221"/>
      <c r="DT1192" s="221"/>
      <c r="DU1192" s="221"/>
      <c r="DV1192" s="221"/>
      <c r="DW1192" s="221"/>
      <c r="DX1192" s="221"/>
      <c r="DY1192" s="221"/>
      <c r="DZ1192" s="221"/>
      <c r="EA1192" s="221"/>
      <c r="EB1192" s="221"/>
      <c r="EC1192" s="221"/>
      <c r="ED1192" s="221"/>
      <c r="EE1192" s="221"/>
      <c r="EF1192" s="221"/>
      <c r="EG1192" s="221"/>
      <c r="EH1192" s="221"/>
      <c r="EI1192" s="221"/>
      <c r="EJ1192" s="221"/>
      <c r="EK1192" s="221"/>
      <c r="EL1192" s="221"/>
      <c r="EM1192" s="221"/>
      <c r="EN1192" s="221"/>
      <c r="EO1192" s="221"/>
      <c r="EP1192" s="221"/>
      <c r="EQ1192" s="221"/>
      <c r="ER1192" s="221"/>
      <c r="ES1192" s="221"/>
      <c r="ET1192" s="221"/>
      <c r="EU1192" s="221"/>
      <c r="EV1192" s="221"/>
      <c r="EW1192" s="221"/>
      <c r="EX1192" s="221"/>
      <c r="EY1192" s="221"/>
      <c r="EZ1192" s="221"/>
      <c r="FA1192" s="221"/>
      <c r="FB1192" s="221"/>
      <c r="FC1192" s="221"/>
      <c r="FD1192" s="221"/>
      <c r="FE1192" s="221"/>
      <c r="FF1192" s="221"/>
      <c r="FG1192" s="221"/>
      <c r="FH1192" s="221"/>
      <c r="FI1192" s="221"/>
      <c r="FJ1192" s="221"/>
      <c r="FK1192" s="221"/>
      <c r="FL1192" s="221"/>
      <c r="FM1192" s="221"/>
      <c r="FN1192" s="221"/>
      <c r="FO1192" s="221"/>
      <c r="FP1192" s="221"/>
      <c r="FQ1192" s="221"/>
      <c r="FR1192" s="221"/>
      <c r="FS1192" s="221"/>
      <c r="FT1192" s="221"/>
      <c r="FU1192" s="221"/>
      <c r="FV1192" s="221"/>
      <c r="FW1192" s="221"/>
      <c r="FX1192" s="221"/>
      <c r="FY1192" s="221"/>
      <c r="FZ1192" s="221"/>
      <c r="GA1192" s="221"/>
      <c r="GB1192" s="221"/>
      <c r="GC1192" s="221"/>
      <c r="GD1192" s="221"/>
      <c r="GE1192" s="221"/>
      <c r="GF1192" s="221"/>
      <c r="GG1192" s="221"/>
      <c r="GH1192" s="221"/>
      <c r="GI1192" s="221"/>
      <c r="GJ1192" s="221"/>
      <c r="GK1192" s="221"/>
      <c r="GL1192" s="221"/>
      <c r="GM1192" s="221"/>
      <c r="GN1192" s="221"/>
    </row>
    <row r="1193">
      <c r="A1193" s="212"/>
      <c r="B1193" s="21"/>
      <c r="C1193" s="21"/>
      <c r="D1193" s="213"/>
      <c r="E1193" s="214"/>
      <c r="F1193" s="215"/>
      <c r="G1193" s="21"/>
      <c r="H1193" s="225"/>
      <c r="I1193" s="225"/>
      <c r="J1193" s="225"/>
      <c r="K1193" s="225"/>
      <c r="L1193" s="225"/>
      <c r="M1193" s="225"/>
      <c r="N1193" s="225"/>
      <c r="O1193" s="225"/>
      <c r="P1193" s="225"/>
      <c r="Q1193" s="225"/>
      <c r="R1193" s="225"/>
      <c r="S1193" s="225"/>
      <c r="T1193" s="225"/>
      <c r="U1193" s="225"/>
      <c r="V1193" s="225"/>
      <c r="W1193" s="221"/>
      <c r="X1193" s="221"/>
      <c r="Y1193" s="221"/>
      <c r="Z1193" s="221"/>
      <c r="AA1193" s="221"/>
      <c r="AB1193" s="221"/>
      <c r="AC1193" s="221"/>
      <c r="AD1193" s="221"/>
      <c r="AE1193" s="221"/>
      <c r="AF1193" s="221"/>
      <c r="AG1193" s="221"/>
      <c r="AH1193" s="221"/>
      <c r="AI1193" s="221"/>
      <c r="AJ1193" s="221"/>
      <c r="AK1193" s="221"/>
      <c r="AL1193" s="221"/>
      <c r="AM1193" s="221"/>
      <c r="AN1193" s="221"/>
      <c r="AO1193" s="221"/>
      <c r="AP1193" s="221"/>
      <c r="AQ1193" s="221"/>
      <c r="AR1193" s="221"/>
      <c r="AS1193" s="221"/>
      <c r="AT1193" s="221"/>
      <c r="AU1193" s="221"/>
      <c r="AV1193" s="221"/>
      <c r="AW1193" s="221"/>
      <c r="AX1193" s="221"/>
      <c r="AY1193" s="221"/>
      <c r="AZ1193" s="221"/>
      <c r="BA1193" s="221"/>
      <c r="BB1193" s="221"/>
      <c r="BC1193" s="221"/>
      <c r="BD1193" s="221"/>
      <c r="BE1193" s="221"/>
      <c r="BF1193" s="221"/>
      <c r="BG1193" s="221"/>
      <c r="BH1193" s="221"/>
      <c r="BI1193" s="221"/>
      <c r="BJ1193" s="221"/>
      <c r="BK1193" s="221"/>
      <c r="BL1193" s="221"/>
      <c r="BM1193" s="221"/>
      <c r="BN1193" s="221"/>
      <c r="BO1193" s="221"/>
      <c r="BP1193" s="221"/>
      <c r="BQ1193" s="221"/>
      <c r="BR1193" s="221"/>
      <c r="BS1193" s="221"/>
      <c r="BT1193" s="221"/>
      <c r="BU1193" s="221"/>
      <c r="BV1193" s="221"/>
      <c r="BW1193" s="221"/>
      <c r="BX1193" s="221"/>
      <c r="BY1193" s="221"/>
      <c r="BZ1193" s="221"/>
      <c r="CA1193" s="221"/>
      <c r="CB1193" s="221"/>
      <c r="CC1193" s="221"/>
      <c r="CD1193" s="221"/>
      <c r="CE1193" s="221"/>
      <c r="CF1193" s="221"/>
      <c r="CG1193" s="221"/>
      <c r="CH1193" s="221"/>
      <c r="CI1193" s="221"/>
      <c r="CJ1193" s="221"/>
      <c r="CK1193" s="221"/>
      <c r="CL1193" s="221"/>
      <c r="CM1193" s="221"/>
      <c r="CN1193" s="221"/>
      <c r="CO1193" s="221"/>
      <c r="CP1193" s="221"/>
      <c r="CQ1193" s="221"/>
      <c r="CR1193" s="221"/>
      <c r="CS1193" s="221"/>
      <c r="CT1193" s="221"/>
      <c r="CU1193" s="221"/>
      <c r="CV1193" s="221"/>
      <c r="CW1193" s="221"/>
      <c r="CX1193" s="221"/>
      <c r="CY1193" s="221"/>
      <c r="CZ1193" s="221"/>
      <c r="DA1193" s="221"/>
      <c r="DB1193" s="221"/>
      <c r="DC1193" s="221"/>
      <c r="DD1193" s="221"/>
      <c r="DE1193" s="221"/>
      <c r="DF1193" s="221"/>
      <c r="DG1193" s="221"/>
      <c r="DH1193" s="221"/>
      <c r="DI1193" s="221"/>
      <c r="DJ1193" s="221"/>
      <c r="DK1193" s="221"/>
      <c r="DL1193" s="221"/>
      <c r="DM1193" s="221"/>
      <c r="DN1193" s="221"/>
      <c r="DO1193" s="221"/>
      <c r="DP1193" s="221"/>
      <c r="DQ1193" s="221"/>
      <c r="DR1193" s="221"/>
      <c r="DS1193" s="221"/>
      <c r="DT1193" s="221"/>
      <c r="DU1193" s="221"/>
      <c r="DV1193" s="221"/>
      <c r="DW1193" s="221"/>
      <c r="DX1193" s="221"/>
      <c r="DY1193" s="221"/>
      <c r="DZ1193" s="221"/>
      <c r="EA1193" s="221"/>
      <c r="EB1193" s="221"/>
      <c r="EC1193" s="221"/>
      <c r="ED1193" s="221"/>
      <c r="EE1193" s="221"/>
      <c r="EF1193" s="221"/>
      <c r="EG1193" s="221"/>
      <c r="EH1193" s="221"/>
      <c r="EI1193" s="221"/>
      <c r="EJ1193" s="221"/>
      <c r="EK1193" s="221"/>
      <c r="EL1193" s="221"/>
      <c r="EM1193" s="221"/>
      <c r="EN1193" s="221"/>
      <c r="EO1193" s="221"/>
      <c r="EP1193" s="221"/>
      <c r="EQ1193" s="221"/>
      <c r="ER1193" s="221"/>
      <c r="ES1193" s="221"/>
      <c r="ET1193" s="221"/>
      <c r="EU1193" s="221"/>
      <c r="EV1193" s="221"/>
      <c r="EW1193" s="221"/>
      <c r="EX1193" s="221"/>
      <c r="EY1193" s="221"/>
      <c r="EZ1193" s="221"/>
      <c r="FA1193" s="221"/>
      <c r="FB1193" s="221"/>
      <c r="FC1193" s="221"/>
      <c r="FD1193" s="221"/>
      <c r="FE1193" s="221"/>
      <c r="FF1193" s="221"/>
      <c r="FG1193" s="221"/>
      <c r="FH1193" s="221"/>
      <c r="FI1193" s="221"/>
      <c r="FJ1193" s="221"/>
      <c r="FK1193" s="221"/>
      <c r="FL1193" s="221"/>
      <c r="FM1193" s="221"/>
      <c r="FN1193" s="221"/>
      <c r="FO1193" s="221"/>
      <c r="FP1193" s="221"/>
      <c r="FQ1193" s="221"/>
      <c r="FR1193" s="221"/>
      <c r="FS1193" s="221"/>
      <c r="FT1193" s="221"/>
      <c r="FU1193" s="221"/>
      <c r="FV1193" s="221"/>
      <c r="FW1193" s="221"/>
      <c r="FX1193" s="221"/>
      <c r="FY1193" s="221"/>
      <c r="FZ1193" s="221"/>
      <c r="GA1193" s="221"/>
      <c r="GB1193" s="221"/>
      <c r="GC1193" s="221"/>
      <c r="GD1193" s="221"/>
      <c r="GE1193" s="221"/>
      <c r="GF1193" s="221"/>
      <c r="GG1193" s="221"/>
      <c r="GH1193" s="221"/>
      <c r="GI1193" s="221"/>
      <c r="GJ1193" s="221"/>
      <c r="GK1193" s="221"/>
      <c r="GL1193" s="221"/>
      <c r="GM1193" s="221"/>
      <c r="GN1193" s="221"/>
    </row>
    <row r="1194">
      <c r="A1194" s="212"/>
      <c r="B1194" s="21"/>
      <c r="C1194" s="21"/>
      <c r="D1194" s="213"/>
      <c r="E1194" s="214"/>
      <c r="F1194" s="215"/>
      <c r="G1194" s="21"/>
      <c r="H1194" s="225"/>
      <c r="I1194" s="225"/>
      <c r="J1194" s="225"/>
      <c r="K1194" s="225"/>
      <c r="L1194" s="225"/>
      <c r="M1194" s="225"/>
      <c r="N1194" s="225"/>
      <c r="O1194" s="225"/>
      <c r="P1194" s="225"/>
      <c r="Q1194" s="225"/>
      <c r="R1194" s="225"/>
      <c r="S1194" s="225"/>
      <c r="T1194" s="225"/>
      <c r="U1194" s="225"/>
      <c r="V1194" s="225"/>
      <c r="W1194" s="221"/>
      <c r="X1194" s="221"/>
      <c r="Y1194" s="221"/>
      <c r="Z1194" s="221"/>
      <c r="AA1194" s="221"/>
      <c r="AB1194" s="221"/>
      <c r="AC1194" s="221"/>
      <c r="AD1194" s="221"/>
      <c r="AE1194" s="221"/>
      <c r="AF1194" s="221"/>
      <c r="AG1194" s="221"/>
      <c r="AH1194" s="221"/>
      <c r="AI1194" s="221"/>
      <c r="AJ1194" s="221"/>
      <c r="AK1194" s="221"/>
      <c r="AL1194" s="221"/>
      <c r="AM1194" s="221"/>
      <c r="AN1194" s="221"/>
      <c r="AO1194" s="221"/>
      <c r="AP1194" s="221"/>
      <c r="AQ1194" s="221"/>
      <c r="AR1194" s="221"/>
      <c r="AS1194" s="221"/>
      <c r="AT1194" s="221"/>
      <c r="AU1194" s="221"/>
      <c r="AV1194" s="221"/>
      <c r="AW1194" s="221"/>
      <c r="AX1194" s="221"/>
      <c r="AY1194" s="221"/>
      <c r="AZ1194" s="221"/>
      <c r="BA1194" s="221"/>
      <c r="BB1194" s="221"/>
      <c r="BC1194" s="221"/>
      <c r="BD1194" s="221"/>
      <c r="BE1194" s="221"/>
      <c r="BF1194" s="221"/>
      <c r="BG1194" s="221"/>
      <c r="BH1194" s="221"/>
      <c r="BI1194" s="221"/>
      <c r="BJ1194" s="221"/>
      <c r="BK1194" s="221"/>
      <c r="BL1194" s="221"/>
      <c r="BM1194" s="221"/>
      <c r="BN1194" s="221"/>
      <c r="BO1194" s="221"/>
      <c r="BP1194" s="221"/>
      <c r="BQ1194" s="221"/>
      <c r="BR1194" s="221"/>
      <c r="BS1194" s="221"/>
      <c r="BT1194" s="221"/>
      <c r="BU1194" s="221"/>
      <c r="BV1194" s="221"/>
      <c r="BW1194" s="221"/>
      <c r="BX1194" s="221"/>
      <c r="BY1194" s="221"/>
      <c r="BZ1194" s="221"/>
      <c r="CA1194" s="221"/>
      <c r="CB1194" s="221"/>
      <c r="CC1194" s="221"/>
      <c r="CD1194" s="221"/>
      <c r="CE1194" s="221"/>
      <c r="CF1194" s="221"/>
      <c r="CG1194" s="221"/>
      <c r="CH1194" s="221"/>
      <c r="CI1194" s="221"/>
      <c r="CJ1194" s="221"/>
      <c r="CK1194" s="221"/>
      <c r="CL1194" s="221"/>
      <c r="CM1194" s="221"/>
      <c r="CN1194" s="221"/>
      <c r="CO1194" s="221"/>
      <c r="CP1194" s="221"/>
      <c r="CQ1194" s="221"/>
      <c r="CR1194" s="221"/>
      <c r="CS1194" s="221"/>
      <c r="CT1194" s="221"/>
      <c r="CU1194" s="221"/>
      <c r="CV1194" s="221"/>
      <c r="CW1194" s="221"/>
      <c r="CX1194" s="221"/>
      <c r="CY1194" s="221"/>
      <c r="CZ1194" s="221"/>
      <c r="DA1194" s="221"/>
      <c r="DB1194" s="221"/>
      <c r="DC1194" s="221"/>
      <c r="DD1194" s="221"/>
      <c r="DE1194" s="221"/>
      <c r="DF1194" s="221"/>
      <c r="DG1194" s="221"/>
      <c r="DH1194" s="221"/>
      <c r="DI1194" s="221"/>
      <c r="DJ1194" s="221"/>
      <c r="DK1194" s="221"/>
      <c r="DL1194" s="221"/>
      <c r="DM1194" s="221"/>
      <c r="DN1194" s="221"/>
      <c r="DO1194" s="221"/>
      <c r="DP1194" s="221"/>
      <c r="DQ1194" s="221"/>
      <c r="DR1194" s="221"/>
      <c r="DS1194" s="221"/>
      <c r="DT1194" s="221"/>
      <c r="DU1194" s="221"/>
      <c r="DV1194" s="221"/>
      <c r="DW1194" s="221"/>
      <c r="DX1194" s="221"/>
      <c r="DY1194" s="221"/>
      <c r="DZ1194" s="221"/>
      <c r="EA1194" s="221"/>
      <c r="EB1194" s="221"/>
      <c r="EC1194" s="221"/>
      <c r="ED1194" s="221"/>
      <c r="EE1194" s="221"/>
      <c r="EF1194" s="221"/>
      <c r="EG1194" s="221"/>
      <c r="EH1194" s="221"/>
      <c r="EI1194" s="221"/>
      <c r="EJ1194" s="221"/>
      <c r="EK1194" s="221"/>
      <c r="EL1194" s="221"/>
      <c r="EM1194" s="221"/>
      <c r="EN1194" s="221"/>
      <c r="EO1194" s="221"/>
      <c r="EP1194" s="221"/>
      <c r="EQ1194" s="221"/>
      <c r="ER1194" s="221"/>
      <c r="ES1194" s="221"/>
      <c r="ET1194" s="221"/>
      <c r="EU1194" s="221"/>
      <c r="EV1194" s="221"/>
      <c r="EW1194" s="221"/>
      <c r="EX1194" s="221"/>
      <c r="EY1194" s="221"/>
      <c r="EZ1194" s="221"/>
      <c r="FA1194" s="221"/>
      <c r="FB1194" s="221"/>
      <c r="FC1194" s="221"/>
      <c r="FD1194" s="221"/>
      <c r="FE1194" s="221"/>
      <c r="FF1194" s="221"/>
      <c r="FG1194" s="221"/>
      <c r="FH1194" s="221"/>
      <c r="FI1194" s="221"/>
      <c r="FJ1194" s="221"/>
      <c r="FK1194" s="221"/>
      <c r="FL1194" s="221"/>
      <c r="FM1194" s="221"/>
      <c r="FN1194" s="221"/>
      <c r="FO1194" s="221"/>
      <c r="FP1194" s="221"/>
      <c r="FQ1194" s="221"/>
      <c r="FR1194" s="221"/>
      <c r="FS1194" s="221"/>
      <c r="FT1194" s="221"/>
      <c r="FU1194" s="221"/>
      <c r="FV1194" s="221"/>
      <c r="FW1194" s="221"/>
      <c r="FX1194" s="221"/>
      <c r="FY1194" s="221"/>
      <c r="FZ1194" s="221"/>
      <c r="GA1194" s="221"/>
      <c r="GB1194" s="221"/>
      <c r="GC1194" s="221"/>
      <c r="GD1194" s="221"/>
      <c r="GE1194" s="221"/>
      <c r="GF1194" s="221"/>
      <c r="GG1194" s="221"/>
      <c r="GH1194" s="221"/>
      <c r="GI1194" s="221"/>
      <c r="GJ1194" s="221"/>
      <c r="GK1194" s="221"/>
      <c r="GL1194" s="221"/>
      <c r="GM1194" s="221"/>
      <c r="GN1194" s="221"/>
    </row>
    <row r="1195">
      <c r="A1195" s="212"/>
      <c r="B1195" s="21"/>
      <c r="C1195" s="21"/>
      <c r="D1195" s="213"/>
      <c r="E1195" s="214"/>
      <c r="F1195" s="215"/>
      <c r="G1195" s="21"/>
      <c r="H1195" s="225"/>
      <c r="I1195" s="225"/>
      <c r="J1195" s="225"/>
      <c r="K1195" s="225"/>
      <c r="L1195" s="225"/>
      <c r="M1195" s="225"/>
      <c r="N1195" s="225"/>
      <c r="O1195" s="225"/>
      <c r="P1195" s="225"/>
      <c r="Q1195" s="225"/>
      <c r="R1195" s="225"/>
      <c r="S1195" s="225"/>
      <c r="T1195" s="225"/>
      <c r="U1195" s="225"/>
      <c r="V1195" s="225"/>
      <c r="W1195" s="221"/>
      <c r="X1195" s="221"/>
      <c r="Y1195" s="221"/>
      <c r="Z1195" s="221"/>
      <c r="AA1195" s="221"/>
      <c r="AB1195" s="221"/>
      <c r="AC1195" s="221"/>
      <c r="AD1195" s="221"/>
      <c r="AE1195" s="221"/>
      <c r="AF1195" s="221"/>
      <c r="AG1195" s="221"/>
      <c r="AH1195" s="221"/>
      <c r="AI1195" s="221"/>
      <c r="AJ1195" s="221"/>
      <c r="AK1195" s="221"/>
      <c r="AL1195" s="221"/>
      <c r="AM1195" s="221"/>
      <c r="AN1195" s="221"/>
      <c r="AO1195" s="221"/>
      <c r="AP1195" s="221"/>
      <c r="AQ1195" s="221"/>
      <c r="AR1195" s="221"/>
      <c r="AS1195" s="221"/>
      <c r="AT1195" s="221"/>
      <c r="AU1195" s="221"/>
      <c r="AV1195" s="221"/>
      <c r="AW1195" s="221"/>
      <c r="AX1195" s="221"/>
      <c r="AY1195" s="221"/>
      <c r="AZ1195" s="221"/>
      <c r="BA1195" s="221"/>
      <c r="BB1195" s="221"/>
      <c r="BC1195" s="221"/>
      <c r="BD1195" s="221"/>
      <c r="BE1195" s="221"/>
      <c r="BF1195" s="221"/>
      <c r="BG1195" s="221"/>
      <c r="BH1195" s="221"/>
      <c r="BI1195" s="221"/>
      <c r="BJ1195" s="221"/>
      <c r="BK1195" s="221"/>
      <c r="BL1195" s="221"/>
      <c r="BM1195" s="221"/>
      <c r="BN1195" s="221"/>
      <c r="BO1195" s="221"/>
      <c r="BP1195" s="221"/>
      <c r="BQ1195" s="221"/>
      <c r="BR1195" s="221"/>
      <c r="BS1195" s="221"/>
      <c r="BT1195" s="221"/>
      <c r="BU1195" s="221"/>
      <c r="BV1195" s="221"/>
      <c r="BW1195" s="221"/>
      <c r="BX1195" s="221"/>
      <c r="BY1195" s="221"/>
      <c r="BZ1195" s="221"/>
      <c r="CA1195" s="221"/>
      <c r="CB1195" s="221"/>
      <c r="CC1195" s="221"/>
      <c r="CD1195" s="221"/>
      <c r="CE1195" s="221"/>
      <c r="CF1195" s="221"/>
      <c r="CG1195" s="221"/>
      <c r="CH1195" s="221"/>
      <c r="CI1195" s="221"/>
      <c r="CJ1195" s="221"/>
      <c r="CK1195" s="221"/>
      <c r="CL1195" s="221"/>
      <c r="CM1195" s="221"/>
      <c r="CN1195" s="221"/>
      <c r="CO1195" s="221"/>
      <c r="CP1195" s="221"/>
      <c r="CQ1195" s="221"/>
      <c r="CR1195" s="221"/>
      <c r="CS1195" s="221"/>
      <c r="CT1195" s="221"/>
      <c r="CU1195" s="221"/>
      <c r="CV1195" s="221"/>
      <c r="CW1195" s="221"/>
      <c r="CX1195" s="221"/>
      <c r="CY1195" s="221"/>
      <c r="CZ1195" s="221"/>
      <c r="DA1195" s="221"/>
      <c r="DB1195" s="221"/>
      <c r="DC1195" s="221"/>
      <c r="DD1195" s="221"/>
      <c r="DE1195" s="221"/>
      <c r="DF1195" s="221"/>
      <c r="DG1195" s="221"/>
      <c r="DH1195" s="221"/>
      <c r="DI1195" s="221"/>
      <c r="DJ1195" s="221"/>
      <c r="DK1195" s="221"/>
      <c r="DL1195" s="221"/>
      <c r="DM1195" s="221"/>
      <c r="DN1195" s="221"/>
      <c r="DO1195" s="221"/>
      <c r="DP1195" s="221"/>
      <c r="DQ1195" s="221"/>
      <c r="DR1195" s="221"/>
      <c r="DS1195" s="221"/>
      <c r="DT1195" s="221"/>
      <c r="DU1195" s="221"/>
      <c r="DV1195" s="221"/>
      <c r="DW1195" s="221"/>
      <c r="DX1195" s="221"/>
      <c r="DY1195" s="221"/>
      <c r="DZ1195" s="221"/>
      <c r="EA1195" s="221"/>
      <c r="EB1195" s="221"/>
      <c r="EC1195" s="221"/>
      <c r="ED1195" s="221"/>
      <c r="EE1195" s="221"/>
      <c r="EF1195" s="221"/>
      <c r="EG1195" s="221"/>
      <c r="EH1195" s="221"/>
      <c r="EI1195" s="221"/>
      <c r="EJ1195" s="221"/>
      <c r="EK1195" s="221"/>
      <c r="EL1195" s="221"/>
      <c r="EM1195" s="221"/>
      <c r="EN1195" s="221"/>
      <c r="EO1195" s="221"/>
      <c r="EP1195" s="221"/>
      <c r="EQ1195" s="221"/>
      <c r="ER1195" s="221"/>
      <c r="ES1195" s="221"/>
      <c r="ET1195" s="221"/>
      <c r="EU1195" s="221"/>
      <c r="EV1195" s="221"/>
      <c r="EW1195" s="221"/>
      <c r="EX1195" s="221"/>
      <c r="EY1195" s="221"/>
      <c r="EZ1195" s="221"/>
      <c r="FA1195" s="221"/>
      <c r="FB1195" s="221"/>
      <c r="FC1195" s="221"/>
      <c r="FD1195" s="221"/>
      <c r="FE1195" s="221"/>
      <c r="FF1195" s="221"/>
      <c r="FG1195" s="221"/>
      <c r="FH1195" s="221"/>
      <c r="FI1195" s="221"/>
      <c r="FJ1195" s="221"/>
      <c r="FK1195" s="221"/>
      <c r="FL1195" s="221"/>
      <c r="FM1195" s="221"/>
      <c r="FN1195" s="221"/>
      <c r="FO1195" s="221"/>
      <c r="FP1195" s="221"/>
      <c r="FQ1195" s="221"/>
      <c r="FR1195" s="221"/>
      <c r="FS1195" s="221"/>
      <c r="FT1195" s="221"/>
      <c r="FU1195" s="221"/>
      <c r="FV1195" s="221"/>
      <c r="FW1195" s="221"/>
      <c r="FX1195" s="221"/>
      <c r="FY1195" s="221"/>
      <c r="FZ1195" s="221"/>
      <c r="GA1195" s="221"/>
      <c r="GB1195" s="221"/>
      <c r="GC1195" s="221"/>
      <c r="GD1195" s="221"/>
      <c r="GE1195" s="221"/>
      <c r="GF1195" s="221"/>
      <c r="GG1195" s="221"/>
      <c r="GH1195" s="221"/>
      <c r="GI1195" s="221"/>
      <c r="GJ1195" s="221"/>
      <c r="GK1195" s="221"/>
      <c r="GL1195" s="221"/>
      <c r="GM1195" s="221"/>
      <c r="GN1195" s="221"/>
    </row>
    <row r="1196">
      <c r="A1196" s="212"/>
      <c r="B1196" s="21"/>
      <c r="C1196" s="21"/>
      <c r="D1196" s="213"/>
      <c r="E1196" s="214"/>
      <c r="F1196" s="215"/>
      <c r="G1196" s="21"/>
      <c r="H1196" s="225"/>
      <c r="I1196" s="225"/>
      <c r="J1196" s="225"/>
      <c r="K1196" s="225"/>
      <c r="L1196" s="225"/>
      <c r="M1196" s="225"/>
      <c r="N1196" s="225"/>
      <c r="O1196" s="225"/>
      <c r="P1196" s="225"/>
      <c r="Q1196" s="225"/>
      <c r="R1196" s="225"/>
      <c r="S1196" s="225"/>
      <c r="T1196" s="225"/>
      <c r="U1196" s="225"/>
      <c r="V1196" s="225"/>
      <c r="W1196" s="221"/>
      <c r="X1196" s="221"/>
      <c r="Y1196" s="221"/>
      <c r="Z1196" s="221"/>
      <c r="AA1196" s="221"/>
      <c r="AB1196" s="221"/>
      <c r="AC1196" s="221"/>
      <c r="AD1196" s="221"/>
      <c r="AE1196" s="221"/>
      <c r="AF1196" s="221"/>
      <c r="AG1196" s="221"/>
      <c r="AH1196" s="221"/>
      <c r="AI1196" s="221"/>
      <c r="AJ1196" s="221"/>
      <c r="AK1196" s="221"/>
      <c r="AL1196" s="221"/>
      <c r="AM1196" s="221"/>
      <c r="AN1196" s="221"/>
      <c r="AO1196" s="221"/>
      <c r="AP1196" s="221"/>
      <c r="AQ1196" s="221"/>
      <c r="AR1196" s="221"/>
      <c r="AS1196" s="221"/>
      <c r="AT1196" s="221"/>
      <c r="AU1196" s="221"/>
      <c r="AV1196" s="221"/>
      <c r="AW1196" s="221"/>
      <c r="AX1196" s="221"/>
      <c r="AY1196" s="221"/>
      <c r="AZ1196" s="221"/>
      <c r="BA1196" s="221"/>
      <c r="BB1196" s="221"/>
      <c r="BC1196" s="221"/>
      <c r="BD1196" s="221"/>
      <c r="BE1196" s="221"/>
      <c r="BF1196" s="221"/>
      <c r="BG1196" s="221"/>
      <c r="BH1196" s="221"/>
      <c r="BI1196" s="221"/>
      <c r="BJ1196" s="221"/>
      <c r="BK1196" s="221"/>
      <c r="BL1196" s="221"/>
      <c r="BM1196" s="221"/>
      <c r="BN1196" s="221"/>
      <c r="BO1196" s="221"/>
      <c r="BP1196" s="221"/>
      <c r="BQ1196" s="221"/>
      <c r="BR1196" s="221"/>
      <c r="BS1196" s="221"/>
      <c r="BT1196" s="221"/>
      <c r="BU1196" s="221"/>
      <c r="BV1196" s="221"/>
      <c r="BW1196" s="221"/>
      <c r="BX1196" s="221"/>
      <c r="BY1196" s="221"/>
      <c r="BZ1196" s="221"/>
      <c r="CA1196" s="221"/>
      <c r="CB1196" s="221"/>
      <c r="CC1196" s="221"/>
      <c r="CD1196" s="221"/>
      <c r="CE1196" s="221"/>
      <c r="CF1196" s="221"/>
      <c r="CG1196" s="221"/>
      <c r="CH1196" s="221"/>
      <c r="CI1196" s="221"/>
      <c r="CJ1196" s="221"/>
      <c r="CK1196" s="221"/>
      <c r="CL1196" s="221"/>
      <c r="CM1196" s="221"/>
      <c r="CN1196" s="221"/>
      <c r="CO1196" s="221"/>
      <c r="CP1196" s="221"/>
      <c r="CQ1196" s="221"/>
      <c r="CR1196" s="221"/>
      <c r="CS1196" s="221"/>
      <c r="CT1196" s="221"/>
      <c r="CU1196" s="221"/>
      <c r="CV1196" s="221"/>
      <c r="CW1196" s="221"/>
      <c r="CX1196" s="221"/>
      <c r="CY1196" s="221"/>
      <c r="CZ1196" s="221"/>
      <c r="DA1196" s="221"/>
      <c r="DB1196" s="221"/>
      <c r="DC1196" s="221"/>
      <c r="DD1196" s="221"/>
      <c r="DE1196" s="221"/>
      <c r="DF1196" s="221"/>
      <c r="DG1196" s="221"/>
      <c r="DH1196" s="221"/>
      <c r="DI1196" s="221"/>
      <c r="DJ1196" s="221"/>
      <c r="DK1196" s="221"/>
      <c r="DL1196" s="221"/>
      <c r="DM1196" s="221"/>
      <c r="DN1196" s="221"/>
      <c r="DO1196" s="221"/>
      <c r="DP1196" s="221"/>
      <c r="DQ1196" s="221"/>
      <c r="DR1196" s="221"/>
      <c r="DS1196" s="221"/>
      <c r="DT1196" s="221"/>
      <c r="DU1196" s="221"/>
      <c r="DV1196" s="221"/>
      <c r="DW1196" s="221"/>
      <c r="DX1196" s="221"/>
      <c r="DY1196" s="221"/>
      <c r="DZ1196" s="221"/>
      <c r="EA1196" s="221"/>
      <c r="EB1196" s="221"/>
      <c r="EC1196" s="221"/>
      <c r="ED1196" s="221"/>
      <c r="EE1196" s="221"/>
      <c r="EF1196" s="221"/>
      <c r="EG1196" s="221"/>
      <c r="EH1196" s="221"/>
      <c r="EI1196" s="221"/>
      <c r="EJ1196" s="221"/>
      <c r="EK1196" s="221"/>
      <c r="EL1196" s="221"/>
      <c r="EM1196" s="221"/>
      <c r="EN1196" s="221"/>
      <c r="EO1196" s="221"/>
      <c r="EP1196" s="221"/>
      <c r="EQ1196" s="221"/>
      <c r="ER1196" s="221"/>
      <c r="ES1196" s="221"/>
      <c r="ET1196" s="221"/>
      <c r="EU1196" s="221"/>
      <c r="EV1196" s="221"/>
      <c r="EW1196" s="221"/>
      <c r="EX1196" s="221"/>
      <c r="EY1196" s="221"/>
      <c r="EZ1196" s="221"/>
      <c r="FA1196" s="221"/>
      <c r="FB1196" s="221"/>
      <c r="FC1196" s="221"/>
      <c r="FD1196" s="221"/>
      <c r="FE1196" s="221"/>
      <c r="FF1196" s="221"/>
      <c r="FG1196" s="221"/>
      <c r="FH1196" s="221"/>
      <c r="FI1196" s="221"/>
      <c r="FJ1196" s="221"/>
      <c r="FK1196" s="221"/>
      <c r="FL1196" s="221"/>
      <c r="FM1196" s="221"/>
      <c r="FN1196" s="221"/>
      <c r="FO1196" s="221"/>
      <c r="FP1196" s="221"/>
      <c r="FQ1196" s="221"/>
      <c r="FR1196" s="221"/>
      <c r="FS1196" s="221"/>
      <c r="FT1196" s="221"/>
      <c r="FU1196" s="221"/>
      <c r="FV1196" s="221"/>
      <c r="FW1196" s="221"/>
      <c r="FX1196" s="221"/>
      <c r="FY1196" s="221"/>
      <c r="FZ1196" s="221"/>
      <c r="GA1196" s="221"/>
      <c r="GB1196" s="221"/>
      <c r="GC1196" s="221"/>
      <c r="GD1196" s="221"/>
      <c r="GE1196" s="221"/>
      <c r="GF1196" s="221"/>
      <c r="GG1196" s="221"/>
      <c r="GH1196" s="221"/>
      <c r="GI1196" s="221"/>
      <c r="GJ1196" s="221"/>
      <c r="GK1196" s="221"/>
      <c r="GL1196" s="221"/>
      <c r="GM1196" s="221"/>
      <c r="GN1196" s="221"/>
    </row>
    <row r="1197">
      <c r="A1197" s="212"/>
      <c r="B1197" s="21"/>
      <c r="C1197" s="21"/>
      <c r="D1197" s="213"/>
      <c r="E1197" s="214"/>
      <c r="F1197" s="215"/>
      <c r="G1197" s="21"/>
      <c r="H1197" s="225"/>
      <c r="I1197" s="225"/>
      <c r="J1197" s="225"/>
      <c r="K1197" s="225"/>
      <c r="L1197" s="225"/>
      <c r="M1197" s="225"/>
      <c r="N1197" s="225"/>
      <c r="O1197" s="225"/>
      <c r="P1197" s="225"/>
      <c r="Q1197" s="225"/>
      <c r="R1197" s="225"/>
      <c r="S1197" s="225"/>
      <c r="T1197" s="225"/>
      <c r="U1197" s="225"/>
      <c r="V1197" s="225"/>
      <c r="W1197" s="221"/>
      <c r="X1197" s="221"/>
      <c r="Y1197" s="221"/>
      <c r="Z1197" s="221"/>
      <c r="AA1197" s="221"/>
      <c r="AB1197" s="221"/>
      <c r="AC1197" s="221"/>
      <c r="AD1197" s="221"/>
      <c r="AE1197" s="221"/>
      <c r="AF1197" s="221"/>
      <c r="AG1197" s="221"/>
      <c r="AH1197" s="221"/>
      <c r="AI1197" s="221"/>
      <c r="AJ1197" s="221"/>
      <c r="AK1197" s="221"/>
      <c r="AL1197" s="221"/>
      <c r="AM1197" s="221"/>
      <c r="AN1197" s="221"/>
      <c r="AO1197" s="221"/>
      <c r="AP1197" s="221"/>
      <c r="AQ1197" s="221"/>
      <c r="AR1197" s="221"/>
      <c r="AS1197" s="221"/>
      <c r="AT1197" s="221"/>
      <c r="AU1197" s="221"/>
      <c r="AV1197" s="221"/>
      <c r="AW1197" s="221"/>
      <c r="AX1197" s="221"/>
      <c r="AY1197" s="221"/>
      <c r="AZ1197" s="221"/>
      <c r="BA1197" s="221"/>
      <c r="BB1197" s="221"/>
      <c r="BC1197" s="221"/>
      <c r="BD1197" s="221"/>
      <c r="BE1197" s="221"/>
      <c r="BF1197" s="221"/>
      <c r="BG1197" s="221"/>
      <c r="BH1197" s="221"/>
      <c r="BI1197" s="221"/>
      <c r="BJ1197" s="221"/>
      <c r="BK1197" s="221"/>
      <c r="BL1197" s="221"/>
      <c r="BM1197" s="221"/>
      <c r="BN1197" s="221"/>
      <c r="BO1197" s="221"/>
      <c r="BP1197" s="221"/>
      <c r="BQ1197" s="221"/>
      <c r="BR1197" s="221"/>
      <c r="BS1197" s="221"/>
      <c r="BT1197" s="221"/>
      <c r="BU1197" s="221"/>
      <c r="BV1197" s="221"/>
      <c r="BW1197" s="221"/>
      <c r="BX1197" s="221"/>
      <c r="BY1197" s="221"/>
      <c r="BZ1197" s="221"/>
      <c r="CA1197" s="221"/>
      <c r="CB1197" s="221"/>
      <c r="CC1197" s="221"/>
      <c r="CD1197" s="221"/>
      <c r="CE1197" s="221"/>
      <c r="CF1197" s="221"/>
      <c r="CG1197" s="221"/>
      <c r="CH1197" s="221"/>
      <c r="CI1197" s="221"/>
      <c r="CJ1197" s="221"/>
      <c r="CK1197" s="221"/>
      <c r="CL1197" s="221"/>
      <c r="CM1197" s="221"/>
      <c r="CN1197" s="221"/>
      <c r="CO1197" s="221"/>
      <c r="CP1197" s="221"/>
      <c r="CQ1197" s="221"/>
      <c r="CR1197" s="221"/>
      <c r="CS1197" s="221"/>
      <c r="CT1197" s="221"/>
      <c r="CU1197" s="221"/>
      <c r="CV1197" s="221"/>
      <c r="CW1197" s="221"/>
      <c r="CX1197" s="221"/>
      <c r="CY1197" s="221"/>
      <c r="CZ1197" s="221"/>
      <c r="DA1197" s="221"/>
      <c r="DB1197" s="221"/>
      <c r="DC1197" s="221"/>
      <c r="DD1197" s="221"/>
      <c r="DE1197" s="221"/>
      <c r="DF1197" s="221"/>
      <c r="DG1197" s="221"/>
      <c r="DH1197" s="221"/>
      <c r="DI1197" s="221"/>
      <c r="DJ1197" s="221"/>
      <c r="DK1197" s="221"/>
      <c r="DL1197" s="221"/>
      <c r="DM1197" s="221"/>
      <c r="DN1197" s="221"/>
      <c r="DO1197" s="221"/>
      <c r="DP1197" s="221"/>
      <c r="DQ1197" s="221"/>
      <c r="DR1197" s="221"/>
      <c r="DS1197" s="221"/>
      <c r="DT1197" s="221"/>
      <c r="DU1197" s="221"/>
      <c r="DV1197" s="221"/>
      <c r="DW1197" s="221"/>
      <c r="DX1197" s="221"/>
      <c r="DY1197" s="221"/>
      <c r="DZ1197" s="221"/>
      <c r="EA1197" s="221"/>
      <c r="EB1197" s="221"/>
      <c r="EC1197" s="221"/>
      <c r="ED1197" s="221"/>
      <c r="EE1197" s="221"/>
      <c r="EF1197" s="221"/>
      <c r="EG1197" s="221"/>
      <c r="EH1197" s="221"/>
      <c r="EI1197" s="221"/>
      <c r="EJ1197" s="221"/>
      <c r="EK1197" s="221"/>
      <c r="EL1197" s="221"/>
      <c r="EM1197" s="221"/>
      <c r="EN1197" s="221"/>
      <c r="EO1197" s="221"/>
      <c r="EP1197" s="221"/>
      <c r="EQ1197" s="221"/>
      <c r="ER1197" s="221"/>
      <c r="ES1197" s="221"/>
      <c r="ET1197" s="221"/>
      <c r="EU1197" s="221"/>
      <c r="EV1197" s="221"/>
      <c r="EW1197" s="221"/>
      <c r="EX1197" s="221"/>
      <c r="EY1197" s="221"/>
      <c r="EZ1197" s="221"/>
      <c r="FA1197" s="221"/>
      <c r="FB1197" s="221"/>
      <c r="FC1197" s="221"/>
      <c r="FD1197" s="221"/>
      <c r="FE1197" s="221"/>
      <c r="FF1197" s="221"/>
      <c r="FG1197" s="221"/>
      <c r="FH1197" s="221"/>
      <c r="FI1197" s="221"/>
      <c r="FJ1197" s="221"/>
      <c r="FK1197" s="221"/>
      <c r="FL1197" s="221"/>
      <c r="FM1197" s="221"/>
      <c r="FN1197" s="221"/>
      <c r="FO1197" s="221"/>
      <c r="FP1197" s="221"/>
      <c r="FQ1197" s="221"/>
      <c r="FR1197" s="221"/>
      <c r="FS1197" s="221"/>
      <c r="FT1197" s="221"/>
      <c r="FU1197" s="221"/>
      <c r="FV1197" s="221"/>
      <c r="FW1197" s="221"/>
      <c r="FX1197" s="221"/>
      <c r="FY1197" s="221"/>
      <c r="FZ1197" s="221"/>
      <c r="GA1197" s="221"/>
      <c r="GB1197" s="221"/>
      <c r="GC1197" s="221"/>
      <c r="GD1197" s="221"/>
      <c r="GE1197" s="221"/>
      <c r="GF1197" s="221"/>
      <c r="GG1197" s="221"/>
      <c r="GH1197" s="221"/>
      <c r="GI1197" s="221"/>
      <c r="GJ1197" s="221"/>
      <c r="GK1197" s="221"/>
      <c r="GL1197" s="221"/>
      <c r="GM1197" s="221"/>
      <c r="GN1197" s="221"/>
    </row>
    <row r="1198">
      <c r="A1198" s="212"/>
      <c r="B1198" s="21"/>
      <c r="C1198" s="21"/>
      <c r="D1198" s="213"/>
      <c r="E1198" s="214"/>
      <c r="F1198" s="215"/>
      <c r="G1198" s="21"/>
      <c r="H1198" s="225"/>
      <c r="I1198" s="225"/>
      <c r="J1198" s="225"/>
      <c r="K1198" s="225"/>
      <c r="L1198" s="225"/>
      <c r="M1198" s="225"/>
      <c r="N1198" s="225"/>
      <c r="O1198" s="225"/>
      <c r="P1198" s="225"/>
      <c r="Q1198" s="225"/>
      <c r="R1198" s="225"/>
      <c r="S1198" s="225"/>
      <c r="T1198" s="225"/>
      <c r="U1198" s="225"/>
      <c r="V1198" s="225"/>
      <c r="W1198" s="221"/>
      <c r="X1198" s="221"/>
      <c r="Y1198" s="221"/>
      <c r="Z1198" s="221"/>
      <c r="AA1198" s="221"/>
      <c r="AB1198" s="221"/>
      <c r="AC1198" s="221"/>
      <c r="AD1198" s="221"/>
      <c r="AE1198" s="221"/>
      <c r="AF1198" s="221"/>
      <c r="AG1198" s="221"/>
      <c r="AH1198" s="221"/>
      <c r="AI1198" s="221"/>
      <c r="AJ1198" s="221"/>
      <c r="AK1198" s="221"/>
      <c r="AL1198" s="221"/>
      <c r="AM1198" s="221"/>
      <c r="AN1198" s="221"/>
      <c r="AO1198" s="221"/>
      <c r="AP1198" s="221"/>
      <c r="AQ1198" s="221"/>
      <c r="AR1198" s="221"/>
      <c r="AS1198" s="221"/>
      <c r="AT1198" s="221"/>
      <c r="AU1198" s="221"/>
      <c r="AV1198" s="221"/>
      <c r="AW1198" s="221"/>
      <c r="AX1198" s="221"/>
      <c r="AY1198" s="221"/>
      <c r="AZ1198" s="221"/>
      <c r="BA1198" s="221"/>
      <c r="BB1198" s="221"/>
      <c r="BC1198" s="221"/>
      <c r="BD1198" s="221"/>
      <c r="BE1198" s="221"/>
      <c r="BF1198" s="221"/>
      <c r="BG1198" s="221"/>
      <c r="BH1198" s="221"/>
      <c r="BI1198" s="221"/>
      <c r="BJ1198" s="221"/>
      <c r="BK1198" s="221"/>
      <c r="BL1198" s="221"/>
      <c r="BM1198" s="221"/>
      <c r="BN1198" s="221"/>
      <c r="BO1198" s="221"/>
      <c r="BP1198" s="221"/>
      <c r="BQ1198" s="221"/>
      <c r="BR1198" s="221"/>
      <c r="BS1198" s="221"/>
      <c r="BT1198" s="221"/>
      <c r="BU1198" s="221"/>
      <c r="BV1198" s="221"/>
      <c r="BW1198" s="221"/>
      <c r="BX1198" s="221"/>
      <c r="BY1198" s="221"/>
      <c r="BZ1198" s="221"/>
      <c r="CA1198" s="221"/>
      <c r="CB1198" s="221"/>
      <c r="CC1198" s="221"/>
      <c r="CD1198" s="221"/>
      <c r="CE1198" s="221"/>
      <c r="CF1198" s="221"/>
      <c r="CG1198" s="221"/>
      <c r="CH1198" s="221"/>
      <c r="CI1198" s="221"/>
      <c r="CJ1198" s="221"/>
      <c r="CK1198" s="221"/>
      <c r="CL1198" s="221"/>
      <c r="CM1198" s="221"/>
      <c r="CN1198" s="221"/>
      <c r="CO1198" s="221"/>
      <c r="CP1198" s="221"/>
      <c r="CQ1198" s="221"/>
      <c r="CR1198" s="221"/>
      <c r="CS1198" s="221"/>
      <c r="CT1198" s="221"/>
      <c r="CU1198" s="221"/>
      <c r="CV1198" s="221"/>
      <c r="CW1198" s="221"/>
      <c r="CX1198" s="221"/>
      <c r="CY1198" s="221"/>
      <c r="CZ1198" s="221"/>
      <c r="DA1198" s="221"/>
      <c r="DB1198" s="221"/>
      <c r="DC1198" s="221"/>
      <c r="DD1198" s="221"/>
      <c r="DE1198" s="221"/>
      <c r="DF1198" s="221"/>
      <c r="DG1198" s="221"/>
      <c r="DH1198" s="221"/>
      <c r="DI1198" s="221"/>
      <c r="DJ1198" s="221"/>
      <c r="DK1198" s="221"/>
      <c r="DL1198" s="221"/>
      <c r="DM1198" s="221"/>
      <c r="DN1198" s="221"/>
      <c r="DO1198" s="221"/>
      <c r="DP1198" s="221"/>
      <c r="DQ1198" s="221"/>
      <c r="DR1198" s="221"/>
      <c r="DS1198" s="221"/>
      <c r="DT1198" s="221"/>
      <c r="DU1198" s="221"/>
      <c r="DV1198" s="221"/>
      <c r="DW1198" s="221"/>
      <c r="DX1198" s="221"/>
      <c r="DY1198" s="221"/>
      <c r="DZ1198" s="221"/>
      <c r="EA1198" s="221"/>
      <c r="EB1198" s="221"/>
      <c r="EC1198" s="221"/>
      <c r="ED1198" s="221"/>
      <c r="EE1198" s="221"/>
      <c r="EF1198" s="221"/>
      <c r="EG1198" s="221"/>
      <c r="EH1198" s="221"/>
      <c r="EI1198" s="221"/>
      <c r="EJ1198" s="221"/>
      <c r="EK1198" s="221"/>
      <c r="EL1198" s="221"/>
      <c r="EM1198" s="221"/>
      <c r="EN1198" s="221"/>
      <c r="EO1198" s="221"/>
      <c r="EP1198" s="221"/>
      <c r="EQ1198" s="221"/>
      <c r="ER1198" s="221"/>
      <c r="ES1198" s="221"/>
      <c r="ET1198" s="221"/>
      <c r="EU1198" s="221"/>
      <c r="EV1198" s="221"/>
      <c r="EW1198" s="221"/>
      <c r="EX1198" s="221"/>
      <c r="EY1198" s="221"/>
      <c r="EZ1198" s="221"/>
      <c r="FA1198" s="221"/>
      <c r="FB1198" s="221"/>
      <c r="FC1198" s="221"/>
      <c r="FD1198" s="221"/>
      <c r="FE1198" s="221"/>
      <c r="FF1198" s="221"/>
      <c r="FG1198" s="221"/>
      <c r="FH1198" s="221"/>
      <c r="FI1198" s="221"/>
      <c r="FJ1198" s="221"/>
      <c r="FK1198" s="221"/>
      <c r="FL1198" s="221"/>
      <c r="FM1198" s="221"/>
      <c r="FN1198" s="221"/>
      <c r="FO1198" s="221"/>
      <c r="FP1198" s="221"/>
      <c r="FQ1198" s="221"/>
      <c r="FR1198" s="221"/>
      <c r="FS1198" s="221"/>
      <c r="FT1198" s="221"/>
      <c r="FU1198" s="221"/>
      <c r="FV1198" s="221"/>
      <c r="FW1198" s="221"/>
      <c r="FX1198" s="221"/>
      <c r="FY1198" s="221"/>
      <c r="FZ1198" s="221"/>
      <c r="GA1198" s="221"/>
      <c r="GB1198" s="221"/>
      <c r="GC1198" s="221"/>
      <c r="GD1198" s="221"/>
      <c r="GE1198" s="221"/>
      <c r="GF1198" s="221"/>
      <c r="GG1198" s="221"/>
      <c r="GH1198" s="221"/>
      <c r="GI1198" s="221"/>
      <c r="GJ1198" s="221"/>
      <c r="GK1198" s="221"/>
      <c r="GL1198" s="221"/>
      <c r="GM1198" s="221"/>
      <c r="GN1198" s="221"/>
    </row>
    <row r="1199">
      <c r="A1199" s="212"/>
      <c r="B1199" s="21"/>
      <c r="C1199" s="21"/>
      <c r="D1199" s="213"/>
      <c r="E1199" s="214"/>
      <c r="F1199" s="215"/>
      <c r="G1199" s="21"/>
      <c r="H1199" s="225"/>
      <c r="I1199" s="225"/>
      <c r="J1199" s="225"/>
      <c r="K1199" s="225"/>
      <c r="L1199" s="225"/>
      <c r="M1199" s="225"/>
      <c r="N1199" s="225"/>
      <c r="O1199" s="225"/>
      <c r="P1199" s="225"/>
      <c r="Q1199" s="225"/>
      <c r="R1199" s="225"/>
      <c r="S1199" s="225"/>
      <c r="T1199" s="225"/>
      <c r="U1199" s="225"/>
      <c r="V1199" s="225"/>
      <c r="W1199" s="221"/>
      <c r="X1199" s="221"/>
      <c r="Y1199" s="221"/>
      <c r="Z1199" s="221"/>
      <c r="AA1199" s="221"/>
      <c r="AB1199" s="221"/>
      <c r="AC1199" s="221"/>
      <c r="AD1199" s="221"/>
      <c r="AE1199" s="221"/>
      <c r="AF1199" s="221"/>
      <c r="AG1199" s="221"/>
      <c r="AH1199" s="221"/>
      <c r="AI1199" s="221"/>
      <c r="AJ1199" s="221"/>
      <c r="AK1199" s="221"/>
      <c r="AL1199" s="221"/>
      <c r="AM1199" s="221"/>
      <c r="AN1199" s="221"/>
      <c r="AO1199" s="221"/>
      <c r="AP1199" s="221"/>
      <c r="AQ1199" s="221"/>
      <c r="AR1199" s="221"/>
      <c r="AS1199" s="221"/>
      <c r="AT1199" s="221"/>
      <c r="AU1199" s="221"/>
      <c r="AV1199" s="221"/>
      <c r="AW1199" s="221"/>
      <c r="AX1199" s="221"/>
      <c r="AY1199" s="221"/>
      <c r="AZ1199" s="221"/>
      <c r="BA1199" s="221"/>
      <c r="BB1199" s="221"/>
      <c r="BC1199" s="221"/>
      <c r="BD1199" s="221"/>
      <c r="BE1199" s="221"/>
      <c r="BF1199" s="221"/>
      <c r="BG1199" s="221"/>
      <c r="BH1199" s="221"/>
      <c r="BI1199" s="221"/>
      <c r="BJ1199" s="221"/>
      <c r="BK1199" s="221"/>
      <c r="BL1199" s="221"/>
      <c r="BM1199" s="221"/>
      <c r="BN1199" s="221"/>
      <c r="BO1199" s="221"/>
      <c r="BP1199" s="221"/>
      <c r="BQ1199" s="221"/>
      <c r="BR1199" s="221"/>
      <c r="BS1199" s="221"/>
      <c r="BT1199" s="221"/>
      <c r="BU1199" s="221"/>
      <c r="BV1199" s="221"/>
      <c r="BW1199" s="221"/>
      <c r="BX1199" s="221"/>
      <c r="BY1199" s="221"/>
      <c r="BZ1199" s="221"/>
      <c r="CA1199" s="221"/>
      <c r="CB1199" s="221"/>
      <c r="CC1199" s="221"/>
      <c r="CD1199" s="221"/>
      <c r="CE1199" s="221"/>
      <c r="CF1199" s="221"/>
      <c r="CG1199" s="221"/>
      <c r="CH1199" s="221"/>
      <c r="CI1199" s="221"/>
      <c r="CJ1199" s="221"/>
      <c r="CK1199" s="221"/>
      <c r="CL1199" s="221"/>
      <c r="CM1199" s="221"/>
      <c r="CN1199" s="221"/>
      <c r="CO1199" s="221"/>
      <c r="CP1199" s="221"/>
      <c r="CQ1199" s="221"/>
      <c r="CR1199" s="221"/>
      <c r="CS1199" s="221"/>
      <c r="CT1199" s="221"/>
      <c r="CU1199" s="221"/>
      <c r="CV1199" s="221"/>
      <c r="CW1199" s="221"/>
      <c r="CX1199" s="221"/>
      <c r="CY1199" s="221"/>
      <c r="CZ1199" s="221"/>
      <c r="DA1199" s="221"/>
      <c r="DB1199" s="221"/>
      <c r="DC1199" s="221"/>
      <c r="DD1199" s="221"/>
      <c r="DE1199" s="221"/>
      <c r="DF1199" s="221"/>
      <c r="DG1199" s="221"/>
      <c r="DH1199" s="221"/>
      <c r="DI1199" s="221"/>
      <c r="DJ1199" s="221"/>
      <c r="DK1199" s="221"/>
      <c r="DL1199" s="221"/>
      <c r="DM1199" s="221"/>
      <c r="DN1199" s="221"/>
      <c r="DO1199" s="221"/>
      <c r="DP1199" s="221"/>
      <c r="DQ1199" s="221"/>
      <c r="DR1199" s="221"/>
      <c r="DS1199" s="221"/>
      <c r="DT1199" s="221"/>
      <c r="DU1199" s="221"/>
      <c r="DV1199" s="221"/>
      <c r="DW1199" s="221"/>
      <c r="DX1199" s="221"/>
      <c r="DY1199" s="221"/>
      <c r="DZ1199" s="221"/>
      <c r="EA1199" s="221"/>
      <c r="EB1199" s="221"/>
      <c r="EC1199" s="221"/>
      <c r="ED1199" s="221"/>
      <c r="EE1199" s="221"/>
      <c r="EF1199" s="221"/>
      <c r="EG1199" s="221"/>
      <c r="EH1199" s="221"/>
      <c r="EI1199" s="221"/>
      <c r="EJ1199" s="221"/>
      <c r="EK1199" s="221"/>
      <c r="EL1199" s="221"/>
      <c r="EM1199" s="221"/>
      <c r="EN1199" s="221"/>
      <c r="EO1199" s="221"/>
      <c r="EP1199" s="221"/>
      <c r="EQ1199" s="221"/>
      <c r="ER1199" s="221"/>
      <c r="ES1199" s="221"/>
      <c r="ET1199" s="221"/>
      <c r="EU1199" s="221"/>
      <c r="EV1199" s="221"/>
      <c r="EW1199" s="221"/>
      <c r="EX1199" s="221"/>
      <c r="EY1199" s="221"/>
      <c r="EZ1199" s="221"/>
      <c r="FA1199" s="221"/>
      <c r="FB1199" s="221"/>
      <c r="FC1199" s="221"/>
      <c r="FD1199" s="221"/>
      <c r="FE1199" s="221"/>
      <c r="FF1199" s="221"/>
      <c r="FG1199" s="221"/>
      <c r="FH1199" s="221"/>
      <c r="FI1199" s="221"/>
      <c r="FJ1199" s="221"/>
      <c r="FK1199" s="221"/>
      <c r="FL1199" s="221"/>
      <c r="FM1199" s="221"/>
      <c r="FN1199" s="221"/>
      <c r="FO1199" s="221"/>
      <c r="FP1199" s="221"/>
      <c r="FQ1199" s="221"/>
      <c r="FR1199" s="221"/>
      <c r="FS1199" s="221"/>
      <c r="FT1199" s="221"/>
      <c r="FU1199" s="221"/>
      <c r="FV1199" s="221"/>
      <c r="FW1199" s="221"/>
      <c r="FX1199" s="221"/>
      <c r="FY1199" s="221"/>
      <c r="FZ1199" s="221"/>
      <c r="GA1199" s="221"/>
      <c r="GB1199" s="221"/>
      <c r="GC1199" s="221"/>
      <c r="GD1199" s="221"/>
      <c r="GE1199" s="221"/>
      <c r="GF1199" s="221"/>
      <c r="GG1199" s="221"/>
      <c r="GH1199" s="221"/>
      <c r="GI1199" s="221"/>
      <c r="GJ1199" s="221"/>
      <c r="GK1199" s="221"/>
      <c r="GL1199" s="221"/>
      <c r="GM1199" s="221"/>
      <c r="GN1199" s="221"/>
    </row>
    <row r="1200">
      <c r="A1200" s="212"/>
      <c r="B1200" s="21"/>
      <c r="C1200" s="21"/>
      <c r="D1200" s="213"/>
      <c r="E1200" s="214"/>
      <c r="F1200" s="215"/>
      <c r="G1200" s="21"/>
      <c r="H1200" s="225"/>
      <c r="I1200" s="225"/>
      <c r="J1200" s="225"/>
      <c r="K1200" s="225"/>
      <c r="L1200" s="225"/>
      <c r="M1200" s="225"/>
      <c r="N1200" s="225"/>
      <c r="O1200" s="225"/>
      <c r="P1200" s="225"/>
      <c r="Q1200" s="225"/>
      <c r="R1200" s="225"/>
      <c r="S1200" s="225"/>
      <c r="T1200" s="225"/>
      <c r="U1200" s="225"/>
      <c r="V1200" s="225"/>
      <c r="W1200" s="221"/>
      <c r="X1200" s="221"/>
      <c r="Y1200" s="221"/>
      <c r="Z1200" s="221"/>
      <c r="AA1200" s="221"/>
      <c r="AB1200" s="221"/>
      <c r="AC1200" s="221"/>
      <c r="AD1200" s="221"/>
      <c r="AE1200" s="221"/>
      <c r="AF1200" s="221"/>
      <c r="AG1200" s="221"/>
      <c r="AH1200" s="221"/>
      <c r="AI1200" s="221"/>
      <c r="AJ1200" s="221"/>
      <c r="AK1200" s="221"/>
      <c r="AL1200" s="221"/>
      <c r="AM1200" s="221"/>
      <c r="AN1200" s="221"/>
      <c r="AO1200" s="221"/>
      <c r="AP1200" s="221"/>
      <c r="AQ1200" s="221"/>
      <c r="AR1200" s="221"/>
      <c r="AS1200" s="221"/>
      <c r="AT1200" s="221"/>
      <c r="AU1200" s="221"/>
      <c r="AV1200" s="221"/>
      <c r="AW1200" s="221"/>
      <c r="AX1200" s="221"/>
      <c r="AY1200" s="221"/>
      <c r="AZ1200" s="221"/>
      <c r="BA1200" s="221"/>
      <c r="BB1200" s="221"/>
      <c r="BC1200" s="221"/>
      <c r="BD1200" s="221"/>
      <c r="BE1200" s="221"/>
      <c r="BF1200" s="221"/>
      <c r="BG1200" s="221"/>
      <c r="BH1200" s="221"/>
      <c r="BI1200" s="221"/>
      <c r="BJ1200" s="221"/>
      <c r="BK1200" s="221"/>
      <c r="BL1200" s="221"/>
      <c r="BM1200" s="221"/>
      <c r="BN1200" s="221"/>
      <c r="BO1200" s="221"/>
      <c r="BP1200" s="221"/>
      <c r="BQ1200" s="221"/>
      <c r="BR1200" s="221"/>
      <c r="BS1200" s="221"/>
      <c r="BT1200" s="221"/>
      <c r="BU1200" s="221"/>
      <c r="BV1200" s="221"/>
      <c r="BW1200" s="221"/>
      <c r="BX1200" s="221"/>
      <c r="BY1200" s="221"/>
      <c r="BZ1200" s="221"/>
      <c r="CA1200" s="221"/>
      <c r="CB1200" s="221"/>
      <c r="CC1200" s="221"/>
      <c r="CD1200" s="221"/>
      <c r="CE1200" s="221"/>
      <c r="CF1200" s="221"/>
      <c r="CG1200" s="221"/>
      <c r="CH1200" s="221"/>
      <c r="CI1200" s="221"/>
      <c r="CJ1200" s="221"/>
      <c r="CK1200" s="221"/>
      <c r="CL1200" s="221"/>
      <c r="CM1200" s="221"/>
      <c r="CN1200" s="221"/>
      <c r="CO1200" s="221"/>
      <c r="CP1200" s="221"/>
      <c r="CQ1200" s="221"/>
      <c r="CR1200" s="221"/>
      <c r="CS1200" s="221"/>
      <c r="CT1200" s="221"/>
      <c r="CU1200" s="221"/>
      <c r="CV1200" s="221"/>
      <c r="CW1200" s="221"/>
      <c r="CX1200" s="221"/>
      <c r="CY1200" s="221"/>
      <c r="CZ1200" s="221"/>
      <c r="DA1200" s="221"/>
      <c r="DB1200" s="221"/>
      <c r="DC1200" s="221"/>
      <c r="DD1200" s="221"/>
      <c r="DE1200" s="221"/>
      <c r="DF1200" s="221"/>
      <c r="DG1200" s="221"/>
      <c r="DH1200" s="221"/>
      <c r="DI1200" s="221"/>
      <c r="DJ1200" s="221"/>
      <c r="DK1200" s="221"/>
      <c r="DL1200" s="221"/>
      <c r="DM1200" s="221"/>
      <c r="DN1200" s="221"/>
      <c r="DO1200" s="221"/>
      <c r="DP1200" s="221"/>
      <c r="DQ1200" s="221"/>
      <c r="DR1200" s="221"/>
      <c r="DS1200" s="221"/>
      <c r="DT1200" s="221"/>
      <c r="DU1200" s="221"/>
      <c r="DV1200" s="221"/>
      <c r="DW1200" s="221"/>
      <c r="DX1200" s="221"/>
      <c r="DY1200" s="221"/>
      <c r="DZ1200" s="221"/>
      <c r="EA1200" s="221"/>
      <c r="EB1200" s="221"/>
      <c r="EC1200" s="221"/>
      <c r="ED1200" s="221"/>
      <c r="EE1200" s="221"/>
      <c r="EF1200" s="221"/>
      <c r="EG1200" s="221"/>
      <c r="EH1200" s="221"/>
      <c r="EI1200" s="221"/>
      <c r="EJ1200" s="221"/>
      <c r="EK1200" s="221"/>
      <c r="EL1200" s="221"/>
      <c r="EM1200" s="221"/>
      <c r="EN1200" s="221"/>
      <c r="EO1200" s="221"/>
      <c r="EP1200" s="221"/>
      <c r="EQ1200" s="221"/>
      <c r="ER1200" s="221"/>
      <c r="ES1200" s="221"/>
      <c r="ET1200" s="221"/>
      <c r="EU1200" s="221"/>
      <c r="EV1200" s="221"/>
      <c r="EW1200" s="221"/>
      <c r="EX1200" s="221"/>
      <c r="EY1200" s="221"/>
      <c r="EZ1200" s="221"/>
      <c r="FA1200" s="221"/>
      <c r="FB1200" s="221"/>
      <c r="FC1200" s="221"/>
      <c r="FD1200" s="221"/>
      <c r="FE1200" s="221"/>
      <c r="FF1200" s="221"/>
      <c r="FG1200" s="221"/>
      <c r="FH1200" s="221"/>
      <c r="FI1200" s="221"/>
      <c r="FJ1200" s="221"/>
      <c r="FK1200" s="221"/>
      <c r="FL1200" s="221"/>
      <c r="FM1200" s="221"/>
      <c r="FN1200" s="221"/>
      <c r="FO1200" s="221"/>
      <c r="FP1200" s="221"/>
      <c r="FQ1200" s="221"/>
      <c r="FR1200" s="221"/>
      <c r="FS1200" s="221"/>
      <c r="FT1200" s="221"/>
      <c r="FU1200" s="221"/>
      <c r="FV1200" s="221"/>
      <c r="FW1200" s="221"/>
      <c r="FX1200" s="221"/>
      <c r="FY1200" s="221"/>
      <c r="FZ1200" s="221"/>
      <c r="GA1200" s="221"/>
      <c r="GB1200" s="221"/>
      <c r="GC1200" s="221"/>
      <c r="GD1200" s="221"/>
      <c r="GE1200" s="221"/>
      <c r="GF1200" s="221"/>
      <c r="GG1200" s="221"/>
      <c r="GH1200" s="221"/>
      <c r="GI1200" s="221"/>
      <c r="GJ1200" s="221"/>
      <c r="GK1200" s="221"/>
      <c r="GL1200" s="221"/>
      <c r="GM1200" s="221"/>
      <c r="GN1200" s="221"/>
    </row>
    <row r="1201">
      <c r="A1201" s="212"/>
      <c r="B1201" s="21"/>
      <c r="C1201" s="21"/>
      <c r="D1201" s="213"/>
      <c r="E1201" s="214"/>
      <c r="F1201" s="215"/>
      <c r="G1201" s="21"/>
      <c r="H1201" s="225"/>
      <c r="I1201" s="225"/>
      <c r="J1201" s="225"/>
      <c r="K1201" s="225"/>
      <c r="L1201" s="225"/>
      <c r="M1201" s="225"/>
      <c r="N1201" s="225"/>
      <c r="O1201" s="225"/>
      <c r="P1201" s="225"/>
      <c r="Q1201" s="225"/>
      <c r="R1201" s="225"/>
      <c r="S1201" s="225"/>
      <c r="T1201" s="225"/>
      <c r="U1201" s="225"/>
      <c r="V1201" s="225"/>
      <c r="W1201" s="221"/>
      <c r="X1201" s="221"/>
      <c r="Y1201" s="221"/>
      <c r="Z1201" s="221"/>
      <c r="AA1201" s="221"/>
      <c r="AB1201" s="221"/>
      <c r="AC1201" s="221"/>
      <c r="AD1201" s="221"/>
      <c r="AE1201" s="221"/>
      <c r="AF1201" s="221"/>
      <c r="AG1201" s="221"/>
      <c r="AH1201" s="221"/>
      <c r="AI1201" s="221"/>
      <c r="AJ1201" s="221"/>
      <c r="AK1201" s="221"/>
      <c r="AL1201" s="221"/>
      <c r="AM1201" s="221"/>
      <c r="AN1201" s="221"/>
      <c r="AO1201" s="221"/>
      <c r="AP1201" s="221"/>
      <c r="AQ1201" s="221"/>
      <c r="AR1201" s="221"/>
      <c r="AS1201" s="221"/>
      <c r="AT1201" s="221"/>
      <c r="AU1201" s="221"/>
      <c r="AV1201" s="221"/>
      <c r="AW1201" s="221"/>
      <c r="AX1201" s="221"/>
      <c r="AY1201" s="221"/>
      <c r="AZ1201" s="221"/>
      <c r="BA1201" s="221"/>
      <c r="BB1201" s="221"/>
      <c r="BC1201" s="221"/>
      <c r="BD1201" s="221"/>
      <c r="BE1201" s="221"/>
      <c r="BF1201" s="221"/>
      <c r="BG1201" s="221"/>
      <c r="BH1201" s="221"/>
      <c r="BI1201" s="221"/>
      <c r="BJ1201" s="221"/>
      <c r="BK1201" s="221"/>
      <c r="BL1201" s="221"/>
      <c r="BM1201" s="221"/>
      <c r="BN1201" s="221"/>
      <c r="BO1201" s="221"/>
      <c r="BP1201" s="221"/>
      <c r="BQ1201" s="221"/>
      <c r="BR1201" s="221"/>
      <c r="BS1201" s="221"/>
      <c r="BT1201" s="221"/>
      <c r="BU1201" s="221"/>
      <c r="BV1201" s="221"/>
      <c r="BW1201" s="221"/>
      <c r="BX1201" s="221"/>
      <c r="BY1201" s="221"/>
      <c r="BZ1201" s="221"/>
      <c r="CA1201" s="221"/>
      <c r="CB1201" s="221"/>
      <c r="CC1201" s="221"/>
      <c r="CD1201" s="221"/>
      <c r="CE1201" s="221"/>
      <c r="CF1201" s="221"/>
      <c r="CG1201" s="221"/>
      <c r="CH1201" s="221"/>
      <c r="CI1201" s="221"/>
      <c r="CJ1201" s="221"/>
      <c r="CK1201" s="221"/>
      <c r="CL1201" s="221"/>
      <c r="CM1201" s="221"/>
      <c r="CN1201" s="221"/>
      <c r="CO1201" s="221"/>
      <c r="CP1201" s="221"/>
      <c r="CQ1201" s="221"/>
      <c r="CR1201" s="221"/>
      <c r="CS1201" s="221"/>
      <c r="CT1201" s="221"/>
      <c r="CU1201" s="221"/>
      <c r="CV1201" s="221"/>
      <c r="CW1201" s="221"/>
      <c r="CX1201" s="221"/>
      <c r="CY1201" s="221"/>
      <c r="CZ1201" s="221"/>
      <c r="DA1201" s="221"/>
      <c r="DB1201" s="221"/>
      <c r="DC1201" s="221"/>
      <c r="DD1201" s="221"/>
      <c r="DE1201" s="221"/>
      <c r="DF1201" s="221"/>
      <c r="DG1201" s="221"/>
      <c r="DH1201" s="221"/>
      <c r="DI1201" s="221"/>
      <c r="DJ1201" s="221"/>
      <c r="DK1201" s="221"/>
      <c r="DL1201" s="221"/>
      <c r="DM1201" s="221"/>
      <c r="DN1201" s="221"/>
      <c r="DO1201" s="221"/>
      <c r="DP1201" s="221"/>
      <c r="DQ1201" s="221"/>
      <c r="DR1201" s="221"/>
      <c r="DS1201" s="221"/>
      <c r="DT1201" s="221"/>
      <c r="DU1201" s="221"/>
      <c r="DV1201" s="221"/>
      <c r="DW1201" s="221"/>
      <c r="DX1201" s="221"/>
      <c r="DY1201" s="221"/>
      <c r="DZ1201" s="221"/>
      <c r="EA1201" s="221"/>
      <c r="EB1201" s="221"/>
      <c r="EC1201" s="221"/>
      <c r="ED1201" s="221"/>
      <c r="EE1201" s="221"/>
      <c r="EF1201" s="221"/>
      <c r="EG1201" s="221"/>
      <c r="EH1201" s="221"/>
      <c r="EI1201" s="221"/>
      <c r="EJ1201" s="221"/>
      <c r="EK1201" s="221"/>
      <c r="EL1201" s="221"/>
      <c r="EM1201" s="221"/>
      <c r="EN1201" s="221"/>
      <c r="EO1201" s="221"/>
      <c r="EP1201" s="221"/>
      <c r="EQ1201" s="221"/>
      <c r="ER1201" s="221"/>
      <c r="ES1201" s="221"/>
      <c r="ET1201" s="221"/>
      <c r="EU1201" s="221"/>
      <c r="EV1201" s="221"/>
      <c r="EW1201" s="221"/>
      <c r="EX1201" s="221"/>
      <c r="EY1201" s="221"/>
      <c r="EZ1201" s="221"/>
      <c r="FA1201" s="221"/>
      <c r="FB1201" s="221"/>
      <c r="FC1201" s="221"/>
      <c r="FD1201" s="221"/>
      <c r="FE1201" s="221"/>
      <c r="FF1201" s="221"/>
      <c r="FG1201" s="221"/>
      <c r="FH1201" s="221"/>
      <c r="FI1201" s="221"/>
      <c r="FJ1201" s="221"/>
      <c r="FK1201" s="221"/>
      <c r="FL1201" s="221"/>
      <c r="FM1201" s="221"/>
      <c r="FN1201" s="221"/>
      <c r="FO1201" s="221"/>
      <c r="FP1201" s="221"/>
      <c r="FQ1201" s="221"/>
      <c r="FR1201" s="221"/>
      <c r="FS1201" s="221"/>
      <c r="FT1201" s="221"/>
      <c r="FU1201" s="221"/>
      <c r="FV1201" s="221"/>
      <c r="FW1201" s="221"/>
      <c r="FX1201" s="221"/>
      <c r="FY1201" s="221"/>
      <c r="FZ1201" s="221"/>
      <c r="GA1201" s="221"/>
      <c r="GB1201" s="221"/>
      <c r="GC1201" s="221"/>
      <c r="GD1201" s="221"/>
      <c r="GE1201" s="221"/>
      <c r="GF1201" s="221"/>
      <c r="GG1201" s="221"/>
      <c r="GH1201" s="221"/>
      <c r="GI1201" s="221"/>
      <c r="GJ1201" s="221"/>
      <c r="GK1201" s="221"/>
      <c r="GL1201" s="221"/>
      <c r="GM1201" s="221"/>
      <c r="GN1201" s="221"/>
    </row>
    <row r="1202">
      <c r="A1202" s="212"/>
      <c r="B1202" s="21"/>
      <c r="C1202" s="21"/>
      <c r="D1202" s="213"/>
      <c r="E1202" s="214"/>
      <c r="F1202" s="215"/>
      <c r="G1202" s="21"/>
      <c r="H1202" s="225"/>
      <c r="I1202" s="225"/>
      <c r="J1202" s="225"/>
      <c r="K1202" s="225"/>
      <c r="L1202" s="225"/>
      <c r="M1202" s="225"/>
      <c r="N1202" s="225"/>
      <c r="O1202" s="225"/>
      <c r="P1202" s="225"/>
      <c r="Q1202" s="225"/>
      <c r="R1202" s="225"/>
      <c r="S1202" s="225"/>
      <c r="T1202" s="225"/>
      <c r="U1202" s="225"/>
      <c r="V1202" s="225"/>
      <c r="W1202" s="221"/>
      <c r="X1202" s="221"/>
      <c r="Y1202" s="221"/>
      <c r="Z1202" s="221"/>
      <c r="AA1202" s="221"/>
      <c r="AB1202" s="221"/>
      <c r="AC1202" s="221"/>
      <c r="AD1202" s="221"/>
      <c r="AE1202" s="221"/>
      <c r="AF1202" s="221"/>
      <c r="AG1202" s="221"/>
      <c r="AH1202" s="221"/>
      <c r="AI1202" s="221"/>
      <c r="AJ1202" s="221"/>
      <c r="AK1202" s="221"/>
      <c r="AL1202" s="221"/>
      <c r="AM1202" s="221"/>
      <c r="AN1202" s="221"/>
      <c r="AO1202" s="221"/>
      <c r="AP1202" s="221"/>
      <c r="AQ1202" s="221"/>
      <c r="AR1202" s="221"/>
      <c r="AS1202" s="221"/>
      <c r="AT1202" s="221"/>
      <c r="AU1202" s="221"/>
      <c r="AV1202" s="221"/>
      <c r="AW1202" s="221"/>
      <c r="AX1202" s="221"/>
      <c r="AY1202" s="221"/>
      <c r="AZ1202" s="221"/>
      <c r="BA1202" s="221"/>
      <c r="BB1202" s="221"/>
      <c r="BC1202" s="221"/>
      <c r="BD1202" s="221"/>
      <c r="BE1202" s="221"/>
      <c r="BF1202" s="221"/>
      <c r="BG1202" s="221"/>
      <c r="BH1202" s="221"/>
      <c r="BI1202" s="221"/>
      <c r="BJ1202" s="221"/>
      <c r="BK1202" s="221"/>
      <c r="BL1202" s="221"/>
      <c r="BM1202" s="221"/>
      <c r="BN1202" s="221"/>
      <c r="BO1202" s="221"/>
      <c r="BP1202" s="221"/>
      <c r="BQ1202" s="221"/>
      <c r="BR1202" s="221"/>
      <c r="BS1202" s="221"/>
      <c r="BT1202" s="221"/>
      <c r="BU1202" s="221"/>
      <c r="BV1202" s="221"/>
      <c r="BW1202" s="221"/>
      <c r="BX1202" s="221"/>
      <c r="BY1202" s="221"/>
      <c r="BZ1202" s="221"/>
      <c r="CA1202" s="221"/>
      <c r="CB1202" s="221"/>
      <c r="CC1202" s="221"/>
      <c r="CD1202" s="221"/>
      <c r="CE1202" s="221"/>
      <c r="CF1202" s="221"/>
      <c r="CG1202" s="221"/>
      <c r="CH1202" s="221"/>
      <c r="CI1202" s="221"/>
      <c r="CJ1202" s="221"/>
      <c r="CK1202" s="221"/>
      <c r="CL1202" s="221"/>
      <c r="CM1202" s="221"/>
      <c r="CN1202" s="221"/>
      <c r="CO1202" s="221"/>
      <c r="CP1202" s="221"/>
      <c r="CQ1202" s="221"/>
      <c r="CR1202" s="221"/>
      <c r="CS1202" s="221"/>
      <c r="CT1202" s="221"/>
      <c r="CU1202" s="221"/>
      <c r="CV1202" s="221"/>
      <c r="CW1202" s="221"/>
      <c r="CX1202" s="221"/>
      <c r="CY1202" s="221"/>
      <c r="CZ1202" s="221"/>
      <c r="DA1202" s="221"/>
      <c r="DB1202" s="221"/>
      <c r="DC1202" s="221"/>
      <c r="DD1202" s="221"/>
      <c r="DE1202" s="221"/>
      <c r="DF1202" s="221"/>
      <c r="DG1202" s="221"/>
      <c r="DH1202" s="221"/>
      <c r="DI1202" s="221"/>
      <c r="DJ1202" s="221"/>
      <c r="DK1202" s="221"/>
      <c r="DL1202" s="221"/>
      <c r="DM1202" s="221"/>
      <c r="DN1202" s="221"/>
      <c r="DO1202" s="221"/>
      <c r="DP1202" s="221"/>
      <c r="DQ1202" s="221"/>
      <c r="DR1202" s="221"/>
      <c r="DS1202" s="221"/>
      <c r="DT1202" s="221"/>
      <c r="DU1202" s="221"/>
      <c r="DV1202" s="221"/>
      <c r="DW1202" s="221"/>
      <c r="DX1202" s="221"/>
      <c r="DY1202" s="221"/>
      <c r="DZ1202" s="221"/>
      <c r="EA1202" s="221"/>
      <c r="EB1202" s="221"/>
      <c r="EC1202" s="221"/>
      <c r="ED1202" s="221"/>
      <c r="EE1202" s="221"/>
      <c r="EF1202" s="221"/>
      <c r="EG1202" s="221"/>
      <c r="EH1202" s="221"/>
      <c r="EI1202" s="221"/>
      <c r="EJ1202" s="221"/>
      <c r="EK1202" s="221"/>
      <c r="EL1202" s="221"/>
      <c r="EM1202" s="221"/>
      <c r="EN1202" s="221"/>
      <c r="EO1202" s="221"/>
      <c r="EP1202" s="221"/>
      <c r="EQ1202" s="221"/>
      <c r="ER1202" s="221"/>
      <c r="ES1202" s="221"/>
      <c r="ET1202" s="221"/>
      <c r="EU1202" s="221"/>
      <c r="EV1202" s="221"/>
      <c r="EW1202" s="221"/>
      <c r="EX1202" s="221"/>
      <c r="EY1202" s="221"/>
      <c r="EZ1202" s="221"/>
      <c r="FA1202" s="221"/>
      <c r="FB1202" s="221"/>
      <c r="FC1202" s="221"/>
      <c r="FD1202" s="221"/>
      <c r="FE1202" s="221"/>
      <c r="FF1202" s="221"/>
      <c r="FG1202" s="221"/>
      <c r="FH1202" s="221"/>
      <c r="FI1202" s="221"/>
      <c r="FJ1202" s="221"/>
      <c r="FK1202" s="221"/>
      <c r="FL1202" s="221"/>
      <c r="FM1202" s="221"/>
      <c r="FN1202" s="221"/>
      <c r="FO1202" s="221"/>
      <c r="FP1202" s="221"/>
      <c r="FQ1202" s="221"/>
      <c r="FR1202" s="221"/>
      <c r="FS1202" s="221"/>
      <c r="FT1202" s="221"/>
      <c r="FU1202" s="221"/>
      <c r="FV1202" s="221"/>
      <c r="FW1202" s="221"/>
      <c r="FX1202" s="221"/>
      <c r="FY1202" s="221"/>
      <c r="FZ1202" s="221"/>
      <c r="GA1202" s="221"/>
      <c r="GB1202" s="221"/>
      <c r="GC1202" s="221"/>
      <c r="GD1202" s="221"/>
      <c r="GE1202" s="221"/>
      <c r="GF1202" s="221"/>
      <c r="GG1202" s="221"/>
      <c r="GH1202" s="221"/>
      <c r="GI1202" s="221"/>
      <c r="GJ1202" s="221"/>
      <c r="GK1202" s="221"/>
      <c r="GL1202" s="221"/>
      <c r="GM1202" s="221"/>
      <c r="GN1202" s="221"/>
    </row>
    <row r="1203">
      <c r="A1203" s="212"/>
      <c r="B1203" s="21"/>
      <c r="C1203" s="21"/>
      <c r="D1203" s="213"/>
      <c r="E1203" s="214"/>
      <c r="F1203" s="215"/>
      <c r="G1203" s="21"/>
      <c r="H1203" s="225"/>
      <c r="I1203" s="225"/>
      <c r="J1203" s="225"/>
      <c r="K1203" s="225"/>
      <c r="L1203" s="225"/>
      <c r="M1203" s="225"/>
      <c r="N1203" s="225"/>
      <c r="O1203" s="225"/>
      <c r="P1203" s="225"/>
      <c r="Q1203" s="225"/>
      <c r="R1203" s="225"/>
      <c r="S1203" s="225"/>
      <c r="T1203" s="225"/>
      <c r="U1203" s="225"/>
      <c r="V1203" s="225"/>
      <c r="W1203" s="221"/>
      <c r="X1203" s="221"/>
      <c r="Y1203" s="221"/>
      <c r="Z1203" s="221"/>
      <c r="AA1203" s="221"/>
      <c r="AB1203" s="221"/>
      <c r="AC1203" s="221"/>
      <c r="AD1203" s="221"/>
      <c r="AE1203" s="221"/>
      <c r="AF1203" s="221"/>
      <c r="AG1203" s="221"/>
      <c r="AH1203" s="221"/>
      <c r="AI1203" s="221"/>
      <c r="AJ1203" s="221"/>
      <c r="AK1203" s="221"/>
      <c r="AL1203" s="221"/>
      <c r="AM1203" s="221"/>
      <c r="AN1203" s="221"/>
      <c r="AO1203" s="221"/>
      <c r="AP1203" s="221"/>
      <c r="AQ1203" s="221"/>
      <c r="AR1203" s="221"/>
      <c r="AS1203" s="221"/>
      <c r="AT1203" s="221"/>
      <c r="AU1203" s="221"/>
      <c r="AV1203" s="221"/>
      <c r="AW1203" s="221"/>
      <c r="AX1203" s="221"/>
      <c r="AY1203" s="221"/>
      <c r="AZ1203" s="221"/>
      <c r="BA1203" s="221"/>
      <c r="BB1203" s="221"/>
      <c r="BC1203" s="221"/>
      <c r="BD1203" s="221"/>
      <c r="BE1203" s="221"/>
      <c r="BF1203" s="221"/>
      <c r="BG1203" s="221"/>
      <c r="BH1203" s="221"/>
      <c r="BI1203" s="221"/>
      <c r="BJ1203" s="221"/>
      <c r="BK1203" s="221"/>
      <c r="BL1203" s="221"/>
      <c r="BM1203" s="221"/>
      <c r="BN1203" s="221"/>
      <c r="BO1203" s="221"/>
      <c r="BP1203" s="221"/>
      <c r="BQ1203" s="221"/>
      <c r="BR1203" s="221"/>
      <c r="BS1203" s="221"/>
      <c r="BT1203" s="221"/>
      <c r="BU1203" s="221"/>
      <c r="BV1203" s="221"/>
      <c r="BW1203" s="221"/>
      <c r="BX1203" s="221"/>
      <c r="BY1203" s="221"/>
      <c r="BZ1203" s="221"/>
      <c r="CA1203" s="221"/>
      <c r="CB1203" s="221"/>
      <c r="CC1203" s="221"/>
      <c r="CD1203" s="221"/>
      <c r="CE1203" s="221"/>
      <c r="CF1203" s="221"/>
      <c r="CG1203" s="221"/>
      <c r="CH1203" s="221"/>
      <c r="CI1203" s="221"/>
      <c r="CJ1203" s="221"/>
      <c r="CK1203" s="221"/>
      <c r="CL1203" s="221"/>
      <c r="CM1203" s="221"/>
      <c r="CN1203" s="221"/>
      <c r="CO1203" s="221"/>
      <c r="CP1203" s="221"/>
      <c r="CQ1203" s="221"/>
      <c r="CR1203" s="221"/>
      <c r="CS1203" s="221"/>
      <c r="CT1203" s="221"/>
      <c r="CU1203" s="221"/>
      <c r="CV1203" s="221"/>
      <c r="CW1203" s="221"/>
      <c r="CX1203" s="221"/>
      <c r="CY1203" s="221"/>
      <c r="CZ1203" s="221"/>
      <c r="DA1203" s="221"/>
      <c r="DB1203" s="221"/>
      <c r="DC1203" s="221"/>
      <c r="DD1203" s="221"/>
      <c r="DE1203" s="221"/>
      <c r="DF1203" s="221"/>
      <c r="DG1203" s="221"/>
      <c r="DH1203" s="221"/>
      <c r="DI1203" s="221"/>
      <c r="DJ1203" s="221"/>
      <c r="DK1203" s="221"/>
      <c r="DL1203" s="221"/>
      <c r="DM1203" s="221"/>
      <c r="DN1203" s="221"/>
      <c r="DO1203" s="221"/>
      <c r="DP1203" s="221"/>
      <c r="DQ1203" s="221"/>
      <c r="DR1203" s="221"/>
      <c r="DS1203" s="221"/>
      <c r="DT1203" s="221"/>
      <c r="DU1203" s="221"/>
      <c r="DV1203" s="221"/>
      <c r="DW1203" s="221"/>
      <c r="DX1203" s="221"/>
      <c r="DY1203" s="221"/>
      <c r="DZ1203" s="221"/>
      <c r="EA1203" s="221"/>
      <c r="EB1203" s="221"/>
      <c r="EC1203" s="221"/>
      <c r="ED1203" s="221"/>
      <c r="EE1203" s="221"/>
      <c r="EF1203" s="221"/>
      <c r="EG1203" s="221"/>
      <c r="EH1203" s="221"/>
      <c r="EI1203" s="221"/>
      <c r="EJ1203" s="221"/>
      <c r="EK1203" s="221"/>
      <c r="EL1203" s="221"/>
      <c r="EM1203" s="221"/>
      <c r="EN1203" s="221"/>
      <c r="EO1203" s="221"/>
      <c r="EP1203" s="221"/>
      <c r="EQ1203" s="221"/>
      <c r="ER1203" s="221"/>
      <c r="ES1203" s="221"/>
      <c r="ET1203" s="221"/>
      <c r="EU1203" s="221"/>
      <c r="EV1203" s="221"/>
      <c r="EW1203" s="221"/>
      <c r="EX1203" s="221"/>
      <c r="EY1203" s="221"/>
      <c r="EZ1203" s="221"/>
      <c r="FA1203" s="221"/>
      <c r="FB1203" s="221"/>
      <c r="FC1203" s="221"/>
      <c r="FD1203" s="221"/>
      <c r="FE1203" s="221"/>
      <c r="FF1203" s="221"/>
      <c r="FG1203" s="221"/>
      <c r="FH1203" s="221"/>
      <c r="FI1203" s="221"/>
      <c r="FJ1203" s="221"/>
      <c r="FK1203" s="221"/>
      <c r="FL1203" s="221"/>
      <c r="FM1203" s="221"/>
      <c r="FN1203" s="221"/>
      <c r="FO1203" s="221"/>
      <c r="FP1203" s="221"/>
      <c r="FQ1203" s="221"/>
      <c r="FR1203" s="221"/>
      <c r="FS1203" s="221"/>
      <c r="FT1203" s="221"/>
      <c r="FU1203" s="221"/>
      <c r="FV1203" s="221"/>
      <c r="FW1203" s="221"/>
      <c r="FX1203" s="221"/>
      <c r="FY1203" s="221"/>
      <c r="FZ1203" s="221"/>
      <c r="GA1203" s="221"/>
      <c r="GB1203" s="221"/>
      <c r="GC1203" s="221"/>
      <c r="GD1203" s="221"/>
      <c r="GE1203" s="221"/>
      <c r="GF1203" s="221"/>
      <c r="GG1203" s="221"/>
      <c r="GH1203" s="221"/>
      <c r="GI1203" s="221"/>
      <c r="GJ1203" s="221"/>
      <c r="GK1203" s="221"/>
      <c r="GL1203" s="221"/>
      <c r="GM1203" s="221"/>
      <c r="GN1203" s="221"/>
    </row>
    <row r="1204">
      <c r="A1204" s="212"/>
      <c r="B1204" s="21"/>
      <c r="C1204" s="21"/>
      <c r="D1204" s="213"/>
      <c r="E1204" s="214"/>
      <c r="F1204" s="215"/>
      <c r="G1204" s="21"/>
      <c r="H1204" s="225"/>
      <c r="I1204" s="225"/>
      <c r="J1204" s="225"/>
      <c r="K1204" s="225"/>
      <c r="L1204" s="225"/>
      <c r="M1204" s="225"/>
      <c r="N1204" s="225"/>
      <c r="O1204" s="225"/>
      <c r="P1204" s="225"/>
      <c r="Q1204" s="225"/>
      <c r="R1204" s="225"/>
      <c r="S1204" s="225"/>
      <c r="T1204" s="225"/>
      <c r="U1204" s="225"/>
      <c r="V1204" s="225"/>
      <c r="W1204" s="221"/>
      <c r="X1204" s="221"/>
      <c r="Y1204" s="221"/>
      <c r="Z1204" s="221"/>
      <c r="AA1204" s="221"/>
      <c r="AB1204" s="221"/>
      <c r="AC1204" s="221"/>
      <c r="AD1204" s="221"/>
      <c r="AE1204" s="221"/>
      <c r="AF1204" s="221"/>
      <c r="AG1204" s="221"/>
      <c r="AH1204" s="221"/>
      <c r="AI1204" s="221"/>
      <c r="AJ1204" s="221"/>
      <c r="AK1204" s="221"/>
      <c r="AL1204" s="221"/>
      <c r="AM1204" s="221"/>
      <c r="AN1204" s="221"/>
      <c r="AO1204" s="221"/>
      <c r="AP1204" s="221"/>
      <c r="AQ1204" s="221"/>
      <c r="AR1204" s="221"/>
      <c r="AS1204" s="221"/>
      <c r="AT1204" s="221"/>
      <c r="AU1204" s="221"/>
      <c r="AV1204" s="221"/>
      <c r="AW1204" s="221"/>
      <c r="AX1204" s="221"/>
      <c r="AY1204" s="221"/>
      <c r="AZ1204" s="221"/>
      <c r="BA1204" s="221"/>
      <c r="BB1204" s="221"/>
      <c r="BC1204" s="221"/>
      <c r="BD1204" s="221"/>
      <c r="BE1204" s="221"/>
      <c r="BF1204" s="221"/>
      <c r="BG1204" s="221"/>
      <c r="BH1204" s="221"/>
      <c r="BI1204" s="221"/>
      <c r="BJ1204" s="221"/>
      <c r="BK1204" s="221"/>
      <c r="BL1204" s="221"/>
      <c r="BM1204" s="221"/>
      <c r="BN1204" s="221"/>
      <c r="BO1204" s="221"/>
      <c r="BP1204" s="221"/>
      <c r="BQ1204" s="221"/>
      <c r="BR1204" s="221"/>
      <c r="BS1204" s="221"/>
      <c r="BT1204" s="221"/>
      <c r="BU1204" s="221"/>
      <c r="BV1204" s="221"/>
      <c r="BW1204" s="221"/>
      <c r="BX1204" s="221"/>
      <c r="BY1204" s="221"/>
      <c r="BZ1204" s="221"/>
      <c r="CA1204" s="221"/>
      <c r="CB1204" s="221"/>
      <c r="CC1204" s="221"/>
      <c r="CD1204" s="221"/>
      <c r="CE1204" s="221"/>
      <c r="CF1204" s="221"/>
      <c r="CG1204" s="221"/>
      <c r="CH1204" s="221"/>
      <c r="CI1204" s="221"/>
      <c r="CJ1204" s="221"/>
      <c r="CK1204" s="221"/>
      <c r="CL1204" s="221"/>
      <c r="CM1204" s="221"/>
      <c r="CN1204" s="221"/>
      <c r="CO1204" s="221"/>
      <c r="CP1204" s="221"/>
      <c r="CQ1204" s="221"/>
      <c r="CR1204" s="221"/>
      <c r="CS1204" s="221"/>
      <c r="CT1204" s="221"/>
      <c r="CU1204" s="221"/>
      <c r="CV1204" s="221"/>
      <c r="CW1204" s="221"/>
      <c r="CX1204" s="221"/>
      <c r="CY1204" s="221"/>
      <c r="CZ1204" s="221"/>
      <c r="DA1204" s="221"/>
      <c r="DB1204" s="221"/>
      <c r="DC1204" s="221"/>
      <c r="DD1204" s="221"/>
      <c r="DE1204" s="221"/>
      <c r="DF1204" s="221"/>
      <c r="DG1204" s="221"/>
      <c r="DH1204" s="221"/>
      <c r="DI1204" s="221"/>
      <c r="DJ1204" s="221"/>
      <c r="DK1204" s="221"/>
      <c r="DL1204" s="221"/>
      <c r="DM1204" s="221"/>
      <c r="DN1204" s="221"/>
      <c r="DO1204" s="221"/>
      <c r="DP1204" s="221"/>
      <c r="DQ1204" s="221"/>
      <c r="DR1204" s="221"/>
      <c r="DS1204" s="221"/>
      <c r="DT1204" s="221"/>
      <c r="DU1204" s="221"/>
      <c r="DV1204" s="221"/>
      <c r="DW1204" s="221"/>
      <c r="DX1204" s="221"/>
      <c r="DY1204" s="221"/>
      <c r="DZ1204" s="221"/>
      <c r="EA1204" s="221"/>
      <c r="EB1204" s="221"/>
      <c r="EC1204" s="221"/>
      <c r="ED1204" s="221"/>
      <c r="EE1204" s="221"/>
      <c r="EF1204" s="221"/>
      <c r="EG1204" s="221"/>
      <c r="EH1204" s="221"/>
      <c r="EI1204" s="221"/>
      <c r="EJ1204" s="221"/>
      <c r="EK1204" s="221"/>
      <c r="EL1204" s="221"/>
      <c r="EM1204" s="221"/>
      <c r="EN1204" s="221"/>
      <c r="EO1204" s="221"/>
      <c r="EP1204" s="221"/>
      <c r="EQ1204" s="221"/>
      <c r="ER1204" s="221"/>
      <c r="ES1204" s="221"/>
      <c r="ET1204" s="221"/>
      <c r="EU1204" s="221"/>
      <c r="EV1204" s="221"/>
      <c r="EW1204" s="221"/>
      <c r="EX1204" s="221"/>
      <c r="EY1204" s="221"/>
      <c r="EZ1204" s="221"/>
      <c r="FA1204" s="221"/>
      <c r="FB1204" s="221"/>
      <c r="FC1204" s="221"/>
      <c r="FD1204" s="221"/>
      <c r="FE1204" s="221"/>
      <c r="FF1204" s="221"/>
      <c r="FG1204" s="221"/>
      <c r="FH1204" s="221"/>
      <c r="FI1204" s="221"/>
      <c r="FJ1204" s="221"/>
      <c r="FK1204" s="221"/>
      <c r="FL1204" s="221"/>
      <c r="FM1204" s="221"/>
      <c r="FN1204" s="221"/>
      <c r="FO1204" s="221"/>
      <c r="FP1204" s="221"/>
      <c r="FQ1204" s="221"/>
      <c r="FR1204" s="221"/>
      <c r="FS1204" s="221"/>
      <c r="FT1204" s="221"/>
      <c r="FU1204" s="221"/>
      <c r="FV1204" s="221"/>
      <c r="FW1204" s="221"/>
      <c r="FX1204" s="221"/>
      <c r="FY1204" s="221"/>
      <c r="FZ1204" s="221"/>
      <c r="GA1204" s="221"/>
      <c r="GB1204" s="221"/>
      <c r="GC1204" s="221"/>
      <c r="GD1204" s="221"/>
      <c r="GE1204" s="221"/>
      <c r="GF1204" s="221"/>
      <c r="GG1204" s="221"/>
      <c r="GH1204" s="221"/>
      <c r="GI1204" s="221"/>
      <c r="GJ1204" s="221"/>
      <c r="GK1204" s="221"/>
      <c r="GL1204" s="221"/>
      <c r="GM1204" s="221"/>
      <c r="GN1204" s="221"/>
    </row>
    <row r="1205">
      <c r="A1205" s="212"/>
      <c r="B1205" s="21"/>
      <c r="C1205" s="21"/>
      <c r="D1205" s="213"/>
      <c r="E1205" s="214"/>
      <c r="F1205" s="215"/>
      <c r="G1205" s="21"/>
      <c r="H1205" s="225"/>
      <c r="I1205" s="225"/>
      <c r="J1205" s="225"/>
      <c r="K1205" s="225"/>
      <c r="L1205" s="225"/>
      <c r="M1205" s="225"/>
      <c r="N1205" s="225"/>
      <c r="O1205" s="225"/>
      <c r="P1205" s="225"/>
      <c r="Q1205" s="225"/>
      <c r="R1205" s="225"/>
      <c r="S1205" s="225"/>
      <c r="T1205" s="225"/>
      <c r="U1205" s="225"/>
      <c r="V1205" s="225"/>
      <c r="W1205" s="221"/>
      <c r="X1205" s="221"/>
      <c r="Y1205" s="221"/>
      <c r="Z1205" s="221"/>
      <c r="AA1205" s="221"/>
      <c r="AB1205" s="221"/>
      <c r="AC1205" s="221"/>
      <c r="AD1205" s="221"/>
      <c r="AE1205" s="221"/>
      <c r="AF1205" s="221"/>
      <c r="AG1205" s="221"/>
      <c r="AH1205" s="221"/>
      <c r="AI1205" s="221"/>
      <c r="AJ1205" s="221"/>
      <c r="AK1205" s="221"/>
      <c r="AL1205" s="221"/>
      <c r="AM1205" s="221"/>
      <c r="AN1205" s="221"/>
      <c r="AO1205" s="221"/>
      <c r="AP1205" s="221"/>
      <c r="AQ1205" s="221"/>
      <c r="AR1205" s="221"/>
      <c r="AS1205" s="221"/>
      <c r="AT1205" s="221"/>
      <c r="AU1205" s="221"/>
      <c r="AV1205" s="221"/>
      <c r="AW1205" s="221"/>
      <c r="AX1205" s="221"/>
      <c r="AY1205" s="221"/>
      <c r="AZ1205" s="221"/>
      <c r="BA1205" s="221"/>
      <c r="BB1205" s="221"/>
      <c r="BC1205" s="221"/>
      <c r="BD1205" s="221"/>
      <c r="BE1205" s="221"/>
      <c r="BF1205" s="221"/>
      <c r="BG1205" s="221"/>
      <c r="BH1205" s="221"/>
      <c r="BI1205" s="221"/>
      <c r="BJ1205" s="221"/>
      <c r="BK1205" s="221"/>
      <c r="BL1205" s="221"/>
      <c r="BM1205" s="221"/>
      <c r="BN1205" s="221"/>
      <c r="BO1205" s="221"/>
      <c r="BP1205" s="221"/>
      <c r="BQ1205" s="221"/>
      <c r="BR1205" s="221"/>
      <c r="BS1205" s="221"/>
      <c r="BT1205" s="221"/>
      <c r="BU1205" s="221"/>
      <c r="BV1205" s="221"/>
      <c r="BW1205" s="221"/>
      <c r="BX1205" s="221"/>
      <c r="BY1205" s="221"/>
      <c r="BZ1205" s="221"/>
      <c r="CA1205" s="221"/>
      <c r="CB1205" s="221"/>
      <c r="CC1205" s="221"/>
      <c r="CD1205" s="221"/>
      <c r="CE1205" s="221"/>
      <c r="CF1205" s="221"/>
      <c r="CG1205" s="221"/>
      <c r="CH1205" s="221"/>
      <c r="CI1205" s="221"/>
      <c r="CJ1205" s="221"/>
      <c r="CK1205" s="221"/>
      <c r="CL1205" s="221"/>
      <c r="CM1205" s="221"/>
      <c r="CN1205" s="221"/>
      <c r="CO1205" s="221"/>
      <c r="CP1205" s="221"/>
      <c r="CQ1205" s="221"/>
      <c r="CR1205" s="221"/>
      <c r="CS1205" s="221"/>
      <c r="CT1205" s="221"/>
      <c r="CU1205" s="221"/>
      <c r="CV1205" s="221"/>
      <c r="CW1205" s="221"/>
      <c r="CX1205" s="221"/>
      <c r="CY1205" s="221"/>
      <c r="CZ1205" s="221"/>
      <c r="DA1205" s="221"/>
      <c r="DB1205" s="221"/>
      <c r="DC1205" s="221"/>
      <c r="DD1205" s="221"/>
      <c r="DE1205" s="221"/>
      <c r="DF1205" s="221"/>
      <c r="DG1205" s="221"/>
      <c r="DH1205" s="221"/>
      <c r="DI1205" s="221"/>
      <c r="DJ1205" s="221"/>
      <c r="DK1205" s="221"/>
      <c r="DL1205" s="221"/>
      <c r="DM1205" s="221"/>
      <c r="DN1205" s="221"/>
      <c r="DO1205" s="221"/>
      <c r="DP1205" s="221"/>
      <c r="DQ1205" s="221"/>
      <c r="DR1205" s="221"/>
      <c r="DS1205" s="221"/>
      <c r="DT1205" s="221"/>
      <c r="DU1205" s="221"/>
      <c r="DV1205" s="221"/>
      <c r="DW1205" s="221"/>
      <c r="DX1205" s="221"/>
      <c r="DY1205" s="221"/>
      <c r="DZ1205" s="221"/>
      <c r="EA1205" s="221"/>
      <c r="EB1205" s="221"/>
      <c r="EC1205" s="221"/>
      <c r="ED1205" s="221"/>
      <c r="EE1205" s="221"/>
      <c r="EF1205" s="221"/>
      <c r="EG1205" s="221"/>
      <c r="EH1205" s="221"/>
      <c r="EI1205" s="221"/>
      <c r="EJ1205" s="221"/>
      <c r="EK1205" s="221"/>
      <c r="EL1205" s="221"/>
      <c r="EM1205" s="221"/>
      <c r="EN1205" s="221"/>
      <c r="EO1205" s="221"/>
      <c r="EP1205" s="221"/>
      <c r="EQ1205" s="221"/>
      <c r="ER1205" s="221"/>
      <c r="ES1205" s="221"/>
      <c r="ET1205" s="221"/>
      <c r="EU1205" s="221"/>
      <c r="EV1205" s="221"/>
      <c r="EW1205" s="221"/>
      <c r="EX1205" s="221"/>
      <c r="EY1205" s="221"/>
      <c r="EZ1205" s="221"/>
      <c r="FA1205" s="221"/>
      <c r="FB1205" s="221"/>
      <c r="FC1205" s="221"/>
      <c r="FD1205" s="221"/>
      <c r="FE1205" s="221"/>
      <c r="FF1205" s="221"/>
      <c r="FG1205" s="221"/>
      <c r="FH1205" s="221"/>
      <c r="FI1205" s="221"/>
      <c r="FJ1205" s="221"/>
      <c r="FK1205" s="221"/>
      <c r="FL1205" s="221"/>
      <c r="FM1205" s="221"/>
      <c r="FN1205" s="221"/>
      <c r="FO1205" s="221"/>
      <c r="FP1205" s="221"/>
      <c r="FQ1205" s="221"/>
      <c r="FR1205" s="221"/>
      <c r="FS1205" s="221"/>
      <c r="FT1205" s="221"/>
      <c r="FU1205" s="221"/>
      <c r="FV1205" s="221"/>
      <c r="FW1205" s="221"/>
      <c r="FX1205" s="221"/>
      <c r="FY1205" s="221"/>
      <c r="FZ1205" s="221"/>
      <c r="GA1205" s="221"/>
      <c r="GB1205" s="221"/>
      <c r="GC1205" s="221"/>
      <c r="GD1205" s="221"/>
      <c r="GE1205" s="221"/>
      <c r="GF1205" s="221"/>
      <c r="GG1205" s="221"/>
      <c r="GH1205" s="221"/>
      <c r="GI1205" s="221"/>
      <c r="GJ1205" s="221"/>
      <c r="GK1205" s="221"/>
      <c r="GL1205" s="221"/>
      <c r="GM1205" s="221"/>
      <c r="GN1205" s="221"/>
    </row>
    <row r="1206">
      <c r="A1206" s="212"/>
      <c r="B1206" s="21"/>
      <c r="C1206" s="21"/>
      <c r="D1206" s="213"/>
      <c r="E1206" s="214"/>
      <c r="F1206" s="215"/>
      <c r="G1206" s="21"/>
      <c r="H1206" s="225"/>
      <c r="I1206" s="225"/>
      <c r="J1206" s="225"/>
      <c r="K1206" s="225"/>
      <c r="L1206" s="225"/>
      <c r="M1206" s="225"/>
      <c r="N1206" s="225"/>
      <c r="O1206" s="225"/>
      <c r="P1206" s="225"/>
      <c r="Q1206" s="225"/>
      <c r="R1206" s="225"/>
      <c r="S1206" s="225"/>
      <c r="T1206" s="225"/>
      <c r="U1206" s="225"/>
      <c r="V1206" s="225"/>
      <c r="W1206" s="221"/>
      <c r="X1206" s="221"/>
      <c r="Y1206" s="221"/>
      <c r="Z1206" s="221"/>
      <c r="AA1206" s="221"/>
      <c r="AB1206" s="221"/>
      <c r="AC1206" s="221"/>
      <c r="AD1206" s="221"/>
      <c r="AE1206" s="221"/>
      <c r="AF1206" s="221"/>
      <c r="AG1206" s="221"/>
      <c r="AH1206" s="221"/>
      <c r="AI1206" s="221"/>
      <c r="AJ1206" s="221"/>
      <c r="AK1206" s="221"/>
      <c r="AL1206" s="221"/>
      <c r="AM1206" s="221"/>
      <c r="AN1206" s="221"/>
      <c r="AO1206" s="221"/>
      <c r="AP1206" s="221"/>
      <c r="AQ1206" s="221"/>
      <c r="AR1206" s="221"/>
      <c r="AS1206" s="221"/>
      <c r="AT1206" s="221"/>
      <c r="AU1206" s="221"/>
      <c r="AV1206" s="221"/>
      <c r="AW1206" s="221"/>
      <c r="AX1206" s="221"/>
      <c r="AY1206" s="221"/>
      <c r="AZ1206" s="221"/>
      <c r="BA1206" s="221"/>
      <c r="BB1206" s="221"/>
      <c r="BC1206" s="221"/>
      <c r="BD1206" s="221"/>
      <c r="BE1206" s="221"/>
      <c r="BF1206" s="221"/>
      <c r="BG1206" s="221"/>
      <c r="BH1206" s="221"/>
      <c r="BI1206" s="221"/>
      <c r="BJ1206" s="221"/>
      <c r="BK1206" s="221"/>
      <c r="BL1206" s="221"/>
      <c r="BM1206" s="221"/>
      <c r="BN1206" s="221"/>
      <c r="BO1206" s="221"/>
      <c r="BP1206" s="221"/>
      <c r="BQ1206" s="221"/>
      <c r="BR1206" s="221"/>
      <c r="BS1206" s="221"/>
      <c r="BT1206" s="221"/>
      <c r="BU1206" s="221"/>
      <c r="BV1206" s="221"/>
      <c r="BW1206" s="221"/>
      <c r="BX1206" s="221"/>
      <c r="BY1206" s="221"/>
      <c r="BZ1206" s="221"/>
      <c r="CA1206" s="221"/>
      <c r="CB1206" s="221"/>
      <c r="CC1206" s="221"/>
      <c r="CD1206" s="221"/>
      <c r="CE1206" s="221"/>
      <c r="CF1206" s="221"/>
      <c r="CG1206" s="221"/>
      <c r="CH1206" s="221"/>
      <c r="CI1206" s="221"/>
      <c r="CJ1206" s="221"/>
      <c r="CK1206" s="221"/>
      <c r="CL1206" s="221"/>
      <c r="CM1206" s="221"/>
      <c r="CN1206" s="221"/>
      <c r="CO1206" s="221"/>
      <c r="CP1206" s="221"/>
      <c r="CQ1206" s="221"/>
      <c r="CR1206" s="221"/>
      <c r="CS1206" s="221"/>
      <c r="CT1206" s="221"/>
      <c r="CU1206" s="221"/>
      <c r="CV1206" s="221"/>
      <c r="CW1206" s="221"/>
      <c r="CX1206" s="221"/>
      <c r="CY1206" s="221"/>
      <c r="CZ1206" s="221"/>
      <c r="DA1206" s="221"/>
      <c r="DB1206" s="221"/>
      <c r="DC1206" s="221"/>
      <c r="DD1206" s="221"/>
      <c r="DE1206" s="221"/>
      <c r="DF1206" s="221"/>
      <c r="DG1206" s="221"/>
      <c r="DH1206" s="221"/>
      <c r="DI1206" s="221"/>
      <c r="DJ1206" s="221"/>
      <c r="DK1206" s="221"/>
      <c r="DL1206" s="221"/>
      <c r="DM1206" s="221"/>
      <c r="DN1206" s="221"/>
      <c r="DO1206" s="221"/>
      <c r="DP1206" s="221"/>
      <c r="DQ1206" s="221"/>
      <c r="DR1206" s="221"/>
      <c r="DS1206" s="221"/>
      <c r="DT1206" s="221"/>
      <c r="DU1206" s="221"/>
      <c r="DV1206" s="221"/>
      <c r="DW1206" s="221"/>
      <c r="DX1206" s="221"/>
      <c r="DY1206" s="221"/>
      <c r="DZ1206" s="221"/>
      <c r="EA1206" s="221"/>
      <c r="EB1206" s="221"/>
      <c r="EC1206" s="221"/>
      <c r="ED1206" s="221"/>
      <c r="EE1206" s="221"/>
      <c r="EF1206" s="221"/>
      <c r="EG1206" s="221"/>
      <c r="EH1206" s="221"/>
      <c r="EI1206" s="221"/>
      <c r="EJ1206" s="221"/>
      <c r="EK1206" s="221"/>
      <c r="EL1206" s="221"/>
      <c r="EM1206" s="221"/>
      <c r="EN1206" s="221"/>
      <c r="EO1206" s="221"/>
      <c r="EP1206" s="221"/>
      <c r="EQ1206" s="221"/>
      <c r="ER1206" s="221"/>
      <c r="ES1206" s="221"/>
      <c r="ET1206" s="221"/>
      <c r="EU1206" s="221"/>
      <c r="EV1206" s="221"/>
      <c r="EW1206" s="221"/>
      <c r="EX1206" s="221"/>
      <c r="EY1206" s="221"/>
      <c r="EZ1206" s="221"/>
      <c r="FA1206" s="221"/>
      <c r="FB1206" s="221"/>
      <c r="FC1206" s="221"/>
      <c r="FD1206" s="221"/>
      <c r="FE1206" s="221"/>
      <c r="FF1206" s="221"/>
      <c r="FG1206" s="221"/>
      <c r="FH1206" s="221"/>
      <c r="FI1206" s="221"/>
      <c r="FJ1206" s="221"/>
      <c r="FK1206" s="221"/>
      <c r="FL1206" s="221"/>
      <c r="FM1206" s="221"/>
      <c r="FN1206" s="221"/>
      <c r="FO1206" s="221"/>
      <c r="FP1206" s="221"/>
      <c r="FQ1206" s="221"/>
      <c r="FR1206" s="221"/>
      <c r="FS1206" s="221"/>
      <c r="FT1206" s="221"/>
      <c r="FU1206" s="221"/>
      <c r="FV1206" s="221"/>
      <c r="FW1206" s="221"/>
      <c r="FX1206" s="221"/>
      <c r="FY1206" s="221"/>
      <c r="FZ1206" s="221"/>
      <c r="GA1206" s="221"/>
      <c r="GB1206" s="221"/>
      <c r="GC1206" s="221"/>
      <c r="GD1206" s="221"/>
      <c r="GE1206" s="221"/>
      <c r="GF1206" s="221"/>
      <c r="GG1206" s="221"/>
      <c r="GH1206" s="221"/>
      <c r="GI1206" s="221"/>
      <c r="GJ1206" s="221"/>
      <c r="GK1206" s="221"/>
      <c r="GL1206" s="221"/>
      <c r="GM1206" s="221"/>
      <c r="GN1206" s="221"/>
    </row>
    <row r="1207">
      <c r="A1207" s="212"/>
      <c r="B1207" s="21"/>
      <c r="C1207" s="21"/>
      <c r="D1207" s="213"/>
      <c r="E1207" s="214"/>
      <c r="F1207" s="215"/>
      <c r="G1207" s="21"/>
      <c r="H1207" s="225"/>
      <c r="I1207" s="225"/>
      <c r="J1207" s="225"/>
      <c r="K1207" s="225"/>
      <c r="L1207" s="225"/>
      <c r="M1207" s="225"/>
      <c r="N1207" s="225"/>
      <c r="O1207" s="225"/>
      <c r="P1207" s="225"/>
      <c r="Q1207" s="225"/>
      <c r="R1207" s="225"/>
      <c r="S1207" s="225"/>
      <c r="T1207" s="225"/>
      <c r="U1207" s="225"/>
      <c r="V1207" s="225"/>
      <c r="W1207" s="221"/>
      <c r="X1207" s="221"/>
      <c r="Y1207" s="221"/>
      <c r="Z1207" s="221"/>
      <c r="AA1207" s="221"/>
      <c r="AB1207" s="221"/>
      <c r="AC1207" s="221"/>
      <c r="AD1207" s="221"/>
      <c r="AE1207" s="221"/>
      <c r="AF1207" s="221"/>
      <c r="AG1207" s="221"/>
      <c r="AH1207" s="221"/>
      <c r="AI1207" s="221"/>
      <c r="AJ1207" s="221"/>
      <c r="AK1207" s="221"/>
      <c r="AL1207" s="221"/>
      <c r="AM1207" s="221"/>
      <c r="AN1207" s="221"/>
      <c r="AO1207" s="221"/>
      <c r="AP1207" s="221"/>
      <c r="AQ1207" s="221"/>
      <c r="AR1207" s="221"/>
      <c r="AS1207" s="221"/>
      <c r="AT1207" s="221"/>
      <c r="AU1207" s="221"/>
      <c r="AV1207" s="221"/>
      <c r="AW1207" s="221"/>
      <c r="AX1207" s="221"/>
      <c r="AY1207" s="221"/>
      <c r="AZ1207" s="221"/>
      <c r="BA1207" s="221"/>
      <c r="BB1207" s="221"/>
      <c r="BC1207" s="221"/>
      <c r="BD1207" s="221"/>
      <c r="BE1207" s="221"/>
      <c r="BF1207" s="221"/>
      <c r="BG1207" s="221"/>
      <c r="BH1207" s="221"/>
      <c r="BI1207" s="221"/>
      <c r="BJ1207" s="221"/>
      <c r="BK1207" s="221"/>
      <c r="BL1207" s="221"/>
      <c r="BM1207" s="221"/>
      <c r="BN1207" s="221"/>
      <c r="BO1207" s="221"/>
      <c r="BP1207" s="221"/>
      <c r="BQ1207" s="221"/>
      <c r="BR1207" s="221"/>
      <c r="BS1207" s="221"/>
      <c r="BT1207" s="221"/>
      <c r="BU1207" s="221"/>
      <c r="BV1207" s="221"/>
      <c r="BW1207" s="221"/>
      <c r="BX1207" s="221"/>
      <c r="BY1207" s="221"/>
      <c r="BZ1207" s="221"/>
      <c r="CA1207" s="221"/>
      <c r="CB1207" s="221"/>
      <c r="CC1207" s="221"/>
      <c r="CD1207" s="221"/>
      <c r="CE1207" s="221"/>
      <c r="CF1207" s="221"/>
      <c r="CG1207" s="221"/>
      <c r="CH1207" s="221"/>
      <c r="CI1207" s="221"/>
      <c r="CJ1207" s="221"/>
      <c r="CK1207" s="221"/>
      <c r="CL1207" s="221"/>
      <c r="CM1207" s="221"/>
      <c r="CN1207" s="221"/>
      <c r="CO1207" s="221"/>
      <c r="CP1207" s="221"/>
      <c r="CQ1207" s="221"/>
      <c r="CR1207" s="221"/>
      <c r="CS1207" s="221"/>
      <c r="CT1207" s="221"/>
      <c r="CU1207" s="221"/>
      <c r="CV1207" s="221"/>
      <c r="CW1207" s="221"/>
      <c r="CX1207" s="221"/>
      <c r="CY1207" s="221"/>
      <c r="CZ1207" s="221"/>
      <c r="DA1207" s="221"/>
      <c r="DB1207" s="221"/>
      <c r="DC1207" s="221"/>
      <c r="DD1207" s="221"/>
      <c r="DE1207" s="221"/>
      <c r="DF1207" s="221"/>
      <c r="DG1207" s="221"/>
      <c r="DH1207" s="221"/>
      <c r="DI1207" s="221"/>
      <c r="DJ1207" s="221"/>
      <c r="DK1207" s="221"/>
      <c r="DL1207" s="221"/>
      <c r="DM1207" s="221"/>
      <c r="DN1207" s="221"/>
      <c r="DO1207" s="221"/>
      <c r="DP1207" s="221"/>
      <c r="DQ1207" s="221"/>
      <c r="DR1207" s="221"/>
      <c r="DS1207" s="221"/>
      <c r="DT1207" s="221"/>
      <c r="DU1207" s="221"/>
      <c r="DV1207" s="221"/>
      <c r="DW1207" s="221"/>
      <c r="DX1207" s="221"/>
      <c r="DY1207" s="221"/>
      <c r="DZ1207" s="221"/>
      <c r="EA1207" s="221"/>
      <c r="EB1207" s="221"/>
      <c r="EC1207" s="221"/>
      <c r="ED1207" s="221"/>
      <c r="EE1207" s="221"/>
      <c r="EF1207" s="221"/>
      <c r="EG1207" s="221"/>
      <c r="EH1207" s="221"/>
      <c r="EI1207" s="221"/>
      <c r="EJ1207" s="221"/>
      <c r="EK1207" s="221"/>
      <c r="EL1207" s="221"/>
      <c r="EM1207" s="221"/>
      <c r="EN1207" s="221"/>
      <c r="EO1207" s="221"/>
      <c r="EP1207" s="221"/>
      <c r="EQ1207" s="221"/>
      <c r="ER1207" s="221"/>
      <c r="ES1207" s="221"/>
      <c r="ET1207" s="221"/>
      <c r="EU1207" s="221"/>
      <c r="EV1207" s="221"/>
      <c r="EW1207" s="221"/>
      <c r="EX1207" s="221"/>
      <c r="EY1207" s="221"/>
      <c r="EZ1207" s="221"/>
      <c r="FA1207" s="221"/>
      <c r="FB1207" s="221"/>
      <c r="FC1207" s="221"/>
      <c r="FD1207" s="221"/>
      <c r="FE1207" s="221"/>
      <c r="FF1207" s="221"/>
      <c r="FG1207" s="221"/>
      <c r="FH1207" s="221"/>
      <c r="FI1207" s="221"/>
      <c r="FJ1207" s="221"/>
      <c r="FK1207" s="221"/>
      <c r="FL1207" s="221"/>
      <c r="FM1207" s="221"/>
      <c r="FN1207" s="221"/>
      <c r="FO1207" s="221"/>
      <c r="FP1207" s="221"/>
      <c r="FQ1207" s="221"/>
      <c r="FR1207" s="221"/>
      <c r="FS1207" s="221"/>
      <c r="FT1207" s="221"/>
      <c r="FU1207" s="221"/>
      <c r="FV1207" s="221"/>
      <c r="FW1207" s="221"/>
      <c r="FX1207" s="221"/>
      <c r="FY1207" s="221"/>
      <c r="FZ1207" s="221"/>
      <c r="GA1207" s="221"/>
      <c r="GB1207" s="221"/>
      <c r="GC1207" s="221"/>
      <c r="GD1207" s="221"/>
      <c r="GE1207" s="221"/>
      <c r="GF1207" s="221"/>
      <c r="GG1207" s="221"/>
      <c r="GH1207" s="221"/>
      <c r="GI1207" s="221"/>
      <c r="GJ1207" s="221"/>
      <c r="GK1207" s="221"/>
      <c r="GL1207" s="221"/>
      <c r="GM1207" s="221"/>
      <c r="GN1207" s="221"/>
    </row>
    <row r="1208">
      <c r="A1208" s="212"/>
      <c r="B1208" s="21"/>
      <c r="C1208" s="21"/>
      <c r="D1208" s="213"/>
      <c r="E1208" s="214"/>
      <c r="F1208" s="215"/>
      <c r="G1208" s="21"/>
      <c r="H1208" s="225"/>
      <c r="I1208" s="225"/>
      <c r="J1208" s="225"/>
      <c r="K1208" s="225"/>
      <c r="L1208" s="225"/>
      <c r="M1208" s="225"/>
      <c r="N1208" s="225"/>
      <c r="O1208" s="225"/>
      <c r="P1208" s="225"/>
      <c r="Q1208" s="225"/>
      <c r="R1208" s="225"/>
      <c r="S1208" s="225"/>
      <c r="T1208" s="225"/>
      <c r="U1208" s="225"/>
      <c r="V1208" s="225"/>
      <c r="W1208" s="221"/>
      <c r="X1208" s="221"/>
      <c r="Y1208" s="221"/>
      <c r="Z1208" s="221"/>
      <c r="AA1208" s="221"/>
      <c r="AB1208" s="221"/>
      <c r="AC1208" s="221"/>
      <c r="AD1208" s="221"/>
      <c r="AE1208" s="221"/>
      <c r="AF1208" s="221"/>
      <c r="AG1208" s="221"/>
      <c r="AH1208" s="221"/>
      <c r="AI1208" s="221"/>
      <c r="AJ1208" s="221"/>
      <c r="AK1208" s="221"/>
      <c r="AL1208" s="221"/>
      <c r="AM1208" s="221"/>
      <c r="AN1208" s="221"/>
      <c r="AO1208" s="221"/>
      <c r="AP1208" s="221"/>
      <c r="AQ1208" s="221"/>
      <c r="AR1208" s="221"/>
      <c r="AS1208" s="221"/>
      <c r="AT1208" s="221"/>
      <c r="AU1208" s="221"/>
      <c r="AV1208" s="221"/>
      <c r="AW1208" s="221"/>
      <c r="AX1208" s="221"/>
      <c r="AY1208" s="221"/>
      <c r="AZ1208" s="221"/>
      <c r="BA1208" s="221"/>
      <c r="BB1208" s="221"/>
      <c r="BC1208" s="221"/>
      <c r="BD1208" s="221"/>
      <c r="BE1208" s="221"/>
      <c r="BF1208" s="221"/>
      <c r="BG1208" s="221"/>
      <c r="BH1208" s="221"/>
      <c r="BI1208" s="221"/>
      <c r="BJ1208" s="221"/>
      <c r="BK1208" s="221"/>
      <c r="BL1208" s="221"/>
      <c r="BM1208" s="221"/>
      <c r="BN1208" s="221"/>
      <c r="BO1208" s="221"/>
      <c r="BP1208" s="221"/>
      <c r="BQ1208" s="221"/>
      <c r="BR1208" s="221"/>
      <c r="BS1208" s="221"/>
      <c r="BT1208" s="221"/>
      <c r="BU1208" s="221"/>
      <c r="BV1208" s="221"/>
      <c r="BW1208" s="221"/>
      <c r="BX1208" s="221"/>
      <c r="BY1208" s="221"/>
      <c r="BZ1208" s="221"/>
      <c r="CA1208" s="221"/>
      <c r="CB1208" s="221"/>
      <c r="CC1208" s="221"/>
      <c r="CD1208" s="221"/>
      <c r="CE1208" s="221"/>
      <c r="CF1208" s="221"/>
      <c r="CG1208" s="221"/>
      <c r="CH1208" s="221"/>
      <c r="CI1208" s="221"/>
      <c r="CJ1208" s="221"/>
      <c r="CK1208" s="221"/>
      <c r="CL1208" s="221"/>
      <c r="CM1208" s="221"/>
      <c r="CN1208" s="221"/>
      <c r="CO1208" s="221"/>
      <c r="CP1208" s="221"/>
      <c r="CQ1208" s="221"/>
      <c r="CR1208" s="221"/>
      <c r="CS1208" s="221"/>
      <c r="CT1208" s="221"/>
      <c r="CU1208" s="221"/>
      <c r="CV1208" s="221"/>
      <c r="CW1208" s="221"/>
      <c r="CX1208" s="221"/>
      <c r="CY1208" s="221"/>
      <c r="CZ1208" s="221"/>
      <c r="DA1208" s="221"/>
      <c r="DB1208" s="221"/>
      <c r="DC1208" s="221"/>
      <c r="DD1208" s="221"/>
      <c r="DE1208" s="221"/>
      <c r="DF1208" s="221"/>
      <c r="DG1208" s="221"/>
      <c r="DH1208" s="221"/>
      <c r="DI1208" s="221"/>
      <c r="DJ1208" s="221"/>
      <c r="DK1208" s="221"/>
      <c r="DL1208" s="221"/>
      <c r="DM1208" s="221"/>
      <c r="DN1208" s="221"/>
      <c r="DO1208" s="221"/>
      <c r="DP1208" s="221"/>
      <c r="DQ1208" s="221"/>
      <c r="DR1208" s="221"/>
      <c r="DS1208" s="221"/>
      <c r="DT1208" s="221"/>
      <c r="DU1208" s="221"/>
      <c r="DV1208" s="221"/>
      <c r="DW1208" s="221"/>
      <c r="DX1208" s="221"/>
      <c r="DY1208" s="221"/>
      <c r="DZ1208" s="221"/>
      <c r="EA1208" s="221"/>
      <c r="EB1208" s="221"/>
      <c r="EC1208" s="221"/>
      <c r="ED1208" s="221"/>
      <c r="EE1208" s="221"/>
      <c r="EF1208" s="221"/>
      <c r="EG1208" s="221"/>
      <c r="EH1208" s="221"/>
      <c r="EI1208" s="221"/>
      <c r="EJ1208" s="221"/>
      <c r="EK1208" s="221"/>
      <c r="EL1208" s="221"/>
      <c r="EM1208" s="221"/>
      <c r="EN1208" s="221"/>
      <c r="EO1208" s="221"/>
      <c r="EP1208" s="221"/>
      <c r="EQ1208" s="221"/>
      <c r="ER1208" s="221"/>
      <c r="ES1208" s="221"/>
      <c r="ET1208" s="221"/>
      <c r="EU1208" s="221"/>
      <c r="EV1208" s="221"/>
      <c r="EW1208" s="221"/>
      <c r="EX1208" s="221"/>
      <c r="EY1208" s="221"/>
      <c r="EZ1208" s="221"/>
      <c r="FA1208" s="221"/>
      <c r="FB1208" s="221"/>
      <c r="FC1208" s="221"/>
      <c r="FD1208" s="221"/>
      <c r="FE1208" s="221"/>
      <c r="FF1208" s="221"/>
      <c r="FG1208" s="221"/>
      <c r="FH1208" s="221"/>
      <c r="FI1208" s="221"/>
      <c r="FJ1208" s="221"/>
      <c r="FK1208" s="221"/>
      <c r="FL1208" s="221"/>
      <c r="FM1208" s="221"/>
      <c r="FN1208" s="221"/>
      <c r="FO1208" s="221"/>
      <c r="FP1208" s="221"/>
      <c r="FQ1208" s="221"/>
      <c r="FR1208" s="221"/>
      <c r="FS1208" s="221"/>
      <c r="FT1208" s="221"/>
      <c r="FU1208" s="221"/>
      <c r="FV1208" s="221"/>
      <c r="FW1208" s="221"/>
      <c r="FX1208" s="221"/>
      <c r="FY1208" s="221"/>
      <c r="FZ1208" s="221"/>
      <c r="GA1208" s="221"/>
      <c r="GB1208" s="221"/>
      <c r="GC1208" s="221"/>
      <c r="GD1208" s="221"/>
      <c r="GE1208" s="221"/>
      <c r="GF1208" s="221"/>
      <c r="GG1208" s="221"/>
      <c r="GH1208" s="221"/>
      <c r="GI1208" s="221"/>
      <c r="GJ1208" s="221"/>
      <c r="GK1208" s="221"/>
      <c r="GL1208" s="221"/>
      <c r="GM1208" s="221"/>
      <c r="GN1208" s="221"/>
    </row>
    <row r="1209">
      <c r="A1209" s="212"/>
      <c r="B1209" s="21"/>
      <c r="C1209" s="21"/>
      <c r="D1209" s="213"/>
      <c r="E1209" s="214"/>
      <c r="F1209" s="215"/>
      <c r="G1209" s="21"/>
      <c r="H1209" s="225"/>
      <c r="I1209" s="225"/>
      <c r="J1209" s="225"/>
      <c r="K1209" s="225"/>
      <c r="L1209" s="225"/>
      <c r="M1209" s="225"/>
      <c r="N1209" s="225"/>
      <c r="O1209" s="225"/>
      <c r="P1209" s="225"/>
      <c r="Q1209" s="225"/>
      <c r="R1209" s="225"/>
      <c r="S1209" s="225"/>
      <c r="T1209" s="225"/>
      <c r="U1209" s="225"/>
      <c r="V1209" s="225"/>
      <c r="W1209" s="221"/>
      <c r="X1209" s="221"/>
      <c r="Y1209" s="221"/>
      <c r="Z1209" s="221"/>
      <c r="AA1209" s="221"/>
      <c r="AB1209" s="221"/>
      <c r="AC1209" s="221"/>
      <c r="AD1209" s="221"/>
      <c r="AE1209" s="221"/>
      <c r="AF1209" s="221"/>
      <c r="AG1209" s="221"/>
      <c r="AH1209" s="221"/>
      <c r="AI1209" s="221"/>
      <c r="AJ1209" s="221"/>
      <c r="AK1209" s="221"/>
      <c r="AL1209" s="221"/>
      <c r="AM1209" s="221"/>
      <c r="AN1209" s="221"/>
      <c r="AO1209" s="221"/>
      <c r="AP1209" s="221"/>
      <c r="AQ1209" s="221"/>
      <c r="AR1209" s="221"/>
      <c r="AS1209" s="221"/>
      <c r="AT1209" s="221"/>
      <c r="AU1209" s="221"/>
      <c r="AV1209" s="221"/>
      <c r="AW1209" s="221"/>
      <c r="AX1209" s="221"/>
      <c r="AY1209" s="221"/>
      <c r="AZ1209" s="221"/>
      <c r="BA1209" s="221"/>
      <c r="BB1209" s="221"/>
      <c r="BC1209" s="221"/>
      <c r="BD1209" s="221"/>
      <c r="BE1209" s="221"/>
      <c r="BF1209" s="221"/>
      <c r="BG1209" s="221"/>
      <c r="BH1209" s="221"/>
      <c r="BI1209" s="221"/>
      <c r="BJ1209" s="221"/>
      <c r="BK1209" s="221"/>
      <c r="BL1209" s="221"/>
      <c r="BM1209" s="221"/>
      <c r="BN1209" s="221"/>
      <c r="BO1209" s="221"/>
      <c r="BP1209" s="221"/>
      <c r="BQ1209" s="221"/>
      <c r="BR1209" s="221"/>
      <c r="BS1209" s="221"/>
      <c r="BT1209" s="221"/>
      <c r="BU1209" s="221"/>
      <c r="BV1209" s="221"/>
      <c r="BW1209" s="221"/>
      <c r="BX1209" s="221"/>
      <c r="BY1209" s="221"/>
      <c r="BZ1209" s="221"/>
      <c r="CA1209" s="221"/>
      <c r="CB1209" s="221"/>
      <c r="CC1209" s="221"/>
      <c r="CD1209" s="221"/>
      <c r="CE1209" s="221"/>
      <c r="CF1209" s="221"/>
      <c r="CG1209" s="221"/>
      <c r="CH1209" s="221"/>
      <c r="CI1209" s="221"/>
      <c r="CJ1209" s="221"/>
      <c r="CK1209" s="221"/>
      <c r="CL1209" s="221"/>
      <c r="CM1209" s="221"/>
      <c r="CN1209" s="221"/>
      <c r="CO1209" s="221"/>
      <c r="CP1209" s="221"/>
      <c r="CQ1209" s="221"/>
      <c r="CR1209" s="221"/>
      <c r="CS1209" s="221"/>
      <c r="CT1209" s="221"/>
      <c r="CU1209" s="221"/>
      <c r="CV1209" s="221"/>
      <c r="CW1209" s="221"/>
      <c r="CX1209" s="221"/>
      <c r="CY1209" s="221"/>
      <c r="CZ1209" s="221"/>
      <c r="DA1209" s="221"/>
      <c r="DB1209" s="221"/>
      <c r="DC1209" s="221"/>
      <c r="DD1209" s="221"/>
      <c r="DE1209" s="221"/>
      <c r="DF1209" s="221"/>
      <c r="DG1209" s="221"/>
      <c r="DH1209" s="221"/>
      <c r="DI1209" s="221"/>
      <c r="DJ1209" s="221"/>
      <c r="DK1209" s="221"/>
      <c r="DL1209" s="221"/>
      <c r="DM1209" s="221"/>
      <c r="DN1209" s="221"/>
      <c r="DO1209" s="221"/>
      <c r="DP1209" s="221"/>
      <c r="DQ1209" s="221"/>
      <c r="DR1209" s="221"/>
      <c r="DS1209" s="221"/>
      <c r="DT1209" s="221"/>
      <c r="DU1209" s="221"/>
      <c r="DV1209" s="221"/>
      <c r="DW1209" s="221"/>
      <c r="DX1209" s="221"/>
      <c r="DY1209" s="221"/>
      <c r="DZ1209" s="221"/>
      <c r="EA1209" s="221"/>
      <c r="EB1209" s="221"/>
      <c r="EC1209" s="221"/>
      <c r="ED1209" s="221"/>
      <c r="EE1209" s="221"/>
      <c r="EF1209" s="221"/>
      <c r="EG1209" s="221"/>
      <c r="EH1209" s="221"/>
      <c r="EI1209" s="221"/>
      <c r="EJ1209" s="221"/>
      <c r="EK1209" s="221"/>
      <c r="EL1209" s="221"/>
      <c r="EM1209" s="221"/>
      <c r="EN1209" s="221"/>
      <c r="EO1209" s="221"/>
      <c r="EP1209" s="221"/>
      <c r="EQ1209" s="221"/>
      <c r="ER1209" s="221"/>
      <c r="ES1209" s="221"/>
      <c r="ET1209" s="221"/>
      <c r="EU1209" s="221"/>
      <c r="EV1209" s="221"/>
      <c r="EW1209" s="221"/>
      <c r="EX1209" s="221"/>
      <c r="EY1209" s="221"/>
      <c r="EZ1209" s="221"/>
      <c r="FA1209" s="221"/>
      <c r="FB1209" s="221"/>
      <c r="FC1209" s="221"/>
      <c r="FD1209" s="221"/>
      <c r="FE1209" s="221"/>
      <c r="FF1209" s="221"/>
      <c r="FG1209" s="221"/>
      <c r="FH1209" s="221"/>
      <c r="FI1209" s="221"/>
      <c r="FJ1209" s="221"/>
      <c r="FK1209" s="221"/>
      <c r="FL1209" s="221"/>
      <c r="FM1209" s="221"/>
      <c r="FN1209" s="221"/>
      <c r="FO1209" s="221"/>
      <c r="FP1209" s="221"/>
      <c r="FQ1209" s="221"/>
      <c r="FR1209" s="221"/>
      <c r="FS1209" s="221"/>
      <c r="FT1209" s="221"/>
      <c r="FU1209" s="221"/>
      <c r="FV1209" s="221"/>
      <c r="FW1209" s="221"/>
      <c r="FX1209" s="221"/>
      <c r="FY1209" s="221"/>
      <c r="FZ1209" s="221"/>
      <c r="GA1209" s="221"/>
      <c r="GB1209" s="221"/>
      <c r="GC1209" s="221"/>
      <c r="GD1209" s="221"/>
      <c r="GE1209" s="221"/>
      <c r="GF1209" s="221"/>
      <c r="GG1209" s="221"/>
      <c r="GH1209" s="221"/>
      <c r="GI1209" s="221"/>
      <c r="GJ1209" s="221"/>
      <c r="GK1209" s="221"/>
      <c r="GL1209" s="221"/>
      <c r="GM1209" s="221"/>
      <c r="GN1209" s="221"/>
    </row>
    <row r="1210">
      <c r="A1210" s="212"/>
      <c r="B1210" s="21"/>
      <c r="C1210" s="21"/>
      <c r="D1210" s="213"/>
      <c r="E1210" s="214"/>
      <c r="F1210" s="215"/>
      <c r="G1210" s="21"/>
      <c r="H1210" s="225"/>
      <c r="I1210" s="225"/>
      <c r="J1210" s="225"/>
      <c r="K1210" s="225"/>
      <c r="L1210" s="225"/>
      <c r="M1210" s="225"/>
      <c r="N1210" s="225"/>
      <c r="O1210" s="225"/>
      <c r="P1210" s="225"/>
      <c r="Q1210" s="225"/>
      <c r="R1210" s="225"/>
      <c r="S1210" s="225"/>
      <c r="T1210" s="225"/>
      <c r="U1210" s="225"/>
      <c r="V1210" s="225"/>
      <c r="W1210" s="221"/>
      <c r="X1210" s="221"/>
      <c r="Y1210" s="221"/>
      <c r="Z1210" s="221"/>
      <c r="AA1210" s="221"/>
      <c r="AB1210" s="221"/>
      <c r="AC1210" s="221"/>
      <c r="AD1210" s="221"/>
      <c r="AE1210" s="221"/>
      <c r="AF1210" s="221"/>
      <c r="AG1210" s="221"/>
      <c r="AH1210" s="221"/>
      <c r="AI1210" s="221"/>
      <c r="AJ1210" s="221"/>
      <c r="AK1210" s="221"/>
      <c r="AL1210" s="221"/>
      <c r="AM1210" s="221"/>
      <c r="AN1210" s="221"/>
      <c r="AO1210" s="221"/>
      <c r="AP1210" s="221"/>
      <c r="AQ1210" s="221"/>
      <c r="AR1210" s="221"/>
      <c r="AS1210" s="221"/>
      <c r="AT1210" s="221"/>
      <c r="AU1210" s="221"/>
      <c r="AV1210" s="221"/>
      <c r="AW1210" s="221"/>
      <c r="AX1210" s="221"/>
      <c r="AY1210" s="221"/>
      <c r="AZ1210" s="221"/>
      <c r="BA1210" s="221"/>
      <c r="BB1210" s="221"/>
      <c r="BC1210" s="221"/>
      <c r="BD1210" s="221"/>
      <c r="BE1210" s="221"/>
      <c r="BF1210" s="221"/>
      <c r="BG1210" s="221"/>
      <c r="BH1210" s="221"/>
      <c r="BI1210" s="221"/>
      <c r="BJ1210" s="221"/>
      <c r="BK1210" s="221"/>
      <c r="BL1210" s="221"/>
      <c r="BM1210" s="221"/>
      <c r="BN1210" s="221"/>
      <c r="BO1210" s="221"/>
      <c r="BP1210" s="221"/>
      <c r="BQ1210" s="221"/>
      <c r="BR1210" s="221"/>
      <c r="BS1210" s="221"/>
      <c r="BT1210" s="221"/>
      <c r="BU1210" s="221"/>
      <c r="BV1210" s="221"/>
      <c r="BW1210" s="221"/>
      <c r="BX1210" s="221"/>
      <c r="BY1210" s="221"/>
      <c r="BZ1210" s="221"/>
      <c r="CA1210" s="221"/>
      <c r="CB1210" s="221"/>
      <c r="CC1210" s="221"/>
      <c r="CD1210" s="221"/>
      <c r="CE1210" s="221"/>
      <c r="CF1210" s="221"/>
      <c r="CG1210" s="221"/>
      <c r="CH1210" s="221"/>
      <c r="CI1210" s="221"/>
      <c r="CJ1210" s="221"/>
      <c r="CK1210" s="221"/>
      <c r="CL1210" s="221"/>
      <c r="CM1210" s="221"/>
      <c r="CN1210" s="221"/>
      <c r="CO1210" s="221"/>
      <c r="CP1210" s="221"/>
      <c r="CQ1210" s="221"/>
      <c r="CR1210" s="221"/>
      <c r="CS1210" s="221"/>
      <c r="CT1210" s="221"/>
      <c r="CU1210" s="221"/>
      <c r="CV1210" s="221"/>
      <c r="CW1210" s="221"/>
      <c r="CX1210" s="221"/>
      <c r="CY1210" s="221"/>
      <c r="CZ1210" s="221"/>
      <c r="DA1210" s="221"/>
      <c r="DB1210" s="221"/>
      <c r="DC1210" s="221"/>
      <c r="DD1210" s="221"/>
      <c r="DE1210" s="221"/>
      <c r="DF1210" s="221"/>
      <c r="DG1210" s="221"/>
      <c r="DH1210" s="221"/>
      <c r="DI1210" s="221"/>
      <c r="DJ1210" s="221"/>
      <c r="DK1210" s="221"/>
      <c r="DL1210" s="221"/>
      <c r="DM1210" s="221"/>
      <c r="DN1210" s="221"/>
      <c r="DO1210" s="221"/>
      <c r="DP1210" s="221"/>
      <c r="DQ1210" s="221"/>
      <c r="DR1210" s="221"/>
      <c r="DS1210" s="221"/>
      <c r="DT1210" s="221"/>
      <c r="DU1210" s="221"/>
      <c r="DV1210" s="221"/>
      <c r="DW1210" s="221"/>
      <c r="DX1210" s="221"/>
      <c r="DY1210" s="221"/>
      <c r="DZ1210" s="221"/>
      <c r="EA1210" s="221"/>
      <c r="EB1210" s="221"/>
      <c r="EC1210" s="221"/>
      <c r="ED1210" s="221"/>
      <c r="EE1210" s="221"/>
      <c r="EF1210" s="221"/>
      <c r="EG1210" s="221"/>
      <c r="EH1210" s="221"/>
      <c r="EI1210" s="221"/>
      <c r="EJ1210" s="221"/>
      <c r="EK1210" s="221"/>
      <c r="EL1210" s="221"/>
      <c r="EM1210" s="221"/>
      <c r="EN1210" s="221"/>
      <c r="EO1210" s="221"/>
      <c r="EP1210" s="221"/>
      <c r="EQ1210" s="221"/>
      <c r="ER1210" s="221"/>
      <c r="ES1210" s="221"/>
      <c r="ET1210" s="221"/>
      <c r="EU1210" s="221"/>
      <c r="EV1210" s="221"/>
      <c r="EW1210" s="221"/>
      <c r="EX1210" s="221"/>
      <c r="EY1210" s="221"/>
      <c r="EZ1210" s="221"/>
      <c r="FA1210" s="221"/>
      <c r="FB1210" s="221"/>
      <c r="FC1210" s="221"/>
      <c r="FD1210" s="221"/>
      <c r="FE1210" s="221"/>
      <c r="FF1210" s="221"/>
      <c r="FG1210" s="221"/>
      <c r="FH1210" s="221"/>
      <c r="FI1210" s="221"/>
      <c r="FJ1210" s="221"/>
      <c r="FK1210" s="221"/>
      <c r="FL1210" s="221"/>
      <c r="FM1210" s="221"/>
      <c r="FN1210" s="221"/>
      <c r="FO1210" s="221"/>
      <c r="FP1210" s="221"/>
      <c r="FQ1210" s="221"/>
      <c r="FR1210" s="221"/>
      <c r="FS1210" s="221"/>
      <c r="FT1210" s="221"/>
      <c r="FU1210" s="221"/>
      <c r="FV1210" s="221"/>
      <c r="FW1210" s="221"/>
      <c r="FX1210" s="221"/>
      <c r="FY1210" s="221"/>
      <c r="FZ1210" s="221"/>
      <c r="GA1210" s="221"/>
      <c r="GB1210" s="221"/>
      <c r="GC1210" s="221"/>
      <c r="GD1210" s="221"/>
      <c r="GE1210" s="221"/>
      <c r="GF1210" s="221"/>
      <c r="GG1210" s="221"/>
      <c r="GH1210" s="221"/>
      <c r="GI1210" s="221"/>
      <c r="GJ1210" s="221"/>
      <c r="GK1210" s="221"/>
      <c r="GL1210" s="221"/>
      <c r="GM1210" s="221"/>
      <c r="GN1210" s="221"/>
    </row>
    <row r="1211">
      <c r="A1211" s="212"/>
      <c r="B1211" s="21"/>
      <c r="C1211" s="21"/>
      <c r="D1211" s="213"/>
      <c r="E1211" s="214"/>
      <c r="F1211" s="215"/>
      <c r="G1211" s="21"/>
      <c r="H1211" s="225"/>
      <c r="I1211" s="225"/>
      <c r="J1211" s="225"/>
      <c r="K1211" s="225"/>
      <c r="L1211" s="225"/>
      <c r="M1211" s="225"/>
      <c r="N1211" s="225"/>
      <c r="O1211" s="225"/>
      <c r="P1211" s="225"/>
      <c r="Q1211" s="225"/>
      <c r="R1211" s="225"/>
      <c r="S1211" s="225"/>
      <c r="T1211" s="225"/>
      <c r="U1211" s="225"/>
      <c r="V1211" s="225"/>
      <c r="W1211" s="221"/>
      <c r="X1211" s="221"/>
      <c r="Y1211" s="221"/>
      <c r="Z1211" s="221"/>
      <c r="AA1211" s="221"/>
      <c r="AB1211" s="221"/>
      <c r="AC1211" s="221"/>
      <c r="AD1211" s="221"/>
      <c r="AE1211" s="221"/>
      <c r="AF1211" s="221"/>
      <c r="AG1211" s="221"/>
      <c r="AH1211" s="221"/>
      <c r="AI1211" s="221"/>
      <c r="AJ1211" s="221"/>
      <c r="AK1211" s="221"/>
      <c r="AL1211" s="221"/>
      <c r="AM1211" s="221"/>
      <c r="AN1211" s="221"/>
      <c r="AO1211" s="221"/>
      <c r="AP1211" s="221"/>
      <c r="AQ1211" s="221"/>
      <c r="AR1211" s="221"/>
      <c r="AS1211" s="221"/>
      <c r="AT1211" s="221"/>
      <c r="AU1211" s="221"/>
      <c r="AV1211" s="221"/>
      <c r="AW1211" s="221"/>
      <c r="AX1211" s="221"/>
      <c r="AY1211" s="221"/>
      <c r="AZ1211" s="221"/>
      <c r="BA1211" s="221"/>
      <c r="BB1211" s="221"/>
      <c r="BC1211" s="221"/>
      <c r="BD1211" s="221"/>
      <c r="BE1211" s="221"/>
      <c r="BF1211" s="221"/>
      <c r="BG1211" s="221"/>
      <c r="BH1211" s="221"/>
      <c r="BI1211" s="221"/>
      <c r="BJ1211" s="221"/>
      <c r="BK1211" s="221"/>
      <c r="BL1211" s="221"/>
      <c r="BM1211" s="221"/>
      <c r="BN1211" s="221"/>
      <c r="BO1211" s="221"/>
      <c r="BP1211" s="221"/>
      <c r="BQ1211" s="221"/>
      <c r="BR1211" s="221"/>
      <c r="BS1211" s="221"/>
      <c r="BT1211" s="221"/>
      <c r="BU1211" s="221"/>
      <c r="BV1211" s="221"/>
      <c r="BW1211" s="221"/>
      <c r="BX1211" s="221"/>
      <c r="BY1211" s="221"/>
      <c r="BZ1211" s="221"/>
      <c r="CA1211" s="221"/>
      <c r="CB1211" s="221"/>
      <c r="CC1211" s="221"/>
      <c r="CD1211" s="221"/>
      <c r="CE1211" s="221"/>
      <c r="CF1211" s="221"/>
      <c r="CG1211" s="221"/>
      <c r="CH1211" s="221"/>
      <c r="CI1211" s="221"/>
      <c r="CJ1211" s="221"/>
      <c r="CK1211" s="221"/>
      <c r="CL1211" s="221"/>
      <c r="CM1211" s="221"/>
      <c r="CN1211" s="221"/>
      <c r="CO1211" s="221"/>
      <c r="CP1211" s="221"/>
      <c r="CQ1211" s="221"/>
      <c r="CR1211" s="221"/>
      <c r="CS1211" s="221"/>
      <c r="CT1211" s="221"/>
      <c r="CU1211" s="221"/>
      <c r="CV1211" s="221"/>
      <c r="CW1211" s="221"/>
      <c r="CX1211" s="221"/>
      <c r="CY1211" s="221"/>
      <c r="CZ1211" s="221"/>
      <c r="DA1211" s="221"/>
      <c r="DB1211" s="221"/>
      <c r="DC1211" s="221"/>
      <c r="DD1211" s="221"/>
      <c r="DE1211" s="221"/>
      <c r="DF1211" s="221"/>
      <c r="DG1211" s="221"/>
      <c r="DH1211" s="221"/>
      <c r="DI1211" s="221"/>
      <c r="DJ1211" s="221"/>
      <c r="DK1211" s="221"/>
      <c r="DL1211" s="221"/>
      <c r="DM1211" s="221"/>
      <c r="DN1211" s="221"/>
      <c r="DO1211" s="221"/>
      <c r="DP1211" s="221"/>
      <c r="DQ1211" s="221"/>
      <c r="DR1211" s="221"/>
      <c r="DS1211" s="221"/>
      <c r="DT1211" s="221"/>
      <c r="DU1211" s="221"/>
      <c r="DV1211" s="221"/>
      <c r="DW1211" s="221"/>
      <c r="DX1211" s="221"/>
      <c r="DY1211" s="221"/>
      <c r="DZ1211" s="221"/>
      <c r="EA1211" s="221"/>
      <c r="EB1211" s="221"/>
      <c r="EC1211" s="221"/>
      <c r="ED1211" s="221"/>
      <c r="EE1211" s="221"/>
      <c r="EF1211" s="221"/>
      <c r="EG1211" s="221"/>
      <c r="EH1211" s="221"/>
      <c r="EI1211" s="221"/>
      <c r="EJ1211" s="221"/>
      <c r="EK1211" s="221"/>
      <c r="EL1211" s="221"/>
      <c r="EM1211" s="221"/>
      <c r="EN1211" s="221"/>
      <c r="EO1211" s="221"/>
      <c r="EP1211" s="221"/>
      <c r="EQ1211" s="221"/>
      <c r="ER1211" s="221"/>
      <c r="ES1211" s="221"/>
      <c r="ET1211" s="221"/>
      <c r="EU1211" s="221"/>
      <c r="EV1211" s="221"/>
      <c r="EW1211" s="221"/>
      <c r="EX1211" s="221"/>
      <c r="EY1211" s="221"/>
      <c r="EZ1211" s="221"/>
      <c r="FA1211" s="221"/>
      <c r="FB1211" s="221"/>
      <c r="FC1211" s="221"/>
      <c r="FD1211" s="221"/>
      <c r="FE1211" s="221"/>
      <c r="FF1211" s="221"/>
      <c r="FG1211" s="221"/>
      <c r="FH1211" s="221"/>
      <c r="FI1211" s="221"/>
      <c r="FJ1211" s="221"/>
      <c r="FK1211" s="221"/>
      <c r="FL1211" s="221"/>
      <c r="FM1211" s="221"/>
      <c r="FN1211" s="221"/>
      <c r="FO1211" s="221"/>
      <c r="FP1211" s="221"/>
      <c r="FQ1211" s="221"/>
      <c r="FR1211" s="221"/>
      <c r="FS1211" s="221"/>
      <c r="FT1211" s="221"/>
      <c r="FU1211" s="221"/>
      <c r="FV1211" s="221"/>
      <c r="FW1211" s="221"/>
      <c r="FX1211" s="221"/>
      <c r="FY1211" s="221"/>
      <c r="FZ1211" s="221"/>
      <c r="GA1211" s="221"/>
      <c r="GB1211" s="221"/>
      <c r="GC1211" s="221"/>
      <c r="GD1211" s="221"/>
      <c r="GE1211" s="221"/>
      <c r="GF1211" s="221"/>
      <c r="GG1211" s="221"/>
      <c r="GH1211" s="221"/>
      <c r="GI1211" s="221"/>
      <c r="GJ1211" s="221"/>
      <c r="GK1211" s="221"/>
      <c r="GL1211" s="221"/>
      <c r="GM1211" s="221"/>
      <c r="GN1211" s="221"/>
    </row>
    <row r="1212">
      <c r="A1212" s="212"/>
      <c r="B1212" s="21"/>
      <c r="C1212" s="21"/>
      <c r="D1212" s="213"/>
      <c r="E1212" s="214"/>
      <c r="F1212" s="215"/>
      <c r="G1212" s="124"/>
      <c r="H1212" s="221"/>
      <c r="I1212" s="221"/>
      <c r="J1212" s="221"/>
      <c r="K1212" s="221"/>
      <c r="L1212" s="221"/>
      <c r="M1212" s="221"/>
      <c r="N1212" s="221"/>
      <c r="O1212" s="221"/>
      <c r="P1212" s="221"/>
      <c r="Q1212" s="221"/>
      <c r="R1212" s="221"/>
      <c r="S1212" s="221"/>
      <c r="T1212" s="221"/>
      <c r="U1212" s="221"/>
      <c r="V1212" s="221"/>
      <c r="W1212" s="221"/>
      <c r="X1212" s="221"/>
      <c r="Y1212" s="221"/>
      <c r="Z1212" s="221"/>
      <c r="AA1212" s="221"/>
      <c r="AB1212" s="221"/>
      <c r="AC1212" s="221"/>
      <c r="AD1212" s="221"/>
      <c r="AE1212" s="221"/>
      <c r="AF1212" s="221"/>
      <c r="AG1212" s="221"/>
      <c r="AH1212" s="221"/>
      <c r="AI1212" s="221"/>
      <c r="AJ1212" s="221"/>
      <c r="AK1212" s="221"/>
      <c r="AL1212" s="221"/>
      <c r="AM1212" s="221"/>
      <c r="AN1212" s="221"/>
      <c r="AO1212" s="221"/>
      <c r="AP1212" s="221"/>
      <c r="AQ1212" s="221"/>
      <c r="AR1212" s="221"/>
      <c r="AS1212" s="221"/>
      <c r="AT1212" s="221"/>
      <c r="AU1212" s="221"/>
      <c r="AV1212" s="221"/>
      <c r="AW1212" s="221"/>
      <c r="AX1212" s="221"/>
      <c r="AY1212" s="221"/>
      <c r="AZ1212" s="221"/>
      <c r="BA1212" s="221"/>
      <c r="BB1212" s="221"/>
      <c r="BC1212" s="221"/>
      <c r="BD1212" s="221"/>
      <c r="BE1212" s="221"/>
      <c r="BF1212" s="221"/>
      <c r="BG1212" s="221"/>
      <c r="BH1212" s="221"/>
      <c r="BI1212" s="221"/>
      <c r="BJ1212" s="221"/>
      <c r="BK1212" s="221"/>
      <c r="BL1212" s="221"/>
      <c r="BM1212" s="221"/>
      <c r="BN1212" s="221"/>
      <c r="BO1212" s="221"/>
      <c r="BP1212" s="221"/>
      <c r="BQ1212" s="221"/>
      <c r="BR1212" s="221"/>
      <c r="BS1212" s="221"/>
      <c r="BT1212" s="221"/>
      <c r="BU1212" s="221"/>
      <c r="BV1212" s="221"/>
      <c r="BW1212" s="221"/>
      <c r="BX1212" s="221"/>
      <c r="BY1212" s="221"/>
      <c r="BZ1212" s="221"/>
      <c r="CA1212" s="221"/>
      <c r="CB1212" s="221"/>
      <c r="CC1212" s="221"/>
      <c r="CD1212" s="221"/>
      <c r="CE1212" s="221"/>
      <c r="CF1212" s="221"/>
      <c r="CG1212" s="221"/>
      <c r="CH1212" s="221"/>
      <c r="CI1212" s="221"/>
      <c r="CJ1212" s="221"/>
      <c r="CK1212" s="221"/>
      <c r="CL1212" s="221"/>
      <c r="CM1212" s="221"/>
      <c r="CN1212" s="221"/>
      <c r="CO1212" s="221"/>
      <c r="CP1212" s="221"/>
      <c r="CQ1212" s="221"/>
      <c r="CR1212" s="221"/>
      <c r="CS1212" s="221"/>
      <c r="CT1212" s="221"/>
      <c r="CU1212" s="221"/>
      <c r="CV1212" s="221"/>
      <c r="CW1212" s="221"/>
      <c r="CX1212" s="221"/>
      <c r="CY1212" s="221"/>
      <c r="CZ1212" s="221"/>
      <c r="DA1212" s="221"/>
      <c r="DB1212" s="221"/>
      <c r="DC1212" s="221"/>
      <c r="DD1212" s="221"/>
      <c r="DE1212" s="221"/>
      <c r="DF1212" s="221"/>
      <c r="DG1212" s="221"/>
      <c r="DH1212" s="221"/>
      <c r="DI1212" s="221"/>
      <c r="DJ1212" s="221"/>
      <c r="DK1212" s="221"/>
      <c r="DL1212" s="221"/>
      <c r="DM1212" s="221"/>
      <c r="DN1212" s="221"/>
      <c r="DO1212" s="221"/>
      <c r="DP1212" s="221"/>
      <c r="DQ1212" s="221"/>
      <c r="DR1212" s="221"/>
      <c r="DS1212" s="221"/>
      <c r="DT1212" s="221"/>
      <c r="DU1212" s="221"/>
      <c r="DV1212" s="221"/>
      <c r="DW1212" s="221"/>
      <c r="DX1212" s="221"/>
      <c r="DY1212" s="221"/>
      <c r="DZ1212" s="221"/>
      <c r="EA1212" s="221"/>
      <c r="EB1212" s="221"/>
      <c r="EC1212" s="221"/>
      <c r="ED1212" s="221"/>
      <c r="EE1212" s="221"/>
      <c r="EF1212" s="221"/>
      <c r="EG1212" s="221"/>
      <c r="EH1212" s="221"/>
      <c r="EI1212" s="221"/>
      <c r="EJ1212" s="221"/>
      <c r="EK1212" s="221"/>
      <c r="EL1212" s="221"/>
      <c r="EM1212" s="221"/>
      <c r="EN1212" s="221"/>
      <c r="EO1212" s="221"/>
      <c r="EP1212" s="221"/>
      <c r="EQ1212" s="221"/>
      <c r="ER1212" s="221"/>
      <c r="ES1212" s="221"/>
      <c r="ET1212" s="221"/>
      <c r="EU1212" s="221"/>
      <c r="EV1212" s="221"/>
      <c r="EW1212" s="221"/>
      <c r="EX1212" s="221"/>
      <c r="EY1212" s="221"/>
      <c r="EZ1212" s="221"/>
      <c r="FA1212" s="221"/>
      <c r="FB1212" s="221"/>
      <c r="FC1212" s="221"/>
      <c r="FD1212" s="221"/>
      <c r="FE1212" s="221"/>
      <c r="FF1212" s="221"/>
      <c r="FG1212" s="221"/>
      <c r="FH1212" s="221"/>
      <c r="FI1212" s="221"/>
      <c r="FJ1212" s="221"/>
      <c r="FK1212" s="221"/>
      <c r="FL1212" s="221"/>
      <c r="FM1212" s="221"/>
      <c r="FN1212" s="221"/>
      <c r="FO1212" s="221"/>
      <c r="FP1212" s="221"/>
      <c r="FQ1212" s="221"/>
      <c r="FR1212" s="221"/>
      <c r="FS1212" s="221"/>
      <c r="FT1212" s="221"/>
      <c r="FU1212" s="221"/>
      <c r="FV1212" s="221"/>
      <c r="FW1212" s="221"/>
      <c r="FX1212" s="221"/>
      <c r="FY1212" s="221"/>
      <c r="FZ1212" s="221"/>
      <c r="GA1212" s="221"/>
      <c r="GB1212" s="221"/>
      <c r="GC1212" s="221"/>
      <c r="GD1212" s="221"/>
      <c r="GE1212" s="221"/>
      <c r="GF1212" s="221"/>
      <c r="GG1212" s="221"/>
      <c r="GH1212" s="221"/>
      <c r="GI1212" s="221"/>
      <c r="GJ1212" s="221"/>
      <c r="GK1212" s="221"/>
      <c r="GL1212" s="221"/>
      <c r="GM1212" s="221"/>
      <c r="GN1212" s="221"/>
    </row>
    <row r="1213">
      <c r="A1213" s="212"/>
      <c r="B1213" s="21"/>
      <c r="C1213" s="21"/>
      <c r="D1213" s="213"/>
      <c r="E1213" s="214"/>
      <c r="F1213" s="215"/>
      <c r="G1213" s="21"/>
      <c r="H1213" s="225"/>
      <c r="I1213" s="225"/>
      <c r="J1213" s="225"/>
      <c r="K1213" s="225"/>
      <c r="L1213" s="225"/>
      <c r="M1213" s="225"/>
      <c r="N1213" s="225"/>
      <c r="O1213" s="225"/>
      <c r="P1213" s="225"/>
      <c r="Q1213" s="225"/>
      <c r="R1213" s="225"/>
      <c r="S1213" s="225"/>
      <c r="T1213" s="225"/>
      <c r="U1213" s="225"/>
      <c r="V1213" s="225"/>
      <c r="W1213" s="221"/>
      <c r="X1213" s="221"/>
      <c r="Y1213" s="221"/>
      <c r="Z1213" s="221"/>
      <c r="AA1213" s="221"/>
      <c r="AB1213" s="221"/>
      <c r="AC1213" s="221"/>
      <c r="AD1213" s="221"/>
      <c r="AE1213" s="221"/>
      <c r="AF1213" s="221"/>
      <c r="AG1213" s="221"/>
      <c r="AH1213" s="221"/>
      <c r="AI1213" s="221"/>
      <c r="AJ1213" s="221"/>
      <c r="AK1213" s="221"/>
      <c r="AL1213" s="221"/>
      <c r="AM1213" s="221"/>
      <c r="AN1213" s="221"/>
      <c r="AO1213" s="221"/>
      <c r="AP1213" s="221"/>
      <c r="AQ1213" s="221"/>
      <c r="AR1213" s="221"/>
      <c r="AS1213" s="221"/>
      <c r="AT1213" s="221"/>
      <c r="AU1213" s="221"/>
      <c r="AV1213" s="221"/>
      <c r="AW1213" s="221"/>
      <c r="AX1213" s="221"/>
      <c r="AY1213" s="221"/>
      <c r="AZ1213" s="221"/>
      <c r="BA1213" s="221"/>
      <c r="BB1213" s="221"/>
      <c r="BC1213" s="221"/>
      <c r="BD1213" s="221"/>
      <c r="BE1213" s="221"/>
      <c r="BF1213" s="221"/>
      <c r="BG1213" s="221"/>
      <c r="BH1213" s="221"/>
      <c r="BI1213" s="221"/>
      <c r="BJ1213" s="221"/>
      <c r="BK1213" s="221"/>
      <c r="BL1213" s="221"/>
      <c r="BM1213" s="221"/>
      <c r="BN1213" s="221"/>
      <c r="BO1213" s="221"/>
      <c r="BP1213" s="221"/>
      <c r="BQ1213" s="221"/>
      <c r="BR1213" s="221"/>
      <c r="BS1213" s="221"/>
      <c r="BT1213" s="221"/>
      <c r="BU1213" s="221"/>
      <c r="BV1213" s="221"/>
      <c r="BW1213" s="221"/>
      <c r="BX1213" s="221"/>
      <c r="BY1213" s="221"/>
      <c r="BZ1213" s="221"/>
      <c r="CA1213" s="221"/>
      <c r="CB1213" s="221"/>
      <c r="CC1213" s="221"/>
      <c r="CD1213" s="221"/>
      <c r="CE1213" s="221"/>
      <c r="CF1213" s="221"/>
      <c r="CG1213" s="221"/>
      <c r="CH1213" s="221"/>
      <c r="CI1213" s="221"/>
      <c r="CJ1213" s="221"/>
      <c r="CK1213" s="221"/>
      <c r="CL1213" s="221"/>
      <c r="CM1213" s="221"/>
      <c r="CN1213" s="221"/>
      <c r="CO1213" s="221"/>
      <c r="CP1213" s="221"/>
      <c r="CQ1213" s="221"/>
      <c r="CR1213" s="221"/>
      <c r="CS1213" s="221"/>
      <c r="CT1213" s="221"/>
      <c r="CU1213" s="221"/>
      <c r="CV1213" s="221"/>
      <c r="CW1213" s="221"/>
      <c r="CX1213" s="221"/>
      <c r="CY1213" s="221"/>
      <c r="CZ1213" s="221"/>
      <c r="DA1213" s="221"/>
      <c r="DB1213" s="221"/>
      <c r="DC1213" s="221"/>
      <c r="DD1213" s="221"/>
      <c r="DE1213" s="221"/>
      <c r="DF1213" s="221"/>
      <c r="DG1213" s="221"/>
      <c r="DH1213" s="221"/>
      <c r="DI1213" s="221"/>
      <c r="DJ1213" s="221"/>
      <c r="DK1213" s="221"/>
      <c r="DL1213" s="221"/>
      <c r="DM1213" s="221"/>
      <c r="DN1213" s="221"/>
      <c r="DO1213" s="221"/>
      <c r="DP1213" s="221"/>
      <c r="DQ1213" s="221"/>
      <c r="DR1213" s="221"/>
      <c r="DS1213" s="221"/>
      <c r="DT1213" s="221"/>
      <c r="DU1213" s="221"/>
      <c r="DV1213" s="221"/>
      <c r="DW1213" s="221"/>
      <c r="DX1213" s="221"/>
      <c r="DY1213" s="221"/>
      <c r="DZ1213" s="221"/>
      <c r="EA1213" s="221"/>
      <c r="EB1213" s="221"/>
      <c r="EC1213" s="221"/>
      <c r="ED1213" s="221"/>
      <c r="EE1213" s="221"/>
      <c r="EF1213" s="221"/>
      <c r="EG1213" s="221"/>
      <c r="EH1213" s="221"/>
      <c r="EI1213" s="221"/>
      <c r="EJ1213" s="221"/>
      <c r="EK1213" s="221"/>
      <c r="EL1213" s="221"/>
      <c r="EM1213" s="221"/>
      <c r="EN1213" s="221"/>
      <c r="EO1213" s="221"/>
      <c r="EP1213" s="221"/>
      <c r="EQ1213" s="221"/>
      <c r="ER1213" s="221"/>
      <c r="ES1213" s="221"/>
      <c r="ET1213" s="221"/>
      <c r="EU1213" s="221"/>
      <c r="EV1213" s="221"/>
      <c r="EW1213" s="221"/>
      <c r="EX1213" s="221"/>
      <c r="EY1213" s="221"/>
      <c r="EZ1213" s="221"/>
      <c r="FA1213" s="221"/>
      <c r="FB1213" s="221"/>
      <c r="FC1213" s="221"/>
      <c r="FD1213" s="221"/>
      <c r="FE1213" s="221"/>
      <c r="FF1213" s="221"/>
      <c r="FG1213" s="221"/>
      <c r="FH1213" s="221"/>
      <c r="FI1213" s="221"/>
      <c r="FJ1213" s="221"/>
      <c r="FK1213" s="221"/>
      <c r="FL1213" s="221"/>
      <c r="FM1213" s="221"/>
      <c r="FN1213" s="221"/>
      <c r="FO1213" s="221"/>
      <c r="FP1213" s="221"/>
      <c r="FQ1213" s="221"/>
      <c r="FR1213" s="221"/>
      <c r="FS1213" s="221"/>
      <c r="FT1213" s="221"/>
      <c r="FU1213" s="221"/>
      <c r="FV1213" s="221"/>
      <c r="FW1213" s="221"/>
      <c r="FX1213" s="221"/>
      <c r="FY1213" s="221"/>
      <c r="FZ1213" s="221"/>
      <c r="GA1213" s="221"/>
      <c r="GB1213" s="221"/>
      <c r="GC1213" s="221"/>
      <c r="GD1213" s="221"/>
      <c r="GE1213" s="221"/>
      <c r="GF1213" s="221"/>
      <c r="GG1213" s="221"/>
      <c r="GH1213" s="221"/>
      <c r="GI1213" s="221"/>
      <c r="GJ1213" s="221"/>
      <c r="GK1213" s="221"/>
      <c r="GL1213" s="221"/>
      <c r="GM1213" s="221"/>
      <c r="GN1213" s="221"/>
    </row>
    <row r="1214">
      <c r="A1214" s="212"/>
      <c r="B1214" s="21"/>
      <c r="C1214" s="21"/>
      <c r="D1214" s="213"/>
      <c r="E1214" s="214"/>
      <c r="F1214" s="215"/>
      <c r="G1214" s="21"/>
      <c r="H1214" s="225"/>
      <c r="I1214" s="225"/>
      <c r="J1214" s="225"/>
      <c r="K1214" s="225"/>
      <c r="L1214" s="225"/>
      <c r="M1214" s="225"/>
      <c r="N1214" s="225"/>
      <c r="O1214" s="225"/>
      <c r="P1214" s="225"/>
      <c r="Q1214" s="225"/>
      <c r="R1214" s="225"/>
      <c r="S1214" s="225"/>
      <c r="T1214" s="225"/>
      <c r="U1214" s="225"/>
      <c r="V1214" s="225"/>
      <c r="W1214" s="221"/>
      <c r="X1214" s="221"/>
      <c r="Y1214" s="221"/>
      <c r="Z1214" s="221"/>
      <c r="AA1214" s="221"/>
      <c r="AB1214" s="221"/>
      <c r="AC1214" s="221"/>
      <c r="AD1214" s="221"/>
      <c r="AE1214" s="221"/>
      <c r="AF1214" s="221"/>
      <c r="AG1214" s="221"/>
      <c r="AH1214" s="221"/>
      <c r="AI1214" s="221"/>
      <c r="AJ1214" s="221"/>
      <c r="AK1214" s="221"/>
      <c r="AL1214" s="221"/>
      <c r="AM1214" s="221"/>
      <c r="AN1214" s="221"/>
      <c r="AO1214" s="221"/>
      <c r="AP1214" s="221"/>
      <c r="AQ1214" s="221"/>
      <c r="AR1214" s="221"/>
      <c r="AS1214" s="221"/>
      <c r="AT1214" s="221"/>
      <c r="AU1214" s="221"/>
      <c r="AV1214" s="221"/>
      <c r="AW1214" s="221"/>
      <c r="AX1214" s="221"/>
      <c r="AY1214" s="221"/>
      <c r="AZ1214" s="221"/>
      <c r="BA1214" s="221"/>
      <c r="BB1214" s="221"/>
      <c r="BC1214" s="221"/>
      <c r="BD1214" s="221"/>
      <c r="BE1214" s="221"/>
      <c r="BF1214" s="221"/>
      <c r="BG1214" s="221"/>
      <c r="BH1214" s="221"/>
      <c r="BI1214" s="221"/>
      <c r="BJ1214" s="221"/>
      <c r="BK1214" s="221"/>
      <c r="BL1214" s="221"/>
      <c r="BM1214" s="221"/>
      <c r="BN1214" s="221"/>
      <c r="BO1214" s="221"/>
      <c r="BP1214" s="221"/>
      <c r="BQ1214" s="221"/>
      <c r="BR1214" s="221"/>
      <c r="BS1214" s="221"/>
      <c r="BT1214" s="221"/>
      <c r="BU1214" s="221"/>
      <c r="BV1214" s="221"/>
      <c r="BW1214" s="221"/>
      <c r="BX1214" s="221"/>
      <c r="BY1214" s="221"/>
      <c r="BZ1214" s="221"/>
      <c r="CA1214" s="221"/>
      <c r="CB1214" s="221"/>
      <c r="CC1214" s="221"/>
      <c r="CD1214" s="221"/>
      <c r="CE1214" s="221"/>
      <c r="CF1214" s="221"/>
      <c r="CG1214" s="221"/>
      <c r="CH1214" s="221"/>
      <c r="CI1214" s="221"/>
      <c r="CJ1214" s="221"/>
      <c r="CK1214" s="221"/>
      <c r="CL1214" s="221"/>
      <c r="CM1214" s="221"/>
      <c r="CN1214" s="221"/>
      <c r="CO1214" s="221"/>
      <c r="CP1214" s="221"/>
      <c r="CQ1214" s="221"/>
      <c r="CR1214" s="221"/>
      <c r="CS1214" s="221"/>
      <c r="CT1214" s="221"/>
      <c r="CU1214" s="221"/>
      <c r="CV1214" s="221"/>
      <c r="CW1214" s="221"/>
      <c r="CX1214" s="221"/>
      <c r="CY1214" s="221"/>
      <c r="CZ1214" s="221"/>
      <c r="DA1214" s="221"/>
      <c r="DB1214" s="221"/>
      <c r="DC1214" s="221"/>
      <c r="DD1214" s="221"/>
      <c r="DE1214" s="221"/>
      <c r="DF1214" s="221"/>
      <c r="DG1214" s="221"/>
      <c r="DH1214" s="221"/>
      <c r="DI1214" s="221"/>
      <c r="DJ1214" s="221"/>
      <c r="DK1214" s="221"/>
      <c r="DL1214" s="221"/>
      <c r="DM1214" s="221"/>
      <c r="DN1214" s="221"/>
      <c r="DO1214" s="221"/>
      <c r="DP1214" s="221"/>
      <c r="DQ1214" s="221"/>
      <c r="DR1214" s="221"/>
      <c r="DS1214" s="221"/>
      <c r="DT1214" s="221"/>
      <c r="DU1214" s="221"/>
      <c r="DV1214" s="221"/>
      <c r="DW1214" s="221"/>
      <c r="DX1214" s="221"/>
      <c r="DY1214" s="221"/>
      <c r="DZ1214" s="221"/>
      <c r="EA1214" s="221"/>
      <c r="EB1214" s="221"/>
      <c r="EC1214" s="221"/>
      <c r="ED1214" s="221"/>
      <c r="EE1214" s="221"/>
      <c r="EF1214" s="221"/>
      <c r="EG1214" s="221"/>
      <c r="EH1214" s="221"/>
      <c r="EI1214" s="221"/>
      <c r="EJ1214" s="221"/>
      <c r="EK1214" s="221"/>
      <c r="EL1214" s="221"/>
      <c r="EM1214" s="221"/>
      <c r="EN1214" s="221"/>
      <c r="EO1214" s="221"/>
      <c r="EP1214" s="221"/>
      <c r="EQ1214" s="221"/>
      <c r="ER1214" s="221"/>
      <c r="ES1214" s="221"/>
      <c r="ET1214" s="221"/>
      <c r="EU1214" s="221"/>
      <c r="EV1214" s="221"/>
      <c r="EW1214" s="221"/>
      <c r="EX1214" s="221"/>
      <c r="EY1214" s="221"/>
      <c r="EZ1214" s="221"/>
      <c r="FA1214" s="221"/>
      <c r="FB1214" s="221"/>
      <c r="FC1214" s="221"/>
      <c r="FD1214" s="221"/>
      <c r="FE1214" s="221"/>
      <c r="FF1214" s="221"/>
      <c r="FG1214" s="221"/>
      <c r="FH1214" s="221"/>
      <c r="FI1214" s="221"/>
      <c r="FJ1214" s="221"/>
      <c r="FK1214" s="221"/>
      <c r="FL1214" s="221"/>
      <c r="FM1214" s="221"/>
      <c r="FN1214" s="221"/>
      <c r="FO1214" s="221"/>
      <c r="FP1214" s="221"/>
      <c r="FQ1214" s="221"/>
      <c r="FR1214" s="221"/>
      <c r="FS1214" s="221"/>
      <c r="FT1214" s="221"/>
      <c r="FU1214" s="221"/>
      <c r="FV1214" s="221"/>
      <c r="FW1214" s="221"/>
      <c r="FX1214" s="221"/>
      <c r="FY1214" s="221"/>
      <c r="FZ1214" s="221"/>
      <c r="GA1214" s="221"/>
      <c r="GB1214" s="221"/>
      <c r="GC1214" s="221"/>
      <c r="GD1214" s="221"/>
      <c r="GE1214" s="221"/>
      <c r="GF1214" s="221"/>
      <c r="GG1214" s="221"/>
      <c r="GH1214" s="221"/>
      <c r="GI1214" s="221"/>
      <c r="GJ1214" s="221"/>
      <c r="GK1214" s="221"/>
      <c r="GL1214" s="221"/>
      <c r="GM1214" s="221"/>
      <c r="GN1214" s="221"/>
    </row>
    <row r="1215">
      <c r="A1215" s="212"/>
      <c r="B1215" s="21"/>
      <c r="C1215" s="21"/>
      <c r="D1215" s="213"/>
      <c r="E1215" s="214"/>
      <c r="F1215" s="215"/>
      <c r="G1215" s="21"/>
      <c r="H1215" s="225"/>
      <c r="I1215" s="225"/>
      <c r="J1215" s="225"/>
      <c r="K1215" s="225"/>
      <c r="L1215" s="225"/>
      <c r="M1215" s="225"/>
      <c r="N1215" s="225"/>
      <c r="O1215" s="225"/>
      <c r="P1215" s="225"/>
      <c r="Q1215" s="225"/>
      <c r="R1215" s="225"/>
      <c r="S1215" s="225"/>
      <c r="T1215" s="225"/>
      <c r="U1215" s="225"/>
      <c r="V1215" s="225"/>
      <c r="W1215" s="221"/>
      <c r="X1215" s="221"/>
      <c r="Y1215" s="221"/>
      <c r="Z1215" s="221"/>
      <c r="AA1215" s="221"/>
      <c r="AB1215" s="221"/>
      <c r="AC1215" s="221"/>
      <c r="AD1215" s="221"/>
      <c r="AE1215" s="221"/>
      <c r="AF1215" s="221"/>
      <c r="AG1215" s="221"/>
      <c r="AH1215" s="221"/>
      <c r="AI1215" s="221"/>
      <c r="AJ1215" s="221"/>
      <c r="AK1215" s="221"/>
      <c r="AL1215" s="221"/>
      <c r="AM1215" s="221"/>
      <c r="AN1215" s="221"/>
      <c r="AO1215" s="221"/>
      <c r="AP1215" s="221"/>
      <c r="AQ1215" s="221"/>
      <c r="AR1215" s="221"/>
      <c r="AS1215" s="221"/>
      <c r="AT1215" s="221"/>
      <c r="AU1215" s="221"/>
      <c r="AV1215" s="221"/>
      <c r="AW1215" s="221"/>
      <c r="AX1215" s="221"/>
      <c r="AY1215" s="221"/>
      <c r="AZ1215" s="221"/>
      <c r="BA1215" s="221"/>
      <c r="BB1215" s="221"/>
      <c r="BC1215" s="221"/>
      <c r="BD1215" s="221"/>
      <c r="BE1215" s="221"/>
      <c r="BF1215" s="221"/>
      <c r="BG1215" s="221"/>
      <c r="BH1215" s="221"/>
      <c r="BI1215" s="221"/>
      <c r="BJ1215" s="221"/>
      <c r="BK1215" s="221"/>
      <c r="BL1215" s="221"/>
      <c r="BM1215" s="221"/>
      <c r="BN1215" s="221"/>
      <c r="BO1215" s="221"/>
      <c r="BP1215" s="221"/>
      <c r="BQ1215" s="221"/>
      <c r="BR1215" s="221"/>
      <c r="BS1215" s="221"/>
      <c r="BT1215" s="221"/>
      <c r="BU1215" s="221"/>
      <c r="BV1215" s="221"/>
      <c r="BW1215" s="221"/>
      <c r="BX1215" s="221"/>
      <c r="BY1215" s="221"/>
      <c r="BZ1215" s="221"/>
      <c r="CA1215" s="221"/>
      <c r="CB1215" s="221"/>
      <c r="CC1215" s="221"/>
      <c r="CD1215" s="221"/>
      <c r="CE1215" s="221"/>
      <c r="CF1215" s="221"/>
      <c r="CG1215" s="221"/>
      <c r="CH1215" s="221"/>
      <c r="CI1215" s="221"/>
      <c r="CJ1215" s="221"/>
      <c r="CK1215" s="221"/>
      <c r="CL1215" s="221"/>
      <c r="CM1215" s="221"/>
      <c r="CN1215" s="221"/>
      <c r="CO1215" s="221"/>
      <c r="CP1215" s="221"/>
      <c r="CQ1215" s="221"/>
      <c r="CR1215" s="221"/>
      <c r="CS1215" s="221"/>
      <c r="CT1215" s="221"/>
      <c r="CU1215" s="221"/>
      <c r="CV1215" s="221"/>
      <c r="CW1215" s="221"/>
      <c r="CX1215" s="221"/>
      <c r="CY1215" s="221"/>
      <c r="CZ1215" s="221"/>
      <c r="DA1215" s="221"/>
      <c r="DB1215" s="221"/>
      <c r="DC1215" s="221"/>
      <c r="DD1215" s="221"/>
      <c r="DE1215" s="221"/>
      <c r="DF1215" s="221"/>
      <c r="DG1215" s="221"/>
      <c r="DH1215" s="221"/>
      <c r="DI1215" s="221"/>
      <c r="DJ1215" s="221"/>
      <c r="DK1215" s="221"/>
      <c r="DL1215" s="221"/>
      <c r="DM1215" s="221"/>
      <c r="DN1215" s="221"/>
      <c r="DO1215" s="221"/>
      <c r="DP1215" s="221"/>
      <c r="DQ1215" s="221"/>
      <c r="DR1215" s="221"/>
      <c r="DS1215" s="221"/>
      <c r="DT1215" s="221"/>
      <c r="DU1215" s="221"/>
      <c r="DV1215" s="221"/>
      <c r="DW1215" s="221"/>
      <c r="DX1215" s="221"/>
      <c r="DY1215" s="221"/>
      <c r="DZ1215" s="221"/>
      <c r="EA1215" s="221"/>
      <c r="EB1215" s="221"/>
      <c r="EC1215" s="221"/>
      <c r="ED1215" s="221"/>
      <c r="EE1215" s="221"/>
      <c r="EF1215" s="221"/>
      <c r="EG1215" s="221"/>
      <c r="EH1215" s="221"/>
      <c r="EI1215" s="221"/>
      <c r="EJ1215" s="221"/>
      <c r="EK1215" s="221"/>
      <c r="EL1215" s="221"/>
      <c r="EM1215" s="221"/>
      <c r="EN1215" s="221"/>
      <c r="EO1215" s="221"/>
      <c r="EP1215" s="221"/>
      <c r="EQ1215" s="221"/>
      <c r="ER1215" s="221"/>
      <c r="ES1215" s="221"/>
      <c r="ET1215" s="221"/>
      <c r="EU1215" s="221"/>
      <c r="EV1215" s="221"/>
      <c r="EW1215" s="221"/>
      <c r="EX1215" s="221"/>
      <c r="EY1215" s="221"/>
      <c r="EZ1215" s="221"/>
      <c r="FA1215" s="221"/>
      <c r="FB1215" s="221"/>
      <c r="FC1215" s="221"/>
      <c r="FD1215" s="221"/>
      <c r="FE1215" s="221"/>
      <c r="FF1215" s="221"/>
      <c r="FG1215" s="221"/>
      <c r="FH1215" s="221"/>
      <c r="FI1215" s="221"/>
      <c r="FJ1215" s="221"/>
      <c r="FK1215" s="221"/>
      <c r="FL1215" s="221"/>
      <c r="FM1215" s="221"/>
      <c r="FN1215" s="221"/>
      <c r="FO1215" s="221"/>
      <c r="FP1215" s="221"/>
      <c r="FQ1215" s="221"/>
      <c r="FR1215" s="221"/>
      <c r="FS1215" s="221"/>
      <c r="FT1215" s="221"/>
      <c r="FU1215" s="221"/>
      <c r="FV1215" s="221"/>
      <c r="FW1215" s="221"/>
      <c r="FX1215" s="221"/>
      <c r="FY1215" s="221"/>
      <c r="FZ1215" s="221"/>
      <c r="GA1215" s="221"/>
      <c r="GB1215" s="221"/>
      <c r="GC1215" s="221"/>
      <c r="GD1215" s="221"/>
      <c r="GE1215" s="221"/>
      <c r="GF1215" s="221"/>
      <c r="GG1215" s="221"/>
      <c r="GH1215" s="221"/>
      <c r="GI1215" s="221"/>
      <c r="GJ1215" s="221"/>
      <c r="GK1215" s="221"/>
      <c r="GL1215" s="221"/>
      <c r="GM1215" s="221"/>
      <c r="GN1215" s="221"/>
    </row>
    <row r="1216">
      <c r="A1216" s="212"/>
      <c r="B1216" s="21"/>
      <c r="C1216" s="21"/>
      <c r="D1216" s="213"/>
      <c r="E1216" s="214"/>
      <c r="F1216" s="215"/>
      <c r="G1216" s="21"/>
      <c r="H1216" s="225"/>
      <c r="I1216" s="225"/>
      <c r="J1216" s="225"/>
      <c r="K1216" s="225"/>
      <c r="L1216" s="225"/>
      <c r="M1216" s="225"/>
      <c r="N1216" s="225"/>
      <c r="O1216" s="225"/>
      <c r="P1216" s="225"/>
      <c r="Q1216" s="225"/>
      <c r="R1216" s="225"/>
      <c r="S1216" s="225"/>
      <c r="T1216" s="225"/>
      <c r="U1216" s="225"/>
      <c r="V1216" s="225"/>
      <c r="W1216" s="221"/>
      <c r="X1216" s="221"/>
      <c r="Y1216" s="221"/>
      <c r="Z1216" s="221"/>
      <c r="AA1216" s="221"/>
      <c r="AB1216" s="221"/>
      <c r="AC1216" s="221"/>
      <c r="AD1216" s="221"/>
      <c r="AE1216" s="221"/>
      <c r="AF1216" s="221"/>
      <c r="AG1216" s="221"/>
      <c r="AH1216" s="221"/>
      <c r="AI1216" s="221"/>
      <c r="AJ1216" s="221"/>
      <c r="AK1216" s="221"/>
      <c r="AL1216" s="221"/>
      <c r="AM1216" s="221"/>
      <c r="AN1216" s="221"/>
      <c r="AO1216" s="221"/>
      <c r="AP1216" s="221"/>
      <c r="AQ1216" s="221"/>
      <c r="AR1216" s="221"/>
      <c r="AS1216" s="221"/>
      <c r="AT1216" s="221"/>
      <c r="AU1216" s="221"/>
      <c r="AV1216" s="221"/>
      <c r="AW1216" s="221"/>
      <c r="AX1216" s="221"/>
      <c r="AY1216" s="221"/>
      <c r="AZ1216" s="221"/>
      <c r="BA1216" s="221"/>
      <c r="BB1216" s="221"/>
      <c r="BC1216" s="221"/>
      <c r="BD1216" s="221"/>
      <c r="BE1216" s="221"/>
      <c r="BF1216" s="221"/>
      <c r="BG1216" s="221"/>
      <c r="BH1216" s="221"/>
      <c r="BI1216" s="221"/>
      <c r="BJ1216" s="221"/>
      <c r="BK1216" s="221"/>
      <c r="BL1216" s="221"/>
      <c r="BM1216" s="221"/>
      <c r="BN1216" s="221"/>
      <c r="BO1216" s="221"/>
      <c r="BP1216" s="221"/>
      <c r="BQ1216" s="221"/>
      <c r="BR1216" s="221"/>
      <c r="BS1216" s="221"/>
      <c r="BT1216" s="221"/>
      <c r="BU1216" s="221"/>
      <c r="BV1216" s="221"/>
      <c r="BW1216" s="221"/>
      <c r="BX1216" s="221"/>
      <c r="BY1216" s="221"/>
      <c r="BZ1216" s="221"/>
      <c r="CA1216" s="221"/>
      <c r="CB1216" s="221"/>
      <c r="CC1216" s="221"/>
      <c r="CD1216" s="221"/>
      <c r="CE1216" s="221"/>
      <c r="CF1216" s="221"/>
      <c r="CG1216" s="221"/>
      <c r="CH1216" s="221"/>
      <c r="CI1216" s="221"/>
      <c r="CJ1216" s="221"/>
      <c r="CK1216" s="221"/>
      <c r="CL1216" s="221"/>
      <c r="CM1216" s="221"/>
      <c r="CN1216" s="221"/>
      <c r="CO1216" s="221"/>
      <c r="CP1216" s="221"/>
      <c r="CQ1216" s="221"/>
      <c r="CR1216" s="221"/>
      <c r="CS1216" s="221"/>
      <c r="CT1216" s="221"/>
      <c r="CU1216" s="221"/>
      <c r="CV1216" s="221"/>
      <c r="CW1216" s="221"/>
      <c r="CX1216" s="221"/>
      <c r="CY1216" s="221"/>
      <c r="CZ1216" s="221"/>
      <c r="DA1216" s="221"/>
      <c r="DB1216" s="221"/>
      <c r="DC1216" s="221"/>
      <c r="DD1216" s="221"/>
      <c r="DE1216" s="221"/>
      <c r="DF1216" s="221"/>
      <c r="DG1216" s="221"/>
      <c r="DH1216" s="221"/>
      <c r="DI1216" s="221"/>
      <c r="DJ1216" s="221"/>
      <c r="DK1216" s="221"/>
      <c r="DL1216" s="221"/>
      <c r="DM1216" s="221"/>
      <c r="DN1216" s="221"/>
      <c r="DO1216" s="221"/>
      <c r="DP1216" s="221"/>
      <c r="DQ1216" s="221"/>
      <c r="DR1216" s="221"/>
      <c r="DS1216" s="221"/>
      <c r="DT1216" s="221"/>
      <c r="DU1216" s="221"/>
      <c r="DV1216" s="221"/>
      <c r="DW1216" s="221"/>
      <c r="DX1216" s="221"/>
      <c r="DY1216" s="221"/>
      <c r="DZ1216" s="221"/>
      <c r="EA1216" s="221"/>
      <c r="EB1216" s="221"/>
      <c r="EC1216" s="221"/>
      <c r="ED1216" s="221"/>
      <c r="EE1216" s="221"/>
      <c r="EF1216" s="221"/>
      <c r="EG1216" s="221"/>
      <c r="EH1216" s="221"/>
      <c r="EI1216" s="221"/>
      <c r="EJ1216" s="221"/>
      <c r="EK1216" s="221"/>
      <c r="EL1216" s="221"/>
      <c r="EM1216" s="221"/>
      <c r="EN1216" s="221"/>
      <c r="EO1216" s="221"/>
      <c r="EP1216" s="221"/>
      <c r="EQ1216" s="221"/>
      <c r="ER1216" s="221"/>
      <c r="ES1216" s="221"/>
      <c r="ET1216" s="221"/>
      <c r="EU1216" s="221"/>
      <c r="EV1216" s="221"/>
      <c r="EW1216" s="221"/>
      <c r="EX1216" s="221"/>
      <c r="EY1216" s="221"/>
      <c r="EZ1216" s="221"/>
      <c r="FA1216" s="221"/>
      <c r="FB1216" s="221"/>
      <c r="FC1216" s="221"/>
      <c r="FD1216" s="221"/>
      <c r="FE1216" s="221"/>
      <c r="FF1216" s="221"/>
      <c r="FG1216" s="221"/>
      <c r="FH1216" s="221"/>
      <c r="FI1216" s="221"/>
      <c r="FJ1216" s="221"/>
      <c r="FK1216" s="221"/>
      <c r="FL1216" s="221"/>
      <c r="FM1216" s="221"/>
      <c r="FN1216" s="221"/>
      <c r="FO1216" s="221"/>
      <c r="FP1216" s="221"/>
      <c r="FQ1216" s="221"/>
      <c r="FR1216" s="221"/>
      <c r="FS1216" s="221"/>
      <c r="FT1216" s="221"/>
      <c r="FU1216" s="221"/>
      <c r="FV1216" s="221"/>
      <c r="FW1216" s="221"/>
      <c r="FX1216" s="221"/>
      <c r="FY1216" s="221"/>
      <c r="FZ1216" s="221"/>
      <c r="GA1216" s="221"/>
      <c r="GB1216" s="221"/>
      <c r="GC1216" s="221"/>
      <c r="GD1216" s="221"/>
      <c r="GE1216" s="221"/>
      <c r="GF1216" s="221"/>
      <c r="GG1216" s="221"/>
      <c r="GH1216" s="221"/>
      <c r="GI1216" s="221"/>
      <c r="GJ1216" s="221"/>
      <c r="GK1216" s="221"/>
      <c r="GL1216" s="221"/>
      <c r="GM1216" s="221"/>
      <c r="GN1216" s="221"/>
    </row>
    <row r="1217">
      <c r="A1217" s="212"/>
      <c r="B1217" s="21"/>
      <c r="C1217" s="21"/>
      <c r="D1217" s="213"/>
      <c r="E1217" s="214"/>
      <c r="F1217" s="215"/>
      <c r="G1217" s="21"/>
      <c r="H1217" s="225"/>
      <c r="I1217" s="221"/>
      <c r="J1217" s="221"/>
      <c r="K1217" s="221"/>
      <c r="L1217" s="221"/>
      <c r="M1217" s="221"/>
      <c r="N1217" s="221"/>
      <c r="O1217" s="221"/>
      <c r="P1217" s="225"/>
      <c r="Q1217" s="225"/>
      <c r="R1217" s="225"/>
      <c r="S1217" s="225"/>
      <c r="T1217" s="225"/>
      <c r="U1217" s="225"/>
      <c r="V1217" s="225"/>
      <c r="W1217" s="221"/>
      <c r="X1217" s="221"/>
      <c r="Y1217" s="221"/>
      <c r="Z1217" s="221"/>
      <c r="AA1217" s="221"/>
      <c r="AB1217" s="221"/>
      <c r="AC1217" s="221"/>
      <c r="AD1217" s="221"/>
      <c r="AE1217" s="221"/>
      <c r="AF1217" s="221"/>
      <c r="AG1217" s="221"/>
      <c r="AH1217" s="221"/>
      <c r="AI1217" s="221"/>
      <c r="AJ1217" s="221"/>
      <c r="AK1217" s="221"/>
      <c r="AL1217" s="221"/>
      <c r="AM1217" s="221"/>
      <c r="AN1217" s="221"/>
      <c r="AO1217" s="221"/>
      <c r="AP1217" s="221"/>
      <c r="AQ1217" s="221"/>
      <c r="AR1217" s="221"/>
      <c r="AS1217" s="221"/>
      <c r="AT1217" s="221"/>
      <c r="AU1217" s="221"/>
      <c r="AV1217" s="221"/>
      <c r="AW1217" s="221"/>
      <c r="AX1217" s="221"/>
      <c r="AY1217" s="221"/>
      <c r="AZ1217" s="221"/>
      <c r="BA1217" s="221"/>
      <c r="BB1217" s="221"/>
      <c r="BC1217" s="221"/>
      <c r="BD1217" s="221"/>
      <c r="BE1217" s="221"/>
      <c r="BF1217" s="221"/>
      <c r="BG1217" s="221"/>
      <c r="BH1217" s="221"/>
      <c r="BI1217" s="221"/>
      <c r="BJ1217" s="221"/>
      <c r="BK1217" s="221"/>
      <c r="BL1217" s="221"/>
      <c r="BM1217" s="221"/>
      <c r="BN1217" s="221"/>
      <c r="BO1217" s="221"/>
      <c r="BP1217" s="221"/>
      <c r="BQ1217" s="221"/>
      <c r="BR1217" s="221"/>
      <c r="BS1217" s="221"/>
      <c r="BT1217" s="221"/>
      <c r="BU1217" s="221"/>
      <c r="BV1217" s="221"/>
      <c r="BW1217" s="221"/>
      <c r="BX1217" s="221"/>
      <c r="BY1217" s="221"/>
      <c r="BZ1217" s="221"/>
      <c r="CA1217" s="221"/>
      <c r="CB1217" s="221"/>
      <c r="CC1217" s="221"/>
      <c r="CD1217" s="221"/>
      <c r="CE1217" s="221"/>
      <c r="CF1217" s="221"/>
      <c r="CG1217" s="221"/>
      <c r="CH1217" s="221"/>
      <c r="CI1217" s="221"/>
      <c r="CJ1217" s="221"/>
      <c r="CK1217" s="221"/>
      <c r="CL1217" s="221"/>
      <c r="CM1217" s="221"/>
      <c r="CN1217" s="221"/>
      <c r="CO1217" s="221"/>
      <c r="CP1217" s="221"/>
      <c r="CQ1217" s="221"/>
      <c r="CR1217" s="221"/>
      <c r="CS1217" s="221"/>
      <c r="CT1217" s="221"/>
      <c r="CU1217" s="221"/>
      <c r="CV1217" s="221"/>
      <c r="CW1217" s="221"/>
      <c r="CX1217" s="221"/>
      <c r="CY1217" s="221"/>
      <c r="CZ1217" s="221"/>
      <c r="DA1217" s="221"/>
      <c r="DB1217" s="221"/>
      <c r="DC1217" s="221"/>
      <c r="DD1217" s="221"/>
      <c r="DE1217" s="221"/>
      <c r="DF1217" s="221"/>
      <c r="DG1217" s="221"/>
      <c r="DH1217" s="221"/>
      <c r="DI1217" s="221"/>
      <c r="DJ1217" s="221"/>
      <c r="DK1217" s="221"/>
      <c r="DL1217" s="221"/>
      <c r="DM1217" s="221"/>
      <c r="DN1217" s="221"/>
      <c r="DO1217" s="221"/>
      <c r="DP1217" s="221"/>
      <c r="DQ1217" s="221"/>
      <c r="DR1217" s="221"/>
      <c r="DS1217" s="221"/>
      <c r="DT1217" s="221"/>
      <c r="DU1217" s="221"/>
      <c r="DV1217" s="221"/>
      <c r="DW1217" s="221"/>
      <c r="DX1217" s="221"/>
      <c r="DY1217" s="221"/>
      <c r="DZ1217" s="221"/>
      <c r="EA1217" s="221"/>
      <c r="EB1217" s="221"/>
      <c r="EC1217" s="221"/>
      <c r="ED1217" s="221"/>
      <c r="EE1217" s="221"/>
      <c r="EF1217" s="221"/>
      <c r="EG1217" s="221"/>
      <c r="EH1217" s="221"/>
      <c r="EI1217" s="221"/>
      <c r="EJ1217" s="221"/>
      <c r="EK1217" s="221"/>
      <c r="EL1217" s="221"/>
      <c r="EM1217" s="221"/>
      <c r="EN1217" s="221"/>
      <c r="EO1217" s="221"/>
      <c r="EP1217" s="221"/>
      <c r="EQ1217" s="221"/>
      <c r="ER1217" s="221"/>
      <c r="ES1217" s="221"/>
      <c r="ET1217" s="221"/>
      <c r="EU1217" s="221"/>
      <c r="EV1217" s="221"/>
      <c r="EW1217" s="221"/>
      <c r="EX1217" s="221"/>
      <c r="EY1217" s="221"/>
      <c r="EZ1217" s="221"/>
      <c r="FA1217" s="221"/>
      <c r="FB1217" s="221"/>
      <c r="FC1217" s="221"/>
      <c r="FD1217" s="221"/>
      <c r="FE1217" s="221"/>
      <c r="FF1217" s="221"/>
      <c r="FG1217" s="221"/>
      <c r="FH1217" s="221"/>
      <c r="FI1217" s="221"/>
      <c r="FJ1217" s="221"/>
      <c r="FK1217" s="221"/>
      <c r="FL1217" s="221"/>
      <c r="FM1217" s="221"/>
      <c r="FN1217" s="221"/>
      <c r="FO1217" s="221"/>
      <c r="FP1217" s="221"/>
      <c r="FQ1217" s="221"/>
      <c r="FR1217" s="221"/>
      <c r="FS1217" s="221"/>
      <c r="FT1217" s="221"/>
      <c r="FU1217" s="221"/>
      <c r="FV1217" s="221"/>
      <c r="FW1217" s="221"/>
      <c r="FX1217" s="221"/>
      <c r="FY1217" s="221"/>
      <c r="FZ1217" s="221"/>
      <c r="GA1217" s="221"/>
      <c r="GB1217" s="221"/>
      <c r="GC1217" s="221"/>
      <c r="GD1217" s="221"/>
      <c r="GE1217" s="221"/>
      <c r="GF1217" s="221"/>
      <c r="GG1217" s="221"/>
      <c r="GH1217" s="221"/>
      <c r="GI1217" s="221"/>
      <c r="GJ1217" s="221"/>
      <c r="GK1217" s="221"/>
      <c r="GL1217" s="221"/>
      <c r="GM1217" s="221"/>
      <c r="GN1217" s="221"/>
    </row>
    <row r="1218">
      <c r="A1218" s="212"/>
      <c r="B1218" s="21"/>
      <c r="C1218" s="21"/>
      <c r="D1218" s="213"/>
      <c r="E1218" s="214"/>
      <c r="F1218" s="215"/>
      <c r="G1218" s="21"/>
      <c r="H1218" s="225"/>
      <c r="I1218" s="221"/>
      <c r="J1218" s="221"/>
      <c r="K1218" s="221"/>
      <c r="L1218" s="221"/>
      <c r="M1218" s="221"/>
      <c r="N1218" s="221"/>
      <c r="O1218" s="221"/>
      <c r="P1218" s="225"/>
      <c r="Q1218" s="225"/>
      <c r="R1218" s="225"/>
      <c r="S1218" s="225"/>
      <c r="T1218" s="225"/>
      <c r="U1218" s="225"/>
      <c r="V1218" s="225"/>
      <c r="W1218" s="221"/>
      <c r="X1218" s="221"/>
      <c r="Y1218" s="221"/>
      <c r="Z1218" s="221"/>
      <c r="AA1218" s="221"/>
      <c r="AB1218" s="221"/>
      <c r="AC1218" s="221"/>
      <c r="AD1218" s="221"/>
      <c r="AE1218" s="221"/>
      <c r="AF1218" s="221"/>
      <c r="AG1218" s="221"/>
      <c r="AH1218" s="221"/>
      <c r="AI1218" s="221"/>
      <c r="AJ1218" s="221"/>
      <c r="AK1218" s="221"/>
      <c r="AL1218" s="221"/>
      <c r="AM1218" s="221"/>
      <c r="AN1218" s="221"/>
      <c r="AO1218" s="221"/>
      <c r="AP1218" s="221"/>
      <c r="AQ1218" s="221"/>
      <c r="AR1218" s="221"/>
      <c r="AS1218" s="221"/>
      <c r="AT1218" s="221"/>
      <c r="AU1218" s="221"/>
      <c r="AV1218" s="221"/>
      <c r="AW1218" s="221"/>
      <c r="AX1218" s="221"/>
      <c r="AY1218" s="221"/>
      <c r="AZ1218" s="221"/>
      <c r="BA1218" s="221"/>
      <c r="BB1218" s="221"/>
      <c r="BC1218" s="221"/>
      <c r="BD1218" s="221"/>
      <c r="BE1218" s="221"/>
      <c r="BF1218" s="221"/>
      <c r="BG1218" s="221"/>
      <c r="BH1218" s="221"/>
      <c r="BI1218" s="221"/>
      <c r="BJ1218" s="221"/>
      <c r="BK1218" s="221"/>
      <c r="BL1218" s="221"/>
      <c r="BM1218" s="221"/>
      <c r="BN1218" s="221"/>
      <c r="BO1218" s="221"/>
      <c r="BP1218" s="221"/>
      <c r="BQ1218" s="221"/>
      <c r="BR1218" s="221"/>
      <c r="BS1218" s="221"/>
      <c r="BT1218" s="221"/>
      <c r="BU1218" s="221"/>
      <c r="BV1218" s="221"/>
      <c r="BW1218" s="221"/>
      <c r="BX1218" s="221"/>
      <c r="BY1218" s="221"/>
      <c r="BZ1218" s="221"/>
      <c r="CA1218" s="221"/>
      <c r="CB1218" s="221"/>
      <c r="CC1218" s="221"/>
      <c r="CD1218" s="221"/>
      <c r="CE1218" s="221"/>
      <c r="CF1218" s="221"/>
      <c r="CG1218" s="221"/>
      <c r="CH1218" s="221"/>
      <c r="CI1218" s="221"/>
      <c r="CJ1218" s="221"/>
      <c r="CK1218" s="221"/>
      <c r="CL1218" s="221"/>
      <c r="CM1218" s="221"/>
      <c r="CN1218" s="221"/>
      <c r="CO1218" s="221"/>
      <c r="CP1218" s="221"/>
      <c r="CQ1218" s="221"/>
      <c r="CR1218" s="221"/>
      <c r="CS1218" s="221"/>
      <c r="CT1218" s="221"/>
      <c r="CU1218" s="221"/>
      <c r="CV1218" s="221"/>
      <c r="CW1218" s="221"/>
      <c r="CX1218" s="221"/>
      <c r="CY1218" s="221"/>
      <c r="CZ1218" s="221"/>
      <c r="DA1218" s="221"/>
      <c r="DB1218" s="221"/>
      <c r="DC1218" s="221"/>
      <c r="DD1218" s="221"/>
      <c r="DE1218" s="221"/>
      <c r="DF1218" s="221"/>
      <c r="DG1218" s="221"/>
      <c r="DH1218" s="221"/>
      <c r="DI1218" s="221"/>
      <c r="DJ1218" s="221"/>
      <c r="DK1218" s="221"/>
      <c r="DL1218" s="221"/>
      <c r="DM1218" s="221"/>
      <c r="DN1218" s="221"/>
      <c r="DO1218" s="221"/>
      <c r="DP1218" s="221"/>
      <c r="DQ1218" s="221"/>
      <c r="DR1218" s="221"/>
      <c r="DS1218" s="221"/>
      <c r="DT1218" s="221"/>
      <c r="DU1218" s="221"/>
      <c r="DV1218" s="221"/>
      <c r="DW1218" s="221"/>
      <c r="DX1218" s="221"/>
      <c r="DY1218" s="221"/>
      <c r="DZ1218" s="221"/>
      <c r="EA1218" s="221"/>
      <c r="EB1218" s="221"/>
      <c r="EC1218" s="221"/>
      <c r="ED1218" s="221"/>
      <c r="EE1218" s="221"/>
      <c r="EF1218" s="221"/>
      <c r="EG1218" s="221"/>
      <c r="EH1218" s="221"/>
      <c r="EI1218" s="221"/>
      <c r="EJ1218" s="221"/>
      <c r="EK1218" s="221"/>
      <c r="EL1218" s="221"/>
      <c r="EM1218" s="221"/>
      <c r="EN1218" s="221"/>
      <c r="EO1218" s="221"/>
      <c r="EP1218" s="221"/>
      <c r="EQ1218" s="221"/>
      <c r="ER1218" s="221"/>
      <c r="ES1218" s="221"/>
      <c r="ET1218" s="221"/>
      <c r="EU1218" s="221"/>
      <c r="EV1218" s="221"/>
      <c r="EW1218" s="221"/>
      <c r="EX1218" s="221"/>
      <c r="EY1218" s="221"/>
      <c r="EZ1218" s="221"/>
      <c r="FA1218" s="221"/>
      <c r="FB1218" s="221"/>
      <c r="FC1218" s="221"/>
      <c r="FD1218" s="221"/>
      <c r="FE1218" s="221"/>
      <c r="FF1218" s="221"/>
      <c r="FG1218" s="221"/>
      <c r="FH1218" s="221"/>
      <c r="FI1218" s="221"/>
      <c r="FJ1218" s="221"/>
      <c r="FK1218" s="221"/>
      <c r="FL1218" s="221"/>
      <c r="FM1218" s="221"/>
      <c r="FN1218" s="221"/>
      <c r="FO1218" s="221"/>
      <c r="FP1218" s="221"/>
      <c r="FQ1218" s="221"/>
      <c r="FR1218" s="221"/>
      <c r="FS1218" s="221"/>
      <c r="FT1218" s="221"/>
      <c r="FU1218" s="221"/>
      <c r="FV1218" s="221"/>
      <c r="FW1218" s="221"/>
      <c r="FX1218" s="221"/>
      <c r="FY1218" s="221"/>
      <c r="FZ1218" s="221"/>
      <c r="GA1218" s="221"/>
      <c r="GB1218" s="221"/>
      <c r="GC1218" s="221"/>
      <c r="GD1218" s="221"/>
      <c r="GE1218" s="221"/>
      <c r="GF1218" s="221"/>
      <c r="GG1218" s="221"/>
      <c r="GH1218" s="221"/>
      <c r="GI1218" s="221"/>
      <c r="GJ1218" s="221"/>
      <c r="GK1218" s="221"/>
      <c r="GL1218" s="221"/>
      <c r="GM1218" s="221"/>
      <c r="GN1218" s="221"/>
    </row>
    <row r="1219">
      <c r="A1219" s="212"/>
      <c r="B1219" s="21"/>
      <c r="C1219" s="21"/>
      <c r="D1219" s="213"/>
      <c r="E1219" s="214"/>
      <c r="F1219" s="215"/>
      <c r="G1219" s="21"/>
      <c r="H1219" s="225"/>
      <c r="I1219" s="221"/>
      <c r="J1219" s="221"/>
      <c r="K1219" s="221"/>
      <c r="L1219" s="221"/>
      <c r="M1219" s="221"/>
      <c r="N1219" s="221"/>
      <c r="O1219" s="221"/>
      <c r="P1219" s="225"/>
      <c r="Q1219" s="225"/>
      <c r="R1219" s="225"/>
      <c r="S1219" s="225"/>
      <c r="T1219" s="225"/>
      <c r="U1219" s="225"/>
      <c r="V1219" s="225"/>
      <c r="W1219" s="221"/>
      <c r="X1219" s="221"/>
      <c r="Y1219" s="221"/>
      <c r="Z1219" s="221"/>
      <c r="AA1219" s="221"/>
      <c r="AB1219" s="221"/>
      <c r="AC1219" s="221"/>
      <c r="AD1219" s="221"/>
      <c r="AE1219" s="221"/>
      <c r="AF1219" s="221"/>
      <c r="AG1219" s="221"/>
      <c r="AH1219" s="221"/>
      <c r="AI1219" s="221"/>
      <c r="AJ1219" s="221"/>
      <c r="AK1219" s="221"/>
      <c r="AL1219" s="221"/>
      <c r="AM1219" s="221"/>
      <c r="AN1219" s="221"/>
      <c r="AO1219" s="221"/>
      <c r="AP1219" s="221"/>
      <c r="AQ1219" s="221"/>
      <c r="AR1219" s="221"/>
      <c r="AS1219" s="221"/>
      <c r="AT1219" s="221"/>
      <c r="AU1219" s="221"/>
      <c r="AV1219" s="221"/>
      <c r="AW1219" s="221"/>
      <c r="AX1219" s="221"/>
      <c r="AY1219" s="221"/>
      <c r="AZ1219" s="221"/>
      <c r="BA1219" s="221"/>
      <c r="BB1219" s="221"/>
      <c r="BC1219" s="221"/>
      <c r="BD1219" s="221"/>
      <c r="BE1219" s="221"/>
      <c r="BF1219" s="221"/>
      <c r="BG1219" s="221"/>
      <c r="BH1219" s="221"/>
      <c r="BI1219" s="221"/>
      <c r="BJ1219" s="221"/>
      <c r="BK1219" s="221"/>
      <c r="BL1219" s="221"/>
      <c r="BM1219" s="221"/>
      <c r="BN1219" s="221"/>
      <c r="BO1219" s="221"/>
      <c r="BP1219" s="221"/>
      <c r="BQ1219" s="221"/>
      <c r="BR1219" s="221"/>
      <c r="BS1219" s="221"/>
      <c r="BT1219" s="221"/>
      <c r="BU1219" s="221"/>
      <c r="BV1219" s="221"/>
      <c r="BW1219" s="221"/>
      <c r="BX1219" s="221"/>
      <c r="BY1219" s="221"/>
      <c r="BZ1219" s="221"/>
      <c r="CA1219" s="221"/>
      <c r="CB1219" s="221"/>
      <c r="CC1219" s="221"/>
      <c r="CD1219" s="221"/>
      <c r="CE1219" s="221"/>
      <c r="CF1219" s="221"/>
      <c r="CG1219" s="221"/>
      <c r="CH1219" s="221"/>
      <c r="CI1219" s="221"/>
      <c r="CJ1219" s="221"/>
      <c r="CK1219" s="221"/>
      <c r="CL1219" s="221"/>
      <c r="CM1219" s="221"/>
      <c r="CN1219" s="221"/>
      <c r="CO1219" s="221"/>
      <c r="CP1219" s="221"/>
      <c r="CQ1219" s="221"/>
      <c r="CR1219" s="221"/>
      <c r="CS1219" s="221"/>
      <c r="CT1219" s="221"/>
      <c r="CU1219" s="221"/>
      <c r="CV1219" s="221"/>
      <c r="CW1219" s="221"/>
      <c r="CX1219" s="221"/>
      <c r="CY1219" s="221"/>
      <c r="CZ1219" s="221"/>
      <c r="DA1219" s="221"/>
      <c r="DB1219" s="221"/>
      <c r="DC1219" s="221"/>
      <c r="DD1219" s="221"/>
      <c r="DE1219" s="221"/>
      <c r="DF1219" s="221"/>
      <c r="DG1219" s="221"/>
      <c r="DH1219" s="221"/>
      <c r="DI1219" s="221"/>
      <c r="DJ1219" s="221"/>
      <c r="DK1219" s="221"/>
      <c r="DL1219" s="221"/>
      <c r="DM1219" s="221"/>
      <c r="DN1219" s="221"/>
      <c r="DO1219" s="221"/>
      <c r="DP1219" s="221"/>
      <c r="DQ1219" s="221"/>
      <c r="DR1219" s="221"/>
      <c r="DS1219" s="221"/>
      <c r="DT1219" s="221"/>
      <c r="DU1219" s="221"/>
      <c r="DV1219" s="221"/>
      <c r="DW1219" s="221"/>
      <c r="DX1219" s="221"/>
      <c r="DY1219" s="221"/>
      <c r="DZ1219" s="221"/>
      <c r="EA1219" s="221"/>
      <c r="EB1219" s="221"/>
      <c r="EC1219" s="221"/>
      <c r="ED1219" s="221"/>
      <c r="EE1219" s="221"/>
      <c r="EF1219" s="221"/>
      <c r="EG1219" s="221"/>
      <c r="EH1219" s="221"/>
      <c r="EI1219" s="221"/>
      <c r="EJ1219" s="221"/>
      <c r="EK1219" s="221"/>
      <c r="EL1219" s="221"/>
      <c r="EM1219" s="221"/>
      <c r="EN1219" s="221"/>
      <c r="EO1219" s="221"/>
      <c r="EP1219" s="221"/>
      <c r="EQ1219" s="221"/>
      <c r="ER1219" s="221"/>
      <c r="ES1219" s="221"/>
      <c r="ET1219" s="221"/>
      <c r="EU1219" s="221"/>
      <c r="EV1219" s="221"/>
      <c r="EW1219" s="221"/>
      <c r="EX1219" s="221"/>
      <c r="EY1219" s="221"/>
      <c r="EZ1219" s="221"/>
      <c r="FA1219" s="221"/>
      <c r="FB1219" s="221"/>
      <c r="FC1219" s="221"/>
      <c r="FD1219" s="221"/>
      <c r="FE1219" s="221"/>
      <c r="FF1219" s="221"/>
      <c r="FG1219" s="221"/>
      <c r="FH1219" s="221"/>
      <c r="FI1219" s="221"/>
      <c r="FJ1219" s="221"/>
      <c r="FK1219" s="221"/>
      <c r="FL1219" s="221"/>
      <c r="FM1219" s="221"/>
      <c r="FN1219" s="221"/>
      <c r="FO1219" s="221"/>
      <c r="FP1219" s="221"/>
      <c r="FQ1219" s="221"/>
      <c r="FR1219" s="221"/>
      <c r="FS1219" s="221"/>
      <c r="FT1219" s="221"/>
      <c r="FU1219" s="221"/>
      <c r="FV1219" s="221"/>
      <c r="FW1219" s="221"/>
      <c r="FX1219" s="221"/>
      <c r="FY1219" s="221"/>
      <c r="FZ1219" s="221"/>
      <c r="GA1219" s="221"/>
      <c r="GB1219" s="221"/>
      <c r="GC1219" s="221"/>
      <c r="GD1219" s="221"/>
      <c r="GE1219" s="221"/>
      <c r="GF1219" s="221"/>
      <c r="GG1219" s="221"/>
      <c r="GH1219" s="221"/>
      <c r="GI1219" s="221"/>
      <c r="GJ1219" s="221"/>
      <c r="GK1219" s="221"/>
      <c r="GL1219" s="221"/>
      <c r="GM1219" s="221"/>
      <c r="GN1219" s="221"/>
    </row>
    <row r="1220">
      <c r="A1220" s="212"/>
      <c r="B1220" s="21"/>
      <c r="C1220" s="21"/>
      <c r="D1220" s="213"/>
      <c r="E1220" s="214"/>
      <c r="F1220" s="215"/>
      <c r="G1220" s="21"/>
      <c r="H1220" s="225"/>
      <c r="I1220" s="221"/>
      <c r="J1220" s="221"/>
      <c r="K1220" s="221"/>
      <c r="L1220" s="221"/>
      <c r="M1220" s="221"/>
      <c r="N1220" s="221"/>
      <c r="O1220" s="221"/>
      <c r="P1220" s="225"/>
      <c r="Q1220" s="225"/>
      <c r="R1220" s="225"/>
      <c r="S1220" s="225"/>
      <c r="T1220" s="225"/>
      <c r="U1220" s="225"/>
      <c r="V1220" s="225"/>
      <c r="W1220" s="221"/>
      <c r="X1220" s="221"/>
      <c r="Y1220" s="221"/>
      <c r="Z1220" s="221"/>
      <c r="AA1220" s="221"/>
      <c r="AB1220" s="221"/>
      <c r="AC1220" s="221"/>
      <c r="AD1220" s="221"/>
      <c r="AE1220" s="221"/>
      <c r="AF1220" s="221"/>
      <c r="AG1220" s="221"/>
      <c r="AH1220" s="221"/>
      <c r="AI1220" s="221"/>
      <c r="AJ1220" s="221"/>
      <c r="AK1220" s="221"/>
      <c r="AL1220" s="221"/>
      <c r="AM1220" s="221"/>
      <c r="AN1220" s="221"/>
      <c r="AO1220" s="221"/>
      <c r="AP1220" s="221"/>
      <c r="AQ1220" s="221"/>
      <c r="AR1220" s="221"/>
      <c r="AS1220" s="221"/>
      <c r="AT1220" s="221"/>
      <c r="AU1220" s="221"/>
      <c r="AV1220" s="221"/>
      <c r="AW1220" s="221"/>
      <c r="AX1220" s="221"/>
      <c r="AY1220" s="221"/>
      <c r="AZ1220" s="221"/>
      <c r="BA1220" s="221"/>
      <c r="BB1220" s="221"/>
      <c r="BC1220" s="221"/>
      <c r="BD1220" s="221"/>
      <c r="BE1220" s="221"/>
      <c r="BF1220" s="221"/>
      <c r="BG1220" s="221"/>
      <c r="BH1220" s="221"/>
      <c r="BI1220" s="221"/>
      <c r="BJ1220" s="221"/>
      <c r="BK1220" s="221"/>
      <c r="BL1220" s="221"/>
      <c r="BM1220" s="221"/>
      <c r="BN1220" s="221"/>
      <c r="BO1220" s="221"/>
      <c r="BP1220" s="221"/>
      <c r="BQ1220" s="221"/>
      <c r="BR1220" s="221"/>
      <c r="BS1220" s="221"/>
      <c r="BT1220" s="221"/>
      <c r="BU1220" s="221"/>
      <c r="BV1220" s="221"/>
      <c r="BW1220" s="221"/>
      <c r="BX1220" s="221"/>
      <c r="BY1220" s="221"/>
      <c r="BZ1220" s="221"/>
      <c r="CA1220" s="221"/>
      <c r="CB1220" s="221"/>
      <c r="CC1220" s="221"/>
      <c r="CD1220" s="221"/>
      <c r="CE1220" s="221"/>
      <c r="CF1220" s="221"/>
      <c r="CG1220" s="221"/>
      <c r="CH1220" s="221"/>
      <c r="CI1220" s="221"/>
      <c r="CJ1220" s="221"/>
      <c r="CK1220" s="221"/>
      <c r="CL1220" s="221"/>
      <c r="CM1220" s="221"/>
      <c r="CN1220" s="221"/>
      <c r="CO1220" s="221"/>
      <c r="CP1220" s="221"/>
      <c r="CQ1220" s="221"/>
      <c r="CR1220" s="221"/>
      <c r="CS1220" s="221"/>
      <c r="CT1220" s="221"/>
      <c r="CU1220" s="221"/>
      <c r="CV1220" s="221"/>
      <c r="CW1220" s="221"/>
      <c r="CX1220" s="221"/>
      <c r="CY1220" s="221"/>
      <c r="CZ1220" s="221"/>
      <c r="DA1220" s="221"/>
      <c r="DB1220" s="221"/>
      <c r="DC1220" s="221"/>
      <c r="DD1220" s="221"/>
      <c r="DE1220" s="221"/>
      <c r="DF1220" s="221"/>
      <c r="DG1220" s="221"/>
      <c r="DH1220" s="221"/>
      <c r="DI1220" s="221"/>
      <c r="DJ1220" s="221"/>
      <c r="DK1220" s="221"/>
      <c r="DL1220" s="221"/>
      <c r="DM1220" s="221"/>
      <c r="DN1220" s="221"/>
      <c r="DO1220" s="221"/>
      <c r="DP1220" s="221"/>
      <c r="DQ1220" s="221"/>
      <c r="DR1220" s="221"/>
      <c r="DS1220" s="221"/>
      <c r="DT1220" s="221"/>
      <c r="DU1220" s="221"/>
      <c r="DV1220" s="221"/>
      <c r="DW1220" s="221"/>
      <c r="DX1220" s="221"/>
      <c r="DY1220" s="221"/>
      <c r="DZ1220" s="221"/>
      <c r="EA1220" s="221"/>
      <c r="EB1220" s="221"/>
      <c r="EC1220" s="221"/>
      <c r="ED1220" s="221"/>
      <c r="EE1220" s="221"/>
      <c r="EF1220" s="221"/>
      <c r="EG1220" s="221"/>
      <c r="EH1220" s="221"/>
      <c r="EI1220" s="221"/>
      <c r="EJ1220" s="221"/>
      <c r="EK1220" s="221"/>
      <c r="EL1220" s="221"/>
      <c r="EM1220" s="221"/>
      <c r="EN1220" s="221"/>
      <c r="EO1220" s="221"/>
      <c r="EP1220" s="221"/>
      <c r="EQ1220" s="221"/>
      <c r="ER1220" s="221"/>
      <c r="ES1220" s="221"/>
      <c r="ET1220" s="221"/>
      <c r="EU1220" s="221"/>
      <c r="EV1220" s="221"/>
      <c r="EW1220" s="221"/>
      <c r="EX1220" s="221"/>
      <c r="EY1220" s="221"/>
      <c r="EZ1220" s="221"/>
      <c r="FA1220" s="221"/>
      <c r="FB1220" s="221"/>
      <c r="FC1220" s="221"/>
      <c r="FD1220" s="221"/>
      <c r="FE1220" s="221"/>
      <c r="FF1220" s="221"/>
      <c r="FG1220" s="221"/>
      <c r="FH1220" s="221"/>
      <c r="FI1220" s="221"/>
      <c r="FJ1220" s="221"/>
      <c r="FK1220" s="221"/>
      <c r="FL1220" s="221"/>
      <c r="FM1220" s="221"/>
      <c r="FN1220" s="221"/>
      <c r="FO1220" s="221"/>
      <c r="FP1220" s="221"/>
      <c r="FQ1220" s="221"/>
      <c r="FR1220" s="221"/>
      <c r="FS1220" s="221"/>
      <c r="FT1220" s="221"/>
      <c r="FU1220" s="221"/>
      <c r="FV1220" s="221"/>
      <c r="FW1220" s="221"/>
      <c r="FX1220" s="221"/>
      <c r="FY1220" s="221"/>
      <c r="FZ1220" s="221"/>
      <c r="GA1220" s="221"/>
      <c r="GB1220" s="221"/>
      <c r="GC1220" s="221"/>
      <c r="GD1220" s="221"/>
      <c r="GE1220" s="221"/>
      <c r="GF1220" s="221"/>
      <c r="GG1220" s="221"/>
      <c r="GH1220" s="221"/>
      <c r="GI1220" s="221"/>
      <c r="GJ1220" s="221"/>
      <c r="GK1220" s="221"/>
      <c r="GL1220" s="221"/>
      <c r="GM1220" s="221"/>
      <c r="GN1220" s="221"/>
    </row>
    <row r="1221">
      <c r="A1221" s="212"/>
      <c r="B1221" s="21"/>
      <c r="C1221" s="21"/>
      <c r="D1221" s="213"/>
      <c r="E1221" s="214"/>
      <c r="F1221" s="215"/>
      <c r="G1221" s="21"/>
      <c r="H1221" s="225"/>
      <c r="I1221" s="231"/>
      <c r="J1221" s="26"/>
      <c r="K1221" s="24"/>
      <c r="L1221" s="24"/>
      <c r="M1221" s="20"/>
      <c r="N1221" s="20"/>
      <c r="O1221" s="21"/>
      <c r="P1221" s="225"/>
      <c r="Q1221" s="225"/>
      <c r="R1221" s="225"/>
      <c r="S1221" s="225"/>
      <c r="T1221" s="225"/>
      <c r="U1221" s="225"/>
      <c r="V1221" s="225"/>
      <c r="W1221" s="221"/>
      <c r="X1221" s="221"/>
      <c r="Y1221" s="221"/>
      <c r="Z1221" s="221"/>
      <c r="AA1221" s="221"/>
      <c r="AB1221" s="221"/>
      <c r="AC1221" s="221"/>
      <c r="AD1221" s="221"/>
      <c r="AE1221" s="221"/>
      <c r="AF1221" s="221"/>
      <c r="AG1221" s="221"/>
      <c r="AH1221" s="221"/>
      <c r="AI1221" s="221"/>
      <c r="AJ1221" s="221"/>
      <c r="AK1221" s="221"/>
      <c r="AL1221" s="221"/>
      <c r="AM1221" s="221"/>
      <c r="AN1221" s="221"/>
      <c r="AO1221" s="221"/>
      <c r="AP1221" s="221"/>
      <c r="AQ1221" s="221"/>
      <c r="AR1221" s="221"/>
      <c r="AS1221" s="221"/>
      <c r="AT1221" s="221"/>
      <c r="AU1221" s="221"/>
      <c r="AV1221" s="221"/>
      <c r="AW1221" s="221"/>
      <c r="AX1221" s="221"/>
      <c r="AY1221" s="221"/>
      <c r="AZ1221" s="221"/>
      <c r="BA1221" s="221"/>
      <c r="BB1221" s="221"/>
      <c r="BC1221" s="221"/>
      <c r="BD1221" s="221"/>
      <c r="BE1221" s="221"/>
      <c r="BF1221" s="221"/>
      <c r="BG1221" s="221"/>
      <c r="BH1221" s="221"/>
      <c r="BI1221" s="221"/>
      <c r="BJ1221" s="221"/>
      <c r="BK1221" s="221"/>
      <c r="BL1221" s="221"/>
      <c r="BM1221" s="221"/>
      <c r="BN1221" s="221"/>
      <c r="BO1221" s="221"/>
      <c r="BP1221" s="221"/>
      <c r="BQ1221" s="221"/>
      <c r="BR1221" s="221"/>
      <c r="BS1221" s="221"/>
      <c r="BT1221" s="221"/>
      <c r="BU1221" s="221"/>
      <c r="BV1221" s="221"/>
      <c r="BW1221" s="221"/>
      <c r="BX1221" s="221"/>
      <c r="BY1221" s="221"/>
      <c r="BZ1221" s="221"/>
      <c r="CA1221" s="221"/>
      <c r="CB1221" s="221"/>
      <c r="CC1221" s="221"/>
      <c r="CD1221" s="221"/>
      <c r="CE1221" s="221"/>
      <c r="CF1221" s="221"/>
      <c r="CG1221" s="221"/>
      <c r="CH1221" s="221"/>
      <c r="CI1221" s="221"/>
      <c r="CJ1221" s="221"/>
      <c r="CK1221" s="221"/>
      <c r="CL1221" s="221"/>
      <c r="CM1221" s="221"/>
      <c r="CN1221" s="221"/>
      <c r="CO1221" s="221"/>
      <c r="CP1221" s="221"/>
      <c r="CQ1221" s="221"/>
      <c r="CR1221" s="221"/>
      <c r="CS1221" s="221"/>
      <c r="CT1221" s="221"/>
      <c r="CU1221" s="221"/>
      <c r="CV1221" s="221"/>
      <c r="CW1221" s="221"/>
      <c r="CX1221" s="221"/>
      <c r="CY1221" s="221"/>
      <c r="CZ1221" s="221"/>
      <c r="DA1221" s="221"/>
      <c r="DB1221" s="221"/>
      <c r="DC1221" s="221"/>
      <c r="DD1221" s="221"/>
      <c r="DE1221" s="221"/>
      <c r="DF1221" s="221"/>
      <c r="DG1221" s="221"/>
      <c r="DH1221" s="221"/>
      <c r="DI1221" s="221"/>
      <c r="DJ1221" s="221"/>
      <c r="DK1221" s="221"/>
      <c r="DL1221" s="221"/>
      <c r="DM1221" s="221"/>
      <c r="DN1221" s="221"/>
      <c r="DO1221" s="221"/>
      <c r="DP1221" s="221"/>
      <c r="DQ1221" s="221"/>
      <c r="DR1221" s="221"/>
      <c r="DS1221" s="221"/>
      <c r="DT1221" s="221"/>
      <c r="DU1221" s="221"/>
      <c r="DV1221" s="221"/>
      <c r="DW1221" s="221"/>
      <c r="DX1221" s="221"/>
      <c r="DY1221" s="221"/>
      <c r="DZ1221" s="221"/>
      <c r="EA1221" s="221"/>
      <c r="EB1221" s="221"/>
      <c r="EC1221" s="221"/>
      <c r="ED1221" s="221"/>
      <c r="EE1221" s="221"/>
      <c r="EF1221" s="221"/>
      <c r="EG1221" s="221"/>
      <c r="EH1221" s="221"/>
      <c r="EI1221" s="221"/>
      <c r="EJ1221" s="221"/>
      <c r="EK1221" s="221"/>
      <c r="EL1221" s="221"/>
      <c r="EM1221" s="221"/>
      <c r="EN1221" s="221"/>
      <c r="EO1221" s="221"/>
      <c r="EP1221" s="221"/>
      <c r="EQ1221" s="221"/>
      <c r="ER1221" s="221"/>
      <c r="ES1221" s="221"/>
      <c r="ET1221" s="221"/>
      <c r="EU1221" s="221"/>
      <c r="EV1221" s="221"/>
      <c r="EW1221" s="221"/>
      <c r="EX1221" s="221"/>
      <c r="EY1221" s="221"/>
      <c r="EZ1221" s="221"/>
      <c r="FA1221" s="221"/>
      <c r="FB1221" s="221"/>
      <c r="FC1221" s="221"/>
      <c r="FD1221" s="221"/>
      <c r="FE1221" s="221"/>
      <c r="FF1221" s="221"/>
      <c r="FG1221" s="221"/>
      <c r="FH1221" s="221"/>
      <c r="FI1221" s="221"/>
      <c r="FJ1221" s="221"/>
      <c r="FK1221" s="221"/>
      <c r="FL1221" s="221"/>
      <c r="FM1221" s="221"/>
      <c r="FN1221" s="221"/>
      <c r="FO1221" s="221"/>
      <c r="FP1221" s="221"/>
      <c r="FQ1221" s="221"/>
      <c r="FR1221" s="221"/>
      <c r="FS1221" s="221"/>
      <c r="FT1221" s="221"/>
      <c r="FU1221" s="221"/>
      <c r="FV1221" s="221"/>
      <c r="FW1221" s="221"/>
      <c r="FX1221" s="221"/>
      <c r="FY1221" s="221"/>
      <c r="FZ1221" s="221"/>
      <c r="GA1221" s="221"/>
      <c r="GB1221" s="221"/>
      <c r="GC1221" s="221"/>
      <c r="GD1221" s="221"/>
      <c r="GE1221" s="221"/>
      <c r="GF1221" s="221"/>
      <c r="GG1221" s="221"/>
      <c r="GH1221" s="221"/>
      <c r="GI1221" s="221"/>
      <c r="GJ1221" s="221"/>
      <c r="GK1221" s="221"/>
      <c r="GL1221" s="221"/>
      <c r="GM1221" s="221"/>
      <c r="GN1221" s="221"/>
    </row>
    <row r="1222">
      <c r="A1222" s="212"/>
      <c r="B1222" s="21"/>
      <c r="C1222" s="21"/>
      <c r="D1222" s="213"/>
      <c r="E1222" s="214"/>
      <c r="F1222" s="215"/>
      <c r="G1222" s="21"/>
      <c r="H1222" s="225"/>
      <c r="I1222" s="231"/>
      <c r="J1222" s="26"/>
      <c r="K1222" s="24"/>
      <c r="L1222" s="24"/>
      <c r="M1222" s="20"/>
      <c r="N1222" s="20"/>
      <c r="O1222" s="21"/>
      <c r="P1222" s="225"/>
      <c r="Q1222" s="225"/>
      <c r="R1222" s="225"/>
      <c r="S1222" s="225"/>
      <c r="T1222" s="225"/>
      <c r="U1222" s="225"/>
      <c r="V1222" s="225"/>
      <c r="W1222" s="221"/>
      <c r="X1222" s="221"/>
      <c r="Y1222" s="221"/>
      <c r="Z1222" s="221"/>
      <c r="AA1222" s="221"/>
      <c r="AB1222" s="221"/>
      <c r="AC1222" s="221"/>
      <c r="AD1222" s="221"/>
      <c r="AE1222" s="221"/>
      <c r="AF1222" s="221"/>
      <c r="AG1222" s="221"/>
      <c r="AH1222" s="221"/>
      <c r="AI1222" s="221"/>
      <c r="AJ1222" s="221"/>
      <c r="AK1222" s="221"/>
      <c r="AL1222" s="221"/>
      <c r="AM1222" s="221"/>
      <c r="AN1222" s="221"/>
      <c r="AO1222" s="221"/>
      <c r="AP1222" s="221"/>
      <c r="AQ1222" s="221"/>
      <c r="AR1222" s="221"/>
      <c r="AS1222" s="221"/>
      <c r="AT1222" s="221"/>
      <c r="AU1222" s="221"/>
      <c r="AV1222" s="221"/>
      <c r="AW1222" s="221"/>
      <c r="AX1222" s="221"/>
      <c r="AY1222" s="221"/>
      <c r="AZ1222" s="221"/>
      <c r="BA1222" s="221"/>
      <c r="BB1222" s="221"/>
      <c r="BC1222" s="221"/>
      <c r="BD1222" s="221"/>
      <c r="BE1222" s="221"/>
      <c r="BF1222" s="221"/>
      <c r="BG1222" s="221"/>
      <c r="BH1222" s="221"/>
      <c r="BI1222" s="221"/>
      <c r="BJ1222" s="221"/>
      <c r="BK1222" s="221"/>
      <c r="BL1222" s="221"/>
      <c r="BM1222" s="221"/>
      <c r="BN1222" s="221"/>
      <c r="BO1222" s="221"/>
      <c r="BP1222" s="221"/>
      <c r="BQ1222" s="221"/>
      <c r="BR1222" s="221"/>
      <c r="BS1222" s="221"/>
      <c r="BT1222" s="221"/>
      <c r="BU1222" s="221"/>
      <c r="BV1222" s="221"/>
      <c r="BW1222" s="221"/>
      <c r="BX1222" s="221"/>
      <c r="BY1222" s="221"/>
      <c r="BZ1222" s="221"/>
      <c r="CA1222" s="221"/>
      <c r="CB1222" s="221"/>
      <c r="CC1222" s="221"/>
      <c r="CD1222" s="221"/>
      <c r="CE1222" s="221"/>
      <c r="CF1222" s="221"/>
      <c r="CG1222" s="221"/>
      <c r="CH1222" s="221"/>
      <c r="CI1222" s="221"/>
      <c r="CJ1222" s="221"/>
      <c r="CK1222" s="221"/>
      <c r="CL1222" s="221"/>
      <c r="CM1222" s="221"/>
      <c r="CN1222" s="221"/>
      <c r="CO1222" s="221"/>
      <c r="CP1222" s="221"/>
      <c r="CQ1222" s="221"/>
      <c r="CR1222" s="221"/>
      <c r="CS1222" s="221"/>
      <c r="CT1222" s="221"/>
      <c r="CU1222" s="221"/>
      <c r="CV1222" s="221"/>
      <c r="CW1222" s="221"/>
      <c r="CX1222" s="221"/>
      <c r="CY1222" s="221"/>
      <c r="CZ1222" s="221"/>
      <c r="DA1222" s="221"/>
      <c r="DB1222" s="221"/>
      <c r="DC1222" s="221"/>
      <c r="DD1222" s="221"/>
      <c r="DE1222" s="221"/>
      <c r="DF1222" s="221"/>
      <c r="DG1222" s="221"/>
      <c r="DH1222" s="221"/>
      <c r="DI1222" s="221"/>
      <c r="DJ1222" s="221"/>
      <c r="DK1222" s="221"/>
      <c r="DL1222" s="221"/>
      <c r="DM1222" s="221"/>
      <c r="DN1222" s="221"/>
      <c r="DO1222" s="221"/>
      <c r="DP1222" s="221"/>
      <c r="DQ1222" s="221"/>
      <c r="DR1222" s="221"/>
      <c r="DS1222" s="221"/>
      <c r="DT1222" s="221"/>
      <c r="DU1222" s="221"/>
      <c r="DV1222" s="221"/>
      <c r="DW1222" s="221"/>
      <c r="DX1222" s="221"/>
      <c r="DY1222" s="221"/>
      <c r="DZ1222" s="221"/>
      <c r="EA1222" s="221"/>
      <c r="EB1222" s="221"/>
      <c r="EC1222" s="221"/>
      <c r="ED1222" s="221"/>
      <c r="EE1222" s="221"/>
      <c r="EF1222" s="221"/>
      <c r="EG1222" s="221"/>
      <c r="EH1222" s="221"/>
      <c r="EI1222" s="221"/>
      <c r="EJ1222" s="221"/>
      <c r="EK1222" s="221"/>
      <c r="EL1222" s="221"/>
      <c r="EM1222" s="221"/>
      <c r="EN1222" s="221"/>
      <c r="EO1222" s="221"/>
      <c r="EP1222" s="221"/>
      <c r="EQ1222" s="221"/>
      <c r="ER1222" s="221"/>
      <c r="ES1222" s="221"/>
      <c r="ET1222" s="221"/>
      <c r="EU1222" s="221"/>
      <c r="EV1222" s="221"/>
      <c r="EW1222" s="221"/>
      <c r="EX1222" s="221"/>
      <c r="EY1222" s="221"/>
      <c r="EZ1222" s="221"/>
      <c r="FA1222" s="221"/>
      <c r="FB1222" s="221"/>
      <c r="FC1222" s="221"/>
      <c r="FD1222" s="221"/>
      <c r="FE1222" s="221"/>
      <c r="FF1222" s="221"/>
      <c r="FG1222" s="221"/>
      <c r="FH1222" s="221"/>
      <c r="FI1222" s="221"/>
      <c r="FJ1222" s="221"/>
      <c r="FK1222" s="221"/>
      <c r="FL1222" s="221"/>
      <c r="FM1222" s="221"/>
      <c r="FN1222" s="221"/>
      <c r="FO1222" s="221"/>
      <c r="FP1222" s="221"/>
      <c r="FQ1222" s="221"/>
      <c r="FR1222" s="221"/>
      <c r="FS1222" s="221"/>
      <c r="FT1222" s="221"/>
      <c r="FU1222" s="221"/>
      <c r="FV1222" s="221"/>
      <c r="FW1222" s="221"/>
      <c r="FX1222" s="221"/>
      <c r="FY1222" s="221"/>
      <c r="FZ1222" s="221"/>
      <c r="GA1222" s="221"/>
      <c r="GB1222" s="221"/>
      <c r="GC1222" s="221"/>
      <c r="GD1222" s="221"/>
      <c r="GE1222" s="221"/>
      <c r="GF1222" s="221"/>
      <c r="GG1222" s="221"/>
      <c r="GH1222" s="221"/>
      <c r="GI1222" s="221"/>
      <c r="GJ1222" s="221"/>
      <c r="GK1222" s="221"/>
      <c r="GL1222" s="221"/>
      <c r="GM1222" s="221"/>
      <c r="GN1222" s="221"/>
    </row>
    <row r="1223">
      <c r="A1223" s="212"/>
      <c r="B1223" s="21"/>
      <c r="C1223" s="21"/>
      <c r="D1223" s="213"/>
      <c r="E1223" s="214"/>
      <c r="F1223" s="215"/>
      <c r="G1223" s="21"/>
      <c r="H1223" s="225"/>
      <c r="I1223" s="221"/>
      <c r="J1223" s="221"/>
      <c r="K1223" s="221"/>
      <c r="L1223" s="221"/>
      <c r="M1223" s="221"/>
      <c r="N1223" s="221"/>
      <c r="O1223" s="221"/>
      <c r="P1223" s="225"/>
      <c r="Q1223" s="225"/>
      <c r="R1223" s="225"/>
      <c r="S1223" s="225"/>
      <c r="T1223" s="225"/>
      <c r="U1223" s="225"/>
      <c r="V1223" s="225"/>
      <c r="W1223" s="221"/>
      <c r="X1223" s="221"/>
      <c r="Y1223" s="221"/>
      <c r="Z1223" s="221"/>
      <c r="AA1223" s="221"/>
      <c r="AB1223" s="221"/>
      <c r="AC1223" s="221"/>
      <c r="AD1223" s="221"/>
      <c r="AE1223" s="221"/>
      <c r="AF1223" s="221"/>
      <c r="AG1223" s="221"/>
      <c r="AH1223" s="221"/>
      <c r="AI1223" s="221"/>
      <c r="AJ1223" s="221"/>
      <c r="AK1223" s="221"/>
      <c r="AL1223" s="221"/>
      <c r="AM1223" s="221"/>
      <c r="AN1223" s="221"/>
      <c r="AO1223" s="221"/>
      <c r="AP1223" s="221"/>
      <c r="AQ1223" s="221"/>
      <c r="AR1223" s="221"/>
      <c r="AS1223" s="221"/>
      <c r="AT1223" s="221"/>
      <c r="AU1223" s="221"/>
      <c r="AV1223" s="221"/>
      <c r="AW1223" s="221"/>
      <c r="AX1223" s="221"/>
      <c r="AY1223" s="221"/>
      <c r="AZ1223" s="221"/>
      <c r="BA1223" s="221"/>
      <c r="BB1223" s="221"/>
      <c r="BC1223" s="221"/>
      <c r="BD1223" s="221"/>
      <c r="BE1223" s="221"/>
      <c r="BF1223" s="221"/>
      <c r="BG1223" s="221"/>
      <c r="BH1223" s="221"/>
      <c r="BI1223" s="221"/>
      <c r="BJ1223" s="221"/>
      <c r="BK1223" s="221"/>
      <c r="BL1223" s="221"/>
      <c r="BM1223" s="221"/>
      <c r="BN1223" s="221"/>
      <c r="BO1223" s="221"/>
      <c r="BP1223" s="221"/>
      <c r="BQ1223" s="221"/>
      <c r="BR1223" s="221"/>
      <c r="BS1223" s="221"/>
      <c r="BT1223" s="221"/>
      <c r="BU1223" s="221"/>
      <c r="BV1223" s="221"/>
      <c r="BW1223" s="221"/>
      <c r="BX1223" s="221"/>
      <c r="BY1223" s="221"/>
      <c r="BZ1223" s="221"/>
      <c r="CA1223" s="221"/>
      <c r="CB1223" s="221"/>
      <c r="CC1223" s="221"/>
      <c r="CD1223" s="221"/>
      <c r="CE1223" s="221"/>
      <c r="CF1223" s="221"/>
      <c r="CG1223" s="221"/>
      <c r="CH1223" s="221"/>
      <c r="CI1223" s="221"/>
      <c r="CJ1223" s="221"/>
      <c r="CK1223" s="221"/>
      <c r="CL1223" s="221"/>
      <c r="CM1223" s="221"/>
      <c r="CN1223" s="221"/>
      <c r="CO1223" s="221"/>
      <c r="CP1223" s="221"/>
      <c r="CQ1223" s="221"/>
      <c r="CR1223" s="221"/>
      <c r="CS1223" s="221"/>
      <c r="CT1223" s="221"/>
      <c r="CU1223" s="221"/>
      <c r="CV1223" s="221"/>
      <c r="CW1223" s="221"/>
      <c r="CX1223" s="221"/>
      <c r="CY1223" s="221"/>
      <c r="CZ1223" s="221"/>
      <c r="DA1223" s="221"/>
      <c r="DB1223" s="221"/>
      <c r="DC1223" s="221"/>
      <c r="DD1223" s="221"/>
      <c r="DE1223" s="221"/>
      <c r="DF1223" s="221"/>
      <c r="DG1223" s="221"/>
      <c r="DH1223" s="221"/>
      <c r="DI1223" s="221"/>
      <c r="DJ1223" s="221"/>
      <c r="DK1223" s="221"/>
      <c r="DL1223" s="221"/>
      <c r="DM1223" s="221"/>
      <c r="DN1223" s="221"/>
      <c r="DO1223" s="221"/>
      <c r="DP1223" s="221"/>
      <c r="DQ1223" s="221"/>
      <c r="DR1223" s="221"/>
      <c r="DS1223" s="221"/>
      <c r="DT1223" s="221"/>
      <c r="DU1223" s="221"/>
      <c r="DV1223" s="221"/>
      <c r="DW1223" s="221"/>
      <c r="DX1223" s="221"/>
      <c r="DY1223" s="221"/>
      <c r="DZ1223" s="221"/>
      <c r="EA1223" s="221"/>
      <c r="EB1223" s="221"/>
      <c r="EC1223" s="221"/>
      <c r="ED1223" s="221"/>
      <c r="EE1223" s="221"/>
      <c r="EF1223" s="221"/>
      <c r="EG1223" s="221"/>
      <c r="EH1223" s="221"/>
      <c r="EI1223" s="221"/>
      <c r="EJ1223" s="221"/>
      <c r="EK1223" s="221"/>
      <c r="EL1223" s="221"/>
      <c r="EM1223" s="221"/>
      <c r="EN1223" s="221"/>
      <c r="EO1223" s="221"/>
      <c r="EP1223" s="221"/>
      <c r="EQ1223" s="221"/>
      <c r="ER1223" s="221"/>
      <c r="ES1223" s="221"/>
      <c r="ET1223" s="221"/>
      <c r="EU1223" s="221"/>
      <c r="EV1223" s="221"/>
      <c r="EW1223" s="221"/>
      <c r="EX1223" s="221"/>
      <c r="EY1223" s="221"/>
      <c r="EZ1223" s="221"/>
      <c r="FA1223" s="221"/>
      <c r="FB1223" s="221"/>
      <c r="FC1223" s="221"/>
      <c r="FD1223" s="221"/>
      <c r="FE1223" s="221"/>
      <c r="FF1223" s="221"/>
      <c r="FG1223" s="221"/>
      <c r="FH1223" s="221"/>
      <c r="FI1223" s="221"/>
      <c r="FJ1223" s="221"/>
      <c r="FK1223" s="221"/>
      <c r="FL1223" s="221"/>
      <c r="FM1223" s="221"/>
      <c r="FN1223" s="221"/>
      <c r="FO1223" s="221"/>
      <c r="FP1223" s="221"/>
      <c r="FQ1223" s="221"/>
      <c r="FR1223" s="221"/>
      <c r="FS1223" s="221"/>
      <c r="FT1223" s="221"/>
      <c r="FU1223" s="221"/>
      <c r="FV1223" s="221"/>
      <c r="FW1223" s="221"/>
      <c r="FX1223" s="221"/>
      <c r="FY1223" s="221"/>
      <c r="FZ1223" s="221"/>
      <c r="GA1223" s="221"/>
      <c r="GB1223" s="221"/>
      <c r="GC1223" s="221"/>
      <c r="GD1223" s="221"/>
      <c r="GE1223" s="221"/>
      <c r="GF1223" s="221"/>
      <c r="GG1223" s="221"/>
      <c r="GH1223" s="221"/>
      <c r="GI1223" s="221"/>
      <c r="GJ1223" s="221"/>
      <c r="GK1223" s="221"/>
      <c r="GL1223" s="221"/>
      <c r="GM1223" s="221"/>
      <c r="GN1223" s="221"/>
    </row>
    <row r="1224">
      <c r="A1224" s="212"/>
      <c r="B1224" s="21"/>
      <c r="C1224" s="21"/>
      <c r="D1224" s="213"/>
      <c r="E1224" s="214"/>
      <c r="F1224" s="215"/>
      <c r="G1224" s="21"/>
      <c r="H1224" s="225"/>
      <c r="I1224" s="231"/>
      <c r="J1224" s="26"/>
      <c r="K1224" s="24"/>
      <c r="L1224" s="24"/>
      <c r="M1224" s="20"/>
      <c r="N1224" s="20"/>
      <c r="O1224" s="21"/>
      <c r="P1224" s="225"/>
      <c r="Q1224" s="225"/>
      <c r="R1224" s="225"/>
      <c r="S1224" s="225"/>
      <c r="T1224" s="225"/>
      <c r="U1224" s="225"/>
      <c r="V1224" s="225"/>
      <c r="W1224" s="221"/>
      <c r="X1224" s="221"/>
      <c r="Y1224" s="221"/>
      <c r="Z1224" s="221"/>
      <c r="AA1224" s="221"/>
      <c r="AB1224" s="221"/>
      <c r="AC1224" s="221"/>
      <c r="AD1224" s="221"/>
      <c r="AE1224" s="221"/>
      <c r="AF1224" s="221"/>
      <c r="AG1224" s="221"/>
      <c r="AH1224" s="221"/>
      <c r="AI1224" s="221"/>
      <c r="AJ1224" s="221"/>
      <c r="AK1224" s="221"/>
      <c r="AL1224" s="221"/>
      <c r="AM1224" s="221"/>
      <c r="AN1224" s="221"/>
      <c r="AO1224" s="221"/>
      <c r="AP1224" s="221"/>
      <c r="AQ1224" s="221"/>
      <c r="AR1224" s="221"/>
      <c r="AS1224" s="221"/>
      <c r="AT1224" s="221"/>
      <c r="AU1224" s="221"/>
      <c r="AV1224" s="221"/>
      <c r="AW1224" s="221"/>
      <c r="AX1224" s="221"/>
      <c r="AY1224" s="221"/>
      <c r="AZ1224" s="221"/>
      <c r="BA1224" s="221"/>
      <c r="BB1224" s="221"/>
      <c r="BC1224" s="221"/>
      <c r="BD1224" s="221"/>
      <c r="BE1224" s="221"/>
      <c r="BF1224" s="221"/>
      <c r="BG1224" s="221"/>
      <c r="BH1224" s="221"/>
      <c r="BI1224" s="221"/>
      <c r="BJ1224" s="221"/>
      <c r="BK1224" s="221"/>
      <c r="BL1224" s="221"/>
      <c r="BM1224" s="221"/>
      <c r="BN1224" s="221"/>
      <c r="BO1224" s="221"/>
      <c r="BP1224" s="221"/>
      <c r="BQ1224" s="221"/>
      <c r="BR1224" s="221"/>
      <c r="BS1224" s="221"/>
      <c r="BT1224" s="221"/>
      <c r="BU1224" s="221"/>
      <c r="BV1224" s="221"/>
      <c r="BW1224" s="221"/>
      <c r="BX1224" s="221"/>
      <c r="BY1224" s="221"/>
      <c r="BZ1224" s="221"/>
      <c r="CA1224" s="221"/>
      <c r="CB1224" s="221"/>
      <c r="CC1224" s="221"/>
      <c r="CD1224" s="221"/>
      <c r="CE1224" s="221"/>
      <c r="CF1224" s="221"/>
      <c r="CG1224" s="221"/>
      <c r="CH1224" s="221"/>
      <c r="CI1224" s="221"/>
      <c r="CJ1224" s="221"/>
      <c r="CK1224" s="221"/>
      <c r="CL1224" s="221"/>
      <c r="CM1224" s="221"/>
      <c r="CN1224" s="221"/>
      <c r="CO1224" s="221"/>
      <c r="CP1224" s="221"/>
      <c r="CQ1224" s="221"/>
      <c r="CR1224" s="221"/>
      <c r="CS1224" s="221"/>
      <c r="CT1224" s="221"/>
      <c r="CU1224" s="221"/>
      <c r="CV1224" s="221"/>
      <c r="CW1224" s="221"/>
      <c r="CX1224" s="221"/>
      <c r="CY1224" s="221"/>
      <c r="CZ1224" s="221"/>
      <c r="DA1224" s="221"/>
      <c r="DB1224" s="221"/>
      <c r="DC1224" s="221"/>
      <c r="DD1224" s="221"/>
      <c r="DE1224" s="221"/>
      <c r="DF1224" s="221"/>
      <c r="DG1224" s="221"/>
      <c r="DH1224" s="221"/>
      <c r="DI1224" s="221"/>
      <c r="DJ1224" s="221"/>
      <c r="DK1224" s="221"/>
      <c r="DL1224" s="221"/>
      <c r="DM1224" s="221"/>
      <c r="DN1224" s="221"/>
      <c r="DO1224" s="221"/>
      <c r="DP1224" s="221"/>
      <c r="DQ1224" s="221"/>
      <c r="DR1224" s="221"/>
      <c r="DS1224" s="221"/>
      <c r="DT1224" s="221"/>
      <c r="DU1224" s="221"/>
      <c r="DV1224" s="221"/>
      <c r="DW1224" s="221"/>
      <c r="DX1224" s="221"/>
      <c r="DY1224" s="221"/>
      <c r="DZ1224" s="221"/>
      <c r="EA1224" s="221"/>
      <c r="EB1224" s="221"/>
      <c r="EC1224" s="221"/>
      <c r="ED1224" s="221"/>
      <c r="EE1224" s="221"/>
      <c r="EF1224" s="221"/>
      <c r="EG1224" s="221"/>
      <c r="EH1224" s="221"/>
      <c r="EI1224" s="221"/>
      <c r="EJ1224" s="221"/>
      <c r="EK1224" s="221"/>
      <c r="EL1224" s="221"/>
      <c r="EM1224" s="221"/>
      <c r="EN1224" s="221"/>
      <c r="EO1224" s="221"/>
      <c r="EP1224" s="221"/>
      <c r="EQ1224" s="221"/>
      <c r="ER1224" s="221"/>
      <c r="ES1224" s="221"/>
      <c r="ET1224" s="221"/>
      <c r="EU1224" s="221"/>
      <c r="EV1224" s="221"/>
      <c r="EW1224" s="221"/>
      <c r="EX1224" s="221"/>
      <c r="EY1224" s="221"/>
      <c r="EZ1224" s="221"/>
      <c r="FA1224" s="221"/>
      <c r="FB1224" s="221"/>
      <c r="FC1224" s="221"/>
      <c r="FD1224" s="221"/>
      <c r="FE1224" s="221"/>
      <c r="FF1224" s="221"/>
      <c r="FG1224" s="221"/>
      <c r="FH1224" s="221"/>
      <c r="FI1224" s="221"/>
      <c r="FJ1224" s="221"/>
      <c r="FK1224" s="221"/>
      <c r="FL1224" s="221"/>
      <c r="FM1224" s="221"/>
      <c r="FN1224" s="221"/>
      <c r="FO1224" s="221"/>
      <c r="FP1224" s="221"/>
      <c r="FQ1224" s="221"/>
      <c r="FR1224" s="221"/>
      <c r="FS1224" s="221"/>
      <c r="FT1224" s="221"/>
      <c r="FU1224" s="221"/>
      <c r="FV1224" s="221"/>
      <c r="FW1224" s="221"/>
      <c r="FX1224" s="221"/>
      <c r="FY1224" s="221"/>
      <c r="FZ1224" s="221"/>
      <c r="GA1224" s="221"/>
      <c r="GB1224" s="221"/>
      <c r="GC1224" s="221"/>
      <c r="GD1224" s="221"/>
      <c r="GE1224" s="221"/>
      <c r="GF1224" s="221"/>
      <c r="GG1224" s="221"/>
      <c r="GH1224" s="221"/>
      <c r="GI1224" s="221"/>
      <c r="GJ1224" s="221"/>
      <c r="GK1224" s="221"/>
      <c r="GL1224" s="221"/>
      <c r="GM1224" s="221"/>
      <c r="GN1224" s="221"/>
    </row>
    <row r="1225">
      <c r="A1225" s="212"/>
      <c r="B1225" s="21"/>
      <c r="C1225" s="21"/>
      <c r="D1225" s="213"/>
      <c r="E1225" s="214"/>
      <c r="F1225" s="215"/>
      <c r="G1225" s="21"/>
      <c r="H1225" s="225"/>
      <c r="I1225" s="225"/>
      <c r="J1225" s="225"/>
      <c r="K1225" s="225"/>
      <c r="L1225" s="225"/>
      <c r="M1225" s="225"/>
      <c r="N1225" s="225"/>
      <c r="O1225" s="225"/>
      <c r="P1225" s="225"/>
      <c r="Q1225" s="225"/>
      <c r="R1225" s="225"/>
      <c r="S1225" s="225"/>
      <c r="T1225" s="225"/>
      <c r="U1225" s="225"/>
      <c r="V1225" s="225"/>
      <c r="W1225" s="221"/>
      <c r="X1225" s="221"/>
      <c r="Y1225" s="221"/>
      <c r="Z1225" s="221"/>
      <c r="AA1225" s="221"/>
      <c r="AB1225" s="221"/>
      <c r="AC1225" s="221"/>
      <c r="AD1225" s="221"/>
      <c r="AE1225" s="221"/>
      <c r="AF1225" s="221"/>
      <c r="AG1225" s="221"/>
      <c r="AH1225" s="221"/>
      <c r="AI1225" s="221"/>
      <c r="AJ1225" s="221"/>
      <c r="AK1225" s="221"/>
      <c r="AL1225" s="221"/>
      <c r="AM1225" s="221"/>
      <c r="AN1225" s="221"/>
      <c r="AO1225" s="221"/>
      <c r="AP1225" s="221"/>
      <c r="AQ1225" s="221"/>
      <c r="AR1225" s="221"/>
      <c r="AS1225" s="221"/>
      <c r="AT1225" s="221"/>
      <c r="AU1225" s="221"/>
      <c r="AV1225" s="221"/>
      <c r="AW1225" s="221"/>
      <c r="AX1225" s="221"/>
      <c r="AY1225" s="221"/>
      <c r="AZ1225" s="221"/>
      <c r="BA1225" s="221"/>
      <c r="BB1225" s="221"/>
      <c r="BC1225" s="221"/>
      <c r="BD1225" s="221"/>
      <c r="BE1225" s="221"/>
      <c r="BF1225" s="221"/>
      <c r="BG1225" s="221"/>
      <c r="BH1225" s="221"/>
      <c r="BI1225" s="221"/>
      <c r="BJ1225" s="221"/>
      <c r="BK1225" s="221"/>
      <c r="BL1225" s="221"/>
      <c r="BM1225" s="221"/>
      <c r="BN1225" s="221"/>
      <c r="BO1225" s="221"/>
      <c r="BP1225" s="221"/>
      <c r="BQ1225" s="221"/>
      <c r="BR1225" s="221"/>
      <c r="BS1225" s="221"/>
      <c r="BT1225" s="221"/>
      <c r="BU1225" s="221"/>
      <c r="BV1225" s="221"/>
      <c r="BW1225" s="221"/>
      <c r="BX1225" s="221"/>
      <c r="BY1225" s="221"/>
      <c r="BZ1225" s="221"/>
      <c r="CA1225" s="221"/>
      <c r="CB1225" s="221"/>
      <c r="CC1225" s="221"/>
      <c r="CD1225" s="221"/>
      <c r="CE1225" s="221"/>
      <c r="CF1225" s="221"/>
      <c r="CG1225" s="221"/>
      <c r="CH1225" s="221"/>
      <c r="CI1225" s="221"/>
      <c r="CJ1225" s="221"/>
      <c r="CK1225" s="221"/>
      <c r="CL1225" s="221"/>
      <c r="CM1225" s="221"/>
      <c r="CN1225" s="221"/>
      <c r="CO1225" s="221"/>
      <c r="CP1225" s="221"/>
      <c r="CQ1225" s="221"/>
      <c r="CR1225" s="221"/>
      <c r="CS1225" s="221"/>
      <c r="CT1225" s="221"/>
      <c r="CU1225" s="221"/>
      <c r="CV1225" s="221"/>
      <c r="CW1225" s="221"/>
      <c r="CX1225" s="221"/>
      <c r="CY1225" s="221"/>
      <c r="CZ1225" s="221"/>
      <c r="DA1225" s="221"/>
      <c r="DB1225" s="221"/>
      <c r="DC1225" s="221"/>
      <c r="DD1225" s="221"/>
      <c r="DE1225" s="221"/>
      <c r="DF1225" s="221"/>
      <c r="DG1225" s="221"/>
      <c r="DH1225" s="221"/>
      <c r="DI1225" s="221"/>
      <c r="DJ1225" s="221"/>
      <c r="DK1225" s="221"/>
      <c r="DL1225" s="221"/>
      <c r="DM1225" s="221"/>
      <c r="DN1225" s="221"/>
      <c r="DO1225" s="221"/>
      <c r="DP1225" s="221"/>
      <c r="DQ1225" s="221"/>
      <c r="DR1225" s="221"/>
      <c r="DS1225" s="221"/>
      <c r="DT1225" s="221"/>
      <c r="DU1225" s="221"/>
      <c r="DV1225" s="221"/>
      <c r="DW1225" s="221"/>
      <c r="DX1225" s="221"/>
      <c r="DY1225" s="221"/>
      <c r="DZ1225" s="221"/>
      <c r="EA1225" s="221"/>
      <c r="EB1225" s="221"/>
      <c r="EC1225" s="221"/>
      <c r="ED1225" s="221"/>
      <c r="EE1225" s="221"/>
      <c r="EF1225" s="221"/>
      <c r="EG1225" s="221"/>
      <c r="EH1225" s="221"/>
      <c r="EI1225" s="221"/>
      <c r="EJ1225" s="221"/>
      <c r="EK1225" s="221"/>
      <c r="EL1225" s="221"/>
      <c r="EM1225" s="221"/>
      <c r="EN1225" s="221"/>
      <c r="EO1225" s="221"/>
      <c r="EP1225" s="221"/>
      <c r="EQ1225" s="221"/>
      <c r="ER1225" s="221"/>
      <c r="ES1225" s="221"/>
      <c r="ET1225" s="221"/>
      <c r="EU1225" s="221"/>
      <c r="EV1225" s="221"/>
      <c r="EW1225" s="221"/>
      <c r="EX1225" s="221"/>
      <c r="EY1225" s="221"/>
      <c r="EZ1225" s="221"/>
      <c r="FA1225" s="221"/>
      <c r="FB1225" s="221"/>
      <c r="FC1225" s="221"/>
      <c r="FD1225" s="221"/>
      <c r="FE1225" s="221"/>
      <c r="FF1225" s="221"/>
      <c r="FG1225" s="221"/>
      <c r="FH1225" s="221"/>
      <c r="FI1225" s="221"/>
      <c r="FJ1225" s="221"/>
      <c r="FK1225" s="221"/>
      <c r="FL1225" s="221"/>
      <c r="FM1225" s="221"/>
      <c r="FN1225" s="221"/>
      <c r="FO1225" s="221"/>
      <c r="FP1225" s="221"/>
      <c r="FQ1225" s="221"/>
      <c r="FR1225" s="221"/>
      <c r="FS1225" s="221"/>
      <c r="FT1225" s="221"/>
      <c r="FU1225" s="221"/>
      <c r="FV1225" s="221"/>
      <c r="FW1225" s="221"/>
      <c r="FX1225" s="221"/>
      <c r="FY1225" s="221"/>
      <c r="FZ1225" s="221"/>
      <c r="GA1225" s="221"/>
      <c r="GB1225" s="221"/>
      <c r="GC1225" s="221"/>
      <c r="GD1225" s="221"/>
      <c r="GE1225" s="221"/>
      <c r="GF1225" s="221"/>
      <c r="GG1225" s="221"/>
      <c r="GH1225" s="221"/>
      <c r="GI1225" s="221"/>
      <c r="GJ1225" s="221"/>
      <c r="GK1225" s="221"/>
      <c r="GL1225" s="221"/>
      <c r="GM1225" s="221"/>
      <c r="GN1225" s="221"/>
    </row>
    <row r="1226">
      <c r="A1226" s="212"/>
      <c r="B1226" s="21"/>
      <c r="C1226" s="21"/>
      <c r="D1226" s="213"/>
      <c r="E1226" s="214"/>
      <c r="F1226" s="215"/>
      <c r="G1226" s="21"/>
      <c r="H1226" s="225"/>
      <c r="I1226" s="225"/>
      <c r="J1226" s="225"/>
      <c r="K1226" s="225"/>
      <c r="L1226" s="225"/>
      <c r="M1226" s="225"/>
      <c r="N1226" s="225"/>
      <c r="O1226" s="225"/>
      <c r="P1226" s="225"/>
      <c r="Q1226" s="225"/>
      <c r="R1226" s="225"/>
      <c r="S1226" s="225"/>
      <c r="T1226" s="225"/>
      <c r="U1226" s="225"/>
      <c r="V1226" s="225"/>
      <c r="W1226" s="221"/>
      <c r="X1226" s="221"/>
      <c r="Y1226" s="221"/>
      <c r="Z1226" s="221"/>
      <c r="AA1226" s="221"/>
      <c r="AB1226" s="221"/>
      <c r="AC1226" s="221"/>
      <c r="AD1226" s="221"/>
      <c r="AE1226" s="221"/>
      <c r="AF1226" s="221"/>
      <c r="AG1226" s="221"/>
      <c r="AH1226" s="221"/>
      <c r="AI1226" s="221"/>
      <c r="AJ1226" s="221"/>
      <c r="AK1226" s="221"/>
      <c r="AL1226" s="221"/>
      <c r="AM1226" s="221"/>
      <c r="AN1226" s="221"/>
      <c r="AO1226" s="221"/>
      <c r="AP1226" s="221"/>
      <c r="AQ1226" s="221"/>
      <c r="AR1226" s="221"/>
      <c r="AS1226" s="221"/>
      <c r="AT1226" s="221"/>
      <c r="AU1226" s="221"/>
      <c r="AV1226" s="221"/>
      <c r="AW1226" s="221"/>
      <c r="AX1226" s="221"/>
      <c r="AY1226" s="221"/>
      <c r="AZ1226" s="221"/>
      <c r="BA1226" s="221"/>
      <c r="BB1226" s="221"/>
      <c r="BC1226" s="221"/>
      <c r="BD1226" s="221"/>
      <c r="BE1226" s="221"/>
      <c r="BF1226" s="221"/>
      <c r="BG1226" s="221"/>
      <c r="BH1226" s="221"/>
      <c r="BI1226" s="221"/>
      <c r="BJ1226" s="221"/>
      <c r="BK1226" s="221"/>
      <c r="BL1226" s="221"/>
      <c r="BM1226" s="221"/>
      <c r="BN1226" s="221"/>
      <c r="BO1226" s="221"/>
      <c r="BP1226" s="221"/>
      <c r="BQ1226" s="221"/>
      <c r="BR1226" s="221"/>
      <c r="BS1226" s="221"/>
      <c r="BT1226" s="221"/>
      <c r="BU1226" s="221"/>
      <c r="BV1226" s="221"/>
      <c r="BW1226" s="221"/>
      <c r="BX1226" s="221"/>
      <c r="BY1226" s="221"/>
      <c r="BZ1226" s="221"/>
      <c r="CA1226" s="221"/>
      <c r="CB1226" s="221"/>
      <c r="CC1226" s="221"/>
      <c r="CD1226" s="221"/>
      <c r="CE1226" s="221"/>
      <c r="CF1226" s="221"/>
      <c r="CG1226" s="221"/>
      <c r="CH1226" s="221"/>
      <c r="CI1226" s="221"/>
      <c r="CJ1226" s="221"/>
      <c r="CK1226" s="221"/>
      <c r="CL1226" s="221"/>
      <c r="CM1226" s="221"/>
      <c r="CN1226" s="221"/>
      <c r="CO1226" s="221"/>
      <c r="CP1226" s="221"/>
      <c r="CQ1226" s="221"/>
      <c r="CR1226" s="221"/>
      <c r="CS1226" s="221"/>
      <c r="CT1226" s="221"/>
      <c r="CU1226" s="221"/>
      <c r="CV1226" s="221"/>
      <c r="CW1226" s="221"/>
      <c r="CX1226" s="221"/>
      <c r="CY1226" s="221"/>
      <c r="CZ1226" s="221"/>
      <c r="DA1226" s="221"/>
      <c r="DB1226" s="221"/>
      <c r="DC1226" s="221"/>
      <c r="DD1226" s="221"/>
      <c r="DE1226" s="221"/>
      <c r="DF1226" s="221"/>
      <c r="DG1226" s="221"/>
      <c r="DH1226" s="221"/>
      <c r="DI1226" s="221"/>
      <c r="DJ1226" s="221"/>
      <c r="DK1226" s="221"/>
      <c r="DL1226" s="221"/>
      <c r="DM1226" s="221"/>
      <c r="DN1226" s="221"/>
      <c r="DO1226" s="221"/>
      <c r="DP1226" s="221"/>
      <c r="DQ1226" s="221"/>
      <c r="DR1226" s="221"/>
      <c r="DS1226" s="221"/>
      <c r="DT1226" s="221"/>
      <c r="DU1226" s="221"/>
      <c r="DV1226" s="221"/>
      <c r="DW1226" s="221"/>
      <c r="DX1226" s="221"/>
      <c r="DY1226" s="221"/>
      <c r="DZ1226" s="221"/>
      <c r="EA1226" s="221"/>
      <c r="EB1226" s="221"/>
      <c r="EC1226" s="221"/>
      <c r="ED1226" s="221"/>
      <c r="EE1226" s="221"/>
      <c r="EF1226" s="221"/>
      <c r="EG1226" s="221"/>
      <c r="EH1226" s="221"/>
      <c r="EI1226" s="221"/>
      <c r="EJ1226" s="221"/>
      <c r="EK1226" s="221"/>
      <c r="EL1226" s="221"/>
      <c r="EM1226" s="221"/>
      <c r="EN1226" s="221"/>
      <c r="EO1226" s="221"/>
      <c r="EP1226" s="221"/>
      <c r="EQ1226" s="221"/>
      <c r="ER1226" s="221"/>
      <c r="ES1226" s="221"/>
      <c r="ET1226" s="221"/>
      <c r="EU1226" s="221"/>
      <c r="EV1226" s="221"/>
      <c r="EW1226" s="221"/>
      <c r="EX1226" s="221"/>
      <c r="EY1226" s="221"/>
      <c r="EZ1226" s="221"/>
      <c r="FA1226" s="221"/>
      <c r="FB1226" s="221"/>
      <c r="FC1226" s="221"/>
      <c r="FD1226" s="221"/>
      <c r="FE1226" s="221"/>
      <c r="FF1226" s="221"/>
      <c r="FG1226" s="221"/>
      <c r="FH1226" s="221"/>
      <c r="FI1226" s="221"/>
      <c r="FJ1226" s="221"/>
      <c r="FK1226" s="221"/>
      <c r="FL1226" s="221"/>
      <c r="FM1226" s="221"/>
      <c r="FN1226" s="221"/>
      <c r="FO1226" s="221"/>
      <c r="FP1226" s="221"/>
      <c r="FQ1226" s="221"/>
      <c r="FR1226" s="221"/>
      <c r="FS1226" s="221"/>
      <c r="FT1226" s="221"/>
      <c r="FU1226" s="221"/>
      <c r="FV1226" s="221"/>
      <c r="FW1226" s="221"/>
      <c r="FX1226" s="221"/>
      <c r="FY1226" s="221"/>
      <c r="FZ1226" s="221"/>
      <c r="GA1226" s="221"/>
      <c r="GB1226" s="221"/>
      <c r="GC1226" s="221"/>
      <c r="GD1226" s="221"/>
      <c r="GE1226" s="221"/>
      <c r="GF1226" s="221"/>
      <c r="GG1226" s="221"/>
      <c r="GH1226" s="221"/>
      <c r="GI1226" s="221"/>
      <c r="GJ1226" s="221"/>
      <c r="GK1226" s="221"/>
      <c r="GL1226" s="221"/>
      <c r="GM1226" s="221"/>
      <c r="GN1226" s="221"/>
    </row>
    <row r="1227">
      <c r="A1227" s="212"/>
      <c r="B1227" s="21"/>
      <c r="C1227" s="21"/>
      <c r="D1227" s="213"/>
      <c r="E1227" s="214"/>
      <c r="F1227" s="215"/>
      <c r="G1227" s="21"/>
      <c r="H1227" s="225"/>
      <c r="I1227" s="225"/>
      <c r="J1227" s="225"/>
      <c r="K1227" s="225"/>
      <c r="L1227" s="225"/>
      <c r="M1227" s="225"/>
      <c r="N1227" s="225"/>
      <c r="O1227" s="225"/>
      <c r="P1227" s="225"/>
      <c r="Q1227" s="225"/>
      <c r="R1227" s="225"/>
      <c r="S1227" s="225"/>
      <c r="T1227" s="225"/>
      <c r="U1227" s="225"/>
      <c r="V1227" s="225"/>
      <c r="W1227" s="221"/>
      <c r="X1227" s="221"/>
      <c r="Y1227" s="221"/>
      <c r="Z1227" s="221"/>
      <c r="AA1227" s="221"/>
      <c r="AB1227" s="221"/>
      <c r="AC1227" s="221"/>
      <c r="AD1227" s="221"/>
      <c r="AE1227" s="221"/>
      <c r="AF1227" s="221"/>
      <c r="AG1227" s="221"/>
      <c r="AH1227" s="221"/>
      <c r="AI1227" s="221"/>
      <c r="AJ1227" s="221"/>
      <c r="AK1227" s="221"/>
      <c r="AL1227" s="221"/>
      <c r="AM1227" s="221"/>
      <c r="AN1227" s="221"/>
      <c r="AO1227" s="221"/>
      <c r="AP1227" s="221"/>
      <c r="AQ1227" s="221"/>
      <c r="AR1227" s="221"/>
      <c r="AS1227" s="221"/>
      <c r="AT1227" s="221"/>
      <c r="AU1227" s="221"/>
      <c r="AV1227" s="221"/>
      <c r="AW1227" s="221"/>
      <c r="AX1227" s="221"/>
      <c r="AY1227" s="221"/>
      <c r="AZ1227" s="221"/>
      <c r="BA1227" s="221"/>
      <c r="BB1227" s="221"/>
      <c r="BC1227" s="221"/>
      <c r="BD1227" s="221"/>
      <c r="BE1227" s="221"/>
      <c r="BF1227" s="221"/>
      <c r="BG1227" s="221"/>
      <c r="BH1227" s="221"/>
      <c r="BI1227" s="221"/>
      <c r="BJ1227" s="221"/>
      <c r="BK1227" s="221"/>
      <c r="BL1227" s="221"/>
      <c r="BM1227" s="221"/>
      <c r="BN1227" s="221"/>
      <c r="BO1227" s="221"/>
      <c r="BP1227" s="221"/>
      <c r="BQ1227" s="221"/>
      <c r="BR1227" s="221"/>
      <c r="BS1227" s="221"/>
      <c r="BT1227" s="221"/>
      <c r="BU1227" s="221"/>
      <c r="BV1227" s="221"/>
      <c r="BW1227" s="221"/>
      <c r="BX1227" s="221"/>
      <c r="BY1227" s="221"/>
      <c r="BZ1227" s="221"/>
      <c r="CA1227" s="221"/>
      <c r="CB1227" s="221"/>
      <c r="CC1227" s="221"/>
      <c r="CD1227" s="221"/>
      <c r="CE1227" s="221"/>
      <c r="CF1227" s="221"/>
      <c r="CG1227" s="221"/>
      <c r="CH1227" s="221"/>
      <c r="CI1227" s="221"/>
      <c r="CJ1227" s="221"/>
      <c r="CK1227" s="221"/>
      <c r="CL1227" s="221"/>
      <c r="CM1227" s="221"/>
      <c r="CN1227" s="221"/>
      <c r="CO1227" s="221"/>
      <c r="CP1227" s="221"/>
      <c r="CQ1227" s="221"/>
      <c r="CR1227" s="221"/>
      <c r="CS1227" s="221"/>
      <c r="CT1227" s="221"/>
      <c r="CU1227" s="221"/>
      <c r="CV1227" s="221"/>
      <c r="CW1227" s="221"/>
      <c r="CX1227" s="221"/>
      <c r="CY1227" s="221"/>
      <c r="CZ1227" s="221"/>
      <c r="DA1227" s="221"/>
      <c r="DB1227" s="221"/>
      <c r="DC1227" s="221"/>
      <c r="DD1227" s="221"/>
      <c r="DE1227" s="221"/>
      <c r="DF1227" s="221"/>
      <c r="DG1227" s="221"/>
      <c r="DH1227" s="221"/>
      <c r="DI1227" s="221"/>
      <c r="DJ1227" s="221"/>
      <c r="DK1227" s="221"/>
      <c r="DL1227" s="221"/>
      <c r="DM1227" s="221"/>
      <c r="DN1227" s="221"/>
      <c r="DO1227" s="221"/>
      <c r="DP1227" s="221"/>
      <c r="DQ1227" s="221"/>
      <c r="DR1227" s="221"/>
      <c r="DS1227" s="221"/>
      <c r="DT1227" s="221"/>
      <c r="DU1227" s="221"/>
      <c r="DV1227" s="221"/>
      <c r="DW1227" s="221"/>
      <c r="DX1227" s="221"/>
      <c r="DY1227" s="221"/>
      <c r="DZ1227" s="221"/>
      <c r="EA1227" s="221"/>
      <c r="EB1227" s="221"/>
      <c r="EC1227" s="221"/>
      <c r="ED1227" s="221"/>
      <c r="EE1227" s="221"/>
      <c r="EF1227" s="221"/>
      <c r="EG1227" s="221"/>
      <c r="EH1227" s="221"/>
      <c r="EI1227" s="221"/>
      <c r="EJ1227" s="221"/>
      <c r="EK1227" s="221"/>
      <c r="EL1227" s="221"/>
      <c r="EM1227" s="221"/>
      <c r="EN1227" s="221"/>
      <c r="EO1227" s="221"/>
      <c r="EP1227" s="221"/>
      <c r="EQ1227" s="221"/>
      <c r="ER1227" s="221"/>
      <c r="ES1227" s="221"/>
      <c r="ET1227" s="221"/>
      <c r="EU1227" s="221"/>
      <c r="EV1227" s="221"/>
      <c r="EW1227" s="221"/>
      <c r="EX1227" s="221"/>
      <c r="EY1227" s="221"/>
      <c r="EZ1227" s="221"/>
      <c r="FA1227" s="221"/>
      <c r="FB1227" s="221"/>
      <c r="FC1227" s="221"/>
      <c r="FD1227" s="221"/>
      <c r="FE1227" s="221"/>
      <c r="FF1227" s="221"/>
      <c r="FG1227" s="221"/>
      <c r="FH1227" s="221"/>
      <c r="FI1227" s="221"/>
      <c r="FJ1227" s="221"/>
      <c r="FK1227" s="221"/>
      <c r="FL1227" s="221"/>
      <c r="FM1227" s="221"/>
      <c r="FN1227" s="221"/>
      <c r="FO1227" s="221"/>
      <c r="FP1227" s="221"/>
      <c r="FQ1227" s="221"/>
      <c r="FR1227" s="221"/>
      <c r="FS1227" s="221"/>
      <c r="FT1227" s="221"/>
      <c r="FU1227" s="221"/>
      <c r="FV1227" s="221"/>
      <c r="FW1227" s="221"/>
      <c r="FX1227" s="221"/>
      <c r="FY1227" s="221"/>
      <c r="FZ1227" s="221"/>
      <c r="GA1227" s="221"/>
      <c r="GB1227" s="221"/>
      <c r="GC1227" s="221"/>
      <c r="GD1227" s="221"/>
      <c r="GE1227" s="221"/>
      <c r="GF1227" s="221"/>
      <c r="GG1227" s="221"/>
      <c r="GH1227" s="221"/>
      <c r="GI1227" s="221"/>
      <c r="GJ1227" s="221"/>
      <c r="GK1227" s="221"/>
      <c r="GL1227" s="221"/>
      <c r="GM1227" s="221"/>
      <c r="GN1227" s="221"/>
    </row>
    <row r="1228">
      <c r="A1228" s="212"/>
      <c r="B1228" s="21"/>
      <c r="C1228" s="21"/>
      <c r="D1228" s="213"/>
      <c r="E1228" s="214"/>
      <c r="F1228" s="215"/>
      <c r="G1228" s="21"/>
      <c r="H1228" s="225"/>
      <c r="I1228" s="225"/>
      <c r="J1228" s="225"/>
      <c r="K1228" s="225"/>
      <c r="L1228" s="225"/>
      <c r="M1228" s="225"/>
      <c r="N1228" s="225"/>
      <c r="O1228" s="225"/>
      <c r="P1228" s="225"/>
      <c r="Q1228" s="225"/>
      <c r="R1228" s="225"/>
      <c r="S1228" s="225"/>
      <c r="T1228" s="225"/>
      <c r="U1228" s="225"/>
      <c r="V1228" s="225"/>
      <c r="W1228" s="221"/>
      <c r="X1228" s="221"/>
      <c r="Y1228" s="221"/>
      <c r="Z1228" s="221"/>
      <c r="AA1228" s="221"/>
      <c r="AB1228" s="221"/>
      <c r="AC1228" s="221"/>
      <c r="AD1228" s="221"/>
      <c r="AE1228" s="221"/>
      <c r="AF1228" s="221"/>
      <c r="AG1228" s="221"/>
      <c r="AH1228" s="221"/>
      <c r="AI1228" s="221"/>
      <c r="AJ1228" s="221"/>
      <c r="AK1228" s="221"/>
      <c r="AL1228" s="221"/>
      <c r="AM1228" s="221"/>
      <c r="AN1228" s="221"/>
      <c r="AO1228" s="221"/>
      <c r="AP1228" s="221"/>
      <c r="AQ1228" s="221"/>
      <c r="AR1228" s="221"/>
      <c r="AS1228" s="221"/>
      <c r="AT1228" s="221"/>
      <c r="AU1228" s="221"/>
      <c r="AV1228" s="221"/>
      <c r="AW1228" s="221"/>
      <c r="AX1228" s="221"/>
      <c r="AY1228" s="221"/>
      <c r="AZ1228" s="221"/>
      <c r="BA1228" s="221"/>
      <c r="BB1228" s="221"/>
      <c r="BC1228" s="221"/>
      <c r="BD1228" s="221"/>
      <c r="BE1228" s="221"/>
      <c r="BF1228" s="221"/>
      <c r="BG1228" s="221"/>
      <c r="BH1228" s="221"/>
      <c r="BI1228" s="221"/>
      <c r="BJ1228" s="221"/>
      <c r="BK1228" s="221"/>
      <c r="BL1228" s="221"/>
      <c r="BM1228" s="221"/>
      <c r="BN1228" s="221"/>
      <c r="BO1228" s="221"/>
      <c r="BP1228" s="221"/>
      <c r="BQ1228" s="221"/>
      <c r="BR1228" s="221"/>
      <c r="BS1228" s="221"/>
      <c r="BT1228" s="221"/>
      <c r="BU1228" s="221"/>
      <c r="BV1228" s="221"/>
      <c r="BW1228" s="221"/>
      <c r="BX1228" s="221"/>
      <c r="BY1228" s="221"/>
      <c r="BZ1228" s="221"/>
      <c r="CA1228" s="221"/>
      <c r="CB1228" s="221"/>
      <c r="CC1228" s="221"/>
      <c r="CD1228" s="221"/>
      <c r="CE1228" s="221"/>
      <c r="CF1228" s="221"/>
      <c r="CG1228" s="221"/>
      <c r="CH1228" s="221"/>
      <c r="CI1228" s="221"/>
      <c r="CJ1228" s="221"/>
      <c r="CK1228" s="221"/>
      <c r="CL1228" s="221"/>
      <c r="CM1228" s="221"/>
      <c r="CN1228" s="221"/>
      <c r="CO1228" s="221"/>
      <c r="CP1228" s="221"/>
      <c r="CQ1228" s="221"/>
      <c r="CR1228" s="221"/>
      <c r="CS1228" s="221"/>
      <c r="CT1228" s="221"/>
      <c r="CU1228" s="221"/>
      <c r="CV1228" s="221"/>
      <c r="CW1228" s="221"/>
      <c r="CX1228" s="221"/>
      <c r="CY1228" s="221"/>
      <c r="CZ1228" s="221"/>
      <c r="DA1228" s="221"/>
      <c r="DB1228" s="221"/>
      <c r="DC1228" s="221"/>
      <c r="DD1228" s="221"/>
      <c r="DE1228" s="221"/>
      <c r="DF1228" s="221"/>
      <c r="DG1228" s="221"/>
      <c r="DH1228" s="221"/>
      <c r="DI1228" s="221"/>
      <c r="DJ1228" s="221"/>
      <c r="DK1228" s="221"/>
      <c r="DL1228" s="221"/>
      <c r="DM1228" s="221"/>
      <c r="DN1228" s="221"/>
      <c r="DO1228" s="221"/>
      <c r="DP1228" s="221"/>
      <c r="DQ1228" s="221"/>
      <c r="DR1228" s="221"/>
      <c r="DS1228" s="221"/>
      <c r="DT1228" s="221"/>
      <c r="DU1228" s="221"/>
      <c r="DV1228" s="221"/>
      <c r="DW1228" s="221"/>
      <c r="DX1228" s="221"/>
      <c r="DY1228" s="221"/>
      <c r="DZ1228" s="221"/>
      <c r="EA1228" s="221"/>
      <c r="EB1228" s="221"/>
      <c r="EC1228" s="221"/>
      <c r="ED1228" s="221"/>
      <c r="EE1228" s="221"/>
      <c r="EF1228" s="221"/>
      <c r="EG1228" s="221"/>
      <c r="EH1228" s="221"/>
      <c r="EI1228" s="221"/>
      <c r="EJ1228" s="221"/>
      <c r="EK1228" s="221"/>
      <c r="EL1228" s="221"/>
      <c r="EM1228" s="221"/>
      <c r="EN1228" s="221"/>
      <c r="EO1228" s="221"/>
      <c r="EP1228" s="221"/>
      <c r="EQ1228" s="221"/>
      <c r="ER1228" s="221"/>
      <c r="ES1228" s="221"/>
      <c r="ET1228" s="221"/>
      <c r="EU1228" s="221"/>
      <c r="EV1228" s="221"/>
      <c r="EW1228" s="221"/>
      <c r="EX1228" s="221"/>
      <c r="EY1228" s="221"/>
      <c r="EZ1228" s="221"/>
      <c r="FA1228" s="221"/>
      <c r="FB1228" s="221"/>
      <c r="FC1228" s="221"/>
      <c r="FD1228" s="221"/>
      <c r="FE1228" s="221"/>
      <c r="FF1228" s="221"/>
      <c r="FG1228" s="221"/>
      <c r="FH1228" s="221"/>
      <c r="FI1228" s="221"/>
      <c r="FJ1228" s="221"/>
      <c r="FK1228" s="221"/>
      <c r="FL1228" s="221"/>
      <c r="FM1228" s="221"/>
      <c r="FN1228" s="221"/>
      <c r="FO1228" s="221"/>
      <c r="FP1228" s="221"/>
      <c r="FQ1228" s="221"/>
      <c r="FR1228" s="221"/>
      <c r="FS1228" s="221"/>
      <c r="FT1228" s="221"/>
      <c r="FU1228" s="221"/>
      <c r="FV1228" s="221"/>
      <c r="FW1228" s="221"/>
      <c r="FX1228" s="221"/>
      <c r="FY1228" s="221"/>
      <c r="FZ1228" s="221"/>
      <c r="GA1228" s="221"/>
      <c r="GB1228" s="221"/>
      <c r="GC1228" s="221"/>
      <c r="GD1228" s="221"/>
      <c r="GE1228" s="221"/>
      <c r="GF1228" s="221"/>
      <c r="GG1228" s="221"/>
      <c r="GH1228" s="221"/>
      <c r="GI1228" s="221"/>
      <c r="GJ1228" s="221"/>
      <c r="GK1228" s="221"/>
      <c r="GL1228" s="221"/>
      <c r="GM1228" s="221"/>
      <c r="GN1228" s="221"/>
    </row>
    <row r="1229">
      <c r="A1229" s="212"/>
      <c r="B1229" s="21"/>
      <c r="C1229" s="21"/>
      <c r="D1229" s="213"/>
      <c r="E1229" s="214"/>
      <c r="F1229" s="215"/>
      <c r="G1229" s="21"/>
      <c r="H1229" s="225"/>
      <c r="I1229" s="225"/>
      <c r="J1229" s="225"/>
      <c r="K1229" s="225"/>
      <c r="L1229" s="225"/>
      <c r="M1229" s="225"/>
      <c r="N1229" s="225"/>
      <c r="O1229" s="225"/>
      <c r="P1229" s="225"/>
      <c r="Q1229" s="225"/>
      <c r="R1229" s="225"/>
      <c r="S1229" s="225"/>
      <c r="T1229" s="225"/>
      <c r="U1229" s="225"/>
      <c r="V1229" s="225"/>
      <c r="W1229" s="221"/>
      <c r="X1229" s="221"/>
      <c r="Y1229" s="221"/>
      <c r="Z1229" s="221"/>
      <c r="AA1229" s="221"/>
      <c r="AB1229" s="221"/>
      <c r="AC1229" s="221"/>
      <c r="AD1229" s="221"/>
      <c r="AE1229" s="221"/>
      <c r="AF1229" s="221"/>
      <c r="AG1229" s="221"/>
      <c r="AH1229" s="221"/>
      <c r="AI1229" s="221"/>
      <c r="AJ1229" s="221"/>
      <c r="AK1229" s="221"/>
      <c r="AL1229" s="221"/>
      <c r="AM1229" s="221"/>
      <c r="AN1229" s="221"/>
      <c r="AO1229" s="221"/>
      <c r="AP1229" s="221"/>
      <c r="AQ1229" s="221"/>
      <c r="AR1229" s="221"/>
      <c r="AS1229" s="221"/>
      <c r="AT1229" s="221"/>
      <c r="AU1229" s="221"/>
      <c r="AV1229" s="221"/>
      <c r="AW1229" s="221"/>
      <c r="AX1229" s="221"/>
      <c r="AY1229" s="221"/>
      <c r="AZ1229" s="221"/>
      <c r="BA1229" s="221"/>
      <c r="BB1229" s="221"/>
      <c r="BC1229" s="221"/>
      <c r="BD1229" s="221"/>
      <c r="BE1229" s="221"/>
      <c r="BF1229" s="221"/>
      <c r="BG1229" s="221"/>
      <c r="BH1229" s="221"/>
      <c r="BI1229" s="221"/>
      <c r="BJ1229" s="221"/>
      <c r="BK1229" s="221"/>
      <c r="BL1229" s="221"/>
      <c r="BM1229" s="221"/>
      <c r="BN1229" s="221"/>
      <c r="BO1229" s="221"/>
      <c r="BP1229" s="221"/>
      <c r="BQ1229" s="221"/>
      <c r="BR1229" s="221"/>
      <c r="BS1229" s="221"/>
      <c r="BT1229" s="221"/>
      <c r="BU1229" s="221"/>
      <c r="BV1229" s="221"/>
      <c r="BW1229" s="221"/>
      <c r="BX1229" s="221"/>
      <c r="BY1229" s="221"/>
      <c r="BZ1229" s="221"/>
      <c r="CA1229" s="221"/>
      <c r="CB1229" s="221"/>
      <c r="CC1229" s="221"/>
      <c r="CD1229" s="221"/>
      <c r="CE1229" s="221"/>
      <c r="CF1229" s="221"/>
      <c r="CG1229" s="221"/>
      <c r="CH1229" s="221"/>
      <c r="CI1229" s="221"/>
      <c r="CJ1229" s="221"/>
      <c r="CK1229" s="221"/>
      <c r="CL1229" s="221"/>
      <c r="CM1229" s="221"/>
      <c r="CN1229" s="221"/>
      <c r="CO1229" s="221"/>
      <c r="CP1229" s="221"/>
      <c r="CQ1229" s="221"/>
      <c r="CR1229" s="221"/>
      <c r="CS1229" s="221"/>
      <c r="CT1229" s="221"/>
      <c r="CU1229" s="221"/>
      <c r="CV1229" s="221"/>
      <c r="CW1229" s="221"/>
      <c r="CX1229" s="221"/>
      <c r="CY1229" s="221"/>
      <c r="CZ1229" s="221"/>
      <c r="DA1229" s="221"/>
      <c r="DB1229" s="221"/>
      <c r="DC1229" s="221"/>
      <c r="DD1229" s="221"/>
      <c r="DE1229" s="221"/>
      <c r="DF1229" s="221"/>
      <c r="DG1229" s="221"/>
      <c r="DH1229" s="221"/>
      <c r="DI1229" s="221"/>
      <c r="DJ1229" s="221"/>
      <c r="DK1229" s="221"/>
      <c r="DL1229" s="221"/>
      <c r="DM1229" s="221"/>
      <c r="DN1229" s="221"/>
      <c r="DO1229" s="221"/>
      <c r="DP1229" s="221"/>
      <c r="DQ1229" s="221"/>
      <c r="DR1229" s="221"/>
      <c r="DS1229" s="221"/>
      <c r="DT1229" s="221"/>
      <c r="DU1229" s="221"/>
      <c r="DV1229" s="221"/>
      <c r="DW1229" s="221"/>
      <c r="DX1229" s="221"/>
      <c r="DY1229" s="221"/>
      <c r="DZ1229" s="221"/>
      <c r="EA1229" s="221"/>
      <c r="EB1229" s="221"/>
      <c r="EC1229" s="221"/>
      <c r="ED1229" s="221"/>
      <c r="EE1229" s="221"/>
      <c r="EF1229" s="221"/>
      <c r="EG1229" s="221"/>
      <c r="EH1229" s="221"/>
      <c r="EI1229" s="221"/>
      <c r="EJ1229" s="221"/>
      <c r="EK1229" s="221"/>
      <c r="EL1229" s="221"/>
      <c r="EM1229" s="221"/>
      <c r="EN1229" s="221"/>
      <c r="EO1229" s="221"/>
      <c r="EP1229" s="221"/>
      <c r="EQ1229" s="221"/>
      <c r="ER1229" s="221"/>
      <c r="ES1229" s="221"/>
      <c r="ET1229" s="221"/>
      <c r="EU1229" s="221"/>
      <c r="EV1229" s="221"/>
      <c r="EW1229" s="221"/>
      <c r="EX1229" s="221"/>
      <c r="EY1229" s="221"/>
      <c r="EZ1229" s="221"/>
      <c r="FA1229" s="221"/>
      <c r="FB1229" s="221"/>
      <c r="FC1229" s="221"/>
      <c r="FD1229" s="221"/>
      <c r="FE1229" s="221"/>
      <c r="FF1229" s="221"/>
      <c r="FG1229" s="221"/>
      <c r="FH1229" s="221"/>
      <c r="FI1229" s="221"/>
      <c r="FJ1229" s="221"/>
      <c r="FK1229" s="221"/>
      <c r="FL1229" s="221"/>
      <c r="FM1229" s="221"/>
      <c r="FN1229" s="221"/>
      <c r="FO1229" s="221"/>
      <c r="FP1229" s="221"/>
      <c r="FQ1229" s="221"/>
      <c r="FR1229" s="221"/>
      <c r="FS1229" s="221"/>
      <c r="FT1229" s="221"/>
      <c r="FU1229" s="221"/>
      <c r="FV1229" s="221"/>
      <c r="FW1229" s="221"/>
      <c r="FX1229" s="221"/>
      <c r="FY1229" s="221"/>
      <c r="FZ1229" s="221"/>
      <c r="GA1229" s="221"/>
      <c r="GB1229" s="221"/>
      <c r="GC1229" s="221"/>
      <c r="GD1229" s="221"/>
      <c r="GE1229" s="221"/>
      <c r="GF1229" s="221"/>
      <c r="GG1229" s="221"/>
      <c r="GH1229" s="221"/>
      <c r="GI1229" s="221"/>
      <c r="GJ1229" s="221"/>
      <c r="GK1229" s="221"/>
      <c r="GL1229" s="221"/>
      <c r="GM1229" s="221"/>
      <c r="GN1229" s="221"/>
    </row>
    <row r="1230">
      <c r="A1230" s="212"/>
      <c r="B1230" s="21"/>
      <c r="C1230" s="21"/>
      <c r="D1230" s="213"/>
      <c r="E1230" s="214"/>
      <c r="F1230" s="215"/>
      <c r="G1230" s="21"/>
      <c r="H1230" s="225"/>
      <c r="I1230" s="225"/>
      <c r="J1230" s="225"/>
      <c r="K1230" s="225"/>
      <c r="L1230" s="225"/>
      <c r="M1230" s="225"/>
      <c r="N1230" s="225"/>
      <c r="O1230" s="225"/>
      <c r="P1230" s="225"/>
      <c r="Q1230" s="225"/>
      <c r="R1230" s="225"/>
      <c r="S1230" s="225"/>
      <c r="T1230" s="225"/>
      <c r="U1230" s="225"/>
      <c r="V1230" s="225"/>
      <c r="W1230" s="221"/>
      <c r="X1230" s="221"/>
      <c r="Y1230" s="221"/>
      <c r="Z1230" s="221"/>
      <c r="AA1230" s="221"/>
      <c r="AB1230" s="221"/>
      <c r="AC1230" s="221"/>
      <c r="AD1230" s="221"/>
      <c r="AE1230" s="221"/>
      <c r="AF1230" s="221"/>
      <c r="AG1230" s="221"/>
      <c r="AH1230" s="221"/>
      <c r="AI1230" s="221"/>
      <c r="AJ1230" s="221"/>
      <c r="AK1230" s="221"/>
      <c r="AL1230" s="221"/>
      <c r="AM1230" s="221"/>
      <c r="AN1230" s="221"/>
      <c r="AO1230" s="221"/>
      <c r="AP1230" s="221"/>
      <c r="AQ1230" s="221"/>
      <c r="AR1230" s="221"/>
      <c r="AS1230" s="221"/>
      <c r="AT1230" s="221"/>
      <c r="AU1230" s="221"/>
      <c r="AV1230" s="221"/>
      <c r="AW1230" s="221"/>
      <c r="AX1230" s="221"/>
      <c r="AY1230" s="221"/>
      <c r="AZ1230" s="221"/>
      <c r="BA1230" s="221"/>
      <c r="BB1230" s="221"/>
      <c r="BC1230" s="221"/>
      <c r="BD1230" s="221"/>
      <c r="BE1230" s="221"/>
      <c r="BF1230" s="221"/>
      <c r="BG1230" s="221"/>
      <c r="BH1230" s="221"/>
      <c r="BI1230" s="221"/>
      <c r="BJ1230" s="221"/>
      <c r="BK1230" s="221"/>
      <c r="BL1230" s="221"/>
      <c r="BM1230" s="221"/>
      <c r="BN1230" s="221"/>
      <c r="BO1230" s="221"/>
      <c r="BP1230" s="221"/>
      <c r="BQ1230" s="221"/>
      <c r="BR1230" s="221"/>
      <c r="BS1230" s="221"/>
      <c r="BT1230" s="221"/>
      <c r="BU1230" s="221"/>
      <c r="BV1230" s="221"/>
      <c r="BW1230" s="221"/>
      <c r="BX1230" s="221"/>
      <c r="BY1230" s="221"/>
      <c r="BZ1230" s="221"/>
      <c r="CA1230" s="221"/>
      <c r="CB1230" s="221"/>
      <c r="CC1230" s="221"/>
      <c r="CD1230" s="221"/>
      <c r="CE1230" s="221"/>
      <c r="CF1230" s="221"/>
      <c r="CG1230" s="221"/>
      <c r="CH1230" s="221"/>
      <c r="CI1230" s="221"/>
      <c r="CJ1230" s="221"/>
      <c r="CK1230" s="221"/>
      <c r="CL1230" s="221"/>
      <c r="CM1230" s="221"/>
      <c r="CN1230" s="221"/>
      <c r="CO1230" s="221"/>
      <c r="CP1230" s="221"/>
      <c r="CQ1230" s="221"/>
      <c r="CR1230" s="221"/>
      <c r="CS1230" s="221"/>
      <c r="CT1230" s="221"/>
      <c r="CU1230" s="221"/>
      <c r="CV1230" s="221"/>
      <c r="CW1230" s="221"/>
      <c r="CX1230" s="221"/>
      <c r="CY1230" s="221"/>
      <c r="CZ1230" s="221"/>
      <c r="DA1230" s="221"/>
      <c r="DB1230" s="221"/>
      <c r="DC1230" s="221"/>
      <c r="DD1230" s="221"/>
      <c r="DE1230" s="221"/>
      <c r="DF1230" s="221"/>
      <c r="DG1230" s="221"/>
      <c r="DH1230" s="221"/>
      <c r="DI1230" s="221"/>
      <c r="DJ1230" s="221"/>
      <c r="DK1230" s="221"/>
      <c r="DL1230" s="221"/>
      <c r="DM1230" s="221"/>
      <c r="DN1230" s="221"/>
      <c r="DO1230" s="221"/>
      <c r="DP1230" s="221"/>
      <c r="DQ1230" s="221"/>
      <c r="DR1230" s="221"/>
      <c r="DS1230" s="221"/>
      <c r="DT1230" s="221"/>
      <c r="DU1230" s="221"/>
      <c r="DV1230" s="221"/>
      <c r="DW1230" s="221"/>
      <c r="DX1230" s="221"/>
      <c r="DY1230" s="221"/>
      <c r="DZ1230" s="221"/>
      <c r="EA1230" s="221"/>
      <c r="EB1230" s="221"/>
      <c r="EC1230" s="221"/>
      <c r="ED1230" s="221"/>
      <c r="EE1230" s="221"/>
      <c r="EF1230" s="221"/>
      <c r="EG1230" s="221"/>
      <c r="EH1230" s="221"/>
      <c r="EI1230" s="221"/>
      <c r="EJ1230" s="221"/>
      <c r="EK1230" s="221"/>
      <c r="EL1230" s="221"/>
      <c r="EM1230" s="221"/>
      <c r="EN1230" s="221"/>
      <c r="EO1230" s="221"/>
      <c r="EP1230" s="221"/>
      <c r="EQ1230" s="221"/>
      <c r="ER1230" s="221"/>
      <c r="ES1230" s="221"/>
      <c r="ET1230" s="221"/>
      <c r="EU1230" s="221"/>
      <c r="EV1230" s="221"/>
      <c r="EW1230" s="221"/>
      <c r="EX1230" s="221"/>
      <c r="EY1230" s="221"/>
      <c r="EZ1230" s="221"/>
      <c r="FA1230" s="221"/>
      <c r="FB1230" s="221"/>
      <c r="FC1230" s="221"/>
      <c r="FD1230" s="221"/>
      <c r="FE1230" s="221"/>
      <c r="FF1230" s="221"/>
      <c r="FG1230" s="221"/>
      <c r="FH1230" s="221"/>
      <c r="FI1230" s="221"/>
      <c r="FJ1230" s="221"/>
      <c r="FK1230" s="221"/>
      <c r="FL1230" s="221"/>
      <c r="FM1230" s="221"/>
      <c r="FN1230" s="221"/>
      <c r="FO1230" s="221"/>
      <c r="FP1230" s="221"/>
      <c r="FQ1230" s="221"/>
      <c r="FR1230" s="221"/>
      <c r="FS1230" s="221"/>
      <c r="FT1230" s="221"/>
      <c r="FU1230" s="221"/>
      <c r="FV1230" s="221"/>
      <c r="FW1230" s="221"/>
      <c r="FX1230" s="221"/>
      <c r="FY1230" s="221"/>
      <c r="FZ1230" s="221"/>
      <c r="GA1230" s="221"/>
      <c r="GB1230" s="221"/>
      <c r="GC1230" s="221"/>
      <c r="GD1230" s="221"/>
      <c r="GE1230" s="221"/>
      <c r="GF1230" s="221"/>
      <c r="GG1230" s="221"/>
      <c r="GH1230" s="221"/>
      <c r="GI1230" s="221"/>
      <c r="GJ1230" s="221"/>
      <c r="GK1230" s="221"/>
      <c r="GL1230" s="221"/>
      <c r="GM1230" s="221"/>
      <c r="GN1230" s="221"/>
    </row>
    <row r="1231">
      <c r="A1231" s="212"/>
      <c r="B1231" s="21"/>
      <c r="C1231" s="21"/>
      <c r="D1231" s="213"/>
      <c r="E1231" s="214"/>
      <c r="F1231" s="215"/>
      <c r="G1231" s="21"/>
      <c r="H1231" s="225"/>
      <c r="I1231" s="225"/>
      <c r="J1231" s="225"/>
      <c r="K1231" s="225"/>
      <c r="L1231" s="225"/>
      <c r="M1231" s="225"/>
      <c r="N1231" s="225"/>
      <c r="O1231" s="225"/>
      <c r="P1231" s="225"/>
      <c r="Q1231" s="225"/>
      <c r="R1231" s="225"/>
      <c r="S1231" s="225"/>
      <c r="T1231" s="225"/>
      <c r="U1231" s="225"/>
      <c r="V1231" s="225"/>
      <c r="W1231" s="221"/>
      <c r="X1231" s="221"/>
      <c r="Y1231" s="221"/>
      <c r="Z1231" s="221"/>
      <c r="AA1231" s="221"/>
      <c r="AB1231" s="221"/>
      <c r="AC1231" s="221"/>
      <c r="AD1231" s="221"/>
      <c r="AE1231" s="221"/>
      <c r="AF1231" s="221"/>
      <c r="AG1231" s="221"/>
      <c r="AH1231" s="221"/>
      <c r="AI1231" s="221"/>
      <c r="AJ1231" s="221"/>
      <c r="AK1231" s="221"/>
      <c r="AL1231" s="221"/>
      <c r="AM1231" s="221"/>
      <c r="AN1231" s="221"/>
      <c r="AO1231" s="221"/>
      <c r="AP1231" s="221"/>
      <c r="AQ1231" s="221"/>
      <c r="AR1231" s="221"/>
      <c r="AS1231" s="221"/>
      <c r="AT1231" s="221"/>
      <c r="AU1231" s="221"/>
      <c r="AV1231" s="221"/>
      <c r="AW1231" s="221"/>
      <c r="AX1231" s="221"/>
      <c r="AY1231" s="221"/>
      <c r="AZ1231" s="221"/>
      <c r="BA1231" s="221"/>
      <c r="BB1231" s="221"/>
      <c r="BC1231" s="221"/>
      <c r="BD1231" s="221"/>
      <c r="BE1231" s="221"/>
      <c r="BF1231" s="221"/>
      <c r="BG1231" s="221"/>
      <c r="BH1231" s="221"/>
      <c r="BI1231" s="221"/>
      <c r="BJ1231" s="221"/>
      <c r="BK1231" s="221"/>
      <c r="BL1231" s="221"/>
      <c r="BM1231" s="221"/>
      <c r="BN1231" s="221"/>
      <c r="BO1231" s="221"/>
      <c r="BP1231" s="221"/>
      <c r="BQ1231" s="221"/>
      <c r="BR1231" s="221"/>
      <c r="BS1231" s="221"/>
      <c r="BT1231" s="221"/>
      <c r="BU1231" s="221"/>
      <c r="BV1231" s="221"/>
      <c r="BW1231" s="221"/>
      <c r="BX1231" s="221"/>
      <c r="BY1231" s="221"/>
      <c r="BZ1231" s="221"/>
      <c r="CA1231" s="221"/>
      <c r="CB1231" s="221"/>
      <c r="CC1231" s="221"/>
      <c r="CD1231" s="221"/>
      <c r="CE1231" s="221"/>
      <c r="CF1231" s="221"/>
      <c r="CG1231" s="221"/>
      <c r="CH1231" s="221"/>
      <c r="CI1231" s="221"/>
      <c r="CJ1231" s="221"/>
      <c r="CK1231" s="221"/>
      <c r="CL1231" s="221"/>
      <c r="CM1231" s="221"/>
      <c r="CN1231" s="221"/>
      <c r="CO1231" s="221"/>
      <c r="CP1231" s="221"/>
      <c r="CQ1231" s="221"/>
      <c r="CR1231" s="221"/>
      <c r="CS1231" s="221"/>
      <c r="CT1231" s="221"/>
      <c r="CU1231" s="221"/>
      <c r="CV1231" s="221"/>
      <c r="CW1231" s="221"/>
      <c r="CX1231" s="221"/>
      <c r="CY1231" s="221"/>
      <c r="CZ1231" s="221"/>
      <c r="DA1231" s="221"/>
      <c r="DB1231" s="221"/>
      <c r="DC1231" s="221"/>
      <c r="DD1231" s="221"/>
      <c r="DE1231" s="221"/>
      <c r="DF1231" s="221"/>
      <c r="DG1231" s="221"/>
      <c r="DH1231" s="221"/>
      <c r="DI1231" s="221"/>
      <c r="DJ1231" s="221"/>
      <c r="DK1231" s="221"/>
      <c r="DL1231" s="221"/>
      <c r="DM1231" s="221"/>
      <c r="DN1231" s="221"/>
      <c r="DO1231" s="221"/>
      <c r="DP1231" s="221"/>
      <c r="DQ1231" s="221"/>
      <c r="DR1231" s="221"/>
      <c r="DS1231" s="221"/>
      <c r="DT1231" s="221"/>
      <c r="DU1231" s="221"/>
      <c r="DV1231" s="221"/>
      <c r="DW1231" s="221"/>
      <c r="DX1231" s="221"/>
      <c r="DY1231" s="221"/>
      <c r="DZ1231" s="221"/>
      <c r="EA1231" s="221"/>
      <c r="EB1231" s="221"/>
      <c r="EC1231" s="221"/>
      <c r="ED1231" s="221"/>
      <c r="EE1231" s="221"/>
      <c r="EF1231" s="221"/>
      <c r="EG1231" s="221"/>
      <c r="EH1231" s="221"/>
      <c r="EI1231" s="221"/>
      <c r="EJ1231" s="221"/>
      <c r="EK1231" s="221"/>
      <c r="EL1231" s="221"/>
      <c r="EM1231" s="221"/>
      <c r="EN1231" s="221"/>
      <c r="EO1231" s="221"/>
      <c r="EP1231" s="221"/>
      <c r="EQ1231" s="221"/>
      <c r="ER1231" s="221"/>
      <c r="ES1231" s="221"/>
      <c r="ET1231" s="221"/>
      <c r="EU1231" s="221"/>
      <c r="EV1231" s="221"/>
      <c r="EW1231" s="221"/>
      <c r="EX1231" s="221"/>
      <c r="EY1231" s="221"/>
      <c r="EZ1231" s="221"/>
      <c r="FA1231" s="221"/>
      <c r="FB1231" s="221"/>
      <c r="FC1231" s="221"/>
      <c r="FD1231" s="221"/>
      <c r="FE1231" s="221"/>
      <c r="FF1231" s="221"/>
      <c r="FG1231" s="221"/>
      <c r="FH1231" s="221"/>
      <c r="FI1231" s="221"/>
      <c r="FJ1231" s="221"/>
      <c r="FK1231" s="221"/>
      <c r="FL1231" s="221"/>
      <c r="FM1231" s="221"/>
      <c r="FN1231" s="221"/>
      <c r="FO1231" s="221"/>
      <c r="FP1231" s="221"/>
      <c r="FQ1231" s="221"/>
      <c r="FR1231" s="221"/>
      <c r="FS1231" s="221"/>
      <c r="FT1231" s="221"/>
      <c r="FU1231" s="221"/>
      <c r="FV1231" s="221"/>
      <c r="FW1231" s="221"/>
      <c r="FX1231" s="221"/>
      <c r="FY1231" s="221"/>
      <c r="FZ1231" s="221"/>
      <c r="GA1231" s="221"/>
      <c r="GB1231" s="221"/>
      <c r="GC1231" s="221"/>
      <c r="GD1231" s="221"/>
      <c r="GE1231" s="221"/>
      <c r="GF1231" s="221"/>
      <c r="GG1231" s="221"/>
      <c r="GH1231" s="221"/>
      <c r="GI1231" s="221"/>
      <c r="GJ1231" s="221"/>
      <c r="GK1231" s="221"/>
      <c r="GL1231" s="221"/>
      <c r="GM1231" s="221"/>
      <c r="GN1231" s="221"/>
    </row>
    <row r="1232">
      <c r="A1232" s="212"/>
      <c r="B1232" s="21"/>
      <c r="C1232" s="21"/>
      <c r="D1232" s="213"/>
      <c r="E1232" s="214"/>
      <c r="F1232" s="215"/>
      <c r="G1232" s="21"/>
      <c r="H1232" s="225"/>
      <c r="I1232" s="225"/>
      <c r="J1232" s="225"/>
      <c r="K1232" s="225"/>
      <c r="L1232" s="225"/>
      <c r="M1232" s="225"/>
      <c r="N1232" s="225"/>
      <c r="O1232" s="225"/>
      <c r="P1232" s="225"/>
      <c r="Q1232" s="225"/>
      <c r="R1232" s="225"/>
      <c r="S1232" s="225"/>
      <c r="T1232" s="225"/>
      <c r="U1232" s="225"/>
      <c r="V1232" s="225"/>
      <c r="W1232" s="221"/>
      <c r="X1232" s="221"/>
      <c r="Y1232" s="221"/>
      <c r="Z1232" s="221"/>
      <c r="AA1232" s="221"/>
      <c r="AB1232" s="221"/>
      <c r="AC1232" s="221"/>
      <c r="AD1232" s="221"/>
      <c r="AE1232" s="221"/>
      <c r="AF1232" s="221"/>
      <c r="AG1232" s="221"/>
      <c r="AH1232" s="221"/>
      <c r="AI1232" s="221"/>
      <c r="AJ1232" s="221"/>
      <c r="AK1232" s="221"/>
      <c r="AL1232" s="221"/>
      <c r="AM1232" s="221"/>
      <c r="AN1232" s="221"/>
      <c r="AO1232" s="221"/>
      <c r="AP1232" s="221"/>
      <c r="AQ1232" s="221"/>
      <c r="AR1232" s="221"/>
      <c r="AS1232" s="221"/>
      <c r="AT1232" s="221"/>
      <c r="AU1232" s="221"/>
      <c r="AV1232" s="221"/>
      <c r="AW1232" s="221"/>
      <c r="AX1232" s="221"/>
      <c r="AY1232" s="221"/>
      <c r="AZ1232" s="221"/>
      <c r="BA1232" s="221"/>
      <c r="BB1232" s="221"/>
      <c r="BC1232" s="221"/>
      <c r="BD1232" s="221"/>
      <c r="BE1232" s="221"/>
      <c r="BF1232" s="221"/>
      <c r="BG1232" s="221"/>
      <c r="BH1232" s="221"/>
      <c r="BI1232" s="221"/>
      <c r="BJ1232" s="221"/>
      <c r="BK1232" s="221"/>
      <c r="BL1232" s="221"/>
      <c r="BM1232" s="221"/>
      <c r="BN1232" s="221"/>
      <c r="BO1232" s="221"/>
      <c r="BP1232" s="221"/>
      <c r="BQ1232" s="221"/>
      <c r="BR1232" s="221"/>
      <c r="BS1232" s="221"/>
      <c r="BT1232" s="221"/>
      <c r="BU1232" s="221"/>
      <c r="BV1232" s="221"/>
      <c r="BW1232" s="221"/>
      <c r="BX1232" s="221"/>
      <c r="BY1232" s="221"/>
      <c r="BZ1232" s="221"/>
      <c r="CA1232" s="221"/>
      <c r="CB1232" s="221"/>
      <c r="CC1232" s="221"/>
      <c r="CD1232" s="221"/>
      <c r="CE1232" s="221"/>
      <c r="CF1232" s="221"/>
      <c r="CG1232" s="221"/>
      <c r="CH1232" s="221"/>
      <c r="CI1232" s="221"/>
      <c r="CJ1232" s="221"/>
      <c r="CK1232" s="221"/>
      <c r="CL1232" s="221"/>
      <c r="CM1232" s="221"/>
      <c r="CN1232" s="221"/>
      <c r="CO1232" s="221"/>
      <c r="CP1232" s="221"/>
      <c r="CQ1232" s="221"/>
      <c r="CR1232" s="221"/>
      <c r="CS1232" s="221"/>
      <c r="CT1232" s="221"/>
      <c r="CU1232" s="221"/>
      <c r="CV1232" s="221"/>
      <c r="CW1232" s="221"/>
      <c r="CX1232" s="221"/>
      <c r="CY1232" s="221"/>
      <c r="CZ1232" s="221"/>
      <c r="DA1232" s="221"/>
      <c r="DB1232" s="221"/>
      <c r="DC1232" s="221"/>
      <c r="DD1232" s="221"/>
      <c r="DE1232" s="221"/>
      <c r="DF1232" s="221"/>
      <c r="DG1232" s="221"/>
      <c r="DH1232" s="221"/>
      <c r="DI1232" s="221"/>
      <c r="DJ1232" s="221"/>
      <c r="DK1232" s="221"/>
      <c r="DL1232" s="221"/>
      <c r="DM1232" s="221"/>
      <c r="DN1232" s="221"/>
      <c r="DO1232" s="221"/>
      <c r="DP1232" s="221"/>
      <c r="DQ1232" s="221"/>
      <c r="DR1232" s="221"/>
      <c r="DS1232" s="221"/>
      <c r="DT1232" s="221"/>
      <c r="DU1232" s="221"/>
      <c r="DV1232" s="221"/>
      <c r="DW1232" s="221"/>
      <c r="DX1232" s="221"/>
      <c r="DY1232" s="221"/>
      <c r="DZ1232" s="221"/>
      <c r="EA1232" s="221"/>
      <c r="EB1232" s="221"/>
      <c r="EC1232" s="221"/>
      <c r="ED1232" s="221"/>
      <c r="EE1232" s="221"/>
      <c r="EF1232" s="221"/>
      <c r="EG1232" s="221"/>
      <c r="EH1232" s="221"/>
      <c r="EI1232" s="221"/>
      <c r="EJ1232" s="221"/>
      <c r="EK1232" s="221"/>
      <c r="EL1232" s="221"/>
      <c r="EM1232" s="221"/>
      <c r="EN1232" s="221"/>
      <c r="EO1232" s="221"/>
      <c r="EP1232" s="221"/>
      <c r="EQ1232" s="221"/>
      <c r="ER1232" s="221"/>
      <c r="ES1232" s="221"/>
      <c r="ET1232" s="221"/>
      <c r="EU1232" s="221"/>
      <c r="EV1232" s="221"/>
      <c r="EW1232" s="221"/>
      <c r="EX1232" s="221"/>
      <c r="EY1232" s="221"/>
      <c r="EZ1232" s="221"/>
      <c r="FA1232" s="221"/>
      <c r="FB1232" s="221"/>
      <c r="FC1232" s="221"/>
      <c r="FD1232" s="221"/>
      <c r="FE1232" s="221"/>
      <c r="FF1232" s="221"/>
      <c r="FG1232" s="221"/>
      <c r="FH1232" s="221"/>
      <c r="FI1232" s="221"/>
      <c r="FJ1232" s="221"/>
      <c r="FK1232" s="221"/>
      <c r="FL1232" s="221"/>
      <c r="FM1232" s="221"/>
      <c r="FN1232" s="221"/>
      <c r="FO1232" s="221"/>
      <c r="FP1232" s="221"/>
      <c r="FQ1232" s="221"/>
      <c r="FR1232" s="221"/>
      <c r="FS1232" s="221"/>
      <c r="FT1232" s="221"/>
      <c r="FU1232" s="221"/>
      <c r="FV1232" s="221"/>
      <c r="FW1232" s="221"/>
      <c r="FX1232" s="221"/>
      <c r="FY1232" s="221"/>
      <c r="FZ1232" s="221"/>
      <c r="GA1232" s="221"/>
      <c r="GB1232" s="221"/>
      <c r="GC1232" s="221"/>
      <c r="GD1232" s="221"/>
      <c r="GE1232" s="221"/>
      <c r="GF1232" s="221"/>
      <c r="GG1232" s="221"/>
      <c r="GH1232" s="221"/>
      <c r="GI1232" s="221"/>
      <c r="GJ1232" s="221"/>
      <c r="GK1232" s="221"/>
      <c r="GL1232" s="221"/>
      <c r="GM1232" s="221"/>
      <c r="GN1232" s="221"/>
    </row>
    <row r="1233">
      <c r="A1233" s="212"/>
      <c r="B1233" s="21"/>
      <c r="C1233" s="21"/>
      <c r="D1233" s="213"/>
      <c r="E1233" s="214"/>
      <c r="F1233" s="215"/>
      <c r="G1233" s="21"/>
      <c r="H1233" s="225"/>
      <c r="I1233" s="225"/>
      <c r="J1233" s="225"/>
      <c r="K1233" s="225"/>
      <c r="L1233" s="225"/>
      <c r="M1233" s="225"/>
      <c r="N1233" s="225"/>
      <c r="O1233" s="225"/>
      <c r="P1233" s="225"/>
      <c r="Q1233" s="225"/>
      <c r="R1233" s="225"/>
      <c r="S1233" s="225"/>
      <c r="T1233" s="225"/>
      <c r="U1233" s="225"/>
      <c r="V1233" s="225"/>
      <c r="W1233" s="221"/>
      <c r="X1233" s="221"/>
      <c r="Y1233" s="221"/>
      <c r="Z1233" s="221"/>
      <c r="AA1233" s="221"/>
      <c r="AB1233" s="221"/>
      <c r="AC1233" s="221"/>
      <c r="AD1233" s="221"/>
      <c r="AE1233" s="221"/>
      <c r="AF1233" s="221"/>
      <c r="AG1233" s="221"/>
      <c r="AH1233" s="221"/>
      <c r="AI1233" s="221"/>
      <c r="AJ1233" s="221"/>
      <c r="AK1233" s="221"/>
      <c r="AL1233" s="221"/>
      <c r="AM1233" s="221"/>
      <c r="AN1233" s="221"/>
      <c r="AO1233" s="221"/>
      <c r="AP1233" s="221"/>
      <c r="AQ1233" s="221"/>
      <c r="AR1233" s="221"/>
      <c r="AS1233" s="221"/>
      <c r="AT1233" s="221"/>
      <c r="AU1233" s="221"/>
      <c r="AV1233" s="221"/>
      <c r="AW1233" s="221"/>
      <c r="AX1233" s="221"/>
      <c r="AY1233" s="221"/>
      <c r="AZ1233" s="221"/>
      <c r="BA1233" s="221"/>
      <c r="BB1233" s="221"/>
      <c r="BC1233" s="221"/>
      <c r="BD1233" s="221"/>
      <c r="BE1233" s="221"/>
      <c r="BF1233" s="221"/>
      <c r="BG1233" s="221"/>
      <c r="BH1233" s="221"/>
      <c r="BI1233" s="221"/>
      <c r="BJ1233" s="221"/>
      <c r="BK1233" s="221"/>
      <c r="BL1233" s="221"/>
      <c r="BM1233" s="221"/>
      <c r="BN1233" s="221"/>
      <c r="BO1233" s="221"/>
      <c r="BP1233" s="221"/>
      <c r="BQ1233" s="221"/>
      <c r="BR1233" s="221"/>
      <c r="BS1233" s="221"/>
      <c r="BT1233" s="221"/>
      <c r="BU1233" s="221"/>
      <c r="BV1233" s="221"/>
      <c r="BW1233" s="221"/>
      <c r="BX1233" s="221"/>
      <c r="BY1233" s="221"/>
      <c r="BZ1233" s="221"/>
      <c r="CA1233" s="221"/>
      <c r="CB1233" s="221"/>
      <c r="CC1233" s="221"/>
      <c r="CD1233" s="221"/>
      <c r="CE1233" s="221"/>
      <c r="CF1233" s="221"/>
      <c r="CG1233" s="221"/>
      <c r="CH1233" s="221"/>
      <c r="CI1233" s="221"/>
      <c r="CJ1233" s="221"/>
      <c r="CK1233" s="221"/>
      <c r="CL1233" s="221"/>
      <c r="CM1233" s="221"/>
      <c r="CN1233" s="221"/>
      <c r="CO1233" s="221"/>
      <c r="CP1233" s="221"/>
      <c r="CQ1233" s="221"/>
      <c r="CR1233" s="221"/>
      <c r="CS1233" s="221"/>
      <c r="CT1233" s="221"/>
      <c r="CU1233" s="221"/>
      <c r="CV1233" s="221"/>
      <c r="CW1233" s="221"/>
      <c r="CX1233" s="221"/>
      <c r="CY1233" s="221"/>
      <c r="CZ1233" s="221"/>
      <c r="DA1233" s="221"/>
      <c r="DB1233" s="221"/>
      <c r="DC1233" s="221"/>
      <c r="DD1233" s="221"/>
      <c r="DE1233" s="221"/>
      <c r="DF1233" s="221"/>
      <c r="DG1233" s="221"/>
      <c r="DH1233" s="221"/>
      <c r="DI1233" s="221"/>
      <c r="DJ1233" s="221"/>
      <c r="DK1233" s="221"/>
      <c r="DL1233" s="221"/>
      <c r="DM1233" s="221"/>
      <c r="DN1233" s="221"/>
      <c r="DO1233" s="221"/>
      <c r="DP1233" s="221"/>
      <c r="DQ1233" s="221"/>
      <c r="DR1233" s="221"/>
      <c r="DS1233" s="221"/>
      <c r="DT1233" s="221"/>
      <c r="DU1233" s="221"/>
      <c r="DV1233" s="221"/>
      <c r="DW1233" s="221"/>
      <c r="DX1233" s="221"/>
      <c r="DY1233" s="221"/>
      <c r="DZ1233" s="221"/>
      <c r="EA1233" s="221"/>
      <c r="EB1233" s="221"/>
      <c r="EC1233" s="221"/>
      <c r="ED1233" s="221"/>
      <c r="EE1233" s="221"/>
      <c r="EF1233" s="221"/>
      <c r="EG1233" s="221"/>
      <c r="EH1233" s="221"/>
      <c r="EI1233" s="221"/>
      <c r="EJ1233" s="221"/>
      <c r="EK1233" s="221"/>
      <c r="EL1233" s="221"/>
      <c r="EM1233" s="221"/>
      <c r="EN1233" s="221"/>
      <c r="EO1233" s="221"/>
      <c r="EP1233" s="221"/>
      <c r="EQ1233" s="221"/>
      <c r="ER1233" s="221"/>
      <c r="ES1233" s="221"/>
      <c r="ET1233" s="221"/>
      <c r="EU1233" s="221"/>
      <c r="EV1233" s="221"/>
      <c r="EW1233" s="221"/>
      <c r="EX1233" s="221"/>
      <c r="EY1233" s="221"/>
      <c r="EZ1233" s="221"/>
      <c r="FA1233" s="221"/>
      <c r="FB1233" s="221"/>
      <c r="FC1233" s="221"/>
      <c r="FD1233" s="221"/>
      <c r="FE1233" s="221"/>
      <c r="FF1233" s="221"/>
      <c r="FG1233" s="221"/>
      <c r="FH1233" s="221"/>
      <c r="FI1233" s="221"/>
      <c r="FJ1233" s="221"/>
      <c r="FK1233" s="221"/>
      <c r="FL1233" s="221"/>
      <c r="FM1233" s="221"/>
      <c r="FN1233" s="221"/>
      <c r="FO1233" s="221"/>
      <c r="FP1233" s="221"/>
      <c r="FQ1233" s="221"/>
      <c r="FR1233" s="221"/>
      <c r="FS1233" s="221"/>
      <c r="FT1233" s="221"/>
      <c r="FU1233" s="221"/>
      <c r="FV1233" s="221"/>
      <c r="FW1233" s="221"/>
      <c r="FX1233" s="221"/>
      <c r="FY1233" s="221"/>
      <c r="FZ1233" s="221"/>
      <c r="GA1233" s="221"/>
      <c r="GB1233" s="221"/>
      <c r="GC1233" s="221"/>
      <c r="GD1233" s="221"/>
      <c r="GE1233" s="221"/>
      <c r="GF1233" s="221"/>
      <c r="GG1233" s="221"/>
      <c r="GH1233" s="221"/>
      <c r="GI1233" s="221"/>
      <c r="GJ1233" s="221"/>
      <c r="GK1233" s="221"/>
      <c r="GL1233" s="221"/>
      <c r="GM1233" s="221"/>
      <c r="GN1233" s="221"/>
    </row>
    <row r="1234">
      <c r="A1234" s="212"/>
      <c r="B1234" s="21"/>
      <c r="C1234" s="21"/>
      <c r="D1234" s="213"/>
      <c r="E1234" s="214"/>
      <c r="F1234" s="215"/>
      <c r="G1234" s="21"/>
      <c r="H1234" s="225"/>
      <c r="I1234" s="225"/>
      <c r="J1234" s="225"/>
      <c r="K1234" s="225"/>
      <c r="L1234" s="225"/>
      <c r="M1234" s="225"/>
      <c r="N1234" s="225"/>
      <c r="O1234" s="225"/>
      <c r="P1234" s="225"/>
      <c r="Q1234" s="225"/>
      <c r="R1234" s="225"/>
      <c r="S1234" s="225"/>
      <c r="T1234" s="225"/>
      <c r="U1234" s="225"/>
      <c r="V1234" s="225"/>
      <c r="W1234" s="221"/>
      <c r="X1234" s="221"/>
      <c r="Y1234" s="221"/>
      <c r="Z1234" s="221"/>
      <c r="AA1234" s="221"/>
      <c r="AB1234" s="221"/>
      <c r="AC1234" s="221"/>
      <c r="AD1234" s="221"/>
      <c r="AE1234" s="221"/>
      <c r="AF1234" s="221"/>
      <c r="AG1234" s="221"/>
      <c r="AH1234" s="221"/>
      <c r="AI1234" s="221"/>
      <c r="AJ1234" s="221"/>
      <c r="AK1234" s="221"/>
      <c r="AL1234" s="221"/>
      <c r="AM1234" s="221"/>
      <c r="AN1234" s="221"/>
      <c r="AO1234" s="221"/>
      <c r="AP1234" s="221"/>
      <c r="AQ1234" s="221"/>
      <c r="AR1234" s="221"/>
      <c r="AS1234" s="221"/>
      <c r="AT1234" s="221"/>
      <c r="AU1234" s="221"/>
      <c r="AV1234" s="221"/>
      <c r="AW1234" s="221"/>
      <c r="AX1234" s="221"/>
      <c r="AY1234" s="221"/>
      <c r="AZ1234" s="221"/>
      <c r="BA1234" s="221"/>
      <c r="BB1234" s="221"/>
      <c r="BC1234" s="221"/>
      <c r="BD1234" s="221"/>
      <c r="BE1234" s="221"/>
      <c r="BF1234" s="221"/>
      <c r="BG1234" s="221"/>
      <c r="BH1234" s="221"/>
      <c r="BI1234" s="221"/>
      <c r="BJ1234" s="221"/>
      <c r="BK1234" s="221"/>
      <c r="BL1234" s="221"/>
      <c r="BM1234" s="221"/>
      <c r="BN1234" s="221"/>
      <c r="BO1234" s="221"/>
      <c r="BP1234" s="221"/>
      <c r="BQ1234" s="221"/>
      <c r="BR1234" s="221"/>
      <c r="BS1234" s="221"/>
      <c r="BT1234" s="221"/>
      <c r="BU1234" s="221"/>
      <c r="BV1234" s="221"/>
      <c r="BW1234" s="221"/>
      <c r="BX1234" s="221"/>
      <c r="BY1234" s="221"/>
      <c r="BZ1234" s="221"/>
      <c r="CA1234" s="221"/>
      <c r="CB1234" s="221"/>
      <c r="CC1234" s="221"/>
      <c r="CD1234" s="221"/>
      <c r="CE1234" s="221"/>
      <c r="CF1234" s="221"/>
      <c r="CG1234" s="221"/>
      <c r="CH1234" s="221"/>
      <c r="CI1234" s="221"/>
      <c r="CJ1234" s="221"/>
      <c r="CK1234" s="221"/>
      <c r="CL1234" s="221"/>
      <c r="CM1234" s="221"/>
      <c r="CN1234" s="221"/>
      <c r="CO1234" s="221"/>
      <c r="CP1234" s="221"/>
      <c r="CQ1234" s="221"/>
      <c r="CR1234" s="221"/>
      <c r="CS1234" s="221"/>
      <c r="CT1234" s="221"/>
      <c r="CU1234" s="221"/>
      <c r="CV1234" s="221"/>
      <c r="CW1234" s="221"/>
      <c r="CX1234" s="221"/>
      <c r="CY1234" s="221"/>
      <c r="CZ1234" s="221"/>
      <c r="DA1234" s="221"/>
      <c r="DB1234" s="221"/>
      <c r="DC1234" s="221"/>
      <c r="DD1234" s="221"/>
      <c r="DE1234" s="221"/>
      <c r="DF1234" s="221"/>
      <c r="DG1234" s="221"/>
      <c r="DH1234" s="221"/>
      <c r="DI1234" s="221"/>
      <c r="DJ1234" s="221"/>
      <c r="DK1234" s="221"/>
      <c r="DL1234" s="221"/>
      <c r="DM1234" s="221"/>
      <c r="DN1234" s="221"/>
      <c r="DO1234" s="221"/>
      <c r="DP1234" s="221"/>
      <c r="DQ1234" s="221"/>
      <c r="DR1234" s="221"/>
      <c r="DS1234" s="221"/>
      <c r="DT1234" s="221"/>
      <c r="DU1234" s="221"/>
      <c r="DV1234" s="221"/>
      <c r="DW1234" s="221"/>
      <c r="DX1234" s="221"/>
      <c r="DY1234" s="221"/>
      <c r="DZ1234" s="221"/>
      <c r="EA1234" s="221"/>
      <c r="EB1234" s="221"/>
      <c r="EC1234" s="221"/>
      <c r="ED1234" s="221"/>
      <c r="EE1234" s="221"/>
      <c r="EF1234" s="221"/>
      <c r="EG1234" s="221"/>
      <c r="EH1234" s="221"/>
      <c r="EI1234" s="221"/>
      <c r="EJ1234" s="221"/>
      <c r="EK1234" s="221"/>
      <c r="EL1234" s="221"/>
      <c r="EM1234" s="221"/>
      <c r="EN1234" s="221"/>
      <c r="EO1234" s="221"/>
      <c r="EP1234" s="221"/>
      <c r="EQ1234" s="221"/>
      <c r="ER1234" s="221"/>
      <c r="ES1234" s="221"/>
      <c r="ET1234" s="221"/>
      <c r="EU1234" s="221"/>
      <c r="EV1234" s="221"/>
      <c r="EW1234" s="221"/>
      <c r="EX1234" s="221"/>
      <c r="EY1234" s="221"/>
      <c r="EZ1234" s="221"/>
      <c r="FA1234" s="221"/>
      <c r="FB1234" s="221"/>
      <c r="FC1234" s="221"/>
      <c r="FD1234" s="221"/>
      <c r="FE1234" s="221"/>
      <c r="FF1234" s="221"/>
      <c r="FG1234" s="221"/>
      <c r="FH1234" s="221"/>
      <c r="FI1234" s="221"/>
      <c r="FJ1234" s="221"/>
      <c r="FK1234" s="221"/>
      <c r="FL1234" s="221"/>
      <c r="FM1234" s="221"/>
      <c r="FN1234" s="221"/>
      <c r="FO1234" s="221"/>
      <c r="FP1234" s="221"/>
      <c r="FQ1234" s="221"/>
      <c r="FR1234" s="221"/>
      <c r="FS1234" s="221"/>
      <c r="FT1234" s="221"/>
      <c r="FU1234" s="221"/>
      <c r="FV1234" s="221"/>
      <c r="FW1234" s="221"/>
      <c r="FX1234" s="221"/>
      <c r="FY1234" s="221"/>
      <c r="FZ1234" s="221"/>
      <c r="GA1234" s="221"/>
      <c r="GB1234" s="221"/>
      <c r="GC1234" s="221"/>
      <c r="GD1234" s="221"/>
      <c r="GE1234" s="221"/>
      <c r="GF1234" s="221"/>
      <c r="GG1234" s="221"/>
      <c r="GH1234" s="221"/>
      <c r="GI1234" s="221"/>
      <c r="GJ1234" s="221"/>
      <c r="GK1234" s="221"/>
      <c r="GL1234" s="221"/>
      <c r="GM1234" s="221"/>
      <c r="GN1234" s="221"/>
    </row>
    <row r="1235">
      <c r="A1235" s="212"/>
      <c r="B1235" s="21"/>
      <c r="C1235" s="21"/>
      <c r="D1235" s="213"/>
      <c r="E1235" s="214"/>
      <c r="F1235" s="215"/>
      <c r="G1235" s="21"/>
      <c r="H1235" s="225"/>
      <c r="I1235" s="225"/>
      <c r="J1235" s="225"/>
      <c r="K1235" s="225"/>
      <c r="L1235" s="225"/>
      <c r="M1235" s="225"/>
      <c r="N1235" s="225"/>
      <c r="O1235" s="225"/>
      <c r="P1235" s="225"/>
      <c r="Q1235" s="225"/>
      <c r="R1235" s="225"/>
      <c r="S1235" s="225"/>
      <c r="T1235" s="225"/>
      <c r="U1235" s="225"/>
      <c r="V1235" s="225"/>
      <c r="W1235" s="221"/>
      <c r="X1235" s="221"/>
      <c r="Y1235" s="221"/>
      <c r="Z1235" s="221"/>
      <c r="AA1235" s="221"/>
      <c r="AB1235" s="221"/>
      <c r="AC1235" s="221"/>
      <c r="AD1235" s="221"/>
      <c r="AE1235" s="221"/>
      <c r="AF1235" s="221"/>
      <c r="AG1235" s="221"/>
      <c r="AH1235" s="221"/>
      <c r="AI1235" s="221"/>
      <c r="AJ1235" s="221"/>
      <c r="AK1235" s="221"/>
      <c r="AL1235" s="221"/>
      <c r="AM1235" s="221"/>
      <c r="AN1235" s="221"/>
      <c r="AO1235" s="221"/>
      <c r="AP1235" s="221"/>
      <c r="AQ1235" s="221"/>
      <c r="AR1235" s="221"/>
      <c r="AS1235" s="221"/>
      <c r="AT1235" s="221"/>
      <c r="AU1235" s="221"/>
      <c r="AV1235" s="221"/>
      <c r="AW1235" s="221"/>
      <c r="AX1235" s="221"/>
      <c r="AY1235" s="221"/>
      <c r="AZ1235" s="221"/>
      <c r="BA1235" s="221"/>
      <c r="BB1235" s="221"/>
      <c r="BC1235" s="221"/>
      <c r="BD1235" s="221"/>
      <c r="BE1235" s="221"/>
      <c r="BF1235" s="221"/>
      <c r="BG1235" s="221"/>
      <c r="BH1235" s="221"/>
      <c r="BI1235" s="221"/>
      <c r="BJ1235" s="221"/>
      <c r="BK1235" s="221"/>
      <c r="BL1235" s="221"/>
      <c r="BM1235" s="221"/>
      <c r="BN1235" s="221"/>
      <c r="BO1235" s="221"/>
      <c r="BP1235" s="221"/>
      <c r="BQ1235" s="221"/>
      <c r="BR1235" s="221"/>
      <c r="BS1235" s="221"/>
      <c r="BT1235" s="221"/>
      <c r="BU1235" s="221"/>
      <c r="BV1235" s="221"/>
      <c r="BW1235" s="221"/>
      <c r="BX1235" s="221"/>
      <c r="BY1235" s="221"/>
      <c r="BZ1235" s="221"/>
      <c r="CA1235" s="221"/>
      <c r="CB1235" s="221"/>
      <c r="CC1235" s="221"/>
      <c r="CD1235" s="221"/>
      <c r="CE1235" s="221"/>
      <c r="CF1235" s="221"/>
      <c r="CG1235" s="221"/>
      <c r="CH1235" s="221"/>
      <c r="CI1235" s="221"/>
      <c r="CJ1235" s="221"/>
      <c r="CK1235" s="221"/>
      <c r="CL1235" s="221"/>
      <c r="CM1235" s="221"/>
      <c r="CN1235" s="221"/>
      <c r="CO1235" s="221"/>
      <c r="CP1235" s="221"/>
      <c r="CQ1235" s="221"/>
      <c r="CR1235" s="221"/>
      <c r="CS1235" s="221"/>
      <c r="CT1235" s="221"/>
      <c r="CU1235" s="221"/>
      <c r="CV1235" s="221"/>
      <c r="CW1235" s="221"/>
      <c r="CX1235" s="221"/>
      <c r="CY1235" s="221"/>
      <c r="CZ1235" s="221"/>
      <c r="DA1235" s="221"/>
      <c r="DB1235" s="221"/>
      <c r="DC1235" s="221"/>
      <c r="DD1235" s="221"/>
      <c r="DE1235" s="221"/>
      <c r="DF1235" s="221"/>
      <c r="DG1235" s="221"/>
      <c r="DH1235" s="221"/>
      <c r="DI1235" s="221"/>
      <c r="DJ1235" s="221"/>
      <c r="DK1235" s="221"/>
      <c r="DL1235" s="221"/>
      <c r="DM1235" s="221"/>
      <c r="DN1235" s="221"/>
      <c r="DO1235" s="221"/>
      <c r="DP1235" s="221"/>
      <c r="DQ1235" s="221"/>
      <c r="DR1235" s="221"/>
      <c r="DS1235" s="221"/>
      <c r="DT1235" s="221"/>
      <c r="DU1235" s="221"/>
      <c r="DV1235" s="221"/>
      <c r="DW1235" s="221"/>
      <c r="DX1235" s="221"/>
      <c r="DY1235" s="221"/>
      <c r="DZ1235" s="221"/>
      <c r="EA1235" s="221"/>
      <c r="EB1235" s="221"/>
      <c r="EC1235" s="221"/>
      <c r="ED1235" s="221"/>
      <c r="EE1235" s="221"/>
      <c r="EF1235" s="221"/>
      <c r="EG1235" s="221"/>
      <c r="EH1235" s="221"/>
      <c r="EI1235" s="221"/>
      <c r="EJ1235" s="221"/>
      <c r="EK1235" s="221"/>
      <c r="EL1235" s="221"/>
      <c r="EM1235" s="221"/>
      <c r="EN1235" s="221"/>
      <c r="EO1235" s="221"/>
      <c r="EP1235" s="221"/>
      <c r="EQ1235" s="221"/>
      <c r="ER1235" s="221"/>
      <c r="ES1235" s="221"/>
      <c r="ET1235" s="221"/>
      <c r="EU1235" s="221"/>
      <c r="EV1235" s="221"/>
      <c r="EW1235" s="221"/>
      <c r="EX1235" s="221"/>
      <c r="EY1235" s="221"/>
      <c r="EZ1235" s="221"/>
      <c r="FA1235" s="221"/>
      <c r="FB1235" s="221"/>
      <c r="FC1235" s="221"/>
      <c r="FD1235" s="221"/>
      <c r="FE1235" s="221"/>
      <c r="FF1235" s="221"/>
      <c r="FG1235" s="221"/>
      <c r="FH1235" s="221"/>
      <c r="FI1235" s="221"/>
      <c r="FJ1235" s="221"/>
      <c r="FK1235" s="221"/>
      <c r="FL1235" s="221"/>
      <c r="FM1235" s="221"/>
      <c r="FN1235" s="221"/>
      <c r="FO1235" s="221"/>
      <c r="FP1235" s="221"/>
      <c r="FQ1235" s="221"/>
      <c r="FR1235" s="221"/>
      <c r="FS1235" s="221"/>
      <c r="FT1235" s="221"/>
      <c r="FU1235" s="221"/>
      <c r="FV1235" s="221"/>
      <c r="FW1235" s="221"/>
      <c r="FX1235" s="221"/>
      <c r="FY1235" s="221"/>
      <c r="FZ1235" s="221"/>
      <c r="GA1235" s="221"/>
      <c r="GB1235" s="221"/>
      <c r="GC1235" s="221"/>
      <c r="GD1235" s="221"/>
      <c r="GE1235" s="221"/>
      <c r="GF1235" s="221"/>
      <c r="GG1235" s="221"/>
      <c r="GH1235" s="221"/>
      <c r="GI1235" s="221"/>
      <c r="GJ1235" s="221"/>
      <c r="GK1235" s="221"/>
      <c r="GL1235" s="221"/>
      <c r="GM1235" s="221"/>
      <c r="GN1235" s="221"/>
    </row>
    <row r="1236">
      <c r="A1236" s="212"/>
      <c r="B1236" s="21"/>
      <c r="C1236" s="21"/>
      <c r="D1236" s="213"/>
      <c r="E1236" s="214"/>
      <c r="F1236" s="215"/>
      <c r="G1236" s="21"/>
      <c r="H1236" s="225"/>
      <c r="I1236" s="225"/>
      <c r="J1236" s="225"/>
      <c r="K1236" s="225"/>
      <c r="L1236" s="225"/>
      <c r="M1236" s="225"/>
      <c r="N1236" s="225"/>
      <c r="O1236" s="225"/>
      <c r="P1236" s="225"/>
      <c r="Q1236" s="225"/>
      <c r="R1236" s="225"/>
      <c r="S1236" s="225"/>
      <c r="T1236" s="225"/>
      <c r="U1236" s="225"/>
      <c r="V1236" s="225"/>
      <c r="W1236" s="221"/>
      <c r="X1236" s="221"/>
      <c r="Y1236" s="221"/>
      <c r="Z1236" s="221"/>
      <c r="AA1236" s="221"/>
      <c r="AB1236" s="221"/>
      <c r="AC1236" s="221"/>
      <c r="AD1236" s="221"/>
      <c r="AE1236" s="221"/>
      <c r="AF1236" s="221"/>
      <c r="AG1236" s="221"/>
      <c r="AH1236" s="221"/>
      <c r="AI1236" s="221"/>
      <c r="AJ1236" s="221"/>
      <c r="AK1236" s="221"/>
      <c r="AL1236" s="221"/>
      <c r="AM1236" s="221"/>
      <c r="AN1236" s="221"/>
      <c r="AO1236" s="221"/>
      <c r="AP1236" s="221"/>
      <c r="AQ1236" s="221"/>
      <c r="AR1236" s="221"/>
      <c r="AS1236" s="221"/>
      <c r="AT1236" s="221"/>
      <c r="AU1236" s="221"/>
      <c r="AV1236" s="221"/>
      <c r="AW1236" s="221"/>
      <c r="AX1236" s="221"/>
      <c r="AY1236" s="221"/>
      <c r="AZ1236" s="221"/>
      <c r="BA1236" s="221"/>
      <c r="BB1236" s="221"/>
      <c r="BC1236" s="221"/>
      <c r="BD1236" s="221"/>
      <c r="BE1236" s="221"/>
      <c r="BF1236" s="221"/>
      <c r="BG1236" s="221"/>
      <c r="BH1236" s="221"/>
      <c r="BI1236" s="221"/>
      <c r="BJ1236" s="221"/>
      <c r="BK1236" s="221"/>
      <c r="BL1236" s="221"/>
      <c r="BM1236" s="221"/>
      <c r="BN1236" s="221"/>
      <c r="BO1236" s="221"/>
      <c r="BP1236" s="221"/>
      <c r="BQ1236" s="221"/>
      <c r="BR1236" s="221"/>
      <c r="BS1236" s="221"/>
      <c r="BT1236" s="221"/>
      <c r="BU1236" s="221"/>
      <c r="BV1236" s="221"/>
      <c r="BW1236" s="221"/>
      <c r="BX1236" s="221"/>
      <c r="BY1236" s="221"/>
      <c r="BZ1236" s="221"/>
      <c r="CA1236" s="221"/>
      <c r="CB1236" s="221"/>
      <c r="CC1236" s="221"/>
      <c r="CD1236" s="221"/>
      <c r="CE1236" s="221"/>
      <c r="CF1236" s="221"/>
      <c r="CG1236" s="221"/>
      <c r="CH1236" s="221"/>
      <c r="CI1236" s="221"/>
      <c r="CJ1236" s="221"/>
      <c r="CK1236" s="221"/>
      <c r="CL1236" s="221"/>
      <c r="CM1236" s="221"/>
      <c r="CN1236" s="221"/>
      <c r="CO1236" s="221"/>
      <c r="CP1236" s="221"/>
      <c r="CQ1236" s="221"/>
      <c r="CR1236" s="221"/>
      <c r="CS1236" s="221"/>
      <c r="CT1236" s="221"/>
      <c r="CU1236" s="221"/>
      <c r="CV1236" s="221"/>
      <c r="CW1236" s="221"/>
      <c r="CX1236" s="221"/>
      <c r="CY1236" s="221"/>
      <c r="CZ1236" s="221"/>
      <c r="DA1236" s="221"/>
      <c r="DB1236" s="221"/>
      <c r="DC1236" s="221"/>
      <c r="DD1236" s="221"/>
      <c r="DE1236" s="221"/>
      <c r="DF1236" s="221"/>
      <c r="DG1236" s="221"/>
      <c r="DH1236" s="221"/>
      <c r="DI1236" s="221"/>
      <c r="DJ1236" s="221"/>
      <c r="DK1236" s="221"/>
      <c r="DL1236" s="221"/>
      <c r="DM1236" s="221"/>
      <c r="DN1236" s="221"/>
      <c r="DO1236" s="221"/>
      <c r="DP1236" s="221"/>
      <c r="DQ1236" s="221"/>
      <c r="DR1236" s="221"/>
      <c r="DS1236" s="221"/>
      <c r="DT1236" s="221"/>
      <c r="DU1236" s="221"/>
      <c r="DV1236" s="221"/>
      <c r="DW1236" s="221"/>
      <c r="DX1236" s="221"/>
      <c r="DY1236" s="221"/>
      <c r="DZ1236" s="221"/>
      <c r="EA1236" s="221"/>
      <c r="EB1236" s="221"/>
      <c r="EC1236" s="221"/>
      <c r="ED1236" s="221"/>
      <c r="EE1236" s="221"/>
      <c r="EF1236" s="221"/>
      <c r="EG1236" s="221"/>
      <c r="EH1236" s="221"/>
      <c r="EI1236" s="221"/>
      <c r="EJ1236" s="221"/>
      <c r="EK1236" s="221"/>
      <c r="EL1236" s="221"/>
      <c r="EM1236" s="221"/>
      <c r="EN1236" s="221"/>
      <c r="EO1236" s="221"/>
      <c r="EP1236" s="221"/>
      <c r="EQ1236" s="221"/>
      <c r="ER1236" s="221"/>
      <c r="ES1236" s="221"/>
      <c r="ET1236" s="221"/>
      <c r="EU1236" s="221"/>
      <c r="EV1236" s="221"/>
      <c r="EW1236" s="221"/>
      <c r="EX1236" s="221"/>
      <c r="EY1236" s="221"/>
      <c r="EZ1236" s="221"/>
      <c r="FA1236" s="221"/>
      <c r="FB1236" s="221"/>
      <c r="FC1236" s="221"/>
      <c r="FD1236" s="221"/>
      <c r="FE1236" s="221"/>
      <c r="FF1236" s="221"/>
      <c r="FG1236" s="221"/>
      <c r="FH1236" s="221"/>
      <c r="FI1236" s="221"/>
      <c r="FJ1236" s="221"/>
      <c r="FK1236" s="221"/>
      <c r="FL1236" s="221"/>
      <c r="FM1236" s="221"/>
      <c r="FN1236" s="221"/>
      <c r="FO1236" s="221"/>
      <c r="FP1236" s="221"/>
      <c r="FQ1236" s="221"/>
      <c r="FR1236" s="221"/>
      <c r="FS1236" s="221"/>
      <c r="FT1236" s="221"/>
      <c r="FU1236" s="221"/>
      <c r="FV1236" s="221"/>
      <c r="FW1236" s="221"/>
      <c r="FX1236" s="221"/>
      <c r="FY1236" s="221"/>
      <c r="FZ1236" s="221"/>
      <c r="GA1236" s="221"/>
      <c r="GB1236" s="221"/>
      <c r="GC1236" s="221"/>
      <c r="GD1236" s="221"/>
      <c r="GE1236" s="221"/>
      <c r="GF1236" s="221"/>
      <c r="GG1236" s="221"/>
      <c r="GH1236" s="221"/>
      <c r="GI1236" s="221"/>
      <c r="GJ1236" s="221"/>
      <c r="GK1236" s="221"/>
      <c r="GL1236" s="221"/>
      <c r="GM1236" s="221"/>
      <c r="GN1236" s="221"/>
    </row>
    <row r="1237">
      <c r="A1237" s="212"/>
      <c r="B1237" s="21"/>
      <c r="C1237" s="21"/>
      <c r="D1237" s="213"/>
      <c r="E1237" s="214"/>
      <c r="F1237" s="215"/>
      <c r="G1237" s="21"/>
      <c r="H1237" s="225"/>
      <c r="I1237" s="225"/>
      <c r="J1237" s="225"/>
      <c r="K1237" s="225"/>
      <c r="L1237" s="225"/>
      <c r="M1237" s="225"/>
      <c r="N1237" s="225"/>
      <c r="O1237" s="225"/>
      <c r="P1237" s="225"/>
      <c r="Q1237" s="225"/>
      <c r="R1237" s="225"/>
      <c r="S1237" s="225"/>
      <c r="T1237" s="225"/>
      <c r="U1237" s="225"/>
      <c r="V1237" s="225"/>
      <c r="W1237" s="221"/>
      <c r="X1237" s="221"/>
      <c r="Y1237" s="221"/>
      <c r="Z1237" s="221"/>
      <c r="AA1237" s="221"/>
      <c r="AB1237" s="221"/>
      <c r="AC1237" s="221"/>
      <c r="AD1237" s="221"/>
      <c r="AE1237" s="221"/>
      <c r="AF1237" s="221"/>
      <c r="AG1237" s="221"/>
      <c r="AH1237" s="221"/>
      <c r="AI1237" s="221"/>
      <c r="AJ1237" s="221"/>
      <c r="AK1237" s="221"/>
      <c r="AL1237" s="221"/>
      <c r="AM1237" s="221"/>
      <c r="AN1237" s="221"/>
      <c r="AO1237" s="221"/>
      <c r="AP1237" s="221"/>
      <c r="AQ1237" s="221"/>
      <c r="AR1237" s="221"/>
      <c r="AS1237" s="221"/>
      <c r="AT1237" s="221"/>
      <c r="AU1237" s="221"/>
      <c r="AV1237" s="221"/>
      <c r="AW1237" s="221"/>
      <c r="AX1237" s="221"/>
      <c r="AY1237" s="221"/>
      <c r="AZ1237" s="221"/>
      <c r="BA1237" s="221"/>
      <c r="BB1237" s="221"/>
      <c r="BC1237" s="221"/>
      <c r="BD1237" s="221"/>
      <c r="BE1237" s="221"/>
      <c r="BF1237" s="221"/>
      <c r="BG1237" s="221"/>
      <c r="BH1237" s="221"/>
      <c r="BI1237" s="221"/>
      <c r="BJ1237" s="221"/>
      <c r="BK1237" s="221"/>
      <c r="BL1237" s="221"/>
      <c r="BM1237" s="221"/>
      <c r="BN1237" s="221"/>
      <c r="BO1237" s="221"/>
      <c r="BP1237" s="221"/>
      <c r="BQ1237" s="221"/>
      <c r="BR1237" s="221"/>
      <c r="BS1237" s="221"/>
      <c r="BT1237" s="221"/>
      <c r="BU1237" s="221"/>
      <c r="BV1237" s="221"/>
      <c r="BW1237" s="221"/>
      <c r="BX1237" s="221"/>
      <c r="BY1237" s="221"/>
      <c r="BZ1237" s="221"/>
      <c r="CA1237" s="221"/>
      <c r="CB1237" s="221"/>
      <c r="CC1237" s="221"/>
      <c r="CD1237" s="221"/>
      <c r="CE1237" s="221"/>
      <c r="CF1237" s="221"/>
      <c r="CG1237" s="221"/>
      <c r="CH1237" s="221"/>
      <c r="CI1237" s="221"/>
      <c r="CJ1237" s="221"/>
      <c r="CK1237" s="221"/>
      <c r="CL1237" s="221"/>
      <c r="CM1237" s="221"/>
      <c r="CN1237" s="221"/>
      <c r="CO1237" s="221"/>
      <c r="CP1237" s="221"/>
      <c r="CQ1237" s="221"/>
      <c r="CR1237" s="221"/>
      <c r="CS1237" s="221"/>
      <c r="CT1237" s="221"/>
      <c r="CU1237" s="221"/>
      <c r="CV1237" s="221"/>
      <c r="CW1237" s="221"/>
      <c r="CX1237" s="221"/>
      <c r="CY1237" s="221"/>
      <c r="CZ1237" s="221"/>
      <c r="DA1237" s="221"/>
      <c r="DB1237" s="221"/>
      <c r="DC1237" s="221"/>
      <c r="DD1237" s="221"/>
      <c r="DE1237" s="221"/>
      <c r="DF1237" s="221"/>
      <c r="DG1237" s="221"/>
      <c r="DH1237" s="221"/>
      <c r="DI1237" s="221"/>
      <c r="DJ1237" s="221"/>
      <c r="DK1237" s="221"/>
      <c r="DL1237" s="221"/>
      <c r="DM1237" s="221"/>
      <c r="DN1237" s="221"/>
      <c r="DO1237" s="221"/>
      <c r="DP1237" s="221"/>
      <c r="DQ1237" s="221"/>
      <c r="DR1237" s="221"/>
      <c r="DS1237" s="221"/>
      <c r="DT1237" s="221"/>
      <c r="DU1237" s="221"/>
      <c r="DV1237" s="221"/>
      <c r="DW1237" s="221"/>
      <c r="DX1237" s="221"/>
      <c r="DY1237" s="221"/>
      <c r="DZ1237" s="221"/>
      <c r="EA1237" s="221"/>
      <c r="EB1237" s="221"/>
      <c r="EC1237" s="221"/>
      <c r="ED1237" s="221"/>
      <c r="EE1237" s="221"/>
      <c r="EF1237" s="221"/>
      <c r="EG1237" s="221"/>
      <c r="EH1237" s="221"/>
      <c r="EI1237" s="221"/>
      <c r="EJ1237" s="221"/>
      <c r="EK1237" s="221"/>
      <c r="EL1237" s="221"/>
      <c r="EM1237" s="221"/>
      <c r="EN1237" s="221"/>
      <c r="EO1237" s="221"/>
      <c r="EP1237" s="221"/>
      <c r="EQ1237" s="221"/>
      <c r="ER1237" s="221"/>
      <c r="ES1237" s="221"/>
      <c r="ET1237" s="221"/>
      <c r="EU1237" s="221"/>
      <c r="EV1237" s="221"/>
      <c r="EW1237" s="221"/>
      <c r="EX1237" s="221"/>
      <c r="EY1237" s="221"/>
      <c r="EZ1237" s="221"/>
      <c r="FA1237" s="221"/>
      <c r="FB1237" s="221"/>
      <c r="FC1237" s="221"/>
      <c r="FD1237" s="221"/>
      <c r="FE1237" s="221"/>
      <c r="FF1237" s="221"/>
      <c r="FG1237" s="221"/>
      <c r="FH1237" s="221"/>
      <c r="FI1237" s="221"/>
      <c r="FJ1237" s="221"/>
      <c r="FK1237" s="221"/>
      <c r="FL1237" s="221"/>
      <c r="FM1237" s="221"/>
      <c r="FN1237" s="221"/>
      <c r="FO1237" s="221"/>
      <c r="FP1237" s="221"/>
      <c r="FQ1237" s="221"/>
      <c r="FR1237" s="221"/>
      <c r="FS1237" s="221"/>
      <c r="FT1237" s="221"/>
      <c r="FU1237" s="221"/>
      <c r="FV1237" s="221"/>
      <c r="FW1237" s="221"/>
      <c r="FX1237" s="221"/>
      <c r="FY1237" s="221"/>
      <c r="FZ1237" s="221"/>
      <c r="GA1237" s="221"/>
      <c r="GB1237" s="221"/>
      <c r="GC1237" s="221"/>
      <c r="GD1237" s="221"/>
      <c r="GE1237" s="221"/>
      <c r="GF1237" s="221"/>
      <c r="GG1237" s="221"/>
      <c r="GH1237" s="221"/>
      <c r="GI1237" s="221"/>
      <c r="GJ1237" s="221"/>
      <c r="GK1237" s="221"/>
      <c r="GL1237" s="221"/>
      <c r="GM1237" s="221"/>
      <c r="GN1237" s="221"/>
    </row>
    <row r="1238">
      <c r="A1238" s="212"/>
      <c r="B1238" s="21"/>
      <c r="C1238" s="21"/>
      <c r="D1238" s="213"/>
      <c r="E1238" s="214"/>
      <c r="F1238" s="215"/>
      <c r="G1238" s="21"/>
      <c r="H1238" s="225"/>
      <c r="I1238" s="225"/>
      <c r="J1238" s="225"/>
      <c r="K1238" s="225"/>
      <c r="L1238" s="225"/>
      <c r="M1238" s="225"/>
      <c r="N1238" s="225"/>
      <c r="O1238" s="225"/>
      <c r="P1238" s="225"/>
      <c r="Q1238" s="225"/>
      <c r="R1238" s="225"/>
      <c r="S1238" s="225"/>
      <c r="T1238" s="225"/>
      <c r="U1238" s="225"/>
      <c r="V1238" s="225"/>
      <c r="W1238" s="221"/>
      <c r="X1238" s="221"/>
      <c r="Y1238" s="221"/>
      <c r="Z1238" s="221"/>
      <c r="AA1238" s="221"/>
      <c r="AB1238" s="221"/>
      <c r="AC1238" s="221"/>
      <c r="AD1238" s="221"/>
      <c r="AE1238" s="221"/>
      <c r="AF1238" s="221"/>
      <c r="AG1238" s="221"/>
      <c r="AH1238" s="221"/>
      <c r="AI1238" s="221"/>
      <c r="AJ1238" s="221"/>
      <c r="AK1238" s="221"/>
      <c r="AL1238" s="221"/>
      <c r="AM1238" s="221"/>
      <c r="AN1238" s="221"/>
      <c r="AO1238" s="221"/>
      <c r="AP1238" s="221"/>
      <c r="AQ1238" s="221"/>
      <c r="AR1238" s="221"/>
      <c r="AS1238" s="221"/>
      <c r="AT1238" s="221"/>
      <c r="AU1238" s="221"/>
      <c r="AV1238" s="221"/>
      <c r="AW1238" s="221"/>
      <c r="AX1238" s="221"/>
      <c r="AY1238" s="221"/>
      <c r="AZ1238" s="221"/>
      <c r="BA1238" s="221"/>
      <c r="BB1238" s="221"/>
      <c r="BC1238" s="221"/>
      <c r="BD1238" s="221"/>
      <c r="BE1238" s="221"/>
      <c r="BF1238" s="221"/>
      <c r="BG1238" s="221"/>
      <c r="BH1238" s="221"/>
      <c r="BI1238" s="221"/>
      <c r="BJ1238" s="221"/>
      <c r="BK1238" s="221"/>
      <c r="BL1238" s="221"/>
      <c r="BM1238" s="221"/>
      <c r="BN1238" s="221"/>
      <c r="BO1238" s="221"/>
      <c r="BP1238" s="221"/>
      <c r="BQ1238" s="221"/>
      <c r="BR1238" s="221"/>
      <c r="BS1238" s="221"/>
      <c r="BT1238" s="221"/>
      <c r="BU1238" s="221"/>
      <c r="BV1238" s="221"/>
      <c r="BW1238" s="221"/>
      <c r="BX1238" s="221"/>
      <c r="BY1238" s="221"/>
      <c r="BZ1238" s="221"/>
      <c r="CA1238" s="221"/>
      <c r="CB1238" s="221"/>
      <c r="CC1238" s="221"/>
      <c r="CD1238" s="221"/>
      <c r="CE1238" s="221"/>
      <c r="CF1238" s="221"/>
      <c r="CG1238" s="221"/>
      <c r="CH1238" s="221"/>
      <c r="CI1238" s="221"/>
      <c r="CJ1238" s="221"/>
      <c r="CK1238" s="221"/>
      <c r="CL1238" s="221"/>
      <c r="CM1238" s="221"/>
      <c r="CN1238" s="221"/>
      <c r="CO1238" s="221"/>
      <c r="CP1238" s="221"/>
      <c r="CQ1238" s="221"/>
      <c r="CR1238" s="221"/>
      <c r="CS1238" s="221"/>
      <c r="CT1238" s="221"/>
      <c r="CU1238" s="221"/>
      <c r="CV1238" s="221"/>
      <c r="CW1238" s="221"/>
      <c r="CX1238" s="221"/>
      <c r="CY1238" s="221"/>
      <c r="CZ1238" s="221"/>
      <c r="DA1238" s="221"/>
      <c r="DB1238" s="221"/>
      <c r="DC1238" s="221"/>
      <c r="DD1238" s="221"/>
      <c r="DE1238" s="221"/>
      <c r="DF1238" s="221"/>
      <c r="DG1238" s="221"/>
      <c r="DH1238" s="221"/>
      <c r="DI1238" s="221"/>
      <c r="DJ1238" s="221"/>
      <c r="DK1238" s="221"/>
      <c r="DL1238" s="221"/>
      <c r="DM1238" s="221"/>
      <c r="DN1238" s="221"/>
      <c r="DO1238" s="221"/>
      <c r="DP1238" s="221"/>
      <c r="DQ1238" s="221"/>
      <c r="DR1238" s="221"/>
      <c r="DS1238" s="221"/>
      <c r="DT1238" s="221"/>
      <c r="DU1238" s="221"/>
      <c r="DV1238" s="221"/>
      <c r="DW1238" s="221"/>
      <c r="DX1238" s="221"/>
      <c r="DY1238" s="221"/>
      <c r="DZ1238" s="221"/>
      <c r="EA1238" s="221"/>
      <c r="EB1238" s="221"/>
      <c r="EC1238" s="221"/>
      <c r="ED1238" s="221"/>
      <c r="EE1238" s="221"/>
      <c r="EF1238" s="221"/>
      <c r="EG1238" s="221"/>
      <c r="EH1238" s="221"/>
      <c r="EI1238" s="221"/>
      <c r="EJ1238" s="221"/>
      <c r="EK1238" s="221"/>
      <c r="EL1238" s="221"/>
      <c r="EM1238" s="221"/>
      <c r="EN1238" s="221"/>
      <c r="EO1238" s="221"/>
      <c r="EP1238" s="221"/>
      <c r="EQ1238" s="221"/>
      <c r="ER1238" s="221"/>
      <c r="ES1238" s="221"/>
      <c r="ET1238" s="221"/>
      <c r="EU1238" s="221"/>
      <c r="EV1238" s="221"/>
      <c r="EW1238" s="221"/>
      <c r="EX1238" s="221"/>
      <c r="EY1238" s="221"/>
      <c r="EZ1238" s="221"/>
      <c r="FA1238" s="221"/>
      <c r="FB1238" s="221"/>
      <c r="FC1238" s="221"/>
      <c r="FD1238" s="221"/>
      <c r="FE1238" s="221"/>
      <c r="FF1238" s="221"/>
      <c r="FG1238" s="221"/>
      <c r="FH1238" s="221"/>
      <c r="FI1238" s="221"/>
      <c r="FJ1238" s="221"/>
      <c r="FK1238" s="221"/>
      <c r="FL1238" s="221"/>
      <c r="FM1238" s="221"/>
      <c r="FN1238" s="221"/>
      <c r="FO1238" s="221"/>
      <c r="FP1238" s="221"/>
      <c r="FQ1238" s="221"/>
      <c r="FR1238" s="221"/>
      <c r="FS1238" s="221"/>
      <c r="FT1238" s="221"/>
      <c r="FU1238" s="221"/>
      <c r="FV1238" s="221"/>
      <c r="FW1238" s="221"/>
      <c r="FX1238" s="221"/>
      <c r="FY1238" s="221"/>
      <c r="FZ1238" s="221"/>
      <c r="GA1238" s="221"/>
      <c r="GB1238" s="221"/>
      <c r="GC1238" s="221"/>
      <c r="GD1238" s="221"/>
      <c r="GE1238" s="221"/>
      <c r="GF1238" s="221"/>
      <c r="GG1238" s="221"/>
      <c r="GH1238" s="221"/>
      <c r="GI1238" s="221"/>
      <c r="GJ1238" s="221"/>
      <c r="GK1238" s="221"/>
      <c r="GL1238" s="221"/>
      <c r="GM1238" s="221"/>
      <c r="GN1238" s="221"/>
    </row>
    <row r="1239">
      <c r="A1239" s="212"/>
      <c r="B1239" s="21"/>
      <c r="C1239" s="21"/>
      <c r="D1239" s="213"/>
      <c r="E1239" s="214"/>
      <c r="F1239" s="215"/>
      <c r="G1239" s="21"/>
      <c r="H1239" s="225"/>
      <c r="I1239" s="225"/>
      <c r="J1239" s="225"/>
      <c r="K1239" s="225"/>
      <c r="L1239" s="225"/>
      <c r="M1239" s="225"/>
      <c r="N1239" s="225"/>
      <c r="O1239" s="225"/>
      <c r="P1239" s="225"/>
      <c r="Q1239" s="225"/>
      <c r="R1239" s="225"/>
      <c r="S1239" s="225"/>
      <c r="T1239" s="225"/>
      <c r="U1239" s="225"/>
      <c r="V1239" s="225"/>
      <c r="W1239" s="221"/>
      <c r="X1239" s="221"/>
      <c r="Y1239" s="221"/>
      <c r="Z1239" s="221"/>
      <c r="AA1239" s="221"/>
      <c r="AB1239" s="221"/>
      <c r="AC1239" s="221"/>
      <c r="AD1239" s="221"/>
      <c r="AE1239" s="221"/>
      <c r="AF1239" s="221"/>
      <c r="AG1239" s="221"/>
      <c r="AH1239" s="221"/>
      <c r="AI1239" s="221"/>
      <c r="AJ1239" s="221"/>
      <c r="AK1239" s="221"/>
      <c r="AL1239" s="221"/>
      <c r="AM1239" s="221"/>
      <c r="AN1239" s="221"/>
      <c r="AO1239" s="221"/>
      <c r="AP1239" s="221"/>
      <c r="AQ1239" s="221"/>
      <c r="AR1239" s="221"/>
      <c r="AS1239" s="221"/>
      <c r="AT1239" s="221"/>
      <c r="AU1239" s="221"/>
      <c r="AV1239" s="221"/>
      <c r="AW1239" s="221"/>
      <c r="AX1239" s="221"/>
      <c r="AY1239" s="221"/>
      <c r="AZ1239" s="221"/>
      <c r="BA1239" s="221"/>
      <c r="BB1239" s="221"/>
      <c r="BC1239" s="221"/>
      <c r="BD1239" s="221"/>
      <c r="BE1239" s="221"/>
      <c r="BF1239" s="221"/>
      <c r="BG1239" s="221"/>
      <c r="BH1239" s="221"/>
      <c r="BI1239" s="221"/>
      <c r="BJ1239" s="221"/>
      <c r="BK1239" s="221"/>
      <c r="BL1239" s="221"/>
      <c r="BM1239" s="221"/>
      <c r="BN1239" s="221"/>
      <c r="BO1239" s="221"/>
      <c r="BP1239" s="221"/>
      <c r="BQ1239" s="221"/>
      <c r="BR1239" s="221"/>
      <c r="BS1239" s="221"/>
      <c r="BT1239" s="221"/>
      <c r="BU1239" s="221"/>
      <c r="BV1239" s="221"/>
      <c r="BW1239" s="221"/>
      <c r="BX1239" s="221"/>
      <c r="BY1239" s="221"/>
      <c r="BZ1239" s="221"/>
      <c r="CA1239" s="221"/>
      <c r="CB1239" s="221"/>
      <c r="CC1239" s="221"/>
      <c r="CD1239" s="221"/>
      <c r="CE1239" s="221"/>
      <c r="CF1239" s="221"/>
      <c r="CG1239" s="221"/>
      <c r="CH1239" s="221"/>
      <c r="CI1239" s="221"/>
      <c r="CJ1239" s="221"/>
      <c r="CK1239" s="221"/>
      <c r="CL1239" s="221"/>
      <c r="CM1239" s="221"/>
      <c r="CN1239" s="221"/>
      <c r="CO1239" s="221"/>
      <c r="CP1239" s="221"/>
      <c r="CQ1239" s="221"/>
      <c r="CR1239" s="221"/>
      <c r="CS1239" s="221"/>
      <c r="CT1239" s="221"/>
      <c r="CU1239" s="221"/>
      <c r="CV1239" s="221"/>
      <c r="CW1239" s="221"/>
      <c r="CX1239" s="221"/>
      <c r="CY1239" s="221"/>
      <c r="CZ1239" s="221"/>
      <c r="DA1239" s="221"/>
      <c r="DB1239" s="221"/>
      <c r="DC1239" s="221"/>
      <c r="DD1239" s="221"/>
      <c r="DE1239" s="221"/>
      <c r="DF1239" s="221"/>
      <c r="DG1239" s="221"/>
      <c r="DH1239" s="221"/>
      <c r="DI1239" s="221"/>
      <c r="DJ1239" s="221"/>
      <c r="DK1239" s="221"/>
      <c r="DL1239" s="221"/>
      <c r="DM1239" s="221"/>
      <c r="DN1239" s="221"/>
      <c r="DO1239" s="221"/>
      <c r="DP1239" s="221"/>
      <c r="DQ1239" s="221"/>
      <c r="DR1239" s="221"/>
      <c r="DS1239" s="221"/>
      <c r="DT1239" s="221"/>
      <c r="DU1239" s="221"/>
      <c r="DV1239" s="221"/>
      <c r="DW1239" s="221"/>
      <c r="DX1239" s="221"/>
      <c r="DY1239" s="221"/>
      <c r="DZ1239" s="221"/>
      <c r="EA1239" s="221"/>
      <c r="EB1239" s="221"/>
      <c r="EC1239" s="221"/>
      <c r="ED1239" s="221"/>
      <c r="EE1239" s="221"/>
      <c r="EF1239" s="221"/>
      <c r="EG1239" s="221"/>
      <c r="EH1239" s="221"/>
      <c r="EI1239" s="221"/>
      <c r="EJ1239" s="221"/>
      <c r="EK1239" s="221"/>
      <c r="EL1239" s="221"/>
      <c r="EM1239" s="221"/>
      <c r="EN1239" s="221"/>
      <c r="EO1239" s="221"/>
      <c r="EP1239" s="221"/>
      <c r="EQ1239" s="221"/>
      <c r="ER1239" s="221"/>
      <c r="ES1239" s="221"/>
      <c r="ET1239" s="221"/>
      <c r="EU1239" s="221"/>
      <c r="EV1239" s="221"/>
      <c r="EW1239" s="221"/>
      <c r="EX1239" s="221"/>
      <c r="EY1239" s="221"/>
      <c r="EZ1239" s="221"/>
      <c r="FA1239" s="221"/>
      <c r="FB1239" s="221"/>
      <c r="FC1239" s="221"/>
      <c r="FD1239" s="221"/>
      <c r="FE1239" s="221"/>
      <c r="FF1239" s="221"/>
      <c r="FG1239" s="221"/>
      <c r="FH1239" s="221"/>
      <c r="FI1239" s="221"/>
      <c r="FJ1239" s="221"/>
      <c r="FK1239" s="221"/>
      <c r="FL1239" s="221"/>
      <c r="FM1239" s="221"/>
      <c r="FN1239" s="221"/>
      <c r="FO1239" s="221"/>
      <c r="FP1239" s="221"/>
      <c r="FQ1239" s="221"/>
      <c r="FR1239" s="221"/>
      <c r="FS1239" s="221"/>
      <c r="FT1239" s="221"/>
      <c r="FU1239" s="221"/>
      <c r="FV1239" s="221"/>
      <c r="FW1239" s="221"/>
      <c r="FX1239" s="221"/>
      <c r="FY1239" s="221"/>
      <c r="FZ1239" s="221"/>
      <c r="GA1239" s="221"/>
      <c r="GB1239" s="221"/>
      <c r="GC1239" s="221"/>
      <c r="GD1239" s="221"/>
      <c r="GE1239" s="221"/>
      <c r="GF1239" s="221"/>
      <c r="GG1239" s="221"/>
      <c r="GH1239" s="221"/>
      <c r="GI1239" s="221"/>
      <c r="GJ1239" s="221"/>
      <c r="GK1239" s="221"/>
      <c r="GL1239" s="221"/>
      <c r="GM1239" s="221"/>
      <c r="GN1239" s="221"/>
    </row>
    <row r="1240">
      <c r="A1240" s="212"/>
      <c r="B1240" s="21"/>
      <c r="C1240" s="21"/>
      <c r="D1240" s="213"/>
      <c r="E1240" s="214"/>
      <c r="F1240" s="215"/>
      <c r="G1240" s="21"/>
      <c r="H1240" s="225"/>
      <c r="I1240" s="225"/>
      <c r="J1240" s="225"/>
      <c r="K1240" s="225"/>
      <c r="L1240" s="225"/>
      <c r="M1240" s="225"/>
      <c r="N1240" s="225"/>
      <c r="O1240" s="225"/>
      <c r="P1240" s="225"/>
      <c r="Q1240" s="225"/>
      <c r="R1240" s="225"/>
      <c r="S1240" s="225"/>
      <c r="T1240" s="225"/>
      <c r="U1240" s="225"/>
      <c r="V1240" s="225"/>
      <c r="W1240" s="221"/>
      <c r="X1240" s="221"/>
      <c r="Y1240" s="221"/>
      <c r="Z1240" s="221"/>
      <c r="AA1240" s="221"/>
      <c r="AB1240" s="221"/>
      <c r="AC1240" s="221"/>
      <c r="AD1240" s="221"/>
      <c r="AE1240" s="221"/>
      <c r="AF1240" s="221"/>
      <c r="AG1240" s="221"/>
      <c r="AH1240" s="221"/>
      <c r="AI1240" s="221"/>
      <c r="AJ1240" s="221"/>
      <c r="AK1240" s="221"/>
      <c r="AL1240" s="221"/>
      <c r="AM1240" s="221"/>
      <c r="AN1240" s="221"/>
      <c r="AO1240" s="221"/>
      <c r="AP1240" s="221"/>
      <c r="AQ1240" s="221"/>
      <c r="AR1240" s="221"/>
      <c r="AS1240" s="221"/>
      <c r="AT1240" s="221"/>
      <c r="AU1240" s="221"/>
      <c r="AV1240" s="221"/>
      <c r="AW1240" s="221"/>
      <c r="AX1240" s="221"/>
      <c r="AY1240" s="221"/>
      <c r="AZ1240" s="221"/>
      <c r="BA1240" s="221"/>
      <c r="BB1240" s="221"/>
      <c r="BC1240" s="221"/>
      <c r="BD1240" s="221"/>
      <c r="BE1240" s="221"/>
      <c r="BF1240" s="221"/>
      <c r="BG1240" s="221"/>
      <c r="BH1240" s="221"/>
      <c r="BI1240" s="221"/>
      <c r="BJ1240" s="221"/>
      <c r="BK1240" s="221"/>
      <c r="BL1240" s="221"/>
      <c r="BM1240" s="221"/>
      <c r="BN1240" s="221"/>
      <c r="BO1240" s="221"/>
      <c r="BP1240" s="221"/>
      <c r="BQ1240" s="221"/>
      <c r="BR1240" s="221"/>
      <c r="BS1240" s="221"/>
      <c r="BT1240" s="221"/>
      <c r="BU1240" s="221"/>
      <c r="BV1240" s="221"/>
      <c r="BW1240" s="221"/>
      <c r="BX1240" s="221"/>
      <c r="BY1240" s="221"/>
      <c r="BZ1240" s="221"/>
      <c r="CA1240" s="221"/>
      <c r="CB1240" s="221"/>
      <c r="CC1240" s="221"/>
      <c r="CD1240" s="221"/>
      <c r="CE1240" s="221"/>
      <c r="CF1240" s="221"/>
      <c r="CG1240" s="221"/>
      <c r="CH1240" s="221"/>
      <c r="CI1240" s="221"/>
      <c r="CJ1240" s="221"/>
      <c r="CK1240" s="221"/>
      <c r="CL1240" s="221"/>
      <c r="CM1240" s="221"/>
      <c r="CN1240" s="221"/>
      <c r="CO1240" s="221"/>
      <c r="CP1240" s="221"/>
      <c r="CQ1240" s="221"/>
      <c r="CR1240" s="221"/>
      <c r="CS1240" s="221"/>
      <c r="CT1240" s="221"/>
      <c r="CU1240" s="221"/>
      <c r="CV1240" s="221"/>
      <c r="CW1240" s="221"/>
      <c r="CX1240" s="221"/>
      <c r="CY1240" s="221"/>
      <c r="CZ1240" s="221"/>
      <c r="DA1240" s="221"/>
      <c r="DB1240" s="221"/>
      <c r="DC1240" s="221"/>
      <c r="DD1240" s="221"/>
      <c r="DE1240" s="221"/>
      <c r="DF1240" s="221"/>
      <c r="DG1240" s="221"/>
      <c r="DH1240" s="221"/>
      <c r="DI1240" s="221"/>
      <c r="DJ1240" s="221"/>
      <c r="DK1240" s="221"/>
      <c r="DL1240" s="221"/>
      <c r="DM1240" s="221"/>
      <c r="DN1240" s="221"/>
      <c r="DO1240" s="221"/>
      <c r="DP1240" s="221"/>
      <c r="DQ1240" s="221"/>
      <c r="DR1240" s="221"/>
      <c r="DS1240" s="221"/>
      <c r="DT1240" s="221"/>
      <c r="DU1240" s="221"/>
      <c r="DV1240" s="221"/>
      <c r="DW1240" s="221"/>
      <c r="DX1240" s="221"/>
      <c r="DY1240" s="221"/>
      <c r="DZ1240" s="221"/>
      <c r="EA1240" s="221"/>
      <c r="EB1240" s="221"/>
      <c r="EC1240" s="221"/>
      <c r="ED1240" s="221"/>
      <c r="EE1240" s="221"/>
      <c r="EF1240" s="221"/>
      <c r="EG1240" s="221"/>
      <c r="EH1240" s="221"/>
      <c r="EI1240" s="221"/>
      <c r="EJ1240" s="221"/>
      <c r="EK1240" s="221"/>
      <c r="EL1240" s="221"/>
      <c r="EM1240" s="221"/>
      <c r="EN1240" s="221"/>
      <c r="EO1240" s="221"/>
      <c r="EP1240" s="221"/>
      <c r="EQ1240" s="221"/>
      <c r="ER1240" s="221"/>
      <c r="ES1240" s="221"/>
      <c r="ET1240" s="221"/>
      <c r="EU1240" s="221"/>
      <c r="EV1240" s="221"/>
      <c r="EW1240" s="221"/>
      <c r="EX1240" s="221"/>
      <c r="EY1240" s="221"/>
      <c r="EZ1240" s="221"/>
      <c r="FA1240" s="221"/>
      <c r="FB1240" s="221"/>
      <c r="FC1240" s="221"/>
      <c r="FD1240" s="221"/>
      <c r="FE1240" s="221"/>
      <c r="FF1240" s="221"/>
      <c r="FG1240" s="221"/>
      <c r="FH1240" s="221"/>
      <c r="FI1240" s="221"/>
      <c r="FJ1240" s="221"/>
      <c r="FK1240" s="221"/>
      <c r="FL1240" s="221"/>
      <c r="FM1240" s="221"/>
      <c r="FN1240" s="221"/>
      <c r="FO1240" s="221"/>
      <c r="FP1240" s="221"/>
      <c r="FQ1240" s="221"/>
      <c r="FR1240" s="221"/>
      <c r="FS1240" s="221"/>
      <c r="FT1240" s="221"/>
      <c r="FU1240" s="221"/>
      <c r="FV1240" s="221"/>
      <c r="FW1240" s="221"/>
      <c r="FX1240" s="221"/>
      <c r="FY1240" s="221"/>
      <c r="FZ1240" s="221"/>
      <c r="GA1240" s="221"/>
      <c r="GB1240" s="221"/>
      <c r="GC1240" s="221"/>
      <c r="GD1240" s="221"/>
      <c r="GE1240" s="221"/>
      <c r="GF1240" s="221"/>
      <c r="GG1240" s="221"/>
      <c r="GH1240" s="221"/>
      <c r="GI1240" s="221"/>
      <c r="GJ1240" s="221"/>
      <c r="GK1240" s="221"/>
      <c r="GL1240" s="221"/>
      <c r="GM1240" s="221"/>
      <c r="GN1240" s="221"/>
    </row>
    <row r="1241">
      <c r="A1241" s="212"/>
      <c r="B1241" s="21"/>
      <c r="C1241" s="21"/>
      <c r="D1241" s="213"/>
      <c r="E1241" s="214"/>
      <c r="F1241" s="215"/>
      <c r="G1241" s="21"/>
      <c r="H1241" s="225"/>
      <c r="I1241" s="225"/>
      <c r="J1241" s="225"/>
      <c r="K1241" s="225"/>
      <c r="L1241" s="225"/>
      <c r="M1241" s="225"/>
      <c r="N1241" s="225"/>
      <c r="O1241" s="225"/>
      <c r="P1241" s="225"/>
      <c r="Q1241" s="225"/>
      <c r="R1241" s="225"/>
      <c r="S1241" s="225"/>
      <c r="T1241" s="225"/>
      <c r="U1241" s="225"/>
      <c r="V1241" s="225"/>
      <c r="W1241" s="221"/>
      <c r="X1241" s="221"/>
      <c r="Y1241" s="221"/>
      <c r="Z1241" s="221"/>
      <c r="AA1241" s="221"/>
      <c r="AB1241" s="221"/>
      <c r="AC1241" s="221"/>
      <c r="AD1241" s="221"/>
      <c r="AE1241" s="221"/>
      <c r="AF1241" s="221"/>
      <c r="AG1241" s="221"/>
      <c r="AH1241" s="221"/>
      <c r="AI1241" s="221"/>
      <c r="AJ1241" s="221"/>
      <c r="AK1241" s="221"/>
      <c r="AL1241" s="221"/>
      <c r="AM1241" s="221"/>
      <c r="AN1241" s="221"/>
      <c r="AO1241" s="221"/>
      <c r="AP1241" s="221"/>
      <c r="AQ1241" s="221"/>
      <c r="AR1241" s="221"/>
      <c r="AS1241" s="221"/>
      <c r="AT1241" s="221"/>
      <c r="AU1241" s="221"/>
      <c r="AV1241" s="221"/>
      <c r="AW1241" s="221"/>
      <c r="AX1241" s="221"/>
      <c r="AY1241" s="221"/>
      <c r="AZ1241" s="221"/>
      <c r="BA1241" s="221"/>
      <c r="BB1241" s="221"/>
      <c r="BC1241" s="221"/>
      <c r="BD1241" s="221"/>
      <c r="BE1241" s="221"/>
      <c r="BF1241" s="221"/>
      <c r="BG1241" s="221"/>
      <c r="BH1241" s="221"/>
      <c r="BI1241" s="221"/>
      <c r="BJ1241" s="221"/>
      <c r="BK1241" s="221"/>
      <c r="BL1241" s="221"/>
      <c r="BM1241" s="221"/>
      <c r="BN1241" s="221"/>
      <c r="BO1241" s="221"/>
      <c r="BP1241" s="221"/>
      <c r="BQ1241" s="221"/>
      <c r="BR1241" s="221"/>
      <c r="BS1241" s="221"/>
      <c r="BT1241" s="221"/>
      <c r="BU1241" s="221"/>
      <c r="BV1241" s="221"/>
      <c r="BW1241" s="221"/>
      <c r="BX1241" s="221"/>
      <c r="BY1241" s="221"/>
      <c r="BZ1241" s="221"/>
      <c r="CA1241" s="221"/>
      <c r="CB1241" s="221"/>
      <c r="CC1241" s="221"/>
      <c r="CD1241" s="221"/>
      <c r="CE1241" s="221"/>
      <c r="CF1241" s="221"/>
      <c r="CG1241" s="221"/>
      <c r="CH1241" s="221"/>
      <c r="CI1241" s="221"/>
      <c r="CJ1241" s="221"/>
      <c r="CK1241" s="221"/>
      <c r="CL1241" s="221"/>
      <c r="CM1241" s="221"/>
      <c r="CN1241" s="221"/>
      <c r="CO1241" s="221"/>
      <c r="CP1241" s="221"/>
      <c r="CQ1241" s="221"/>
      <c r="CR1241" s="221"/>
      <c r="CS1241" s="221"/>
      <c r="CT1241" s="221"/>
      <c r="CU1241" s="221"/>
      <c r="CV1241" s="221"/>
      <c r="CW1241" s="221"/>
      <c r="CX1241" s="221"/>
      <c r="CY1241" s="221"/>
      <c r="CZ1241" s="221"/>
      <c r="DA1241" s="221"/>
      <c r="DB1241" s="221"/>
      <c r="DC1241" s="221"/>
      <c r="DD1241" s="221"/>
      <c r="DE1241" s="221"/>
      <c r="DF1241" s="221"/>
      <c r="DG1241" s="221"/>
      <c r="DH1241" s="221"/>
      <c r="DI1241" s="221"/>
      <c r="DJ1241" s="221"/>
      <c r="DK1241" s="221"/>
      <c r="DL1241" s="221"/>
      <c r="DM1241" s="221"/>
      <c r="DN1241" s="221"/>
      <c r="DO1241" s="221"/>
      <c r="DP1241" s="221"/>
      <c r="DQ1241" s="221"/>
      <c r="DR1241" s="221"/>
      <c r="DS1241" s="221"/>
      <c r="DT1241" s="221"/>
      <c r="DU1241" s="221"/>
      <c r="DV1241" s="221"/>
      <c r="DW1241" s="221"/>
      <c r="DX1241" s="221"/>
      <c r="DY1241" s="221"/>
      <c r="DZ1241" s="221"/>
      <c r="EA1241" s="221"/>
      <c r="EB1241" s="221"/>
      <c r="EC1241" s="221"/>
      <c r="ED1241" s="221"/>
      <c r="EE1241" s="221"/>
      <c r="EF1241" s="221"/>
      <c r="EG1241" s="221"/>
      <c r="EH1241" s="221"/>
      <c r="EI1241" s="221"/>
      <c r="EJ1241" s="221"/>
      <c r="EK1241" s="221"/>
      <c r="EL1241" s="221"/>
      <c r="EM1241" s="221"/>
      <c r="EN1241" s="221"/>
      <c r="EO1241" s="221"/>
      <c r="EP1241" s="221"/>
      <c r="EQ1241" s="221"/>
      <c r="ER1241" s="221"/>
      <c r="ES1241" s="221"/>
      <c r="ET1241" s="221"/>
      <c r="EU1241" s="221"/>
      <c r="EV1241" s="221"/>
      <c r="EW1241" s="221"/>
      <c r="EX1241" s="221"/>
      <c r="EY1241" s="221"/>
      <c r="EZ1241" s="221"/>
      <c r="FA1241" s="221"/>
      <c r="FB1241" s="221"/>
      <c r="FC1241" s="221"/>
      <c r="FD1241" s="221"/>
      <c r="FE1241" s="221"/>
      <c r="FF1241" s="221"/>
      <c r="FG1241" s="221"/>
      <c r="FH1241" s="221"/>
      <c r="FI1241" s="221"/>
      <c r="FJ1241" s="221"/>
      <c r="FK1241" s="221"/>
      <c r="FL1241" s="221"/>
      <c r="FM1241" s="221"/>
      <c r="FN1241" s="221"/>
      <c r="FO1241" s="221"/>
      <c r="FP1241" s="221"/>
      <c r="FQ1241" s="221"/>
      <c r="FR1241" s="221"/>
      <c r="FS1241" s="221"/>
      <c r="FT1241" s="221"/>
      <c r="FU1241" s="221"/>
      <c r="FV1241" s="221"/>
      <c r="FW1241" s="221"/>
      <c r="FX1241" s="221"/>
      <c r="FY1241" s="221"/>
      <c r="FZ1241" s="221"/>
      <c r="GA1241" s="221"/>
      <c r="GB1241" s="221"/>
      <c r="GC1241" s="221"/>
      <c r="GD1241" s="221"/>
      <c r="GE1241" s="221"/>
      <c r="GF1241" s="221"/>
      <c r="GG1241" s="221"/>
      <c r="GH1241" s="221"/>
      <c r="GI1241" s="221"/>
      <c r="GJ1241" s="221"/>
      <c r="GK1241" s="221"/>
      <c r="GL1241" s="221"/>
      <c r="GM1241" s="221"/>
      <c r="GN1241" s="221"/>
    </row>
    <row r="1242">
      <c r="A1242" s="212"/>
      <c r="B1242" s="21"/>
      <c r="C1242" s="21"/>
      <c r="D1242" s="213"/>
      <c r="E1242" s="214"/>
      <c r="F1242" s="215"/>
      <c r="G1242" s="21"/>
      <c r="H1242" s="225"/>
      <c r="I1242" s="225"/>
      <c r="J1242" s="225"/>
      <c r="K1242" s="225"/>
      <c r="L1242" s="225"/>
      <c r="M1242" s="225"/>
      <c r="N1242" s="225"/>
      <c r="O1242" s="225"/>
      <c r="P1242" s="225"/>
      <c r="Q1242" s="225"/>
      <c r="R1242" s="225"/>
      <c r="S1242" s="225"/>
      <c r="T1242" s="225"/>
      <c r="U1242" s="225"/>
      <c r="V1242" s="225"/>
      <c r="W1242" s="221"/>
      <c r="X1242" s="221"/>
      <c r="Y1242" s="221"/>
      <c r="Z1242" s="221"/>
      <c r="AA1242" s="221"/>
      <c r="AB1242" s="221"/>
      <c r="AC1242" s="221"/>
      <c r="AD1242" s="221"/>
      <c r="AE1242" s="221"/>
      <c r="AF1242" s="221"/>
      <c r="AG1242" s="221"/>
      <c r="AH1242" s="221"/>
      <c r="AI1242" s="221"/>
      <c r="AJ1242" s="221"/>
      <c r="AK1242" s="221"/>
      <c r="AL1242" s="221"/>
      <c r="AM1242" s="221"/>
      <c r="AN1242" s="221"/>
      <c r="AO1242" s="221"/>
      <c r="AP1242" s="221"/>
      <c r="AQ1242" s="221"/>
      <c r="AR1242" s="221"/>
      <c r="AS1242" s="221"/>
      <c r="AT1242" s="221"/>
      <c r="AU1242" s="221"/>
      <c r="AV1242" s="221"/>
      <c r="AW1242" s="221"/>
      <c r="AX1242" s="221"/>
      <c r="AY1242" s="221"/>
      <c r="AZ1242" s="221"/>
      <c r="BA1242" s="221"/>
      <c r="BB1242" s="221"/>
      <c r="BC1242" s="221"/>
      <c r="BD1242" s="221"/>
      <c r="BE1242" s="221"/>
      <c r="BF1242" s="221"/>
      <c r="BG1242" s="221"/>
      <c r="BH1242" s="221"/>
      <c r="BI1242" s="221"/>
      <c r="BJ1242" s="221"/>
      <c r="BK1242" s="221"/>
      <c r="BL1242" s="221"/>
      <c r="BM1242" s="221"/>
      <c r="BN1242" s="221"/>
      <c r="BO1242" s="221"/>
      <c r="BP1242" s="221"/>
      <c r="BQ1242" s="221"/>
      <c r="BR1242" s="221"/>
      <c r="BS1242" s="221"/>
      <c r="BT1242" s="221"/>
      <c r="BU1242" s="221"/>
      <c r="BV1242" s="221"/>
      <c r="BW1242" s="221"/>
      <c r="BX1242" s="221"/>
      <c r="BY1242" s="221"/>
      <c r="BZ1242" s="221"/>
      <c r="CA1242" s="221"/>
      <c r="CB1242" s="221"/>
      <c r="CC1242" s="221"/>
      <c r="CD1242" s="221"/>
      <c r="CE1242" s="221"/>
      <c r="CF1242" s="221"/>
      <c r="CG1242" s="221"/>
      <c r="CH1242" s="221"/>
      <c r="CI1242" s="221"/>
      <c r="CJ1242" s="221"/>
      <c r="CK1242" s="221"/>
      <c r="CL1242" s="221"/>
      <c r="CM1242" s="221"/>
      <c r="CN1242" s="221"/>
      <c r="CO1242" s="221"/>
      <c r="CP1242" s="221"/>
      <c r="CQ1242" s="221"/>
      <c r="CR1242" s="221"/>
      <c r="CS1242" s="221"/>
      <c r="CT1242" s="221"/>
      <c r="CU1242" s="221"/>
      <c r="CV1242" s="221"/>
      <c r="CW1242" s="221"/>
      <c r="CX1242" s="221"/>
      <c r="CY1242" s="221"/>
      <c r="CZ1242" s="221"/>
      <c r="DA1242" s="221"/>
      <c r="DB1242" s="221"/>
      <c r="DC1242" s="221"/>
      <c r="DD1242" s="221"/>
      <c r="DE1242" s="221"/>
      <c r="DF1242" s="221"/>
      <c r="DG1242" s="221"/>
      <c r="DH1242" s="221"/>
      <c r="DI1242" s="221"/>
      <c r="DJ1242" s="221"/>
      <c r="DK1242" s="221"/>
      <c r="DL1242" s="221"/>
      <c r="DM1242" s="221"/>
      <c r="DN1242" s="221"/>
      <c r="DO1242" s="221"/>
      <c r="DP1242" s="221"/>
      <c r="DQ1242" s="221"/>
      <c r="DR1242" s="221"/>
      <c r="DS1242" s="221"/>
      <c r="DT1242" s="221"/>
      <c r="DU1242" s="221"/>
      <c r="DV1242" s="221"/>
      <c r="DW1242" s="221"/>
      <c r="DX1242" s="221"/>
      <c r="DY1242" s="221"/>
      <c r="DZ1242" s="221"/>
      <c r="EA1242" s="221"/>
      <c r="EB1242" s="221"/>
      <c r="EC1242" s="221"/>
      <c r="ED1242" s="221"/>
      <c r="EE1242" s="221"/>
      <c r="EF1242" s="221"/>
      <c r="EG1242" s="221"/>
      <c r="EH1242" s="221"/>
      <c r="EI1242" s="221"/>
      <c r="EJ1242" s="221"/>
      <c r="EK1242" s="221"/>
      <c r="EL1242" s="221"/>
      <c r="EM1242" s="221"/>
      <c r="EN1242" s="221"/>
      <c r="EO1242" s="221"/>
      <c r="EP1242" s="221"/>
      <c r="EQ1242" s="221"/>
      <c r="ER1242" s="221"/>
      <c r="ES1242" s="221"/>
      <c r="ET1242" s="221"/>
      <c r="EU1242" s="221"/>
      <c r="EV1242" s="221"/>
      <c r="EW1242" s="221"/>
      <c r="EX1242" s="221"/>
      <c r="EY1242" s="221"/>
      <c r="EZ1242" s="221"/>
      <c r="FA1242" s="221"/>
      <c r="FB1242" s="221"/>
      <c r="FC1242" s="221"/>
      <c r="FD1242" s="221"/>
      <c r="FE1242" s="221"/>
      <c r="FF1242" s="221"/>
      <c r="FG1242" s="221"/>
      <c r="FH1242" s="221"/>
      <c r="FI1242" s="221"/>
      <c r="FJ1242" s="221"/>
      <c r="FK1242" s="221"/>
      <c r="FL1242" s="221"/>
      <c r="FM1242" s="221"/>
      <c r="FN1242" s="221"/>
      <c r="FO1242" s="221"/>
      <c r="FP1242" s="221"/>
      <c r="FQ1242" s="221"/>
      <c r="FR1242" s="221"/>
      <c r="FS1242" s="221"/>
      <c r="FT1242" s="221"/>
      <c r="FU1242" s="221"/>
      <c r="FV1242" s="221"/>
      <c r="FW1242" s="221"/>
      <c r="FX1242" s="221"/>
      <c r="FY1242" s="221"/>
      <c r="FZ1242" s="221"/>
      <c r="GA1242" s="221"/>
      <c r="GB1242" s="221"/>
      <c r="GC1242" s="221"/>
      <c r="GD1242" s="221"/>
      <c r="GE1242" s="221"/>
      <c r="GF1242" s="221"/>
      <c r="GG1242" s="221"/>
      <c r="GH1242" s="221"/>
      <c r="GI1242" s="221"/>
      <c r="GJ1242" s="221"/>
      <c r="GK1242" s="221"/>
      <c r="GL1242" s="221"/>
      <c r="GM1242" s="221"/>
      <c r="GN1242" s="221"/>
    </row>
    <row r="1243" ht="15.75" customHeight="1">
      <c r="A1243" s="212"/>
      <c r="B1243" s="21"/>
      <c r="C1243" s="21"/>
      <c r="D1243" s="213"/>
      <c r="E1243" s="214"/>
      <c r="F1243" s="215"/>
      <c r="G1243" s="21"/>
      <c r="H1243" s="221"/>
      <c r="I1243" s="232"/>
      <c r="J1243" s="221"/>
      <c r="K1243" s="221"/>
      <c r="L1243" s="221"/>
      <c r="M1243" s="21"/>
      <c r="N1243" s="221"/>
      <c r="O1243" s="221"/>
      <c r="P1243" s="221"/>
      <c r="Q1243" s="221"/>
      <c r="R1243" s="221"/>
      <c r="S1243" s="221"/>
      <c r="T1243" s="221"/>
      <c r="U1243" s="221"/>
      <c r="V1243" s="221"/>
      <c r="W1243" s="221"/>
      <c r="X1243" s="221"/>
      <c r="Y1243" s="221"/>
      <c r="Z1243" s="221"/>
      <c r="AA1243" s="221"/>
      <c r="AB1243" s="221"/>
      <c r="AC1243" s="221"/>
      <c r="AD1243" s="221"/>
      <c r="AE1243" s="221"/>
      <c r="AF1243" s="221"/>
      <c r="AG1243" s="221"/>
      <c r="AH1243" s="221"/>
      <c r="AI1243" s="221"/>
      <c r="AJ1243" s="221"/>
      <c r="AK1243" s="221"/>
      <c r="AL1243" s="221"/>
      <c r="AM1243" s="221"/>
      <c r="AN1243" s="221"/>
      <c r="AO1243" s="221"/>
      <c r="AP1243" s="221"/>
      <c r="AQ1243" s="221"/>
      <c r="AR1243" s="221"/>
      <c r="AS1243" s="221"/>
      <c r="AT1243" s="221"/>
      <c r="AU1243" s="221"/>
      <c r="AV1243" s="221"/>
      <c r="AW1243" s="221"/>
      <c r="AX1243" s="221"/>
      <c r="AY1243" s="221"/>
      <c r="AZ1243" s="221"/>
      <c r="BA1243" s="221"/>
      <c r="BB1243" s="221"/>
      <c r="BC1243" s="221"/>
      <c r="BD1243" s="221"/>
      <c r="BE1243" s="221"/>
      <c r="BF1243" s="221"/>
      <c r="BG1243" s="221"/>
      <c r="BH1243" s="221"/>
      <c r="BI1243" s="221"/>
      <c r="BJ1243" s="221"/>
      <c r="BK1243" s="221"/>
      <c r="BL1243" s="221"/>
      <c r="BM1243" s="221"/>
      <c r="BN1243" s="221"/>
      <c r="BO1243" s="221"/>
      <c r="BP1243" s="221"/>
      <c r="BQ1243" s="221"/>
      <c r="BR1243" s="221"/>
      <c r="BS1243" s="221"/>
      <c r="BT1243" s="221"/>
      <c r="BU1243" s="221"/>
      <c r="BV1243" s="221"/>
      <c r="BW1243" s="221"/>
      <c r="BX1243" s="221"/>
      <c r="BY1243" s="221"/>
      <c r="BZ1243" s="221"/>
      <c r="CA1243" s="221"/>
      <c r="CB1243" s="221"/>
      <c r="CC1243" s="221"/>
      <c r="CD1243" s="221"/>
      <c r="CE1243" s="221"/>
      <c r="CF1243" s="221"/>
      <c r="CG1243" s="221"/>
      <c r="CH1243" s="221"/>
      <c r="CI1243" s="221"/>
      <c r="CJ1243" s="221"/>
      <c r="CK1243" s="221"/>
      <c r="CL1243" s="221"/>
      <c r="CM1243" s="221"/>
      <c r="CN1243" s="221"/>
      <c r="CO1243" s="221"/>
      <c r="CP1243" s="221"/>
      <c r="CQ1243" s="221"/>
      <c r="CR1243" s="221"/>
      <c r="CS1243" s="221"/>
      <c r="CT1243" s="221"/>
      <c r="CU1243" s="221"/>
      <c r="CV1243" s="221"/>
      <c r="CW1243" s="221"/>
      <c r="CX1243" s="221"/>
      <c r="CY1243" s="221"/>
      <c r="CZ1243" s="221"/>
      <c r="DA1243" s="221"/>
      <c r="DB1243" s="221"/>
      <c r="DC1243" s="221"/>
      <c r="DD1243" s="221"/>
      <c r="DE1243" s="221"/>
      <c r="DF1243" s="221"/>
      <c r="DG1243" s="221"/>
      <c r="DH1243" s="221"/>
      <c r="DI1243" s="221"/>
      <c r="DJ1243" s="221"/>
      <c r="DK1243" s="221"/>
      <c r="DL1243" s="221"/>
      <c r="DM1243" s="221"/>
      <c r="DN1243" s="221"/>
      <c r="DO1243" s="221"/>
      <c r="DP1243" s="221"/>
      <c r="DQ1243" s="221"/>
      <c r="DR1243" s="221"/>
      <c r="DS1243" s="221"/>
      <c r="DT1243" s="221"/>
      <c r="DU1243" s="221"/>
      <c r="DV1243" s="221"/>
      <c r="DW1243" s="221"/>
      <c r="DX1243" s="221"/>
      <c r="DY1243" s="221"/>
      <c r="DZ1243" s="221"/>
      <c r="EA1243" s="221"/>
      <c r="EB1243" s="221"/>
      <c r="EC1243" s="221"/>
      <c r="ED1243" s="221"/>
      <c r="EE1243" s="221"/>
      <c r="EF1243" s="221"/>
      <c r="EG1243" s="221"/>
      <c r="EH1243" s="221"/>
      <c r="EI1243" s="221"/>
      <c r="EJ1243" s="221"/>
      <c r="EK1243" s="221"/>
      <c r="EL1243" s="221"/>
      <c r="EM1243" s="221"/>
      <c r="EN1243" s="221"/>
      <c r="EO1243" s="221"/>
      <c r="EP1243" s="221"/>
      <c r="EQ1243" s="221"/>
      <c r="ER1243" s="221"/>
      <c r="ES1243" s="221"/>
      <c r="ET1243" s="221"/>
      <c r="EU1243" s="221"/>
      <c r="EV1243" s="221"/>
      <c r="EW1243" s="221"/>
      <c r="EX1243" s="221"/>
      <c r="EY1243" s="221"/>
      <c r="EZ1243" s="221"/>
      <c r="FA1243" s="221"/>
      <c r="FB1243" s="221"/>
      <c r="FC1243" s="221"/>
      <c r="FD1243" s="221"/>
      <c r="FE1243" s="221"/>
      <c r="FF1243" s="221"/>
      <c r="FG1243" s="221"/>
      <c r="FH1243" s="221"/>
      <c r="FI1243" s="221"/>
      <c r="FJ1243" s="221"/>
      <c r="FK1243" s="221"/>
      <c r="FL1243" s="221"/>
      <c r="FM1243" s="221"/>
      <c r="FN1243" s="221"/>
      <c r="FO1243" s="221"/>
      <c r="FP1243" s="221"/>
      <c r="FQ1243" s="221"/>
      <c r="FR1243" s="221"/>
      <c r="FS1243" s="221"/>
      <c r="FT1243" s="221"/>
      <c r="FU1243" s="221"/>
      <c r="FV1243" s="221"/>
      <c r="FW1243" s="221"/>
      <c r="FX1243" s="221"/>
      <c r="FY1243" s="221"/>
      <c r="FZ1243" s="221"/>
      <c r="GA1243" s="221"/>
      <c r="GB1243" s="221"/>
      <c r="GC1243" s="221"/>
      <c r="GD1243" s="221"/>
      <c r="GE1243" s="221"/>
      <c r="GF1243" s="221"/>
      <c r="GG1243" s="221"/>
      <c r="GH1243" s="221"/>
      <c r="GI1243" s="221"/>
      <c r="GJ1243" s="221"/>
      <c r="GK1243" s="221"/>
      <c r="GL1243" s="221"/>
      <c r="GM1243" s="221"/>
      <c r="GN1243" s="221"/>
    </row>
    <row r="1244">
      <c r="A1244" s="212"/>
      <c r="B1244" s="21"/>
      <c r="C1244" s="21"/>
      <c r="D1244" s="213"/>
      <c r="E1244" s="214"/>
      <c r="F1244" s="215"/>
      <c r="G1244" s="124"/>
      <c r="H1244" s="110"/>
      <c r="I1244" s="110"/>
      <c r="J1244" s="110"/>
      <c r="K1244" s="110"/>
      <c r="L1244" s="110"/>
      <c r="M1244" s="110"/>
      <c r="N1244" s="110"/>
      <c r="O1244" s="110"/>
      <c r="P1244" s="110"/>
      <c r="Q1244" s="110"/>
      <c r="R1244" s="110"/>
      <c r="S1244" s="110"/>
      <c r="T1244" s="110"/>
      <c r="U1244" s="110"/>
      <c r="V1244" s="110"/>
      <c r="W1244" s="110"/>
      <c r="X1244" s="110"/>
      <c r="Y1244" s="110"/>
      <c r="Z1244" s="110"/>
    </row>
    <row r="1245">
      <c r="A1245" s="212"/>
      <c r="B1245" s="21"/>
      <c r="C1245" s="21"/>
      <c r="D1245" s="213"/>
      <c r="E1245" s="214"/>
      <c r="F1245" s="215"/>
      <c r="G1245" s="124"/>
      <c r="H1245" s="110"/>
      <c r="I1245" s="110"/>
      <c r="J1245" s="110"/>
      <c r="K1245" s="110"/>
      <c r="L1245" s="110"/>
      <c r="M1245" s="110"/>
      <c r="N1245" s="110"/>
      <c r="O1245" s="110"/>
      <c r="P1245" s="110"/>
      <c r="Q1245" s="110"/>
      <c r="R1245" s="110"/>
      <c r="S1245" s="110"/>
      <c r="T1245" s="110"/>
      <c r="U1245" s="110"/>
      <c r="V1245" s="110"/>
      <c r="W1245" s="110"/>
      <c r="X1245" s="110"/>
      <c r="Y1245" s="110"/>
      <c r="Z1245" s="110"/>
    </row>
    <row r="1246">
      <c r="A1246" s="212"/>
      <c r="B1246" s="21"/>
      <c r="C1246" s="21"/>
      <c r="D1246" s="213"/>
      <c r="E1246" s="214"/>
      <c r="F1246" s="215"/>
      <c r="G1246" s="110"/>
      <c r="H1246" s="110"/>
      <c r="I1246" s="110"/>
      <c r="J1246" s="110"/>
      <c r="K1246" s="110"/>
      <c r="L1246" s="110"/>
      <c r="M1246" s="110"/>
      <c r="N1246" s="110"/>
      <c r="O1246" s="110"/>
      <c r="P1246" s="110"/>
      <c r="Q1246" s="110"/>
      <c r="R1246" s="110"/>
      <c r="S1246" s="110"/>
      <c r="T1246" s="110"/>
      <c r="U1246" s="110"/>
      <c r="V1246" s="110"/>
      <c r="W1246" s="110"/>
      <c r="X1246" s="110"/>
      <c r="Y1246" s="110"/>
      <c r="Z1246" s="110"/>
    </row>
    <row r="1247">
      <c r="A1247" s="212"/>
      <c r="B1247" s="21"/>
      <c r="C1247" s="21"/>
      <c r="D1247" s="213"/>
      <c r="E1247" s="214"/>
      <c r="F1247" s="215"/>
      <c r="G1247" s="110"/>
      <c r="H1247" s="110"/>
      <c r="I1247" s="110"/>
      <c r="J1247" s="110"/>
      <c r="K1247" s="110"/>
      <c r="L1247" s="110"/>
      <c r="M1247" s="110"/>
      <c r="N1247" s="110"/>
      <c r="O1247" s="110"/>
      <c r="P1247" s="110"/>
      <c r="Q1247" s="110"/>
      <c r="R1247" s="110"/>
      <c r="S1247" s="110"/>
      <c r="T1247" s="110"/>
      <c r="U1247" s="110"/>
      <c r="V1247" s="110"/>
      <c r="W1247" s="110"/>
      <c r="X1247" s="110"/>
      <c r="Y1247" s="110"/>
      <c r="Z1247" s="110"/>
    </row>
    <row r="1248">
      <c r="A1248" s="212"/>
      <c r="B1248" s="21"/>
      <c r="C1248" s="21"/>
      <c r="D1248" s="213"/>
      <c r="E1248" s="214"/>
      <c r="F1248" s="215"/>
      <c r="G1248" s="162"/>
      <c r="H1248" s="225"/>
      <c r="I1248" s="225"/>
      <c r="J1248" s="225"/>
      <c r="K1248" s="225"/>
      <c r="L1248" s="225"/>
      <c r="M1248" s="225"/>
      <c r="N1248" s="225"/>
      <c r="O1248" s="225"/>
      <c r="P1248" s="225"/>
      <c r="Q1248" s="225"/>
      <c r="R1248" s="225"/>
      <c r="S1248" s="225"/>
      <c r="T1248" s="225"/>
      <c r="U1248" s="225"/>
      <c r="V1248" s="225"/>
      <c r="W1248" s="110"/>
      <c r="X1248" s="110"/>
      <c r="Y1248" s="110"/>
      <c r="Z1248" s="110"/>
    </row>
    <row r="1249">
      <c r="A1249" s="212"/>
      <c r="B1249" s="21"/>
      <c r="C1249" s="21"/>
      <c r="D1249" s="213"/>
      <c r="E1249" s="214"/>
      <c r="F1249" s="215"/>
      <c r="G1249" s="21"/>
      <c r="H1249" s="225"/>
      <c r="I1249" s="225"/>
      <c r="J1249" s="225"/>
      <c r="K1249" s="225"/>
      <c r="L1249" s="225"/>
      <c r="M1249" s="225"/>
      <c r="N1249" s="225"/>
      <c r="O1249" s="225"/>
      <c r="P1249" s="225"/>
      <c r="Q1249" s="225"/>
      <c r="R1249" s="225"/>
      <c r="S1249" s="225"/>
      <c r="T1249" s="225"/>
      <c r="U1249" s="225"/>
      <c r="V1249" s="225"/>
      <c r="W1249" s="110"/>
      <c r="X1249" s="110"/>
      <c r="Y1249" s="110"/>
      <c r="Z1249" s="110"/>
    </row>
    <row r="1250">
      <c r="A1250" s="212"/>
      <c r="B1250" s="21"/>
      <c r="C1250" s="21"/>
      <c r="D1250" s="213"/>
      <c r="E1250" s="214"/>
      <c r="F1250" s="215"/>
      <c r="G1250" s="21"/>
      <c r="H1250" s="225"/>
      <c r="I1250" s="225"/>
      <c r="J1250" s="225"/>
      <c r="K1250" s="225"/>
      <c r="L1250" s="225"/>
      <c r="M1250" s="225"/>
      <c r="N1250" s="225"/>
      <c r="O1250" s="225"/>
      <c r="P1250" s="225"/>
      <c r="Q1250" s="225"/>
      <c r="R1250" s="225"/>
      <c r="S1250" s="225"/>
      <c r="T1250" s="225"/>
      <c r="U1250" s="225"/>
      <c r="V1250" s="225"/>
      <c r="W1250" s="110"/>
      <c r="X1250" s="110"/>
      <c r="Y1250" s="110"/>
      <c r="Z1250" s="110"/>
    </row>
    <row r="1251">
      <c r="A1251" s="212"/>
      <c r="B1251" s="21"/>
      <c r="C1251" s="21"/>
      <c r="D1251" s="213"/>
      <c r="E1251" s="214"/>
      <c r="F1251" s="215"/>
      <c r="G1251" s="21"/>
      <c r="H1251" s="225"/>
      <c r="I1251" s="225"/>
      <c r="J1251" s="225"/>
      <c r="K1251" s="225"/>
      <c r="L1251" s="225"/>
      <c r="M1251" s="225"/>
      <c r="N1251" s="225"/>
      <c r="O1251" s="225"/>
      <c r="P1251" s="225"/>
      <c r="Q1251" s="225"/>
      <c r="R1251" s="225"/>
      <c r="S1251" s="225"/>
      <c r="T1251" s="225"/>
      <c r="U1251" s="225"/>
      <c r="V1251" s="225"/>
      <c r="W1251" s="110"/>
      <c r="X1251" s="110"/>
      <c r="Y1251" s="110"/>
      <c r="Z1251" s="110"/>
    </row>
    <row r="1252">
      <c r="A1252" s="212"/>
      <c r="B1252" s="21"/>
      <c r="C1252" s="21"/>
      <c r="D1252" s="213"/>
      <c r="E1252" s="214"/>
      <c r="F1252" s="215"/>
      <c r="G1252" s="21"/>
      <c r="H1252" s="225"/>
      <c r="I1252" s="225"/>
      <c r="J1252" s="225"/>
      <c r="K1252" s="225"/>
      <c r="L1252" s="225"/>
      <c r="M1252" s="225"/>
      <c r="N1252" s="225"/>
      <c r="O1252" s="225"/>
      <c r="P1252" s="225"/>
      <c r="Q1252" s="225"/>
      <c r="R1252" s="225"/>
      <c r="S1252" s="225"/>
      <c r="T1252" s="225"/>
      <c r="U1252" s="225"/>
      <c r="V1252" s="225"/>
      <c r="W1252" s="110"/>
      <c r="X1252" s="110"/>
      <c r="Y1252" s="110"/>
      <c r="Z1252" s="110"/>
    </row>
    <row r="1253">
      <c r="A1253" s="212"/>
      <c r="B1253" s="21"/>
      <c r="C1253" s="21"/>
      <c r="D1253" s="213"/>
      <c r="E1253" s="214"/>
      <c r="F1253" s="215"/>
      <c r="G1253" s="21"/>
      <c r="H1253" s="225"/>
      <c r="I1253" s="225"/>
      <c r="J1253" s="225"/>
      <c r="K1253" s="225"/>
      <c r="L1253" s="225"/>
      <c r="M1253" s="225"/>
      <c r="N1253" s="225"/>
      <c r="O1253" s="225"/>
      <c r="P1253" s="225"/>
      <c r="Q1253" s="225"/>
      <c r="R1253" s="225"/>
      <c r="S1253" s="225"/>
      <c r="T1253" s="225"/>
      <c r="U1253" s="225"/>
      <c r="V1253" s="225"/>
      <c r="W1253" s="110"/>
      <c r="X1253" s="110"/>
      <c r="Y1253" s="110"/>
      <c r="Z1253" s="110"/>
    </row>
    <row r="1254">
      <c r="A1254" s="212"/>
      <c r="B1254" s="21"/>
      <c r="C1254" s="21"/>
      <c r="D1254" s="213"/>
      <c r="E1254" s="214"/>
      <c r="F1254" s="215"/>
      <c r="G1254" s="21"/>
      <c r="H1254" s="225"/>
      <c r="I1254" s="225"/>
      <c r="J1254" s="225"/>
      <c r="K1254" s="225"/>
      <c r="L1254" s="225"/>
      <c r="M1254" s="225"/>
      <c r="N1254" s="225"/>
      <c r="O1254" s="225"/>
      <c r="P1254" s="225"/>
      <c r="Q1254" s="225"/>
      <c r="R1254" s="225"/>
      <c r="S1254" s="225"/>
      <c r="T1254" s="225"/>
      <c r="U1254" s="225"/>
      <c r="V1254" s="225"/>
      <c r="W1254" s="110"/>
      <c r="X1254" s="110"/>
      <c r="Y1254" s="110"/>
      <c r="Z1254" s="110"/>
    </row>
    <row r="1255">
      <c r="A1255" s="212"/>
      <c r="B1255" s="21"/>
      <c r="C1255" s="21"/>
      <c r="D1255" s="213"/>
      <c r="E1255" s="214"/>
      <c r="F1255" s="215"/>
      <c r="G1255" s="21"/>
      <c r="H1255" s="225"/>
      <c r="I1255" s="225"/>
      <c r="J1255" s="225"/>
      <c r="K1255" s="225"/>
      <c r="L1255" s="225"/>
      <c r="M1255" s="225"/>
      <c r="N1255" s="225"/>
      <c r="O1255" s="225"/>
      <c r="P1255" s="225"/>
      <c r="Q1255" s="225"/>
      <c r="R1255" s="225"/>
      <c r="S1255" s="225"/>
      <c r="T1255" s="225"/>
      <c r="U1255" s="225"/>
      <c r="V1255" s="225"/>
      <c r="W1255" s="110"/>
      <c r="X1255" s="110"/>
      <c r="Y1255" s="110"/>
      <c r="Z1255" s="110"/>
    </row>
    <row r="1256">
      <c r="A1256" s="212"/>
      <c r="B1256" s="21"/>
      <c r="C1256" s="21"/>
      <c r="D1256" s="213"/>
      <c r="E1256" s="214"/>
      <c r="F1256" s="215"/>
      <c r="G1256" s="21"/>
      <c r="H1256" s="225"/>
      <c r="I1256" s="225"/>
      <c r="J1256" s="225"/>
      <c r="K1256" s="225"/>
      <c r="L1256" s="225"/>
      <c r="M1256" s="225"/>
      <c r="N1256" s="225"/>
      <c r="O1256" s="225"/>
      <c r="P1256" s="225"/>
      <c r="Q1256" s="225"/>
      <c r="R1256" s="225"/>
      <c r="S1256" s="225"/>
      <c r="T1256" s="225"/>
      <c r="U1256" s="225"/>
      <c r="V1256" s="225"/>
      <c r="W1256" s="110"/>
      <c r="X1256" s="110"/>
      <c r="Y1256" s="110"/>
      <c r="Z1256" s="110"/>
    </row>
    <row r="1257">
      <c r="A1257" s="212"/>
      <c r="B1257" s="21"/>
      <c r="C1257" s="21"/>
      <c r="D1257" s="213"/>
      <c r="E1257" s="214"/>
      <c r="F1257" s="215"/>
      <c r="G1257" s="21"/>
      <c r="H1257" s="225"/>
      <c r="I1257" s="225"/>
      <c r="J1257" s="225"/>
      <c r="K1257" s="225"/>
      <c r="L1257" s="225"/>
      <c r="M1257" s="225"/>
      <c r="N1257" s="225"/>
      <c r="O1257" s="225"/>
      <c r="P1257" s="225"/>
      <c r="Q1257" s="225"/>
      <c r="R1257" s="225"/>
      <c r="S1257" s="225"/>
      <c r="T1257" s="225"/>
      <c r="U1257" s="225"/>
      <c r="V1257" s="225"/>
      <c r="W1257" s="110"/>
      <c r="X1257" s="110"/>
      <c r="Y1257" s="110"/>
      <c r="Z1257" s="110"/>
    </row>
    <row r="1258">
      <c r="A1258" s="212"/>
      <c r="B1258" s="21"/>
      <c r="C1258" s="21"/>
      <c r="D1258" s="213"/>
      <c r="E1258" s="214"/>
      <c r="F1258" s="215"/>
      <c r="G1258" s="21"/>
      <c r="H1258" s="225"/>
      <c r="I1258" s="225"/>
      <c r="J1258" s="225"/>
      <c r="K1258" s="225"/>
      <c r="L1258" s="225"/>
      <c r="M1258" s="225"/>
      <c r="N1258" s="225"/>
      <c r="O1258" s="225"/>
      <c r="P1258" s="225"/>
      <c r="Q1258" s="225"/>
      <c r="R1258" s="225"/>
      <c r="S1258" s="225"/>
      <c r="T1258" s="225"/>
      <c r="U1258" s="225"/>
      <c r="V1258" s="225"/>
      <c r="W1258" s="110"/>
      <c r="X1258" s="110"/>
      <c r="Y1258" s="110"/>
      <c r="Z1258" s="110"/>
    </row>
    <row r="1259">
      <c r="A1259" s="212"/>
      <c r="B1259" s="21"/>
      <c r="C1259" s="21"/>
      <c r="D1259" s="213"/>
      <c r="E1259" s="214"/>
      <c r="F1259" s="215"/>
      <c r="G1259" s="21"/>
      <c r="H1259" s="225"/>
      <c r="I1259" s="225"/>
      <c r="J1259" s="225"/>
      <c r="K1259" s="225"/>
      <c r="L1259" s="225"/>
      <c r="M1259" s="225"/>
      <c r="N1259" s="225"/>
      <c r="O1259" s="225"/>
      <c r="P1259" s="225"/>
      <c r="Q1259" s="225"/>
      <c r="R1259" s="225"/>
      <c r="S1259" s="225"/>
      <c r="T1259" s="225"/>
      <c r="U1259" s="225"/>
      <c r="V1259" s="225"/>
      <c r="W1259" s="110"/>
      <c r="X1259" s="110"/>
      <c r="Y1259" s="110"/>
      <c r="Z1259" s="110"/>
    </row>
    <row r="1260">
      <c r="A1260" s="212"/>
      <c r="B1260" s="21"/>
      <c r="C1260" s="21"/>
      <c r="D1260" s="213"/>
      <c r="E1260" s="214"/>
      <c r="F1260" s="215"/>
      <c r="G1260" s="21"/>
      <c r="H1260" s="225"/>
      <c r="I1260" s="225"/>
      <c r="J1260" s="225"/>
      <c r="K1260" s="225"/>
      <c r="L1260" s="225"/>
      <c r="M1260" s="225"/>
      <c r="N1260" s="225"/>
      <c r="O1260" s="225"/>
      <c r="P1260" s="225"/>
      <c r="Q1260" s="225"/>
      <c r="R1260" s="225"/>
      <c r="S1260" s="225"/>
      <c r="T1260" s="225"/>
      <c r="U1260" s="225"/>
      <c r="V1260" s="225"/>
      <c r="W1260" s="110"/>
      <c r="X1260" s="110"/>
      <c r="Y1260" s="110"/>
      <c r="Z1260" s="110"/>
    </row>
    <row r="1261">
      <c r="A1261" s="212"/>
      <c r="B1261" s="21"/>
      <c r="C1261" s="21"/>
      <c r="D1261" s="213"/>
      <c r="E1261" s="214"/>
      <c r="F1261" s="215"/>
      <c r="G1261" s="21"/>
      <c r="H1261" s="225"/>
      <c r="I1261" s="225"/>
      <c r="J1261" s="225"/>
      <c r="K1261" s="225"/>
      <c r="L1261" s="225"/>
      <c r="M1261" s="225"/>
      <c r="N1261" s="225"/>
      <c r="O1261" s="225"/>
      <c r="P1261" s="225"/>
      <c r="Q1261" s="225"/>
      <c r="R1261" s="225"/>
      <c r="S1261" s="225"/>
      <c r="T1261" s="225"/>
      <c r="U1261" s="225"/>
      <c r="V1261" s="225"/>
      <c r="W1261" s="110"/>
      <c r="X1261" s="110"/>
      <c r="Y1261" s="110"/>
      <c r="Z1261" s="110"/>
    </row>
    <row r="1262">
      <c r="A1262" s="212"/>
      <c r="B1262" s="21"/>
      <c r="C1262" s="21"/>
      <c r="D1262" s="213"/>
      <c r="E1262" s="214"/>
      <c r="F1262" s="215"/>
      <c r="G1262" s="21"/>
      <c r="H1262" s="225"/>
      <c r="I1262" s="225"/>
      <c r="J1262" s="225"/>
      <c r="K1262" s="225"/>
      <c r="L1262" s="225"/>
      <c r="M1262" s="225"/>
      <c r="N1262" s="225"/>
      <c r="O1262" s="225"/>
      <c r="P1262" s="225"/>
      <c r="Q1262" s="225"/>
      <c r="R1262" s="225"/>
      <c r="S1262" s="225"/>
      <c r="T1262" s="225"/>
      <c r="U1262" s="225"/>
      <c r="V1262" s="225"/>
      <c r="W1262" s="110"/>
      <c r="X1262" s="110"/>
      <c r="Y1262" s="110"/>
      <c r="Z1262" s="110"/>
    </row>
    <row r="1263">
      <c r="A1263" s="212"/>
      <c r="B1263" s="21"/>
      <c r="C1263" s="21"/>
      <c r="D1263" s="213"/>
      <c r="E1263" s="214"/>
      <c r="F1263" s="215"/>
      <c r="G1263" s="21"/>
      <c r="H1263" s="225"/>
      <c r="I1263" s="225"/>
      <c r="J1263" s="225"/>
      <c r="K1263" s="225"/>
      <c r="L1263" s="225"/>
      <c r="M1263" s="225"/>
      <c r="N1263" s="225"/>
      <c r="O1263" s="225"/>
      <c r="P1263" s="225"/>
      <c r="Q1263" s="225"/>
      <c r="R1263" s="225"/>
      <c r="S1263" s="225"/>
      <c r="T1263" s="225"/>
      <c r="U1263" s="225"/>
      <c r="V1263" s="225"/>
      <c r="W1263" s="110"/>
      <c r="X1263" s="110"/>
      <c r="Y1263" s="110"/>
      <c r="Z1263" s="110"/>
    </row>
    <row r="1264">
      <c r="A1264" s="212"/>
      <c r="B1264" s="21"/>
      <c r="C1264" s="21"/>
      <c r="D1264" s="213"/>
      <c r="E1264" s="214"/>
      <c r="F1264" s="215"/>
      <c r="G1264" s="21"/>
      <c r="H1264" s="225"/>
      <c r="I1264" s="225"/>
      <c r="J1264" s="225"/>
      <c r="K1264" s="225"/>
      <c r="L1264" s="225"/>
      <c r="M1264" s="225"/>
      <c r="N1264" s="225"/>
      <c r="O1264" s="225"/>
      <c r="P1264" s="225"/>
      <c r="Q1264" s="225"/>
      <c r="R1264" s="225"/>
      <c r="S1264" s="225"/>
      <c r="T1264" s="225"/>
      <c r="U1264" s="225"/>
      <c r="V1264" s="225"/>
      <c r="W1264" s="110"/>
      <c r="X1264" s="110"/>
      <c r="Y1264" s="110"/>
      <c r="Z1264" s="110"/>
    </row>
    <row r="1265">
      <c r="A1265" s="212"/>
      <c r="B1265" s="21"/>
      <c r="C1265" s="21"/>
      <c r="D1265" s="213"/>
      <c r="E1265" s="214"/>
      <c r="F1265" s="215"/>
      <c r="G1265" s="21"/>
      <c r="H1265" s="225"/>
      <c r="I1265" s="225"/>
      <c r="J1265" s="225"/>
      <c r="K1265" s="225"/>
      <c r="L1265" s="225"/>
      <c r="M1265" s="225"/>
      <c r="N1265" s="225"/>
      <c r="O1265" s="225"/>
      <c r="P1265" s="225"/>
      <c r="Q1265" s="225"/>
      <c r="R1265" s="225"/>
      <c r="S1265" s="225"/>
      <c r="T1265" s="225"/>
      <c r="U1265" s="225"/>
      <c r="V1265" s="225"/>
      <c r="W1265" s="110"/>
      <c r="X1265" s="110"/>
      <c r="Y1265" s="110"/>
      <c r="Z1265" s="110"/>
    </row>
    <row r="1266">
      <c r="A1266" s="212"/>
      <c r="B1266" s="21"/>
      <c r="C1266" s="21"/>
      <c r="D1266" s="213"/>
      <c r="E1266" s="214"/>
      <c r="F1266" s="215"/>
      <c r="G1266" s="21"/>
      <c r="H1266" s="225"/>
      <c r="I1266" s="225"/>
      <c r="J1266" s="225"/>
      <c r="K1266" s="225"/>
      <c r="L1266" s="225"/>
      <c r="M1266" s="225"/>
      <c r="N1266" s="225"/>
      <c r="O1266" s="225"/>
      <c r="P1266" s="225"/>
      <c r="Q1266" s="225"/>
      <c r="R1266" s="225"/>
      <c r="S1266" s="225"/>
      <c r="T1266" s="225"/>
      <c r="U1266" s="225"/>
      <c r="V1266" s="225"/>
      <c r="W1266" s="110"/>
      <c r="X1266" s="110"/>
      <c r="Y1266" s="110"/>
      <c r="Z1266" s="110"/>
    </row>
    <row r="1267">
      <c r="A1267" s="212"/>
      <c r="B1267" s="21"/>
      <c r="C1267" s="21"/>
      <c r="D1267" s="213"/>
      <c r="E1267" s="214"/>
      <c r="F1267" s="215"/>
      <c r="G1267" s="21"/>
      <c r="H1267" s="225"/>
      <c r="I1267" s="225"/>
      <c r="J1267" s="225"/>
      <c r="K1267" s="225"/>
      <c r="L1267" s="225"/>
      <c r="M1267" s="225"/>
      <c r="N1267" s="225"/>
      <c r="O1267" s="225"/>
      <c r="P1267" s="225"/>
      <c r="Q1267" s="225"/>
      <c r="R1267" s="225"/>
      <c r="S1267" s="225"/>
      <c r="T1267" s="225"/>
      <c r="U1267" s="225"/>
      <c r="V1267" s="225"/>
      <c r="W1267" s="110"/>
      <c r="X1267" s="110"/>
      <c r="Y1267" s="110"/>
      <c r="Z1267" s="110"/>
    </row>
    <row r="1268">
      <c r="A1268" s="212"/>
      <c r="B1268" s="21"/>
      <c r="C1268" s="21"/>
      <c r="D1268" s="213"/>
      <c r="E1268" s="214"/>
      <c r="F1268" s="215"/>
      <c r="G1268" s="21"/>
      <c r="H1268" s="225"/>
      <c r="I1268" s="225"/>
      <c r="J1268" s="225"/>
      <c r="K1268" s="225"/>
      <c r="L1268" s="225"/>
      <c r="M1268" s="225"/>
      <c r="N1268" s="225"/>
      <c r="O1268" s="225"/>
      <c r="P1268" s="225"/>
      <c r="Q1268" s="225"/>
      <c r="R1268" s="225"/>
      <c r="S1268" s="225"/>
      <c r="T1268" s="225"/>
      <c r="U1268" s="225"/>
      <c r="V1268" s="225"/>
      <c r="W1268" s="110"/>
      <c r="X1268" s="110"/>
      <c r="Y1268" s="110"/>
      <c r="Z1268" s="110"/>
    </row>
    <row r="1269">
      <c r="A1269" s="212"/>
      <c r="B1269" s="21"/>
      <c r="C1269" s="21"/>
      <c r="D1269" s="213"/>
      <c r="E1269" s="214"/>
      <c r="F1269" s="215"/>
      <c r="G1269" s="21"/>
      <c r="H1269" s="225"/>
      <c r="I1269" s="225"/>
      <c r="J1269" s="225"/>
      <c r="K1269" s="225"/>
      <c r="L1269" s="225"/>
      <c r="M1269" s="225"/>
      <c r="N1269" s="225"/>
      <c r="O1269" s="225"/>
      <c r="P1269" s="225"/>
      <c r="Q1269" s="225"/>
      <c r="R1269" s="225"/>
      <c r="S1269" s="225"/>
      <c r="T1269" s="225"/>
      <c r="U1269" s="225"/>
      <c r="V1269" s="225"/>
      <c r="W1269" s="110"/>
      <c r="X1269" s="110"/>
      <c r="Y1269" s="110"/>
      <c r="Z1269" s="110"/>
    </row>
    <row r="1270">
      <c r="A1270" s="212"/>
      <c r="B1270" s="21"/>
      <c r="C1270" s="21"/>
      <c r="D1270" s="213"/>
      <c r="E1270" s="214"/>
      <c r="F1270" s="215"/>
      <c r="G1270" s="21"/>
      <c r="H1270" s="225"/>
      <c r="I1270" s="225"/>
      <c r="J1270" s="225"/>
      <c r="K1270" s="225"/>
      <c r="L1270" s="225"/>
      <c r="M1270" s="225"/>
      <c r="N1270" s="225"/>
      <c r="O1270" s="225"/>
      <c r="P1270" s="225"/>
      <c r="Q1270" s="225"/>
      <c r="R1270" s="225"/>
      <c r="S1270" s="225"/>
      <c r="T1270" s="225"/>
      <c r="U1270" s="225"/>
      <c r="V1270" s="225"/>
      <c r="W1270" s="110"/>
      <c r="X1270" s="110"/>
      <c r="Y1270" s="110"/>
      <c r="Z1270" s="110"/>
    </row>
    <row r="1271">
      <c r="A1271" s="212"/>
      <c r="B1271" s="21"/>
      <c r="C1271" s="21"/>
      <c r="D1271" s="213"/>
      <c r="E1271" s="214"/>
      <c r="F1271" s="215"/>
      <c r="G1271" s="21"/>
      <c r="H1271" s="225"/>
      <c r="I1271" s="225"/>
      <c r="J1271" s="225"/>
      <c r="K1271" s="225"/>
      <c r="L1271" s="225"/>
      <c r="M1271" s="225"/>
      <c r="N1271" s="225"/>
      <c r="O1271" s="225"/>
      <c r="P1271" s="225"/>
      <c r="Q1271" s="225"/>
      <c r="R1271" s="225"/>
      <c r="S1271" s="225"/>
      <c r="T1271" s="225"/>
      <c r="U1271" s="225"/>
      <c r="V1271" s="225"/>
      <c r="W1271" s="110"/>
      <c r="X1271" s="110"/>
      <c r="Y1271" s="110"/>
      <c r="Z1271" s="110"/>
    </row>
    <row r="1272">
      <c r="A1272" s="212"/>
      <c r="B1272" s="21"/>
      <c r="C1272" s="21"/>
      <c r="D1272" s="213"/>
      <c r="E1272" s="214"/>
      <c r="F1272" s="215"/>
      <c r="G1272" s="21"/>
      <c r="H1272" s="225"/>
      <c r="I1272" s="225"/>
      <c r="J1272" s="225"/>
      <c r="K1272" s="225"/>
      <c r="L1272" s="225"/>
      <c r="M1272" s="225"/>
      <c r="N1272" s="225"/>
      <c r="O1272" s="225"/>
      <c r="P1272" s="225"/>
      <c r="Q1272" s="225"/>
      <c r="R1272" s="225"/>
      <c r="S1272" s="225"/>
      <c r="T1272" s="225"/>
      <c r="U1272" s="225"/>
      <c r="V1272" s="225"/>
      <c r="W1272" s="110"/>
      <c r="X1272" s="110"/>
      <c r="Y1272" s="110"/>
      <c r="Z1272" s="110"/>
    </row>
    <row r="1273">
      <c r="A1273" s="212"/>
      <c r="B1273" s="21"/>
      <c r="C1273" s="21"/>
      <c r="D1273" s="213"/>
      <c r="E1273" s="214"/>
      <c r="F1273" s="215"/>
      <c r="G1273" s="21"/>
      <c r="H1273" s="225"/>
      <c r="I1273" s="225"/>
      <c r="J1273" s="225"/>
      <c r="K1273" s="225"/>
      <c r="L1273" s="225"/>
      <c r="M1273" s="225"/>
      <c r="N1273" s="225"/>
      <c r="O1273" s="225"/>
      <c r="P1273" s="225"/>
      <c r="Q1273" s="225"/>
      <c r="R1273" s="225"/>
      <c r="S1273" s="225"/>
      <c r="T1273" s="225"/>
      <c r="U1273" s="225"/>
      <c r="V1273" s="225"/>
      <c r="W1273" s="110"/>
      <c r="X1273" s="110"/>
      <c r="Y1273" s="110"/>
      <c r="Z1273" s="110"/>
    </row>
    <row r="1274">
      <c r="A1274" s="212"/>
      <c r="B1274" s="21"/>
      <c r="C1274" s="21"/>
      <c r="D1274" s="213"/>
      <c r="E1274" s="214"/>
      <c r="F1274" s="215"/>
      <c r="G1274" s="21"/>
      <c r="H1274" s="225"/>
      <c r="I1274" s="225"/>
      <c r="J1274" s="225"/>
      <c r="K1274" s="225"/>
      <c r="L1274" s="225"/>
      <c r="M1274" s="225"/>
      <c r="N1274" s="225"/>
      <c r="O1274" s="225"/>
      <c r="P1274" s="225"/>
      <c r="Q1274" s="225"/>
      <c r="R1274" s="225"/>
      <c r="S1274" s="225"/>
      <c r="T1274" s="225"/>
      <c r="U1274" s="225"/>
      <c r="V1274" s="225"/>
      <c r="W1274" s="110"/>
      <c r="X1274" s="110"/>
      <c r="Y1274" s="110"/>
      <c r="Z1274" s="110"/>
    </row>
    <row r="1275">
      <c r="A1275" s="212"/>
      <c r="B1275" s="21"/>
      <c r="C1275" s="21"/>
      <c r="D1275" s="213"/>
      <c r="E1275" s="214"/>
      <c r="F1275" s="215"/>
      <c r="G1275" s="21"/>
      <c r="H1275" s="225"/>
      <c r="I1275" s="225"/>
      <c r="J1275" s="225"/>
      <c r="K1275" s="225"/>
      <c r="L1275" s="225"/>
      <c r="M1275" s="225"/>
      <c r="N1275" s="225"/>
      <c r="O1275" s="225"/>
      <c r="P1275" s="225"/>
      <c r="Q1275" s="225"/>
      <c r="R1275" s="225"/>
      <c r="S1275" s="225"/>
      <c r="T1275" s="225"/>
      <c r="U1275" s="225"/>
      <c r="V1275" s="225"/>
      <c r="W1275" s="110"/>
      <c r="X1275" s="110"/>
      <c r="Y1275" s="110"/>
      <c r="Z1275" s="110"/>
    </row>
    <row r="1276">
      <c r="A1276" s="212"/>
      <c r="B1276" s="21"/>
      <c r="C1276" s="21"/>
      <c r="D1276" s="213"/>
      <c r="E1276" s="214"/>
      <c r="F1276" s="215"/>
      <c r="G1276" s="21"/>
      <c r="H1276" s="225"/>
      <c r="I1276" s="225"/>
      <c r="J1276" s="225"/>
      <c r="K1276" s="225"/>
      <c r="L1276" s="225"/>
      <c r="M1276" s="225"/>
      <c r="N1276" s="225"/>
      <c r="O1276" s="225"/>
      <c r="P1276" s="225"/>
      <c r="Q1276" s="225"/>
      <c r="R1276" s="225"/>
      <c r="S1276" s="225"/>
      <c r="T1276" s="225"/>
      <c r="U1276" s="225"/>
      <c r="V1276" s="225"/>
      <c r="W1276" s="110"/>
      <c r="X1276" s="110"/>
      <c r="Y1276" s="110"/>
      <c r="Z1276" s="110"/>
    </row>
    <row r="1277">
      <c r="A1277" s="212"/>
      <c r="B1277" s="21"/>
      <c r="C1277" s="21"/>
      <c r="D1277" s="213"/>
      <c r="E1277" s="214"/>
      <c r="F1277" s="215"/>
      <c r="G1277" s="21"/>
      <c r="H1277" s="225"/>
      <c r="I1277" s="225"/>
      <c r="J1277" s="225"/>
      <c r="K1277" s="225"/>
      <c r="L1277" s="225"/>
      <c r="M1277" s="225"/>
      <c r="N1277" s="225"/>
      <c r="O1277" s="225"/>
      <c r="P1277" s="225"/>
      <c r="Q1277" s="225"/>
      <c r="R1277" s="225"/>
      <c r="S1277" s="225"/>
      <c r="T1277" s="225"/>
      <c r="U1277" s="225"/>
      <c r="V1277" s="225"/>
      <c r="W1277" s="110"/>
      <c r="X1277" s="110"/>
      <c r="Y1277" s="110"/>
      <c r="Z1277" s="110"/>
    </row>
    <row r="1278">
      <c r="A1278" s="212"/>
      <c r="B1278" s="21"/>
      <c r="C1278" s="21"/>
      <c r="D1278" s="213"/>
      <c r="E1278" s="214"/>
      <c r="F1278" s="215"/>
      <c r="G1278" s="21"/>
      <c r="H1278" s="225"/>
      <c r="I1278" s="225"/>
      <c r="J1278" s="225"/>
      <c r="K1278" s="225"/>
      <c r="L1278" s="225"/>
      <c r="M1278" s="225"/>
      <c r="N1278" s="225"/>
      <c r="O1278" s="225"/>
      <c r="P1278" s="225"/>
      <c r="Q1278" s="225"/>
      <c r="R1278" s="225"/>
      <c r="S1278" s="225"/>
      <c r="T1278" s="225"/>
      <c r="U1278" s="225"/>
      <c r="V1278" s="225"/>
      <c r="W1278" s="110"/>
      <c r="X1278" s="110"/>
      <c r="Y1278" s="110"/>
      <c r="Z1278" s="110"/>
    </row>
    <row r="1279">
      <c r="A1279" s="212"/>
      <c r="B1279" s="21"/>
      <c r="C1279" s="21"/>
      <c r="D1279" s="213"/>
      <c r="E1279" s="214"/>
      <c r="F1279" s="215"/>
      <c r="G1279" s="21"/>
      <c r="H1279" s="225"/>
      <c r="I1279" s="225"/>
      <c r="J1279" s="225"/>
      <c r="K1279" s="225"/>
      <c r="L1279" s="225"/>
      <c r="M1279" s="225"/>
      <c r="N1279" s="225"/>
      <c r="O1279" s="225"/>
      <c r="P1279" s="225"/>
      <c r="Q1279" s="225"/>
      <c r="R1279" s="225"/>
      <c r="S1279" s="225"/>
      <c r="T1279" s="225"/>
      <c r="U1279" s="225"/>
      <c r="V1279" s="225"/>
      <c r="W1279" s="110"/>
      <c r="X1279" s="110"/>
      <c r="Y1279" s="110"/>
      <c r="Z1279" s="110"/>
    </row>
    <row r="1280">
      <c r="A1280" s="212"/>
      <c r="B1280" s="21"/>
      <c r="C1280" s="21"/>
      <c r="D1280" s="213"/>
      <c r="E1280" s="214"/>
      <c r="F1280" s="215"/>
      <c r="G1280" s="21"/>
      <c r="H1280" s="225"/>
      <c r="I1280" s="225"/>
      <c r="J1280" s="225"/>
      <c r="K1280" s="225"/>
      <c r="L1280" s="225"/>
      <c r="M1280" s="225"/>
      <c r="N1280" s="225"/>
      <c r="O1280" s="225"/>
      <c r="P1280" s="225"/>
      <c r="Q1280" s="225"/>
      <c r="R1280" s="225"/>
      <c r="S1280" s="225"/>
      <c r="T1280" s="225"/>
      <c r="U1280" s="225"/>
      <c r="V1280" s="225"/>
      <c r="W1280" s="110"/>
      <c r="X1280" s="110"/>
      <c r="Y1280" s="110"/>
      <c r="Z1280" s="110"/>
    </row>
    <row r="1281">
      <c r="A1281" s="212"/>
      <c r="B1281" s="21"/>
      <c r="C1281" s="21"/>
      <c r="D1281" s="213"/>
      <c r="E1281" s="214"/>
      <c r="F1281" s="215"/>
      <c r="G1281" s="21"/>
      <c r="H1281" s="225"/>
      <c r="I1281" s="225"/>
      <c r="J1281" s="225"/>
      <c r="K1281" s="225"/>
      <c r="L1281" s="225"/>
      <c r="M1281" s="225"/>
      <c r="N1281" s="225"/>
      <c r="O1281" s="225"/>
      <c r="P1281" s="225"/>
      <c r="Q1281" s="225"/>
      <c r="R1281" s="225"/>
      <c r="S1281" s="225"/>
      <c r="T1281" s="225"/>
      <c r="U1281" s="225"/>
      <c r="V1281" s="225"/>
      <c r="W1281" s="110"/>
      <c r="X1281" s="110"/>
      <c r="Y1281" s="110"/>
      <c r="Z1281" s="110"/>
    </row>
    <row r="1282">
      <c r="A1282" s="212"/>
      <c r="B1282" s="21"/>
      <c r="C1282" s="21"/>
      <c r="D1282" s="213"/>
      <c r="E1282" s="214"/>
      <c r="F1282" s="215"/>
      <c r="G1282" s="21"/>
      <c r="H1282" s="225"/>
      <c r="I1282" s="225"/>
      <c r="J1282" s="225"/>
      <c r="K1282" s="225"/>
      <c r="L1282" s="225"/>
      <c r="M1282" s="225"/>
      <c r="N1282" s="225"/>
      <c r="O1282" s="225"/>
      <c r="P1282" s="225"/>
      <c r="Q1282" s="225"/>
      <c r="R1282" s="225"/>
      <c r="S1282" s="225"/>
      <c r="T1282" s="225"/>
      <c r="U1282" s="225"/>
      <c r="V1282" s="225"/>
      <c r="W1282" s="110"/>
      <c r="X1282" s="110"/>
      <c r="Y1282" s="110"/>
      <c r="Z1282" s="110"/>
    </row>
    <row r="1283">
      <c r="A1283" s="212"/>
      <c r="B1283" s="21"/>
      <c r="C1283" s="21"/>
      <c r="D1283" s="213"/>
      <c r="E1283" s="214"/>
      <c r="F1283" s="215"/>
      <c r="G1283" s="21"/>
      <c r="H1283" s="225"/>
      <c r="I1283" s="225"/>
      <c r="J1283" s="225"/>
      <c r="K1283" s="225"/>
      <c r="L1283" s="225"/>
      <c r="M1283" s="225"/>
      <c r="N1283" s="225"/>
      <c r="O1283" s="225"/>
      <c r="P1283" s="225"/>
      <c r="Q1283" s="225"/>
      <c r="R1283" s="225"/>
      <c r="S1283" s="225"/>
      <c r="T1283" s="225"/>
      <c r="U1283" s="225"/>
      <c r="V1283" s="225"/>
      <c r="W1283" s="110"/>
      <c r="X1283" s="110"/>
      <c r="Y1283" s="110"/>
      <c r="Z1283" s="110"/>
    </row>
    <row r="1284">
      <c r="A1284" s="212"/>
      <c r="B1284" s="21"/>
      <c r="C1284" s="21"/>
      <c r="D1284" s="213"/>
      <c r="E1284" s="214"/>
      <c r="F1284" s="215"/>
      <c r="G1284" s="21"/>
      <c r="H1284" s="225"/>
      <c r="I1284" s="225"/>
      <c r="J1284" s="225"/>
      <c r="K1284" s="225"/>
      <c r="L1284" s="225"/>
      <c r="M1284" s="225"/>
      <c r="N1284" s="225"/>
      <c r="O1284" s="225"/>
      <c r="P1284" s="225"/>
      <c r="Q1284" s="225"/>
      <c r="R1284" s="225"/>
      <c r="S1284" s="225"/>
      <c r="T1284" s="225"/>
      <c r="U1284" s="225"/>
      <c r="V1284" s="225"/>
      <c r="W1284" s="110"/>
      <c r="X1284" s="110"/>
      <c r="Y1284" s="110"/>
      <c r="Z1284" s="110"/>
    </row>
    <row r="1285">
      <c r="A1285" s="212"/>
      <c r="B1285" s="21"/>
      <c r="C1285" s="21"/>
      <c r="D1285" s="213"/>
      <c r="E1285" s="214"/>
      <c r="F1285" s="215"/>
      <c r="G1285" s="21"/>
      <c r="H1285" s="225"/>
      <c r="I1285" s="225"/>
      <c r="J1285" s="225"/>
      <c r="K1285" s="225"/>
      <c r="L1285" s="225"/>
      <c r="M1285" s="225"/>
      <c r="N1285" s="225"/>
      <c r="O1285" s="225"/>
      <c r="P1285" s="225"/>
      <c r="Q1285" s="225"/>
      <c r="R1285" s="225"/>
      <c r="S1285" s="225"/>
      <c r="T1285" s="225"/>
      <c r="U1285" s="225"/>
      <c r="V1285" s="225"/>
      <c r="W1285" s="110"/>
      <c r="X1285" s="110"/>
      <c r="Y1285" s="110"/>
      <c r="Z1285" s="110"/>
    </row>
    <row r="1286">
      <c r="A1286" s="212"/>
      <c r="B1286" s="21"/>
      <c r="C1286" s="21"/>
      <c r="D1286" s="213"/>
      <c r="E1286" s="214"/>
      <c r="F1286" s="215"/>
      <c r="G1286" s="124"/>
      <c r="H1286" s="110"/>
      <c r="I1286" s="110"/>
      <c r="J1286" s="110"/>
      <c r="K1286" s="110"/>
      <c r="L1286" s="110"/>
      <c r="M1286" s="110"/>
      <c r="N1286" s="110"/>
      <c r="O1286" s="110"/>
      <c r="P1286" s="110"/>
      <c r="Q1286" s="110"/>
      <c r="R1286" s="110"/>
      <c r="S1286" s="110"/>
      <c r="T1286" s="110"/>
      <c r="U1286" s="110"/>
      <c r="V1286" s="110"/>
      <c r="W1286" s="110"/>
      <c r="X1286" s="110"/>
      <c r="Y1286" s="110"/>
      <c r="Z1286" s="110"/>
    </row>
    <row r="1287">
      <c r="A1287" s="212"/>
      <c r="B1287" s="21"/>
      <c r="C1287" s="21"/>
      <c r="D1287" s="213"/>
      <c r="E1287" s="214"/>
      <c r="F1287" s="215"/>
      <c r="G1287" s="221"/>
      <c r="H1287" s="110"/>
      <c r="I1287" s="110"/>
      <c r="J1287" s="110"/>
      <c r="K1287" s="110"/>
      <c r="L1287" s="110"/>
      <c r="M1287" s="110"/>
      <c r="N1287" s="110"/>
      <c r="O1287" s="110"/>
      <c r="P1287" s="110"/>
      <c r="Q1287" s="110"/>
      <c r="R1287" s="110"/>
      <c r="S1287" s="110"/>
      <c r="T1287" s="110"/>
      <c r="U1287" s="110"/>
      <c r="V1287" s="110"/>
      <c r="W1287" s="110"/>
      <c r="X1287" s="110"/>
      <c r="Y1287" s="110"/>
      <c r="Z1287" s="110"/>
    </row>
    <row r="1288">
      <c r="A1288" s="212"/>
      <c r="B1288" s="21"/>
      <c r="C1288" s="21"/>
      <c r="D1288" s="213"/>
      <c r="E1288" s="214"/>
      <c r="F1288" s="215"/>
      <c r="G1288" s="221"/>
      <c r="H1288" s="110"/>
      <c r="I1288" s="110"/>
      <c r="J1288" s="110"/>
      <c r="K1288" s="110"/>
      <c r="L1288" s="110"/>
      <c r="M1288" s="110"/>
      <c r="N1288" s="110"/>
      <c r="O1288" s="110"/>
      <c r="P1288" s="110"/>
      <c r="Q1288" s="110"/>
      <c r="R1288" s="110"/>
      <c r="S1288" s="110"/>
      <c r="T1288" s="110"/>
      <c r="U1288" s="110"/>
      <c r="V1288" s="110"/>
      <c r="W1288" s="110"/>
      <c r="X1288" s="110"/>
      <c r="Y1288" s="110"/>
      <c r="Z1288" s="110"/>
    </row>
    <row r="1289" ht="15.75" customHeight="1">
      <c r="A1289" s="212"/>
      <c r="B1289" s="21"/>
      <c r="C1289" s="21"/>
      <c r="D1289" s="213"/>
      <c r="E1289" s="214"/>
      <c r="F1289" s="215"/>
      <c r="G1289" s="21"/>
      <c r="H1289" s="110"/>
      <c r="I1289" s="110"/>
      <c r="J1289" s="221"/>
      <c r="K1289" s="221"/>
      <c r="L1289" s="221"/>
      <c r="M1289" s="21"/>
      <c r="N1289" s="110"/>
      <c r="O1289" s="110"/>
      <c r="P1289" s="110"/>
      <c r="Q1289" s="110"/>
      <c r="R1289" s="110"/>
      <c r="S1289" s="110"/>
      <c r="T1289" s="110"/>
      <c r="U1289" s="110"/>
      <c r="V1289" s="110"/>
      <c r="W1289" s="110"/>
      <c r="X1289" s="110"/>
      <c r="Y1289" s="110"/>
      <c r="Z1289" s="110"/>
    </row>
    <row r="1290">
      <c r="A1290" s="212"/>
      <c r="B1290" s="21"/>
      <c r="C1290" s="21"/>
      <c r="D1290" s="213"/>
      <c r="E1290" s="214"/>
      <c r="F1290" s="215"/>
      <c r="G1290" s="21"/>
      <c r="H1290" s="110"/>
      <c r="I1290" s="110"/>
      <c r="J1290" s="110"/>
      <c r="K1290" s="110"/>
      <c r="L1290" s="110"/>
      <c r="M1290" s="110"/>
      <c r="N1290" s="110"/>
      <c r="O1290" s="110"/>
      <c r="P1290" s="110"/>
      <c r="Q1290" s="110"/>
      <c r="R1290" s="110"/>
      <c r="S1290" s="110"/>
      <c r="T1290" s="110"/>
      <c r="U1290" s="110"/>
      <c r="V1290" s="110"/>
      <c r="W1290" s="110"/>
      <c r="X1290" s="110"/>
      <c r="Y1290" s="110"/>
      <c r="Z1290" s="110"/>
    </row>
    <row r="1291">
      <c r="A1291" s="212"/>
      <c r="B1291" s="21"/>
      <c r="C1291" s="21"/>
      <c r="D1291" s="213"/>
      <c r="E1291" s="214"/>
      <c r="F1291" s="215"/>
      <c r="G1291" s="21"/>
      <c r="H1291" s="110"/>
      <c r="I1291" s="110"/>
      <c r="J1291" s="110"/>
      <c r="K1291" s="110"/>
      <c r="L1291" s="110"/>
      <c r="M1291" s="110"/>
      <c r="N1291" s="110"/>
      <c r="O1291" s="110"/>
      <c r="P1291" s="110"/>
      <c r="Q1291" s="110"/>
      <c r="R1291" s="110"/>
      <c r="S1291" s="110"/>
      <c r="T1291" s="110"/>
      <c r="U1291" s="110"/>
      <c r="V1291" s="110"/>
      <c r="W1291" s="110"/>
      <c r="X1291" s="110"/>
      <c r="Y1291" s="110"/>
      <c r="Z1291" s="110"/>
    </row>
    <row r="1292">
      <c r="A1292" s="212"/>
      <c r="B1292" s="21"/>
      <c r="C1292" s="21"/>
      <c r="D1292" s="213"/>
      <c r="E1292" s="214"/>
      <c r="F1292" s="215"/>
      <c r="G1292" s="21"/>
      <c r="H1292" s="110"/>
      <c r="I1292" s="110"/>
      <c r="J1292" s="110"/>
      <c r="K1292" s="110"/>
      <c r="L1292" s="110"/>
      <c r="M1292" s="110"/>
      <c r="N1292" s="110"/>
      <c r="O1292" s="110"/>
      <c r="P1292" s="110"/>
      <c r="Q1292" s="110"/>
      <c r="R1292" s="110"/>
      <c r="S1292" s="110"/>
      <c r="T1292" s="110"/>
      <c r="U1292" s="110"/>
      <c r="V1292" s="110"/>
      <c r="W1292" s="110"/>
      <c r="X1292" s="110"/>
      <c r="Y1292" s="110"/>
      <c r="Z1292" s="110"/>
    </row>
    <row r="1293">
      <c r="A1293" s="212"/>
      <c r="B1293" s="21"/>
      <c r="C1293" s="21"/>
      <c r="D1293" s="213"/>
      <c r="E1293" s="214"/>
      <c r="F1293" s="215"/>
      <c r="G1293" s="21"/>
      <c r="H1293" s="110"/>
      <c r="I1293" s="110"/>
      <c r="J1293" s="110"/>
      <c r="K1293" s="110"/>
      <c r="L1293" s="110"/>
      <c r="M1293" s="110"/>
      <c r="N1293" s="110"/>
      <c r="O1293" s="110"/>
      <c r="P1293" s="110"/>
      <c r="Q1293" s="110"/>
      <c r="R1293" s="110"/>
      <c r="S1293" s="110"/>
      <c r="T1293" s="110"/>
      <c r="U1293" s="110"/>
      <c r="V1293" s="110"/>
      <c r="W1293" s="110"/>
      <c r="X1293" s="110"/>
      <c r="Y1293" s="110"/>
      <c r="Z1293" s="110"/>
    </row>
    <row r="1294">
      <c r="A1294" s="212"/>
      <c r="B1294" s="21"/>
      <c r="C1294" s="21"/>
      <c r="D1294" s="213"/>
      <c r="E1294" s="214"/>
      <c r="F1294" s="215"/>
      <c r="G1294" s="21"/>
      <c r="H1294" s="110"/>
      <c r="I1294" s="110"/>
      <c r="J1294" s="110"/>
      <c r="K1294" s="110"/>
      <c r="L1294" s="110"/>
      <c r="M1294" s="110"/>
      <c r="N1294" s="110"/>
      <c r="O1294" s="110"/>
      <c r="P1294" s="110"/>
      <c r="Q1294" s="110"/>
      <c r="R1294" s="110"/>
      <c r="S1294" s="110"/>
      <c r="T1294" s="110"/>
      <c r="U1294" s="110"/>
      <c r="V1294" s="110"/>
      <c r="W1294" s="110"/>
      <c r="X1294" s="110"/>
      <c r="Y1294" s="110"/>
      <c r="Z1294" s="110"/>
    </row>
    <row r="1295">
      <c r="A1295" s="212"/>
      <c r="B1295" s="21"/>
      <c r="C1295" s="21"/>
      <c r="D1295" s="213"/>
      <c r="E1295" s="214"/>
      <c r="F1295" s="215"/>
      <c r="G1295" s="21"/>
      <c r="H1295" s="110"/>
      <c r="I1295" s="110"/>
      <c r="J1295" s="110"/>
      <c r="K1295" s="110"/>
      <c r="L1295" s="110"/>
      <c r="M1295" s="110"/>
      <c r="N1295" s="110"/>
      <c r="O1295" s="110"/>
      <c r="P1295" s="110"/>
      <c r="Q1295" s="110"/>
      <c r="R1295" s="110"/>
      <c r="S1295" s="110"/>
      <c r="T1295" s="110"/>
      <c r="U1295" s="110"/>
      <c r="V1295" s="110"/>
      <c r="W1295" s="110"/>
      <c r="X1295" s="110"/>
      <c r="Y1295" s="110"/>
      <c r="Z1295" s="110"/>
    </row>
    <row r="1296">
      <c r="A1296" s="212"/>
      <c r="B1296" s="21"/>
      <c r="C1296" s="21"/>
      <c r="D1296" s="213"/>
      <c r="E1296" s="214"/>
      <c r="F1296" s="215"/>
      <c r="G1296" s="21"/>
      <c r="H1296" s="110"/>
      <c r="I1296" s="110"/>
      <c r="J1296" s="110"/>
      <c r="K1296" s="110"/>
      <c r="L1296" s="110"/>
      <c r="M1296" s="110"/>
      <c r="N1296" s="110"/>
      <c r="O1296" s="110"/>
      <c r="P1296" s="110"/>
      <c r="Q1296" s="110"/>
      <c r="R1296" s="110"/>
      <c r="S1296" s="110"/>
      <c r="T1296" s="110"/>
      <c r="U1296" s="110"/>
      <c r="V1296" s="110"/>
      <c r="W1296" s="110"/>
      <c r="X1296" s="110"/>
      <c r="Y1296" s="110"/>
      <c r="Z1296" s="110"/>
    </row>
    <row r="1297">
      <c r="A1297" s="212"/>
      <c r="B1297" s="21"/>
      <c r="C1297" s="21"/>
      <c r="D1297" s="213"/>
      <c r="E1297" s="214"/>
      <c r="F1297" s="215"/>
      <c r="G1297" s="21"/>
      <c r="H1297" s="110"/>
      <c r="I1297" s="110"/>
      <c r="J1297" s="110"/>
      <c r="K1297" s="110"/>
      <c r="L1297" s="110"/>
      <c r="M1297" s="110"/>
      <c r="N1297" s="110"/>
      <c r="O1297" s="110"/>
      <c r="P1297" s="110"/>
      <c r="Q1297" s="110"/>
      <c r="R1297" s="110"/>
      <c r="S1297" s="110"/>
      <c r="T1297" s="110"/>
      <c r="U1297" s="110"/>
      <c r="V1297" s="110"/>
      <c r="W1297" s="110"/>
      <c r="X1297" s="110"/>
      <c r="Y1297" s="110"/>
      <c r="Z1297" s="110"/>
    </row>
    <row r="1298">
      <c r="A1298" s="212"/>
      <c r="B1298" s="21"/>
      <c r="C1298" s="21"/>
      <c r="D1298" s="213"/>
      <c r="E1298" s="214"/>
      <c r="F1298" s="215"/>
      <c r="G1298" s="21"/>
      <c r="H1298" s="110"/>
      <c r="I1298" s="110"/>
      <c r="J1298" s="110"/>
      <c r="K1298" s="110"/>
      <c r="L1298" s="110"/>
      <c r="M1298" s="110"/>
      <c r="N1298" s="110"/>
      <c r="O1298" s="110"/>
      <c r="P1298" s="110"/>
      <c r="Q1298" s="110"/>
      <c r="R1298" s="110"/>
      <c r="S1298" s="110"/>
      <c r="T1298" s="110"/>
      <c r="U1298" s="110"/>
      <c r="V1298" s="110"/>
      <c r="W1298" s="110"/>
      <c r="X1298" s="110"/>
      <c r="Y1298" s="110"/>
      <c r="Z1298" s="110"/>
    </row>
    <row r="1299">
      <c r="A1299" s="212"/>
      <c r="B1299" s="21"/>
      <c r="C1299" s="21"/>
      <c r="D1299" s="213"/>
      <c r="E1299" s="214"/>
      <c r="F1299" s="215"/>
      <c r="G1299" s="21"/>
      <c r="H1299" s="110"/>
      <c r="I1299" s="110"/>
      <c r="J1299" s="110"/>
      <c r="K1299" s="110"/>
      <c r="L1299" s="110"/>
      <c r="M1299" s="110"/>
      <c r="N1299" s="110"/>
      <c r="O1299" s="110"/>
      <c r="P1299" s="110"/>
      <c r="Q1299" s="110"/>
      <c r="R1299" s="110"/>
      <c r="S1299" s="110"/>
      <c r="T1299" s="110"/>
      <c r="U1299" s="110"/>
      <c r="V1299" s="110"/>
      <c r="W1299" s="110"/>
      <c r="X1299" s="110"/>
      <c r="Y1299" s="110"/>
      <c r="Z1299" s="110"/>
    </row>
    <row r="1300">
      <c r="A1300" s="212"/>
      <c r="B1300" s="21"/>
      <c r="C1300" s="21"/>
      <c r="D1300" s="213"/>
      <c r="E1300" s="214"/>
      <c r="F1300" s="215"/>
      <c r="G1300" s="21"/>
      <c r="H1300" s="110"/>
      <c r="I1300" s="110"/>
      <c r="J1300" s="110"/>
      <c r="K1300" s="110"/>
      <c r="L1300" s="110"/>
      <c r="M1300" s="110"/>
      <c r="N1300" s="110"/>
      <c r="O1300" s="110"/>
      <c r="P1300" s="110"/>
      <c r="Q1300" s="110"/>
      <c r="R1300" s="110"/>
      <c r="S1300" s="110"/>
      <c r="T1300" s="110"/>
      <c r="U1300" s="110"/>
      <c r="V1300" s="110"/>
      <c r="W1300" s="110"/>
      <c r="X1300" s="110"/>
      <c r="Y1300" s="110"/>
      <c r="Z1300" s="110"/>
    </row>
    <row r="1301">
      <c r="A1301" s="212"/>
      <c r="B1301" s="21"/>
      <c r="C1301" s="21"/>
      <c r="D1301" s="213"/>
      <c r="E1301" s="214"/>
      <c r="F1301" s="215"/>
      <c r="G1301" s="21"/>
      <c r="H1301" s="110"/>
      <c r="I1301" s="110"/>
      <c r="J1301" s="110"/>
      <c r="K1301" s="110"/>
      <c r="L1301" s="110"/>
      <c r="M1301" s="110"/>
      <c r="N1301" s="110"/>
      <c r="O1301" s="110"/>
      <c r="P1301" s="110"/>
      <c r="Q1301" s="110"/>
      <c r="R1301" s="110"/>
      <c r="S1301" s="110"/>
      <c r="T1301" s="110"/>
      <c r="U1301" s="110"/>
      <c r="V1301" s="110"/>
      <c r="W1301" s="110"/>
      <c r="X1301" s="110"/>
      <c r="Y1301" s="110"/>
      <c r="Z1301" s="110"/>
    </row>
    <row r="1302">
      <c r="A1302" s="212"/>
      <c r="B1302" s="21"/>
      <c r="C1302" s="21"/>
      <c r="D1302" s="213"/>
      <c r="E1302" s="214"/>
      <c r="F1302" s="215"/>
      <c r="G1302" s="21"/>
      <c r="H1302" s="110"/>
      <c r="I1302" s="110"/>
      <c r="J1302" s="110"/>
      <c r="K1302" s="110"/>
      <c r="L1302" s="110"/>
      <c r="M1302" s="110"/>
      <c r="N1302" s="110"/>
      <c r="O1302" s="110"/>
      <c r="P1302" s="110"/>
      <c r="Q1302" s="110"/>
      <c r="R1302" s="110"/>
      <c r="S1302" s="110"/>
      <c r="T1302" s="110"/>
      <c r="U1302" s="110"/>
      <c r="V1302" s="110"/>
      <c r="W1302" s="110"/>
      <c r="X1302" s="110"/>
      <c r="Y1302" s="110"/>
      <c r="Z1302" s="110"/>
    </row>
    <row r="1303">
      <c r="A1303" s="212"/>
      <c r="B1303" s="21"/>
      <c r="C1303" s="21"/>
      <c r="D1303" s="213"/>
      <c r="E1303" s="214"/>
      <c r="F1303" s="215"/>
      <c r="G1303" s="21"/>
      <c r="H1303" s="110"/>
      <c r="I1303" s="110"/>
      <c r="J1303" s="110"/>
      <c r="K1303" s="110"/>
      <c r="L1303" s="110"/>
      <c r="M1303" s="110"/>
      <c r="N1303" s="110"/>
      <c r="O1303" s="110"/>
      <c r="P1303" s="110"/>
      <c r="Q1303" s="110"/>
      <c r="R1303" s="110"/>
      <c r="S1303" s="110"/>
      <c r="T1303" s="110"/>
      <c r="U1303" s="110"/>
      <c r="V1303" s="110"/>
      <c r="W1303" s="110"/>
      <c r="X1303" s="110"/>
      <c r="Y1303" s="110"/>
      <c r="Z1303" s="110"/>
    </row>
    <row r="1304">
      <c r="A1304" s="212"/>
      <c r="B1304" s="21"/>
      <c r="C1304" s="21"/>
      <c r="D1304" s="213"/>
      <c r="E1304" s="214"/>
      <c r="F1304" s="215"/>
      <c r="G1304" s="124"/>
      <c r="H1304" s="110"/>
      <c r="I1304" s="110"/>
      <c r="J1304" s="110"/>
      <c r="K1304" s="110"/>
      <c r="L1304" s="110"/>
      <c r="M1304" s="110"/>
      <c r="N1304" s="110"/>
      <c r="O1304" s="110"/>
      <c r="P1304" s="110"/>
      <c r="Q1304" s="110"/>
      <c r="R1304" s="110"/>
      <c r="S1304" s="110"/>
      <c r="T1304" s="110"/>
      <c r="U1304" s="110"/>
      <c r="V1304" s="110"/>
      <c r="W1304" s="110"/>
      <c r="X1304" s="110"/>
      <c r="Y1304" s="110"/>
      <c r="Z1304" s="110"/>
    </row>
    <row r="1305">
      <c r="A1305" s="212"/>
      <c r="B1305" s="21"/>
      <c r="C1305" s="21"/>
      <c r="D1305" s="213"/>
      <c r="E1305" s="214"/>
      <c r="F1305" s="215"/>
      <c r="G1305" s="124"/>
      <c r="H1305" s="110"/>
      <c r="I1305" s="110"/>
      <c r="J1305" s="110"/>
      <c r="K1305" s="110"/>
      <c r="L1305" s="110"/>
      <c r="M1305" s="110"/>
      <c r="N1305" s="110"/>
      <c r="O1305" s="110"/>
      <c r="P1305" s="110"/>
      <c r="Q1305" s="110"/>
      <c r="R1305" s="110"/>
      <c r="S1305" s="110"/>
      <c r="T1305" s="110"/>
      <c r="U1305" s="110"/>
      <c r="V1305" s="110"/>
      <c r="W1305" s="110"/>
      <c r="X1305" s="110"/>
      <c r="Y1305" s="110"/>
      <c r="Z1305" s="110"/>
    </row>
    <row r="1306">
      <c r="A1306" s="212"/>
      <c r="B1306" s="21"/>
      <c r="C1306" s="21"/>
      <c r="D1306" s="213"/>
      <c r="E1306" s="214"/>
      <c r="F1306" s="215"/>
      <c r="G1306" s="110"/>
      <c r="H1306" s="110"/>
      <c r="I1306" s="110"/>
      <c r="J1306" s="110"/>
      <c r="K1306" s="110"/>
      <c r="L1306" s="110"/>
      <c r="M1306" s="110"/>
      <c r="N1306" s="110"/>
      <c r="O1306" s="110"/>
      <c r="P1306" s="110"/>
      <c r="Q1306" s="110"/>
      <c r="R1306" s="110"/>
      <c r="S1306" s="110"/>
      <c r="T1306" s="110"/>
      <c r="U1306" s="110"/>
      <c r="V1306" s="110"/>
      <c r="W1306" s="110"/>
      <c r="X1306" s="110"/>
      <c r="Y1306" s="110"/>
      <c r="Z1306" s="110"/>
    </row>
    <row r="1307">
      <c r="A1307" s="212"/>
      <c r="B1307" s="21"/>
      <c r="C1307" s="21"/>
      <c r="D1307" s="213"/>
      <c r="E1307" s="214"/>
      <c r="F1307" s="215"/>
      <c r="G1307" s="162"/>
      <c r="H1307" s="225"/>
      <c r="I1307" s="225"/>
      <c r="J1307" s="225"/>
      <c r="K1307" s="225"/>
      <c r="L1307" s="225"/>
      <c r="M1307" s="225"/>
      <c r="N1307" s="225"/>
      <c r="O1307" s="225"/>
      <c r="P1307" s="225"/>
      <c r="Q1307" s="225"/>
      <c r="R1307" s="225"/>
      <c r="S1307" s="225"/>
      <c r="T1307" s="225"/>
      <c r="U1307" s="225"/>
      <c r="V1307" s="225"/>
      <c r="W1307" s="110"/>
      <c r="X1307" s="110"/>
      <c r="Y1307" s="110"/>
      <c r="Z1307" s="110"/>
    </row>
    <row r="1308">
      <c r="A1308" s="212"/>
      <c r="B1308" s="21"/>
      <c r="C1308" s="21"/>
      <c r="D1308" s="213"/>
      <c r="E1308" s="214"/>
      <c r="F1308" s="215"/>
      <c r="G1308" s="21"/>
      <c r="H1308" s="225"/>
      <c r="I1308" s="225"/>
      <c r="J1308" s="225"/>
      <c r="K1308" s="225"/>
      <c r="L1308" s="225"/>
      <c r="M1308" s="225"/>
      <c r="N1308" s="225"/>
      <c r="O1308" s="225"/>
      <c r="P1308" s="225"/>
      <c r="Q1308" s="225"/>
      <c r="R1308" s="225"/>
      <c r="S1308" s="225"/>
      <c r="T1308" s="225"/>
      <c r="U1308" s="225"/>
      <c r="V1308" s="225"/>
      <c r="W1308" s="110"/>
      <c r="X1308" s="110"/>
      <c r="Y1308" s="110"/>
      <c r="Z1308" s="110"/>
    </row>
    <row r="1309">
      <c r="A1309" s="212"/>
      <c r="B1309" s="21"/>
      <c r="C1309" s="21"/>
      <c r="D1309" s="213"/>
      <c r="E1309" s="214"/>
      <c r="F1309" s="215"/>
      <c r="G1309" s="21"/>
      <c r="H1309" s="225"/>
      <c r="I1309" s="225"/>
      <c r="J1309" s="225"/>
      <c r="K1309" s="225"/>
      <c r="L1309" s="225"/>
      <c r="M1309" s="225"/>
      <c r="N1309" s="225"/>
      <c r="O1309" s="225"/>
      <c r="P1309" s="225"/>
      <c r="Q1309" s="225"/>
      <c r="R1309" s="225"/>
      <c r="S1309" s="225"/>
      <c r="T1309" s="225"/>
      <c r="U1309" s="225"/>
      <c r="V1309" s="225"/>
      <c r="W1309" s="110"/>
      <c r="X1309" s="110"/>
      <c r="Y1309" s="110"/>
      <c r="Z1309" s="110"/>
    </row>
    <row r="1310">
      <c r="A1310" s="212"/>
      <c r="B1310" s="21"/>
      <c r="C1310" s="21"/>
      <c r="D1310" s="213"/>
      <c r="E1310" s="214"/>
      <c r="F1310" s="215"/>
      <c r="G1310" s="21"/>
      <c r="H1310" s="225"/>
      <c r="I1310" s="225"/>
      <c r="J1310" s="225"/>
      <c r="K1310" s="225"/>
      <c r="L1310" s="225"/>
      <c r="M1310" s="225"/>
      <c r="N1310" s="225"/>
      <c r="O1310" s="225"/>
      <c r="P1310" s="225"/>
      <c r="Q1310" s="225"/>
      <c r="R1310" s="225"/>
      <c r="S1310" s="225"/>
      <c r="T1310" s="225"/>
      <c r="U1310" s="225"/>
      <c r="V1310" s="225"/>
      <c r="W1310" s="110"/>
      <c r="X1310" s="110"/>
      <c r="Y1310" s="110"/>
      <c r="Z1310" s="110"/>
    </row>
    <row r="1311">
      <c r="A1311" s="212"/>
      <c r="B1311" s="21"/>
      <c r="C1311" s="21"/>
      <c r="D1311" s="213"/>
      <c r="E1311" s="214"/>
      <c r="F1311" s="215"/>
      <c r="G1311" s="24"/>
      <c r="H1311" s="225"/>
      <c r="I1311" s="225"/>
      <c r="J1311" s="225"/>
      <c r="K1311" s="225"/>
      <c r="L1311" s="225"/>
      <c r="M1311" s="225"/>
      <c r="N1311" s="225"/>
      <c r="O1311" s="225"/>
      <c r="P1311" s="225"/>
      <c r="Q1311" s="225"/>
      <c r="R1311" s="225"/>
      <c r="S1311" s="225"/>
      <c r="T1311" s="225"/>
      <c r="U1311" s="225"/>
      <c r="V1311" s="225"/>
      <c r="W1311" s="110"/>
      <c r="X1311" s="110"/>
      <c r="Y1311" s="110"/>
      <c r="Z1311" s="110"/>
    </row>
    <row r="1312">
      <c r="A1312" s="212"/>
      <c r="B1312" s="21"/>
      <c r="C1312" s="21"/>
      <c r="D1312" s="213"/>
      <c r="E1312" s="214"/>
      <c r="F1312" s="215"/>
      <c r="G1312" s="21"/>
      <c r="H1312" s="221"/>
      <c r="I1312" s="221"/>
      <c r="J1312" s="221"/>
      <c r="K1312" s="221"/>
      <c r="L1312" s="221"/>
      <c r="M1312" s="221"/>
      <c r="N1312" s="221"/>
      <c r="O1312" s="221"/>
      <c r="P1312" s="221"/>
      <c r="Q1312" s="221"/>
      <c r="R1312" s="221"/>
      <c r="S1312" s="221"/>
      <c r="T1312" s="221"/>
      <c r="U1312" s="221"/>
      <c r="V1312" s="221"/>
      <c r="W1312" s="110"/>
      <c r="X1312" s="110"/>
      <c r="Y1312" s="110"/>
      <c r="Z1312" s="110"/>
    </row>
    <row r="1313">
      <c r="A1313" s="212"/>
      <c r="B1313" s="21"/>
      <c r="C1313" s="21"/>
      <c r="D1313" s="213"/>
      <c r="E1313" s="214"/>
      <c r="F1313" s="215"/>
      <c r="G1313" s="21"/>
      <c r="H1313" s="221"/>
      <c r="I1313" s="221"/>
      <c r="J1313" s="221"/>
      <c r="K1313" s="221"/>
      <c r="L1313" s="221"/>
      <c r="M1313" s="221"/>
      <c r="N1313" s="221"/>
      <c r="O1313" s="221"/>
      <c r="P1313" s="221"/>
      <c r="Q1313" s="221"/>
      <c r="R1313" s="221"/>
      <c r="S1313" s="221"/>
      <c r="T1313" s="221"/>
      <c r="U1313" s="221"/>
      <c r="V1313" s="221"/>
      <c r="W1313" s="110"/>
      <c r="X1313" s="110"/>
      <c r="Y1313" s="110"/>
      <c r="Z1313" s="110"/>
    </row>
    <row r="1314">
      <c r="A1314" s="212"/>
      <c r="B1314" s="21"/>
      <c r="C1314" s="21"/>
      <c r="D1314" s="213"/>
      <c r="E1314" s="214"/>
      <c r="F1314" s="215"/>
      <c r="G1314" s="24"/>
      <c r="H1314" s="225"/>
      <c r="I1314" s="225"/>
      <c r="J1314" s="225"/>
      <c r="K1314" s="225"/>
      <c r="L1314" s="225"/>
      <c r="M1314" s="225"/>
      <c r="N1314" s="225"/>
      <c r="O1314" s="225"/>
      <c r="P1314" s="225"/>
      <c r="Q1314" s="225"/>
      <c r="R1314" s="225"/>
      <c r="S1314" s="225"/>
      <c r="T1314" s="225"/>
      <c r="U1314" s="225"/>
      <c r="V1314" s="225"/>
      <c r="W1314" s="110"/>
      <c r="X1314" s="110"/>
      <c r="Y1314" s="110"/>
      <c r="Z1314" s="110"/>
    </row>
    <row r="1315">
      <c r="A1315" s="212"/>
      <c r="B1315" s="21"/>
      <c r="C1315" s="21"/>
      <c r="D1315" s="213"/>
      <c r="E1315" s="214"/>
      <c r="F1315" s="215"/>
      <c r="G1315" s="24"/>
      <c r="H1315" s="225"/>
      <c r="I1315" s="225"/>
      <c r="J1315" s="225"/>
      <c r="K1315" s="225"/>
      <c r="L1315" s="225"/>
      <c r="M1315" s="225"/>
      <c r="N1315" s="225"/>
      <c r="O1315" s="225"/>
      <c r="P1315" s="225"/>
      <c r="Q1315" s="225"/>
      <c r="R1315" s="225"/>
      <c r="S1315" s="225"/>
      <c r="T1315" s="225"/>
      <c r="U1315" s="225"/>
      <c r="V1315" s="225"/>
      <c r="W1315" s="110"/>
      <c r="X1315" s="110"/>
      <c r="Y1315" s="110"/>
      <c r="Z1315" s="110"/>
    </row>
    <row r="1316">
      <c r="A1316" s="212"/>
      <c r="B1316" s="21"/>
      <c r="C1316" s="21"/>
      <c r="D1316" s="213"/>
      <c r="E1316" s="214"/>
      <c r="F1316" s="215"/>
      <c r="G1316" s="24"/>
      <c r="H1316" s="225"/>
      <c r="I1316" s="225"/>
      <c r="J1316" s="225"/>
      <c r="K1316" s="225"/>
      <c r="L1316" s="225"/>
      <c r="M1316" s="225"/>
      <c r="N1316" s="225"/>
      <c r="O1316" s="225"/>
      <c r="P1316" s="225"/>
      <c r="Q1316" s="225"/>
      <c r="R1316" s="225"/>
      <c r="S1316" s="225"/>
      <c r="T1316" s="225"/>
      <c r="U1316" s="225"/>
      <c r="V1316" s="225"/>
      <c r="W1316" s="110"/>
      <c r="X1316" s="110"/>
      <c r="Y1316" s="110"/>
      <c r="Z1316" s="110"/>
    </row>
    <row r="1317">
      <c r="A1317" s="212"/>
      <c r="B1317" s="21"/>
      <c r="C1317" s="21"/>
      <c r="D1317" s="213"/>
      <c r="E1317" s="214"/>
      <c r="F1317" s="215"/>
      <c r="G1317" s="24"/>
      <c r="H1317" s="225"/>
      <c r="I1317" s="225"/>
      <c r="J1317" s="225"/>
      <c r="K1317" s="225"/>
      <c r="L1317" s="225"/>
      <c r="M1317" s="225"/>
      <c r="N1317" s="225"/>
      <c r="O1317" s="225"/>
      <c r="P1317" s="225"/>
      <c r="Q1317" s="225"/>
      <c r="R1317" s="225"/>
      <c r="S1317" s="225"/>
      <c r="T1317" s="225"/>
      <c r="U1317" s="225"/>
      <c r="V1317" s="225"/>
      <c r="W1317" s="110"/>
      <c r="X1317" s="110"/>
      <c r="Y1317" s="110"/>
      <c r="Z1317" s="110"/>
    </row>
    <row r="1318">
      <c r="A1318" s="212"/>
      <c r="B1318" s="21"/>
      <c r="C1318" s="21"/>
      <c r="D1318" s="213"/>
      <c r="E1318" s="214"/>
      <c r="F1318" s="215"/>
      <c r="G1318" s="24"/>
      <c r="H1318" s="225"/>
      <c r="I1318" s="225"/>
      <c r="J1318" s="225"/>
      <c r="K1318" s="225"/>
      <c r="L1318" s="225"/>
      <c r="M1318" s="225"/>
      <c r="N1318" s="225"/>
      <c r="O1318" s="225"/>
      <c r="P1318" s="225"/>
      <c r="Q1318" s="225"/>
      <c r="R1318" s="225"/>
      <c r="S1318" s="225"/>
      <c r="T1318" s="225"/>
      <c r="U1318" s="225"/>
      <c r="V1318" s="225"/>
      <c r="W1318" s="110"/>
      <c r="X1318" s="110"/>
      <c r="Y1318" s="110"/>
      <c r="Z1318" s="110"/>
    </row>
    <row r="1319">
      <c r="A1319" s="212"/>
      <c r="B1319" s="21"/>
      <c r="C1319" s="21"/>
      <c r="D1319" s="213"/>
      <c r="E1319" s="214"/>
      <c r="F1319" s="215"/>
      <c r="G1319" s="24"/>
      <c r="H1319" s="225"/>
      <c r="I1319" s="225"/>
      <c r="J1319" s="225"/>
      <c r="K1319" s="225"/>
      <c r="L1319" s="225"/>
      <c r="M1319" s="225"/>
      <c r="N1319" s="225"/>
      <c r="O1319" s="225"/>
      <c r="P1319" s="225"/>
      <c r="Q1319" s="225"/>
      <c r="R1319" s="225"/>
      <c r="S1319" s="225"/>
      <c r="T1319" s="225"/>
      <c r="U1319" s="225"/>
      <c r="V1319" s="225"/>
      <c r="W1319" s="110"/>
      <c r="X1319" s="110"/>
      <c r="Y1319" s="110"/>
      <c r="Z1319" s="110"/>
    </row>
    <row r="1320">
      <c r="A1320" s="212"/>
      <c r="B1320" s="21"/>
      <c r="C1320" s="21"/>
      <c r="D1320" s="213"/>
      <c r="E1320" s="214"/>
      <c r="F1320" s="215"/>
      <c r="G1320" s="24"/>
      <c r="H1320" s="225"/>
      <c r="I1320" s="225"/>
      <c r="J1320" s="225"/>
      <c r="K1320" s="225"/>
      <c r="L1320" s="225"/>
      <c r="M1320" s="225"/>
      <c r="N1320" s="225"/>
      <c r="O1320" s="225"/>
      <c r="P1320" s="225"/>
      <c r="Q1320" s="225"/>
      <c r="R1320" s="225"/>
      <c r="S1320" s="225"/>
      <c r="T1320" s="225"/>
      <c r="U1320" s="225"/>
      <c r="V1320" s="225"/>
      <c r="W1320" s="110"/>
      <c r="X1320" s="110"/>
      <c r="Y1320" s="110"/>
      <c r="Z1320" s="110"/>
    </row>
    <row r="1321">
      <c r="A1321" s="212"/>
      <c r="B1321" s="21"/>
      <c r="C1321" s="21"/>
      <c r="D1321" s="213"/>
      <c r="E1321" s="214"/>
      <c r="F1321" s="215"/>
      <c r="G1321" s="21"/>
      <c r="H1321" s="225"/>
      <c r="I1321" s="225"/>
      <c r="J1321" s="225"/>
      <c r="K1321" s="225"/>
      <c r="L1321" s="225"/>
      <c r="M1321" s="225"/>
      <c r="N1321" s="225"/>
      <c r="O1321" s="225"/>
      <c r="P1321" s="225"/>
      <c r="Q1321" s="225"/>
      <c r="R1321" s="225"/>
      <c r="S1321" s="225"/>
      <c r="T1321" s="225"/>
      <c r="U1321" s="225"/>
      <c r="V1321" s="225"/>
      <c r="W1321" s="110"/>
      <c r="X1321" s="110"/>
      <c r="Y1321" s="110"/>
      <c r="Z1321" s="110"/>
    </row>
    <row r="1322">
      <c r="A1322" s="212"/>
      <c r="B1322" s="21"/>
      <c r="C1322" s="21"/>
      <c r="D1322" s="213"/>
      <c r="E1322" s="214"/>
      <c r="F1322" s="215"/>
      <c r="G1322" s="21"/>
      <c r="H1322" s="225"/>
      <c r="I1322" s="225"/>
      <c r="J1322" s="225"/>
      <c r="K1322" s="225"/>
      <c r="L1322" s="225"/>
      <c r="M1322" s="225"/>
      <c r="N1322" s="225"/>
      <c r="O1322" s="225"/>
      <c r="P1322" s="225"/>
      <c r="Q1322" s="225"/>
      <c r="R1322" s="225"/>
      <c r="S1322" s="225"/>
      <c r="T1322" s="225"/>
      <c r="U1322" s="225"/>
      <c r="V1322" s="225"/>
      <c r="W1322" s="110"/>
      <c r="X1322" s="110"/>
      <c r="Y1322" s="110"/>
      <c r="Z1322" s="110"/>
    </row>
    <row r="1323">
      <c r="A1323" s="212"/>
      <c r="B1323" s="21"/>
      <c r="C1323" s="21"/>
      <c r="D1323" s="213"/>
      <c r="E1323" s="214"/>
      <c r="F1323" s="215"/>
      <c r="G1323" s="21"/>
      <c r="H1323" s="225"/>
      <c r="I1323" s="225"/>
      <c r="J1323" s="225"/>
      <c r="K1323" s="225"/>
      <c r="L1323" s="225"/>
      <c r="M1323" s="225"/>
      <c r="N1323" s="225"/>
      <c r="O1323" s="225"/>
      <c r="P1323" s="225"/>
      <c r="Q1323" s="225"/>
      <c r="R1323" s="225"/>
      <c r="S1323" s="225"/>
      <c r="T1323" s="225"/>
      <c r="U1323" s="225"/>
      <c r="V1323" s="225"/>
      <c r="W1323" s="110"/>
      <c r="X1323" s="110"/>
      <c r="Y1323" s="110"/>
      <c r="Z1323" s="110"/>
    </row>
    <row r="1324">
      <c r="A1324" s="212"/>
      <c r="B1324" s="21"/>
      <c r="C1324" s="21"/>
      <c r="D1324" s="213"/>
      <c r="E1324" s="214"/>
      <c r="F1324" s="215"/>
      <c r="G1324" s="21"/>
      <c r="H1324" s="225"/>
      <c r="I1324" s="225"/>
      <c r="J1324" s="225"/>
      <c r="K1324" s="225"/>
      <c r="L1324" s="225"/>
      <c r="M1324" s="225"/>
      <c r="N1324" s="225"/>
      <c r="O1324" s="225"/>
      <c r="P1324" s="225"/>
      <c r="Q1324" s="225"/>
      <c r="R1324" s="225"/>
      <c r="S1324" s="225"/>
      <c r="T1324" s="225"/>
      <c r="U1324" s="225"/>
      <c r="V1324" s="225"/>
      <c r="W1324" s="110"/>
      <c r="X1324" s="110"/>
      <c r="Y1324" s="110"/>
      <c r="Z1324" s="110"/>
    </row>
    <row r="1325">
      <c r="A1325" s="212"/>
      <c r="B1325" s="21"/>
      <c r="C1325" s="21"/>
      <c r="D1325" s="213"/>
      <c r="E1325" s="214"/>
      <c r="F1325" s="215"/>
      <c r="G1325" s="21"/>
      <c r="H1325" s="225"/>
      <c r="I1325" s="225"/>
      <c r="J1325" s="225"/>
      <c r="K1325" s="225"/>
      <c r="L1325" s="225"/>
      <c r="M1325" s="225"/>
      <c r="N1325" s="225"/>
      <c r="O1325" s="225"/>
      <c r="P1325" s="225"/>
      <c r="Q1325" s="225"/>
      <c r="R1325" s="225"/>
      <c r="S1325" s="225"/>
      <c r="T1325" s="225"/>
      <c r="U1325" s="225"/>
      <c r="V1325" s="225"/>
      <c r="W1325" s="110"/>
      <c r="X1325" s="110"/>
      <c r="Y1325" s="110"/>
      <c r="Z1325" s="110"/>
    </row>
    <row r="1326">
      <c r="A1326" s="212"/>
      <c r="B1326" s="21"/>
      <c r="C1326" s="21"/>
      <c r="D1326" s="213"/>
      <c r="E1326" s="214"/>
      <c r="F1326" s="215"/>
      <c r="G1326" s="21"/>
      <c r="H1326" s="225"/>
      <c r="I1326" s="225"/>
      <c r="J1326" s="225"/>
      <c r="K1326" s="225"/>
      <c r="L1326" s="225"/>
      <c r="M1326" s="225"/>
      <c r="N1326" s="225"/>
      <c r="O1326" s="225"/>
      <c r="P1326" s="225"/>
      <c r="Q1326" s="225"/>
      <c r="R1326" s="225"/>
      <c r="S1326" s="225"/>
      <c r="T1326" s="225"/>
      <c r="U1326" s="225"/>
      <c r="V1326" s="225"/>
      <c r="W1326" s="110"/>
      <c r="X1326" s="110"/>
      <c r="Y1326" s="110"/>
      <c r="Z1326" s="110"/>
    </row>
    <row r="1327">
      <c r="A1327" s="212"/>
      <c r="B1327" s="21"/>
      <c r="C1327" s="21"/>
      <c r="D1327" s="213"/>
      <c r="E1327" s="214"/>
      <c r="F1327" s="215"/>
      <c r="G1327" s="21"/>
      <c r="H1327" s="225"/>
      <c r="I1327" s="225"/>
      <c r="J1327" s="225"/>
      <c r="K1327" s="225"/>
      <c r="L1327" s="225"/>
      <c r="M1327" s="225"/>
      <c r="N1327" s="225"/>
      <c r="O1327" s="225"/>
      <c r="P1327" s="225"/>
      <c r="Q1327" s="225"/>
      <c r="R1327" s="225"/>
      <c r="S1327" s="225"/>
      <c r="T1327" s="225"/>
      <c r="U1327" s="225"/>
      <c r="V1327" s="225"/>
      <c r="W1327" s="110"/>
      <c r="X1327" s="110"/>
      <c r="Y1327" s="110"/>
      <c r="Z1327" s="110"/>
    </row>
    <row r="1328">
      <c r="A1328" s="212"/>
      <c r="B1328" s="21"/>
      <c r="C1328" s="21"/>
      <c r="D1328" s="213"/>
      <c r="E1328" s="214"/>
      <c r="F1328" s="215"/>
      <c r="G1328" s="21"/>
      <c r="H1328" s="225"/>
      <c r="I1328" s="225"/>
      <c r="J1328" s="225"/>
      <c r="K1328" s="225"/>
      <c r="L1328" s="225"/>
      <c r="M1328" s="225"/>
      <c r="N1328" s="225"/>
      <c r="O1328" s="225"/>
      <c r="P1328" s="225"/>
      <c r="Q1328" s="225"/>
      <c r="R1328" s="225"/>
      <c r="S1328" s="225"/>
      <c r="T1328" s="225"/>
      <c r="U1328" s="225"/>
      <c r="V1328" s="225"/>
      <c r="W1328" s="110"/>
      <c r="X1328" s="110"/>
      <c r="Y1328" s="110"/>
      <c r="Z1328" s="110"/>
    </row>
    <row r="1329">
      <c r="A1329" s="212"/>
      <c r="B1329" s="21"/>
      <c r="C1329" s="21"/>
      <c r="D1329" s="213"/>
      <c r="E1329" s="214"/>
      <c r="F1329" s="215"/>
      <c r="G1329" s="21"/>
      <c r="H1329" s="225"/>
      <c r="I1329" s="225"/>
      <c r="J1329" s="225"/>
      <c r="K1329" s="225"/>
      <c r="L1329" s="225"/>
      <c r="M1329" s="225"/>
      <c r="N1329" s="225"/>
      <c r="O1329" s="225"/>
      <c r="P1329" s="225"/>
      <c r="Q1329" s="225"/>
      <c r="R1329" s="225"/>
      <c r="S1329" s="225"/>
      <c r="T1329" s="225"/>
      <c r="U1329" s="225"/>
      <c r="V1329" s="225"/>
      <c r="W1329" s="110"/>
      <c r="X1329" s="110"/>
      <c r="Y1329" s="110"/>
      <c r="Z1329" s="110"/>
    </row>
    <row r="1330">
      <c r="A1330" s="212"/>
      <c r="B1330" s="21"/>
      <c r="C1330" s="21"/>
      <c r="D1330" s="213"/>
      <c r="E1330" s="214"/>
      <c r="F1330" s="215"/>
      <c r="G1330" s="21"/>
      <c r="H1330" s="225"/>
      <c r="I1330" s="225"/>
      <c r="J1330" s="225"/>
      <c r="K1330" s="225"/>
      <c r="L1330" s="225"/>
      <c r="M1330" s="225"/>
      <c r="N1330" s="225"/>
      <c r="O1330" s="225"/>
      <c r="P1330" s="225"/>
      <c r="Q1330" s="225"/>
      <c r="R1330" s="225"/>
      <c r="S1330" s="225"/>
      <c r="T1330" s="225"/>
      <c r="U1330" s="225"/>
      <c r="V1330" s="225"/>
      <c r="W1330" s="110"/>
      <c r="X1330" s="110"/>
      <c r="Y1330" s="110"/>
      <c r="Z1330" s="110"/>
    </row>
    <row r="1331">
      <c r="A1331" s="212"/>
      <c r="B1331" s="21"/>
      <c r="C1331" s="21"/>
      <c r="D1331" s="213"/>
      <c r="E1331" s="214"/>
      <c r="F1331" s="215"/>
      <c r="G1331" s="21"/>
      <c r="H1331" s="225"/>
      <c r="I1331" s="225"/>
      <c r="J1331" s="225"/>
      <c r="K1331" s="225"/>
      <c r="L1331" s="225"/>
      <c r="M1331" s="225"/>
      <c r="N1331" s="225"/>
      <c r="O1331" s="225"/>
      <c r="P1331" s="225"/>
      <c r="Q1331" s="225"/>
      <c r="R1331" s="225"/>
      <c r="S1331" s="225"/>
      <c r="T1331" s="225"/>
      <c r="U1331" s="225"/>
      <c r="V1331" s="225"/>
      <c r="W1331" s="110"/>
      <c r="X1331" s="110"/>
      <c r="Y1331" s="110"/>
      <c r="Z1331" s="110"/>
    </row>
    <row r="1332">
      <c r="A1332" s="212"/>
      <c r="B1332" s="21"/>
      <c r="C1332" s="21"/>
      <c r="D1332" s="213"/>
      <c r="E1332" s="214"/>
      <c r="F1332" s="215"/>
      <c r="G1332" s="21"/>
      <c r="H1332" s="225"/>
      <c r="I1332" s="225"/>
      <c r="J1332" s="225"/>
      <c r="K1332" s="225"/>
      <c r="L1332" s="225"/>
      <c r="M1332" s="225"/>
      <c r="N1332" s="225"/>
      <c r="O1332" s="225"/>
      <c r="P1332" s="225"/>
      <c r="Q1332" s="225"/>
      <c r="R1332" s="225"/>
      <c r="S1332" s="225"/>
      <c r="T1332" s="225"/>
      <c r="U1332" s="225"/>
      <c r="V1332" s="225"/>
      <c r="W1332" s="110"/>
      <c r="X1332" s="110"/>
      <c r="Y1332" s="110"/>
      <c r="Z1332" s="110"/>
    </row>
    <row r="1333">
      <c r="A1333" s="212"/>
      <c r="B1333" s="21"/>
      <c r="C1333" s="21"/>
      <c r="D1333" s="213"/>
      <c r="E1333" s="214"/>
      <c r="F1333" s="215"/>
      <c r="G1333" s="21"/>
      <c r="H1333" s="225"/>
      <c r="I1333" s="225"/>
      <c r="J1333" s="225"/>
      <c r="K1333" s="225"/>
      <c r="L1333" s="225"/>
      <c r="M1333" s="225"/>
      <c r="N1333" s="225"/>
      <c r="O1333" s="225"/>
      <c r="P1333" s="225"/>
      <c r="Q1333" s="225"/>
      <c r="R1333" s="225"/>
      <c r="S1333" s="225"/>
      <c r="T1333" s="225"/>
      <c r="U1333" s="225"/>
      <c r="V1333" s="225"/>
      <c r="W1333" s="110"/>
      <c r="X1333" s="110"/>
      <c r="Y1333" s="110"/>
      <c r="Z1333" s="110"/>
    </row>
    <row r="1334">
      <c r="A1334" s="212"/>
      <c r="B1334" s="21"/>
      <c r="C1334" s="21"/>
      <c r="D1334" s="213"/>
      <c r="E1334" s="214"/>
      <c r="F1334" s="215"/>
      <c r="G1334" s="21"/>
      <c r="H1334" s="225"/>
      <c r="I1334" s="225"/>
      <c r="J1334" s="225"/>
      <c r="K1334" s="225"/>
      <c r="L1334" s="225"/>
      <c r="M1334" s="225"/>
      <c r="N1334" s="225"/>
      <c r="O1334" s="225"/>
      <c r="P1334" s="225"/>
      <c r="Q1334" s="225"/>
      <c r="R1334" s="225"/>
      <c r="S1334" s="225"/>
      <c r="T1334" s="225"/>
      <c r="U1334" s="225"/>
      <c r="V1334" s="225"/>
      <c r="W1334" s="110"/>
      <c r="X1334" s="110"/>
      <c r="Y1334" s="110"/>
      <c r="Z1334" s="110"/>
    </row>
    <row r="1335">
      <c r="A1335" s="212"/>
      <c r="B1335" s="21"/>
      <c r="C1335" s="21"/>
      <c r="D1335" s="213"/>
      <c r="E1335" s="214"/>
      <c r="F1335" s="215"/>
      <c r="G1335" s="21"/>
      <c r="H1335" s="225"/>
      <c r="I1335" s="225"/>
      <c r="J1335" s="225"/>
      <c r="K1335" s="225"/>
      <c r="L1335" s="225"/>
      <c r="M1335" s="225"/>
      <c r="N1335" s="225"/>
      <c r="O1335" s="225"/>
      <c r="P1335" s="225"/>
      <c r="Q1335" s="225"/>
      <c r="R1335" s="225"/>
      <c r="S1335" s="225"/>
      <c r="T1335" s="225"/>
      <c r="U1335" s="225"/>
      <c r="V1335" s="225"/>
      <c r="W1335" s="110"/>
      <c r="X1335" s="110"/>
      <c r="Y1335" s="110"/>
      <c r="Z1335" s="110"/>
    </row>
    <row r="1336">
      <c r="A1336" s="212"/>
      <c r="B1336" s="21"/>
      <c r="C1336" s="21"/>
      <c r="D1336" s="213"/>
      <c r="E1336" s="214"/>
      <c r="F1336" s="215"/>
      <c r="G1336" s="21"/>
      <c r="H1336" s="225"/>
      <c r="I1336" s="225"/>
      <c r="J1336" s="225"/>
      <c r="K1336" s="225"/>
      <c r="L1336" s="225"/>
      <c r="M1336" s="225"/>
      <c r="N1336" s="225"/>
      <c r="O1336" s="225"/>
      <c r="P1336" s="225"/>
      <c r="Q1336" s="225"/>
      <c r="R1336" s="225"/>
      <c r="S1336" s="225"/>
      <c r="T1336" s="225"/>
      <c r="U1336" s="225"/>
      <c r="V1336" s="225"/>
      <c r="W1336" s="110"/>
      <c r="X1336" s="110"/>
      <c r="Y1336" s="110"/>
      <c r="Z1336" s="110"/>
    </row>
    <row r="1337">
      <c r="A1337" s="212"/>
      <c r="B1337" s="21"/>
      <c r="C1337" s="21"/>
      <c r="D1337" s="213"/>
      <c r="E1337" s="214"/>
      <c r="F1337" s="215"/>
      <c r="G1337" s="21"/>
      <c r="H1337" s="225"/>
      <c r="I1337" s="225"/>
      <c r="J1337" s="225"/>
      <c r="K1337" s="225"/>
      <c r="L1337" s="225"/>
      <c r="M1337" s="225"/>
      <c r="N1337" s="225"/>
      <c r="O1337" s="225"/>
      <c r="P1337" s="225"/>
      <c r="Q1337" s="225"/>
      <c r="R1337" s="225"/>
      <c r="S1337" s="225"/>
      <c r="T1337" s="225"/>
      <c r="U1337" s="225"/>
      <c r="V1337" s="225"/>
      <c r="W1337" s="110"/>
      <c r="X1337" s="110"/>
      <c r="Y1337" s="110"/>
      <c r="Z1337" s="110"/>
    </row>
    <row r="1338">
      <c r="A1338" s="212"/>
      <c r="B1338" s="21"/>
      <c r="C1338" s="21"/>
      <c r="D1338" s="213"/>
      <c r="E1338" s="214"/>
      <c r="F1338" s="215"/>
      <c r="G1338" s="21"/>
      <c r="H1338" s="225"/>
      <c r="I1338" s="225"/>
      <c r="J1338" s="225"/>
      <c r="K1338" s="225"/>
      <c r="L1338" s="225"/>
      <c r="M1338" s="225"/>
      <c r="N1338" s="225"/>
      <c r="O1338" s="225"/>
      <c r="P1338" s="225"/>
      <c r="Q1338" s="225"/>
      <c r="R1338" s="225"/>
      <c r="S1338" s="225"/>
      <c r="T1338" s="225"/>
      <c r="U1338" s="225"/>
      <c r="V1338" s="225"/>
      <c r="W1338" s="110"/>
      <c r="X1338" s="110"/>
      <c r="Y1338" s="110"/>
      <c r="Z1338" s="110"/>
    </row>
    <row r="1339">
      <c r="A1339" s="212"/>
      <c r="B1339" s="21"/>
      <c r="C1339" s="21"/>
      <c r="D1339" s="213"/>
      <c r="E1339" s="214"/>
      <c r="F1339" s="215"/>
      <c r="G1339" s="21"/>
      <c r="H1339" s="225"/>
      <c r="I1339" s="225"/>
      <c r="J1339" s="225"/>
      <c r="K1339" s="225"/>
      <c r="L1339" s="225"/>
      <c r="M1339" s="225"/>
      <c r="N1339" s="225"/>
      <c r="O1339" s="225"/>
      <c r="P1339" s="225"/>
      <c r="Q1339" s="225"/>
      <c r="R1339" s="225"/>
      <c r="S1339" s="225"/>
      <c r="T1339" s="225"/>
      <c r="U1339" s="225"/>
      <c r="V1339" s="225"/>
      <c r="W1339" s="110"/>
      <c r="X1339" s="110"/>
      <c r="Y1339" s="110"/>
      <c r="Z1339" s="110"/>
    </row>
    <row r="1340">
      <c r="A1340" s="212"/>
      <c r="B1340" s="21"/>
      <c r="C1340" s="21"/>
      <c r="D1340" s="213"/>
      <c r="E1340" s="214"/>
      <c r="F1340" s="215"/>
      <c r="G1340" s="21"/>
      <c r="H1340" s="225"/>
      <c r="I1340" s="225"/>
      <c r="J1340" s="225"/>
      <c r="K1340" s="225"/>
      <c r="L1340" s="225"/>
      <c r="M1340" s="225"/>
      <c r="N1340" s="225"/>
      <c r="O1340" s="225"/>
      <c r="P1340" s="225"/>
      <c r="Q1340" s="225"/>
      <c r="R1340" s="225"/>
      <c r="S1340" s="225"/>
      <c r="T1340" s="225"/>
      <c r="U1340" s="225"/>
      <c r="V1340" s="225"/>
      <c r="W1340" s="110"/>
      <c r="X1340" s="110"/>
      <c r="Y1340" s="110"/>
      <c r="Z1340" s="110"/>
    </row>
    <row r="1341">
      <c r="A1341" s="212"/>
      <c r="B1341" s="21"/>
      <c r="C1341" s="21"/>
      <c r="D1341" s="213"/>
      <c r="E1341" s="214"/>
      <c r="F1341" s="215"/>
      <c r="G1341" s="21"/>
      <c r="H1341" s="225"/>
      <c r="I1341" s="225"/>
      <c r="J1341" s="225"/>
      <c r="K1341" s="225"/>
      <c r="L1341" s="225"/>
      <c r="M1341" s="225"/>
      <c r="N1341" s="225"/>
      <c r="O1341" s="225"/>
      <c r="P1341" s="225"/>
      <c r="Q1341" s="225"/>
      <c r="R1341" s="225"/>
      <c r="S1341" s="225"/>
      <c r="T1341" s="225"/>
      <c r="U1341" s="225"/>
      <c r="V1341" s="225"/>
      <c r="W1341" s="110"/>
      <c r="X1341" s="110"/>
      <c r="Y1341" s="110"/>
      <c r="Z1341" s="110"/>
    </row>
    <row r="1342">
      <c r="A1342" s="212"/>
      <c r="B1342" s="21"/>
      <c r="C1342" s="21"/>
      <c r="D1342" s="213"/>
      <c r="E1342" s="214"/>
      <c r="F1342" s="215"/>
      <c r="G1342" s="21"/>
      <c r="H1342" s="225"/>
      <c r="I1342" s="225"/>
      <c r="J1342" s="225"/>
      <c r="K1342" s="225"/>
      <c r="L1342" s="225"/>
      <c r="M1342" s="225"/>
      <c r="N1342" s="225"/>
      <c r="O1342" s="225"/>
      <c r="P1342" s="225"/>
      <c r="Q1342" s="225"/>
      <c r="R1342" s="225"/>
      <c r="S1342" s="225"/>
      <c r="T1342" s="225"/>
      <c r="U1342" s="225"/>
      <c r="V1342" s="225"/>
      <c r="W1342" s="110"/>
      <c r="X1342" s="110"/>
      <c r="Y1342" s="110"/>
      <c r="Z1342" s="110"/>
    </row>
    <row r="1343">
      <c r="A1343" s="212"/>
      <c r="B1343" s="21"/>
      <c r="C1343" s="21"/>
      <c r="D1343" s="213"/>
      <c r="E1343" s="214"/>
      <c r="F1343" s="215"/>
      <c r="G1343" s="21"/>
      <c r="H1343" s="225"/>
      <c r="I1343" s="225"/>
      <c r="J1343" s="225"/>
      <c r="K1343" s="225"/>
      <c r="L1343" s="225"/>
      <c r="M1343" s="225"/>
      <c r="N1343" s="225"/>
      <c r="O1343" s="225"/>
      <c r="P1343" s="225"/>
      <c r="Q1343" s="225"/>
      <c r="R1343" s="225"/>
      <c r="S1343" s="225"/>
      <c r="T1343" s="225"/>
      <c r="U1343" s="225"/>
      <c r="V1343" s="225"/>
      <c r="W1343" s="110"/>
      <c r="X1343" s="110"/>
      <c r="Y1343" s="110"/>
      <c r="Z1343" s="110"/>
    </row>
    <row r="1344">
      <c r="A1344" s="212"/>
      <c r="B1344" s="21"/>
      <c r="C1344" s="21"/>
      <c r="D1344" s="213"/>
      <c r="E1344" s="214"/>
      <c r="F1344" s="215"/>
      <c r="G1344" s="21"/>
      <c r="H1344" s="225"/>
      <c r="I1344" s="225"/>
      <c r="J1344" s="225"/>
      <c r="K1344" s="225"/>
      <c r="L1344" s="225"/>
      <c r="M1344" s="225"/>
      <c r="N1344" s="225"/>
      <c r="O1344" s="225"/>
      <c r="P1344" s="225"/>
      <c r="Q1344" s="225"/>
      <c r="R1344" s="225"/>
      <c r="S1344" s="225"/>
      <c r="T1344" s="225"/>
      <c r="U1344" s="225"/>
      <c r="V1344" s="225"/>
      <c r="W1344" s="110"/>
      <c r="X1344" s="110"/>
      <c r="Y1344" s="110"/>
      <c r="Z1344" s="110"/>
    </row>
    <row r="1345">
      <c r="A1345" s="212"/>
      <c r="B1345" s="21"/>
      <c r="C1345" s="21"/>
      <c r="D1345" s="213"/>
      <c r="E1345" s="214"/>
      <c r="F1345" s="215"/>
      <c r="G1345" s="21"/>
      <c r="H1345" s="225"/>
      <c r="I1345" s="225"/>
      <c r="J1345" s="225"/>
      <c r="K1345" s="225"/>
      <c r="L1345" s="225"/>
      <c r="M1345" s="225"/>
      <c r="N1345" s="225"/>
      <c r="O1345" s="225"/>
      <c r="P1345" s="225"/>
      <c r="Q1345" s="225"/>
      <c r="R1345" s="225"/>
      <c r="S1345" s="225"/>
      <c r="T1345" s="225"/>
      <c r="U1345" s="225"/>
      <c r="V1345" s="225"/>
      <c r="W1345" s="110"/>
      <c r="X1345" s="110"/>
      <c r="Y1345" s="110"/>
      <c r="Z1345" s="110"/>
    </row>
    <row r="1346">
      <c r="A1346" s="212"/>
      <c r="B1346" s="21"/>
      <c r="C1346" s="21"/>
      <c r="D1346" s="213"/>
      <c r="E1346" s="214"/>
      <c r="F1346" s="215"/>
      <c r="G1346" s="21"/>
      <c r="H1346" s="225"/>
      <c r="I1346" s="225"/>
      <c r="J1346" s="225"/>
      <c r="K1346" s="225"/>
      <c r="L1346" s="225"/>
      <c r="M1346" s="225"/>
      <c r="N1346" s="225"/>
      <c r="O1346" s="225"/>
      <c r="P1346" s="225"/>
      <c r="Q1346" s="225"/>
      <c r="R1346" s="225"/>
      <c r="S1346" s="225"/>
      <c r="T1346" s="225"/>
      <c r="U1346" s="225"/>
      <c r="V1346" s="225"/>
      <c r="W1346" s="110"/>
      <c r="X1346" s="110"/>
      <c r="Y1346" s="110"/>
      <c r="Z1346" s="110"/>
    </row>
    <row r="1347">
      <c r="A1347" s="212"/>
      <c r="B1347" s="21"/>
      <c r="C1347" s="21"/>
      <c r="D1347" s="213"/>
      <c r="E1347" s="214"/>
      <c r="F1347" s="215"/>
      <c r="G1347" s="21"/>
      <c r="H1347" s="225"/>
      <c r="I1347" s="225"/>
      <c r="J1347" s="225"/>
      <c r="K1347" s="225"/>
      <c r="L1347" s="225"/>
      <c r="M1347" s="225"/>
      <c r="N1347" s="225"/>
      <c r="O1347" s="225"/>
      <c r="P1347" s="225"/>
      <c r="Q1347" s="225"/>
      <c r="R1347" s="225"/>
      <c r="S1347" s="225"/>
      <c r="T1347" s="225"/>
      <c r="U1347" s="225"/>
      <c r="V1347" s="225"/>
      <c r="W1347" s="110"/>
      <c r="X1347" s="110"/>
      <c r="Y1347" s="110"/>
      <c r="Z1347" s="110"/>
    </row>
    <row r="1348">
      <c r="A1348" s="212"/>
      <c r="B1348" s="21"/>
      <c r="C1348" s="21"/>
      <c r="D1348" s="213"/>
      <c r="E1348" s="214"/>
      <c r="F1348" s="215"/>
      <c r="G1348" s="21"/>
      <c r="H1348" s="225"/>
      <c r="I1348" s="225"/>
      <c r="J1348" s="225"/>
      <c r="K1348" s="225"/>
      <c r="L1348" s="225"/>
      <c r="M1348" s="225"/>
      <c r="N1348" s="225"/>
      <c r="O1348" s="225"/>
      <c r="P1348" s="225"/>
      <c r="Q1348" s="225"/>
      <c r="R1348" s="225"/>
      <c r="S1348" s="225"/>
      <c r="T1348" s="225"/>
      <c r="U1348" s="225"/>
      <c r="V1348" s="225"/>
      <c r="W1348" s="110"/>
      <c r="X1348" s="110"/>
      <c r="Y1348" s="110"/>
      <c r="Z1348" s="110"/>
    </row>
    <row r="1349">
      <c r="A1349" s="212"/>
      <c r="B1349" s="21"/>
      <c r="C1349" s="21"/>
      <c r="D1349" s="213"/>
      <c r="E1349" s="214"/>
      <c r="F1349" s="215"/>
      <c r="G1349" s="21"/>
      <c r="H1349" s="225"/>
      <c r="I1349" s="225"/>
      <c r="J1349" s="225"/>
      <c r="K1349" s="225"/>
      <c r="L1349" s="225"/>
      <c r="M1349" s="225"/>
      <c r="N1349" s="225"/>
      <c r="O1349" s="225"/>
      <c r="P1349" s="225"/>
      <c r="Q1349" s="225"/>
      <c r="R1349" s="225"/>
      <c r="S1349" s="225"/>
      <c r="T1349" s="225"/>
      <c r="U1349" s="225"/>
      <c r="V1349" s="225"/>
      <c r="W1349" s="110"/>
      <c r="X1349" s="110"/>
      <c r="Y1349" s="110"/>
      <c r="Z1349" s="110"/>
    </row>
    <row r="1350">
      <c r="A1350" s="212"/>
      <c r="B1350" s="21"/>
      <c r="C1350" s="21"/>
      <c r="D1350" s="213"/>
      <c r="E1350" s="214"/>
      <c r="F1350" s="215"/>
      <c r="G1350" s="21"/>
      <c r="H1350" s="225"/>
      <c r="I1350" s="225"/>
      <c r="J1350" s="225"/>
      <c r="K1350" s="225"/>
      <c r="L1350" s="225"/>
      <c r="M1350" s="225"/>
      <c r="N1350" s="225"/>
      <c r="O1350" s="225"/>
      <c r="P1350" s="225"/>
      <c r="Q1350" s="225"/>
      <c r="R1350" s="225"/>
      <c r="S1350" s="225"/>
      <c r="T1350" s="225"/>
      <c r="U1350" s="225"/>
      <c r="V1350" s="225"/>
      <c r="W1350" s="110"/>
      <c r="X1350" s="110"/>
      <c r="Y1350" s="110"/>
      <c r="Z1350" s="110"/>
    </row>
    <row r="1351">
      <c r="A1351" s="212"/>
      <c r="B1351" s="21"/>
      <c r="C1351" s="21"/>
      <c r="D1351" s="213"/>
      <c r="E1351" s="214"/>
      <c r="F1351" s="215"/>
      <c r="G1351" s="124"/>
      <c r="H1351" s="110"/>
      <c r="I1351" s="110"/>
      <c r="J1351" s="110"/>
      <c r="K1351" s="110"/>
      <c r="L1351" s="110"/>
      <c r="M1351" s="110"/>
      <c r="N1351" s="110"/>
      <c r="O1351" s="110"/>
      <c r="P1351" s="110"/>
      <c r="Q1351" s="110"/>
      <c r="R1351" s="110"/>
      <c r="S1351" s="110"/>
      <c r="T1351" s="110"/>
      <c r="U1351" s="110"/>
      <c r="V1351" s="110"/>
      <c r="W1351" s="110"/>
      <c r="X1351" s="110"/>
      <c r="Y1351" s="110"/>
      <c r="Z1351" s="110"/>
    </row>
    <row r="1352">
      <c r="A1352" s="212"/>
      <c r="B1352" s="21"/>
      <c r="C1352" s="21"/>
      <c r="D1352" s="213"/>
      <c r="E1352" s="214"/>
      <c r="F1352" s="215"/>
      <c r="G1352" s="110"/>
      <c r="H1352" s="110"/>
      <c r="I1352" s="110"/>
      <c r="J1352" s="110"/>
      <c r="K1352" s="110"/>
      <c r="L1352" s="110"/>
      <c r="M1352" s="110"/>
      <c r="N1352" s="110"/>
      <c r="O1352" s="110"/>
      <c r="P1352" s="110"/>
      <c r="Q1352" s="110"/>
      <c r="R1352" s="110"/>
      <c r="S1352" s="110"/>
      <c r="T1352" s="110"/>
      <c r="U1352" s="110"/>
      <c r="V1352" s="110"/>
      <c r="W1352" s="110"/>
      <c r="X1352" s="110"/>
      <c r="Y1352" s="110"/>
      <c r="Z1352" s="110"/>
    </row>
    <row r="1353">
      <c r="A1353" s="212"/>
      <c r="B1353" s="21"/>
      <c r="C1353" s="21"/>
      <c r="D1353" s="213"/>
      <c r="E1353" s="214"/>
      <c r="F1353" s="215"/>
      <c r="G1353" s="124"/>
      <c r="H1353" s="110"/>
      <c r="I1353" s="110"/>
      <c r="J1353" s="110"/>
      <c r="K1353" s="110"/>
      <c r="L1353" s="110"/>
      <c r="M1353" s="110"/>
      <c r="N1353" s="110"/>
      <c r="O1353" s="110"/>
      <c r="P1353" s="110"/>
      <c r="Q1353" s="110"/>
      <c r="R1353" s="110"/>
      <c r="S1353" s="110"/>
      <c r="T1353" s="110"/>
      <c r="U1353" s="110"/>
      <c r="V1353" s="110"/>
      <c r="W1353" s="110"/>
      <c r="X1353" s="110"/>
      <c r="Y1353" s="110"/>
      <c r="Z1353" s="110"/>
    </row>
    <row r="1354">
      <c r="A1354" s="212"/>
      <c r="B1354" s="21"/>
      <c r="C1354" s="21"/>
      <c r="D1354" s="213"/>
      <c r="E1354" s="214"/>
      <c r="F1354" s="215"/>
      <c r="G1354" s="21"/>
      <c r="H1354" s="110"/>
      <c r="I1354" s="110"/>
      <c r="J1354" s="110"/>
      <c r="K1354" s="110"/>
      <c r="L1354" s="110"/>
      <c r="M1354" s="110"/>
      <c r="N1354" s="110"/>
      <c r="O1354" s="110"/>
      <c r="P1354" s="110"/>
      <c r="Q1354" s="110"/>
      <c r="R1354" s="110"/>
      <c r="S1354" s="110"/>
      <c r="T1354" s="110"/>
      <c r="U1354" s="110"/>
      <c r="V1354" s="110"/>
      <c r="W1354" s="110"/>
      <c r="X1354" s="110"/>
      <c r="Y1354" s="110"/>
      <c r="Z1354" s="110"/>
    </row>
    <row r="1355">
      <c r="A1355" s="212"/>
      <c r="B1355" s="21"/>
      <c r="C1355" s="21"/>
      <c r="D1355" s="213"/>
      <c r="E1355" s="214"/>
      <c r="F1355" s="215"/>
      <c r="G1355" s="21"/>
      <c r="H1355" s="110"/>
      <c r="I1355" s="110"/>
      <c r="J1355" s="110"/>
      <c r="K1355" s="110"/>
      <c r="L1355" s="110"/>
      <c r="M1355" s="110"/>
      <c r="N1355" s="110"/>
      <c r="O1355" s="110"/>
      <c r="P1355" s="110"/>
      <c r="Q1355" s="110"/>
      <c r="R1355" s="110"/>
      <c r="S1355" s="110"/>
      <c r="T1355" s="110"/>
      <c r="U1355" s="110"/>
      <c r="V1355" s="110"/>
      <c r="W1355" s="110"/>
      <c r="X1355" s="110"/>
      <c r="Y1355" s="110"/>
      <c r="Z1355" s="110"/>
    </row>
    <row r="1356">
      <c r="A1356" s="212"/>
      <c r="B1356" s="21"/>
      <c r="C1356" s="21"/>
      <c r="D1356" s="213"/>
      <c r="E1356" s="214"/>
      <c r="F1356" s="215"/>
      <c r="G1356" s="21"/>
      <c r="H1356" s="110"/>
      <c r="I1356" s="110"/>
      <c r="J1356" s="110"/>
      <c r="K1356" s="110"/>
      <c r="L1356" s="110"/>
      <c r="M1356" s="110"/>
      <c r="N1356" s="110"/>
      <c r="O1356" s="110"/>
      <c r="P1356" s="110"/>
      <c r="Q1356" s="110"/>
      <c r="R1356" s="110"/>
      <c r="S1356" s="110"/>
      <c r="T1356" s="110"/>
      <c r="U1356" s="110"/>
      <c r="V1356" s="110"/>
      <c r="W1356" s="110"/>
      <c r="X1356" s="110"/>
      <c r="Y1356" s="110"/>
      <c r="Z1356" s="110"/>
    </row>
    <row r="1357">
      <c r="A1357" s="212"/>
      <c r="B1357" s="21"/>
      <c r="C1357" s="21"/>
      <c r="D1357" s="213"/>
      <c r="E1357" s="214"/>
      <c r="F1357" s="215"/>
      <c r="G1357" s="21"/>
      <c r="H1357" s="110"/>
      <c r="I1357" s="110"/>
      <c r="J1357" s="110"/>
      <c r="K1357" s="110"/>
      <c r="L1357" s="110"/>
      <c r="M1357" s="110"/>
      <c r="N1357" s="110"/>
      <c r="O1357" s="110"/>
      <c r="P1357" s="110"/>
      <c r="Q1357" s="110"/>
      <c r="R1357" s="110"/>
      <c r="S1357" s="110"/>
      <c r="T1357" s="110"/>
      <c r="U1357" s="110"/>
      <c r="V1357" s="110"/>
      <c r="W1357" s="110"/>
      <c r="X1357" s="110"/>
      <c r="Y1357" s="110"/>
      <c r="Z1357" s="110"/>
    </row>
    <row r="1358">
      <c r="A1358" s="212"/>
      <c r="B1358" s="21"/>
      <c r="C1358" s="21"/>
      <c r="D1358" s="213"/>
      <c r="E1358" s="214"/>
      <c r="F1358" s="215"/>
      <c r="G1358" s="21"/>
      <c r="H1358" s="110"/>
      <c r="I1358" s="110"/>
      <c r="J1358" s="110"/>
      <c r="K1358" s="110"/>
      <c r="L1358" s="110"/>
      <c r="M1358" s="110"/>
      <c r="N1358" s="110"/>
      <c r="O1358" s="110"/>
      <c r="P1358" s="110"/>
      <c r="Q1358" s="110"/>
      <c r="R1358" s="110"/>
      <c r="S1358" s="110"/>
      <c r="T1358" s="110"/>
      <c r="U1358" s="110"/>
      <c r="V1358" s="110"/>
      <c r="W1358" s="110"/>
      <c r="X1358" s="110"/>
      <c r="Y1358" s="110"/>
      <c r="Z1358" s="110"/>
    </row>
    <row r="1359">
      <c r="A1359" s="212"/>
      <c r="B1359" s="21"/>
      <c r="C1359" s="21"/>
      <c r="D1359" s="213"/>
      <c r="E1359" s="214"/>
      <c r="F1359" s="215"/>
      <c r="G1359" s="21"/>
      <c r="H1359" s="110"/>
      <c r="I1359" s="110"/>
      <c r="J1359" s="110"/>
      <c r="K1359" s="110"/>
      <c r="L1359" s="110"/>
      <c r="M1359" s="110"/>
      <c r="N1359" s="110"/>
      <c r="O1359" s="110"/>
      <c r="P1359" s="110"/>
      <c r="Q1359" s="110"/>
      <c r="R1359" s="110"/>
      <c r="S1359" s="110"/>
      <c r="T1359" s="110"/>
      <c r="U1359" s="110"/>
      <c r="V1359" s="110"/>
      <c r="W1359" s="110"/>
      <c r="X1359" s="110"/>
      <c r="Y1359" s="110"/>
      <c r="Z1359" s="110"/>
    </row>
    <row r="1360">
      <c r="A1360" s="212"/>
      <c r="B1360" s="21"/>
      <c r="C1360" s="21"/>
      <c r="D1360" s="213"/>
      <c r="E1360" s="214"/>
      <c r="F1360" s="215"/>
      <c r="G1360" s="21"/>
      <c r="H1360" s="110"/>
      <c r="I1360" s="110"/>
      <c r="J1360" s="110"/>
      <c r="K1360" s="110"/>
      <c r="L1360" s="110"/>
      <c r="M1360" s="110"/>
      <c r="N1360" s="110"/>
      <c r="O1360" s="110"/>
      <c r="P1360" s="110"/>
      <c r="Q1360" s="110"/>
      <c r="R1360" s="110"/>
      <c r="S1360" s="110"/>
      <c r="T1360" s="110"/>
      <c r="U1360" s="110"/>
      <c r="V1360" s="110"/>
      <c r="W1360" s="110"/>
      <c r="X1360" s="110"/>
      <c r="Y1360" s="110"/>
      <c r="Z1360" s="110"/>
    </row>
    <row r="1361">
      <c r="A1361" s="212"/>
      <c r="B1361" s="21"/>
      <c r="C1361" s="21"/>
      <c r="D1361" s="213"/>
      <c r="E1361" s="214"/>
      <c r="F1361" s="215"/>
      <c r="G1361" s="21"/>
      <c r="H1361" s="110"/>
      <c r="I1361" s="110"/>
      <c r="J1361" s="110"/>
      <c r="K1361" s="110"/>
      <c r="L1361" s="110"/>
      <c r="M1361" s="110"/>
      <c r="N1361" s="110"/>
      <c r="O1361" s="110"/>
      <c r="P1361" s="110"/>
      <c r="Q1361" s="110"/>
      <c r="R1361" s="110"/>
      <c r="S1361" s="110"/>
      <c r="T1361" s="110"/>
      <c r="U1361" s="110"/>
      <c r="V1361" s="110"/>
      <c r="W1361" s="110"/>
      <c r="X1361" s="110"/>
      <c r="Y1361" s="110"/>
      <c r="Z1361" s="110"/>
    </row>
    <row r="1362">
      <c r="A1362" s="212"/>
      <c r="B1362" s="21"/>
      <c r="C1362" s="21"/>
      <c r="D1362" s="213"/>
      <c r="E1362" s="214"/>
      <c r="F1362" s="215"/>
      <c r="G1362" s="21"/>
      <c r="H1362" s="110"/>
      <c r="I1362" s="110"/>
      <c r="J1362" s="110"/>
      <c r="K1362" s="110"/>
      <c r="L1362" s="110"/>
      <c r="M1362" s="110"/>
      <c r="N1362" s="110"/>
      <c r="O1362" s="110"/>
      <c r="P1362" s="110"/>
      <c r="Q1362" s="110"/>
      <c r="R1362" s="110"/>
      <c r="S1362" s="110"/>
      <c r="T1362" s="110"/>
      <c r="U1362" s="110"/>
      <c r="V1362" s="110"/>
      <c r="W1362" s="110"/>
      <c r="X1362" s="110"/>
      <c r="Y1362" s="110"/>
      <c r="Z1362" s="110"/>
    </row>
    <row r="1363">
      <c r="A1363" s="212"/>
      <c r="B1363" s="21"/>
      <c r="C1363" s="21"/>
      <c r="D1363" s="213"/>
      <c r="E1363" s="214"/>
      <c r="F1363" s="215"/>
      <c r="G1363" s="21"/>
      <c r="H1363" s="110"/>
      <c r="I1363" s="110"/>
      <c r="J1363" s="110"/>
      <c r="K1363" s="110"/>
      <c r="L1363" s="110"/>
      <c r="M1363" s="110"/>
      <c r="N1363" s="110"/>
      <c r="O1363" s="110"/>
      <c r="P1363" s="110"/>
      <c r="Q1363" s="110"/>
      <c r="R1363" s="110"/>
      <c r="S1363" s="110"/>
      <c r="T1363" s="110"/>
      <c r="U1363" s="110"/>
      <c r="V1363" s="110"/>
      <c r="W1363" s="110"/>
      <c r="X1363" s="110"/>
      <c r="Y1363" s="110"/>
      <c r="Z1363" s="110"/>
    </row>
    <row r="1364">
      <c r="A1364" s="212"/>
      <c r="B1364" s="21"/>
      <c r="C1364" s="21"/>
      <c r="D1364" s="213"/>
      <c r="E1364" s="214"/>
      <c r="F1364" s="215"/>
      <c r="G1364" s="21"/>
      <c r="H1364" s="110"/>
      <c r="I1364" s="110"/>
      <c r="J1364" s="110"/>
      <c r="K1364" s="110"/>
      <c r="L1364" s="110"/>
      <c r="M1364" s="110"/>
      <c r="N1364" s="110"/>
      <c r="O1364" s="110"/>
      <c r="P1364" s="110"/>
      <c r="Q1364" s="110"/>
      <c r="R1364" s="110"/>
      <c r="S1364" s="110"/>
      <c r="T1364" s="110"/>
      <c r="U1364" s="110"/>
      <c r="V1364" s="110"/>
      <c r="W1364" s="110"/>
      <c r="X1364" s="110"/>
      <c r="Y1364" s="110"/>
      <c r="Z1364" s="110"/>
    </row>
    <row r="1365">
      <c r="A1365" s="212"/>
      <c r="B1365" s="21"/>
      <c r="C1365" s="21"/>
      <c r="D1365" s="213"/>
      <c r="E1365" s="214"/>
      <c r="F1365" s="215"/>
      <c r="G1365" s="21"/>
      <c r="H1365" s="110"/>
      <c r="I1365" s="110"/>
      <c r="J1365" s="110"/>
      <c r="K1365" s="110"/>
      <c r="L1365" s="110"/>
      <c r="M1365" s="110"/>
      <c r="N1365" s="110"/>
      <c r="O1365" s="110"/>
      <c r="P1365" s="110"/>
      <c r="Q1365" s="110"/>
      <c r="R1365" s="110"/>
      <c r="S1365" s="110"/>
      <c r="T1365" s="110"/>
      <c r="U1365" s="110"/>
      <c r="V1365" s="110"/>
      <c r="W1365" s="110"/>
      <c r="X1365" s="110"/>
      <c r="Y1365" s="110"/>
      <c r="Z1365" s="110"/>
    </row>
    <row r="1366">
      <c r="A1366" s="212"/>
      <c r="B1366" s="21"/>
      <c r="C1366" s="21"/>
      <c r="D1366" s="213"/>
      <c r="E1366" s="214"/>
      <c r="F1366" s="215"/>
      <c r="G1366" s="21"/>
      <c r="H1366" s="225"/>
      <c r="I1366" s="225"/>
      <c r="J1366" s="225"/>
      <c r="K1366" s="225"/>
      <c r="L1366" s="225"/>
      <c r="M1366" s="225"/>
      <c r="N1366" s="225"/>
      <c r="O1366" s="225"/>
      <c r="P1366" s="225"/>
      <c r="Q1366" s="225"/>
      <c r="R1366" s="225"/>
      <c r="S1366" s="225"/>
      <c r="T1366" s="225"/>
      <c r="U1366" s="225"/>
      <c r="V1366" s="225"/>
      <c r="W1366" s="110"/>
      <c r="X1366" s="110"/>
      <c r="Y1366" s="110"/>
      <c r="Z1366" s="110"/>
    </row>
    <row r="1367">
      <c r="A1367" s="212"/>
      <c r="B1367" s="21"/>
      <c r="C1367" s="21"/>
      <c r="D1367" s="213"/>
      <c r="E1367" s="214"/>
      <c r="F1367" s="215"/>
      <c r="G1367" s="21"/>
      <c r="H1367" s="110"/>
      <c r="I1367" s="110"/>
      <c r="J1367" s="110"/>
      <c r="K1367" s="110"/>
      <c r="L1367" s="110"/>
      <c r="M1367" s="110"/>
      <c r="N1367" s="110"/>
      <c r="O1367" s="110"/>
      <c r="P1367" s="110"/>
      <c r="Q1367" s="110"/>
      <c r="R1367" s="110"/>
      <c r="S1367" s="110"/>
      <c r="T1367" s="110"/>
      <c r="U1367" s="110"/>
      <c r="V1367" s="110"/>
      <c r="W1367" s="110"/>
      <c r="X1367" s="110"/>
      <c r="Y1367" s="110"/>
      <c r="Z1367" s="110"/>
    </row>
    <row r="1368">
      <c r="A1368" s="212"/>
      <c r="B1368" s="21"/>
      <c r="C1368" s="21"/>
      <c r="D1368" s="213"/>
      <c r="E1368" s="214"/>
      <c r="F1368" s="215"/>
      <c r="G1368" s="21"/>
      <c r="H1368" s="110"/>
      <c r="I1368" s="110"/>
      <c r="J1368" s="110"/>
      <c r="K1368" s="110"/>
      <c r="L1368" s="110"/>
      <c r="M1368" s="110"/>
      <c r="N1368" s="110"/>
      <c r="O1368" s="110"/>
      <c r="P1368" s="110"/>
      <c r="Q1368" s="110"/>
      <c r="R1368" s="110"/>
      <c r="S1368" s="110"/>
      <c r="T1368" s="110"/>
      <c r="U1368" s="110"/>
      <c r="V1368" s="110"/>
      <c r="W1368" s="110"/>
      <c r="X1368" s="110"/>
      <c r="Y1368" s="110"/>
      <c r="Z1368" s="110"/>
    </row>
    <row r="1369">
      <c r="A1369" s="212"/>
      <c r="B1369" s="21"/>
      <c r="C1369" s="21"/>
      <c r="D1369" s="213"/>
      <c r="E1369" s="214"/>
      <c r="F1369" s="215"/>
      <c r="G1369" s="21"/>
      <c r="H1369" s="110"/>
      <c r="I1369" s="110"/>
      <c r="J1369" s="110"/>
      <c r="K1369" s="110"/>
      <c r="L1369" s="110"/>
      <c r="M1369" s="110"/>
      <c r="N1369" s="110"/>
      <c r="O1369" s="110"/>
      <c r="P1369" s="110"/>
      <c r="Q1369" s="110"/>
      <c r="R1369" s="110"/>
      <c r="S1369" s="110"/>
      <c r="T1369" s="110"/>
      <c r="U1369" s="110"/>
      <c r="V1369" s="110"/>
      <c r="W1369" s="110"/>
      <c r="X1369" s="110"/>
      <c r="Y1369" s="110"/>
      <c r="Z1369" s="110"/>
    </row>
    <row r="1370">
      <c r="A1370" s="212"/>
      <c r="B1370" s="21"/>
      <c r="C1370" s="21"/>
      <c r="D1370" s="213"/>
      <c r="E1370" s="214"/>
      <c r="F1370" s="215"/>
      <c r="G1370" s="21"/>
      <c r="H1370" s="110"/>
      <c r="I1370" s="110"/>
      <c r="J1370" s="110"/>
      <c r="K1370" s="110"/>
      <c r="L1370" s="110"/>
      <c r="M1370" s="110"/>
      <c r="N1370" s="110"/>
      <c r="O1370" s="110"/>
      <c r="P1370" s="110"/>
      <c r="Q1370" s="110"/>
      <c r="R1370" s="110"/>
      <c r="S1370" s="110"/>
      <c r="T1370" s="110"/>
      <c r="U1370" s="110"/>
      <c r="V1370" s="110"/>
      <c r="W1370" s="110"/>
      <c r="X1370" s="110"/>
      <c r="Y1370" s="110"/>
      <c r="Z1370" s="110"/>
    </row>
    <row r="1371">
      <c r="A1371" s="212"/>
      <c r="B1371" s="21"/>
      <c r="C1371" s="21"/>
      <c r="D1371" s="213"/>
      <c r="E1371" s="214"/>
      <c r="F1371" s="215"/>
      <c r="G1371" s="21"/>
      <c r="H1371" s="110"/>
      <c r="I1371" s="110"/>
      <c r="J1371" s="110"/>
      <c r="K1371" s="110"/>
      <c r="L1371" s="110"/>
      <c r="M1371" s="110"/>
      <c r="N1371" s="110"/>
      <c r="O1371" s="110"/>
      <c r="P1371" s="110"/>
      <c r="Q1371" s="110"/>
      <c r="R1371" s="110"/>
      <c r="S1371" s="110"/>
      <c r="T1371" s="110"/>
      <c r="U1371" s="110"/>
      <c r="V1371" s="110"/>
      <c r="W1371" s="110"/>
      <c r="X1371" s="110"/>
      <c r="Y1371" s="110"/>
      <c r="Z1371" s="110"/>
    </row>
    <row r="1372">
      <c r="A1372" s="212"/>
      <c r="B1372" s="21"/>
      <c r="C1372" s="21"/>
      <c r="D1372" s="213"/>
      <c r="E1372" s="214"/>
      <c r="F1372" s="215"/>
      <c r="G1372" s="21"/>
      <c r="H1372" s="110"/>
      <c r="I1372" s="110"/>
      <c r="J1372" s="110"/>
      <c r="K1372" s="110"/>
      <c r="L1372" s="110"/>
      <c r="M1372" s="110"/>
      <c r="N1372" s="110"/>
      <c r="O1372" s="110"/>
      <c r="P1372" s="110"/>
      <c r="Q1372" s="110"/>
      <c r="R1372" s="110"/>
      <c r="S1372" s="110"/>
      <c r="T1372" s="110"/>
      <c r="U1372" s="110"/>
      <c r="V1372" s="110"/>
      <c r="W1372" s="110"/>
      <c r="X1372" s="110"/>
      <c r="Y1372" s="110"/>
      <c r="Z1372" s="110"/>
    </row>
    <row r="1373">
      <c r="A1373" s="212"/>
      <c r="B1373" s="21"/>
      <c r="C1373" s="21"/>
      <c r="D1373" s="213"/>
      <c r="E1373" s="214"/>
      <c r="F1373" s="215"/>
      <c r="G1373" s="21"/>
      <c r="H1373" s="110"/>
      <c r="I1373" s="110"/>
      <c r="J1373" s="110"/>
      <c r="K1373" s="110"/>
      <c r="L1373" s="110"/>
      <c r="M1373" s="110"/>
      <c r="N1373" s="110"/>
      <c r="O1373" s="110"/>
      <c r="P1373" s="110"/>
      <c r="Q1373" s="110"/>
      <c r="R1373" s="110"/>
      <c r="S1373" s="110"/>
      <c r="T1373" s="110"/>
      <c r="U1373" s="110"/>
      <c r="V1373" s="110"/>
      <c r="W1373" s="110"/>
      <c r="X1373" s="110"/>
      <c r="Y1373" s="110"/>
      <c r="Z1373" s="110"/>
    </row>
    <row r="1374">
      <c r="A1374" s="212"/>
      <c r="B1374" s="21"/>
      <c r="C1374" s="21"/>
      <c r="D1374" s="213"/>
      <c r="E1374" s="214"/>
      <c r="F1374" s="215"/>
      <c r="G1374" s="21"/>
      <c r="H1374" s="110"/>
      <c r="I1374" s="110"/>
      <c r="J1374" s="110"/>
      <c r="K1374" s="110"/>
      <c r="L1374" s="110"/>
      <c r="M1374" s="110"/>
      <c r="N1374" s="110"/>
      <c r="O1374" s="110"/>
      <c r="P1374" s="110"/>
      <c r="Q1374" s="110"/>
      <c r="R1374" s="110"/>
      <c r="S1374" s="110"/>
      <c r="T1374" s="110"/>
      <c r="U1374" s="110"/>
      <c r="V1374" s="110"/>
      <c r="W1374" s="110"/>
      <c r="X1374" s="110"/>
      <c r="Y1374" s="110"/>
      <c r="Z1374" s="110"/>
    </row>
    <row r="1375">
      <c r="A1375" s="212"/>
      <c r="B1375" s="21"/>
      <c r="C1375" s="21"/>
      <c r="D1375" s="213"/>
      <c r="E1375" s="214"/>
      <c r="F1375" s="215"/>
      <c r="G1375" s="21"/>
      <c r="H1375" s="110"/>
      <c r="I1375" s="110"/>
      <c r="J1375" s="110"/>
      <c r="K1375" s="110"/>
      <c r="L1375" s="110"/>
      <c r="M1375" s="110"/>
      <c r="N1375" s="110"/>
      <c r="O1375" s="110"/>
      <c r="P1375" s="110"/>
      <c r="Q1375" s="110"/>
      <c r="R1375" s="110"/>
      <c r="S1375" s="110"/>
      <c r="T1375" s="110"/>
      <c r="U1375" s="110"/>
      <c r="V1375" s="110"/>
      <c r="W1375" s="110"/>
      <c r="X1375" s="110"/>
      <c r="Y1375" s="110"/>
      <c r="Z1375" s="110"/>
    </row>
    <row r="1376">
      <c r="A1376" s="212"/>
      <c r="B1376" s="21"/>
      <c r="C1376" s="21"/>
      <c r="D1376" s="213"/>
      <c r="E1376" s="214"/>
      <c r="F1376" s="215"/>
      <c r="G1376" s="21"/>
      <c r="H1376" s="110"/>
      <c r="I1376" s="110"/>
      <c r="J1376" s="110"/>
      <c r="K1376" s="110"/>
      <c r="L1376" s="110"/>
      <c r="M1376" s="110"/>
      <c r="N1376" s="110"/>
      <c r="O1376" s="110"/>
      <c r="P1376" s="110"/>
      <c r="Q1376" s="110"/>
      <c r="R1376" s="110"/>
      <c r="S1376" s="110"/>
      <c r="T1376" s="110"/>
      <c r="U1376" s="110"/>
      <c r="V1376" s="110"/>
      <c r="W1376" s="110"/>
      <c r="X1376" s="110"/>
      <c r="Y1376" s="110"/>
      <c r="Z1376" s="110"/>
    </row>
    <row r="1377">
      <c r="A1377" s="212"/>
      <c r="B1377" s="21"/>
      <c r="C1377" s="21"/>
      <c r="D1377" s="213"/>
      <c r="E1377" s="214"/>
      <c r="F1377" s="215"/>
      <c r="G1377" s="21"/>
      <c r="H1377" s="110"/>
      <c r="I1377" s="110"/>
      <c r="J1377" s="110"/>
      <c r="K1377" s="110"/>
      <c r="L1377" s="110"/>
      <c r="M1377" s="110"/>
      <c r="N1377" s="110"/>
      <c r="O1377" s="110"/>
      <c r="P1377" s="110"/>
      <c r="Q1377" s="110"/>
      <c r="R1377" s="110"/>
      <c r="S1377" s="110"/>
      <c r="T1377" s="110"/>
      <c r="U1377" s="110"/>
      <c r="V1377" s="110"/>
      <c r="W1377" s="110"/>
      <c r="X1377" s="110"/>
      <c r="Y1377" s="110"/>
      <c r="Z1377" s="110"/>
    </row>
    <row r="1378">
      <c r="A1378" s="212"/>
      <c r="B1378" s="21"/>
      <c r="C1378" s="21"/>
      <c r="D1378" s="213"/>
      <c r="E1378" s="214"/>
      <c r="F1378" s="215"/>
      <c r="G1378" s="21"/>
      <c r="H1378" s="110"/>
      <c r="I1378" s="110"/>
      <c r="J1378" s="110"/>
      <c r="K1378" s="110"/>
      <c r="L1378" s="110"/>
      <c r="M1378" s="110"/>
      <c r="N1378" s="110"/>
      <c r="O1378" s="110"/>
      <c r="P1378" s="110"/>
      <c r="Q1378" s="110"/>
      <c r="R1378" s="110"/>
      <c r="S1378" s="110"/>
      <c r="T1378" s="110"/>
      <c r="U1378" s="110"/>
      <c r="V1378" s="110"/>
      <c r="W1378" s="110"/>
      <c r="X1378" s="110"/>
      <c r="Y1378" s="110"/>
      <c r="Z1378" s="110"/>
    </row>
    <row r="1379">
      <c r="A1379" s="212"/>
      <c r="B1379" s="21"/>
      <c r="C1379" s="21"/>
      <c r="D1379" s="213"/>
      <c r="E1379" s="214"/>
      <c r="F1379" s="215"/>
      <c r="G1379" s="21"/>
      <c r="H1379" s="110"/>
      <c r="I1379" s="110"/>
      <c r="J1379" s="110"/>
      <c r="K1379" s="110"/>
      <c r="L1379" s="110"/>
      <c r="M1379" s="110"/>
      <c r="N1379" s="110"/>
      <c r="O1379" s="110"/>
      <c r="P1379" s="110"/>
      <c r="Q1379" s="110"/>
      <c r="R1379" s="110"/>
      <c r="S1379" s="110"/>
      <c r="T1379" s="110"/>
      <c r="U1379" s="110"/>
      <c r="V1379" s="110"/>
      <c r="W1379" s="110"/>
      <c r="X1379" s="110"/>
      <c r="Y1379" s="110"/>
      <c r="Z1379" s="110"/>
    </row>
    <row r="1380">
      <c r="A1380" s="212"/>
      <c r="B1380" s="21"/>
      <c r="C1380" s="21"/>
      <c r="D1380" s="213"/>
      <c r="E1380" s="214"/>
      <c r="F1380" s="215"/>
      <c r="G1380" s="124"/>
      <c r="H1380" s="110"/>
      <c r="I1380" s="110"/>
      <c r="J1380" s="110"/>
      <c r="K1380" s="110"/>
      <c r="L1380" s="110"/>
      <c r="M1380" s="110"/>
      <c r="N1380" s="110"/>
      <c r="O1380" s="110"/>
      <c r="P1380" s="110"/>
      <c r="Q1380" s="110"/>
      <c r="R1380" s="110"/>
      <c r="S1380" s="110"/>
      <c r="T1380" s="110"/>
      <c r="U1380" s="110"/>
      <c r="V1380" s="110"/>
      <c r="W1380" s="110"/>
      <c r="X1380" s="110"/>
      <c r="Y1380" s="110"/>
      <c r="Z1380" s="110"/>
    </row>
    <row r="1381">
      <c r="A1381" s="212"/>
      <c r="B1381" s="21"/>
      <c r="C1381" s="21"/>
      <c r="D1381" s="213"/>
      <c r="E1381" s="214"/>
      <c r="F1381" s="215"/>
      <c r="G1381" s="124"/>
      <c r="H1381" s="110"/>
      <c r="I1381" s="110"/>
      <c r="J1381" s="110"/>
      <c r="K1381" s="110"/>
      <c r="L1381" s="110"/>
      <c r="M1381" s="110"/>
      <c r="N1381" s="110"/>
      <c r="O1381" s="110"/>
      <c r="P1381" s="110"/>
      <c r="Q1381" s="110"/>
      <c r="R1381" s="110"/>
      <c r="S1381" s="110"/>
      <c r="T1381" s="110"/>
      <c r="U1381" s="110"/>
      <c r="V1381" s="110"/>
      <c r="W1381" s="110"/>
      <c r="X1381" s="110"/>
      <c r="Y1381" s="110"/>
      <c r="Z1381" s="110"/>
    </row>
    <row r="1382">
      <c r="A1382" s="212"/>
      <c r="B1382" s="21"/>
      <c r="C1382" s="21"/>
      <c r="D1382" s="213"/>
      <c r="E1382" s="214"/>
      <c r="F1382" s="215"/>
      <c r="G1382" s="110"/>
      <c r="H1382" s="110"/>
      <c r="I1382" s="110"/>
      <c r="J1382" s="110"/>
      <c r="K1382" s="110"/>
      <c r="L1382" s="110"/>
      <c r="M1382" s="110"/>
      <c r="N1382" s="110"/>
      <c r="O1382" s="110"/>
      <c r="P1382" s="110"/>
      <c r="Q1382" s="110"/>
      <c r="R1382" s="110"/>
      <c r="S1382" s="110"/>
      <c r="T1382" s="110"/>
      <c r="U1382" s="110"/>
      <c r="V1382" s="110"/>
      <c r="W1382" s="110"/>
      <c r="X1382" s="110"/>
      <c r="Y1382" s="110"/>
      <c r="Z1382" s="110"/>
    </row>
    <row r="1383">
      <c r="A1383" s="212"/>
      <c r="B1383" s="21"/>
      <c r="C1383" s="21"/>
      <c r="D1383" s="213"/>
      <c r="E1383" s="214"/>
      <c r="F1383" s="215"/>
      <c r="G1383" s="110"/>
      <c r="H1383" s="110"/>
      <c r="I1383" s="110"/>
      <c r="J1383" s="110"/>
      <c r="K1383" s="110"/>
      <c r="L1383" s="110"/>
      <c r="M1383" s="110"/>
      <c r="N1383" s="110"/>
      <c r="O1383" s="110"/>
      <c r="P1383" s="110"/>
      <c r="Q1383" s="110"/>
      <c r="R1383" s="110"/>
      <c r="S1383" s="110"/>
      <c r="T1383" s="110"/>
      <c r="U1383" s="110"/>
      <c r="V1383" s="110"/>
      <c r="W1383" s="110"/>
      <c r="X1383" s="110"/>
      <c r="Y1383" s="110"/>
      <c r="Z1383" s="110"/>
    </row>
    <row r="1384">
      <c r="A1384" s="212"/>
      <c r="B1384" s="21"/>
      <c r="C1384" s="21"/>
      <c r="D1384" s="213"/>
      <c r="E1384" s="214"/>
      <c r="F1384" s="215"/>
      <c r="G1384" s="162"/>
      <c r="H1384" s="225"/>
      <c r="I1384" s="225"/>
      <c r="J1384" s="225"/>
      <c r="K1384" s="225"/>
      <c r="L1384" s="225"/>
      <c r="M1384" s="225"/>
      <c r="N1384" s="225"/>
      <c r="O1384" s="225"/>
      <c r="P1384" s="225"/>
      <c r="Q1384" s="225"/>
      <c r="R1384" s="225"/>
      <c r="S1384" s="225"/>
      <c r="T1384" s="225"/>
      <c r="U1384" s="225"/>
      <c r="V1384" s="225"/>
      <c r="W1384" s="110"/>
      <c r="X1384" s="110"/>
      <c r="Y1384" s="110"/>
      <c r="Z1384" s="110"/>
    </row>
    <row r="1385">
      <c r="A1385" s="212"/>
      <c r="B1385" s="21"/>
      <c r="C1385" s="21"/>
      <c r="D1385" s="213"/>
      <c r="E1385" s="214"/>
      <c r="F1385" s="215"/>
      <c r="G1385" s="21"/>
      <c r="H1385" s="225"/>
      <c r="I1385" s="225"/>
      <c r="J1385" s="225"/>
      <c r="K1385" s="225"/>
      <c r="L1385" s="225"/>
      <c r="M1385" s="225"/>
      <c r="N1385" s="225"/>
      <c r="O1385" s="225"/>
      <c r="P1385" s="225"/>
      <c r="Q1385" s="225"/>
      <c r="R1385" s="225"/>
      <c r="S1385" s="225"/>
      <c r="T1385" s="225"/>
      <c r="U1385" s="225"/>
      <c r="V1385" s="225"/>
      <c r="W1385" s="110"/>
      <c r="X1385" s="110"/>
      <c r="Y1385" s="110"/>
      <c r="Z1385" s="110"/>
    </row>
    <row r="1386">
      <c r="A1386" s="212"/>
      <c r="B1386" s="21"/>
      <c r="C1386" s="21"/>
      <c r="D1386" s="213"/>
      <c r="E1386" s="214"/>
      <c r="F1386" s="215"/>
      <c r="G1386" s="21"/>
      <c r="H1386" s="225"/>
      <c r="I1386" s="225"/>
      <c r="J1386" s="225"/>
      <c r="K1386" s="225"/>
      <c r="L1386" s="225"/>
      <c r="M1386" s="225"/>
      <c r="N1386" s="225"/>
      <c r="O1386" s="225"/>
      <c r="P1386" s="225"/>
      <c r="Q1386" s="225"/>
      <c r="R1386" s="225"/>
      <c r="S1386" s="225"/>
      <c r="T1386" s="225"/>
      <c r="U1386" s="225"/>
      <c r="V1386" s="225"/>
      <c r="W1386" s="110"/>
      <c r="X1386" s="110"/>
      <c r="Y1386" s="110"/>
      <c r="Z1386" s="110"/>
    </row>
    <row r="1387">
      <c r="A1387" s="212"/>
      <c r="B1387" s="21"/>
      <c r="C1387" s="21"/>
      <c r="D1387" s="213"/>
      <c r="E1387" s="214"/>
      <c r="F1387" s="215"/>
      <c r="G1387" s="21"/>
      <c r="H1387" s="225"/>
      <c r="I1387" s="225"/>
      <c r="J1387" s="225"/>
      <c r="K1387" s="225"/>
      <c r="L1387" s="225"/>
      <c r="M1387" s="225"/>
      <c r="N1387" s="225"/>
      <c r="O1387" s="225"/>
      <c r="P1387" s="225"/>
      <c r="Q1387" s="225"/>
      <c r="R1387" s="225"/>
      <c r="S1387" s="225"/>
      <c r="T1387" s="225"/>
      <c r="U1387" s="225"/>
      <c r="V1387" s="225"/>
      <c r="W1387" s="110"/>
      <c r="X1387" s="110"/>
      <c r="Y1387" s="110"/>
      <c r="Z1387" s="110"/>
    </row>
    <row r="1388">
      <c r="A1388" s="212"/>
      <c r="B1388" s="21"/>
      <c r="C1388" s="21"/>
      <c r="D1388" s="213"/>
      <c r="E1388" s="214"/>
      <c r="F1388" s="215"/>
      <c r="G1388" s="21"/>
      <c r="H1388" s="225"/>
      <c r="I1388" s="225"/>
      <c r="J1388" s="225"/>
      <c r="K1388" s="225"/>
      <c r="L1388" s="225"/>
      <c r="M1388" s="225"/>
      <c r="N1388" s="225"/>
      <c r="O1388" s="225"/>
      <c r="P1388" s="225"/>
      <c r="Q1388" s="225"/>
      <c r="R1388" s="225"/>
      <c r="S1388" s="225"/>
      <c r="T1388" s="225"/>
      <c r="U1388" s="225"/>
      <c r="V1388" s="225"/>
      <c r="W1388" s="110"/>
      <c r="X1388" s="110"/>
      <c r="Y1388" s="110"/>
      <c r="Z1388" s="110"/>
    </row>
    <row r="1389">
      <c r="A1389" s="212"/>
      <c r="B1389" s="21"/>
      <c r="C1389" s="21"/>
      <c r="D1389" s="213"/>
      <c r="E1389" s="214"/>
      <c r="F1389" s="215"/>
      <c r="G1389" s="21"/>
      <c r="H1389" s="225"/>
      <c r="I1389" s="225"/>
      <c r="J1389" s="225"/>
      <c r="K1389" s="225"/>
      <c r="L1389" s="225"/>
      <c r="M1389" s="225"/>
      <c r="N1389" s="225"/>
      <c r="O1389" s="225"/>
      <c r="P1389" s="225"/>
      <c r="Q1389" s="225"/>
      <c r="R1389" s="225"/>
      <c r="S1389" s="225"/>
      <c r="T1389" s="225"/>
      <c r="U1389" s="225"/>
      <c r="V1389" s="225"/>
      <c r="W1389" s="110"/>
      <c r="X1389" s="110"/>
      <c r="Y1389" s="110"/>
      <c r="Z1389" s="110"/>
    </row>
    <row r="1390">
      <c r="A1390" s="212"/>
      <c r="B1390" s="21"/>
      <c r="C1390" s="21"/>
      <c r="D1390" s="213"/>
      <c r="E1390" s="214"/>
      <c r="F1390" s="215"/>
      <c r="G1390" s="21"/>
      <c r="H1390" s="225"/>
      <c r="I1390" s="225"/>
      <c r="J1390" s="225"/>
      <c r="K1390" s="225"/>
      <c r="L1390" s="225"/>
      <c r="M1390" s="225"/>
      <c r="N1390" s="225"/>
      <c r="O1390" s="225"/>
      <c r="P1390" s="225"/>
      <c r="Q1390" s="225"/>
      <c r="R1390" s="225"/>
      <c r="S1390" s="225"/>
      <c r="T1390" s="225"/>
      <c r="U1390" s="225"/>
      <c r="V1390" s="225"/>
      <c r="W1390" s="110"/>
      <c r="X1390" s="110"/>
      <c r="Y1390" s="110"/>
      <c r="Z1390" s="110"/>
    </row>
    <row r="1391">
      <c r="A1391" s="212"/>
      <c r="B1391" s="21"/>
      <c r="C1391" s="21"/>
      <c r="D1391" s="213"/>
      <c r="E1391" s="214"/>
      <c r="F1391" s="215"/>
      <c r="G1391" s="21"/>
      <c r="H1391" s="225"/>
      <c r="I1391" s="225"/>
      <c r="J1391" s="225"/>
      <c r="K1391" s="225"/>
      <c r="L1391" s="225"/>
      <c r="M1391" s="225"/>
      <c r="N1391" s="225"/>
      <c r="O1391" s="225"/>
      <c r="P1391" s="225"/>
      <c r="Q1391" s="225"/>
      <c r="R1391" s="225"/>
      <c r="S1391" s="225"/>
      <c r="T1391" s="225"/>
      <c r="U1391" s="225"/>
      <c r="V1391" s="225"/>
      <c r="W1391" s="110"/>
      <c r="X1391" s="110"/>
      <c r="Y1391" s="110"/>
      <c r="Z1391" s="110"/>
    </row>
    <row r="1392">
      <c r="A1392" s="212"/>
      <c r="B1392" s="21"/>
      <c r="C1392" s="21"/>
      <c r="D1392" s="213"/>
      <c r="E1392" s="214"/>
      <c r="F1392" s="215"/>
      <c r="G1392" s="21"/>
      <c r="H1392" s="225"/>
      <c r="I1392" s="225"/>
      <c r="J1392" s="225"/>
      <c r="K1392" s="225"/>
      <c r="L1392" s="225"/>
      <c r="M1392" s="225"/>
      <c r="N1392" s="225"/>
      <c r="O1392" s="225"/>
      <c r="P1392" s="225"/>
      <c r="Q1392" s="225"/>
      <c r="R1392" s="225"/>
      <c r="S1392" s="225"/>
      <c r="T1392" s="225"/>
      <c r="U1392" s="225"/>
      <c r="V1392" s="225"/>
      <c r="W1392" s="110"/>
      <c r="X1392" s="110"/>
      <c r="Y1392" s="110"/>
      <c r="Z1392" s="110"/>
    </row>
    <row r="1393">
      <c r="A1393" s="212"/>
      <c r="B1393" s="21"/>
      <c r="C1393" s="21"/>
      <c r="D1393" s="213"/>
      <c r="E1393" s="214"/>
      <c r="F1393" s="215"/>
      <c r="G1393" s="21"/>
      <c r="H1393" s="225"/>
      <c r="I1393" s="225"/>
      <c r="J1393" s="225"/>
      <c r="K1393" s="225"/>
      <c r="L1393" s="225"/>
      <c r="M1393" s="225"/>
      <c r="N1393" s="225"/>
      <c r="O1393" s="225"/>
      <c r="P1393" s="225"/>
      <c r="Q1393" s="225"/>
      <c r="R1393" s="225"/>
      <c r="S1393" s="225"/>
      <c r="T1393" s="225"/>
      <c r="U1393" s="225"/>
      <c r="V1393" s="225"/>
      <c r="W1393" s="110"/>
      <c r="X1393" s="110"/>
      <c r="Y1393" s="110"/>
      <c r="Z1393" s="110"/>
    </row>
    <row r="1394">
      <c r="A1394" s="212"/>
      <c r="B1394" s="21"/>
      <c r="C1394" s="21"/>
      <c r="D1394" s="213"/>
      <c r="E1394" s="214"/>
      <c r="F1394" s="215"/>
      <c r="G1394" s="21"/>
      <c r="H1394" s="225"/>
      <c r="I1394" s="225"/>
      <c r="J1394" s="225"/>
      <c r="K1394" s="225"/>
      <c r="L1394" s="225"/>
      <c r="M1394" s="225"/>
      <c r="N1394" s="225"/>
      <c r="O1394" s="225"/>
      <c r="P1394" s="225"/>
      <c r="Q1394" s="225"/>
      <c r="R1394" s="225"/>
      <c r="S1394" s="225"/>
      <c r="T1394" s="225"/>
      <c r="U1394" s="225"/>
      <c r="V1394" s="225"/>
      <c r="W1394" s="110"/>
      <c r="X1394" s="110"/>
      <c r="Y1394" s="110"/>
      <c r="Z1394" s="110"/>
    </row>
    <row r="1395">
      <c r="A1395" s="212"/>
      <c r="B1395" s="21"/>
      <c r="C1395" s="21"/>
      <c r="D1395" s="213"/>
      <c r="E1395" s="214"/>
      <c r="F1395" s="215"/>
      <c r="G1395" s="21"/>
      <c r="H1395" s="225"/>
      <c r="I1395" s="225"/>
      <c r="J1395" s="225"/>
      <c r="K1395" s="225"/>
      <c r="L1395" s="225"/>
      <c r="M1395" s="225"/>
      <c r="N1395" s="225"/>
      <c r="O1395" s="225"/>
      <c r="P1395" s="225"/>
      <c r="Q1395" s="225"/>
      <c r="R1395" s="225"/>
      <c r="S1395" s="225"/>
      <c r="T1395" s="225"/>
      <c r="U1395" s="225"/>
      <c r="V1395" s="225"/>
      <c r="W1395" s="110"/>
      <c r="X1395" s="110"/>
      <c r="Y1395" s="110"/>
      <c r="Z1395" s="110"/>
    </row>
    <row r="1396">
      <c r="A1396" s="212"/>
      <c r="B1396" s="21"/>
      <c r="C1396" s="21"/>
      <c r="D1396" s="213"/>
      <c r="E1396" s="214"/>
      <c r="F1396" s="215"/>
      <c r="G1396" s="21"/>
      <c r="H1396" s="225"/>
      <c r="I1396" s="225"/>
      <c r="J1396" s="225"/>
      <c r="K1396" s="225"/>
      <c r="L1396" s="225"/>
      <c r="M1396" s="225"/>
      <c r="N1396" s="225"/>
      <c r="O1396" s="225"/>
      <c r="P1396" s="225"/>
      <c r="Q1396" s="225"/>
      <c r="R1396" s="225"/>
      <c r="S1396" s="225"/>
      <c r="T1396" s="225"/>
      <c r="U1396" s="225"/>
      <c r="V1396" s="225"/>
      <c r="W1396" s="110"/>
      <c r="X1396" s="110"/>
      <c r="Y1396" s="110"/>
      <c r="Z1396" s="110"/>
    </row>
    <row r="1397">
      <c r="A1397" s="212"/>
      <c r="B1397" s="21"/>
      <c r="C1397" s="21"/>
      <c r="D1397" s="213"/>
      <c r="E1397" s="214"/>
      <c r="F1397" s="215"/>
      <c r="G1397" s="21"/>
      <c r="H1397" s="225"/>
      <c r="I1397" s="225"/>
      <c r="J1397" s="225"/>
      <c r="K1397" s="225"/>
      <c r="L1397" s="225"/>
      <c r="M1397" s="225"/>
      <c r="N1397" s="225"/>
      <c r="O1397" s="225"/>
      <c r="P1397" s="225"/>
      <c r="Q1397" s="225"/>
      <c r="R1397" s="225"/>
      <c r="S1397" s="225"/>
      <c r="T1397" s="225"/>
      <c r="U1397" s="225"/>
      <c r="V1397" s="225"/>
      <c r="W1397" s="110"/>
      <c r="X1397" s="110"/>
      <c r="Y1397" s="110"/>
      <c r="Z1397" s="110"/>
    </row>
    <row r="1398">
      <c r="A1398" s="212"/>
      <c r="B1398" s="21"/>
      <c r="C1398" s="21"/>
      <c r="D1398" s="213"/>
      <c r="E1398" s="214"/>
      <c r="F1398" s="215"/>
      <c r="G1398" s="21"/>
      <c r="H1398" s="225"/>
      <c r="I1398" s="225"/>
      <c r="J1398" s="225"/>
      <c r="K1398" s="225"/>
      <c r="L1398" s="225"/>
      <c r="M1398" s="225"/>
      <c r="N1398" s="225"/>
      <c r="O1398" s="225"/>
      <c r="P1398" s="225"/>
      <c r="Q1398" s="225"/>
      <c r="R1398" s="225"/>
      <c r="S1398" s="225"/>
      <c r="T1398" s="225"/>
      <c r="U1398" s="225"/>
      <c r="V1398" s="225"/>
      <c r="W1398" s="110"/>
      <c r="X1398" s="110"/>
      <c r="Y1398" s="110"/>
      <c r="Z1398" s="110"/>
    </row>
    <row r="1399">
      <c r="A1399" s="212"/>
      <c r="B1399" s="21"/>
      <c r="C1399" s="21"/>
      <c r="D1399" s="213"/>
      <c r="E1399" s="214"/>
      <c r="F1399" s="215"/>
      <c r="G1399" s="21"/>
      <c r="H1399" s="225"/>
      <c r="I1399" s="225"/>
      <c r="J1399" s="225"/>
      <c r="K1399" s="225"/>
      <c r="L1399" s="225"/>
      <c r="M1399" s="225"/>
      <c r="N1399" s="225"/>
      <c r="O1399" s="225"/>
      <c r="P1399" s="225"/>
      <c r="Q1399" s="225"/>
      <c r="R1399" s="225"/>
      <c r="S1399" s="225"/>
      <c r="T1399" s="225"/>
      <c r="U1399" s="225"/>
      <c r="V1399" s="225"/>
      <c r="W1399" s="110"/>
      <c r="X1399" s="110"/>
      <c r="Y1399" s="110"/>
      <c r="Z1399" s="110"/>
    </row>
    <row r="1400">
      <c r="A1400" s="212"/>
      <c r="B1400" s="21"/>
      <c r="C1400" s="21"/>
      <c r="D1400" s="213"/>
      <c r="E1400" s="214"/>
      <c r="F1400" s="215"/>
      <c r="G1400" s="21"/>
      <c r="H1400" s="225"/>
      <c r="I1400" s="225"/>
      <c r="J1400" s="225"/>
      <c r="K1400" s="225"/>
      <c r="L1400" s="225"/>
      <c r="M1400" s="225"/>
      <c r="N1400" s="225"/>
      <c r="O1400" s="225"/>
      <c r="P1400" s="225"/>
      <c r="Q1400" s="225"/>
      <c r="R1400" s="225"/>
      <c r="S1400" s="225"/>
      <c r="T1400" s="225"/>
      <c r="U1400" s="225"/>
      <c r="V1400" s="225"/>
      <c r="W1400" s="110"/>
      <c r="X1400" s="110"/>
      <c r="Y1400" s="110"/>
      <c r="Z1400" s="110"/>
    </row>
    <row r="1401">
      <c r="A1401" s="212"/>
      <c r="B1401" s="21"/>
      <c r="C1401" s="21"/>
      <c r="D1401" s="213"/>
      <c r="E1401" s="214"/>
      <c r="F1401" s="215"/>
      <c r="G1401" s="21"/>
      <c r="H1401" s="225"/>
      <c r="I1401" s="225"/>
      <c r="J1401" s="225"/>
      <c r="K1401" s="225"/>
      <c r="L1401" s="225"/>
      <c r="M1401" s="225"/>
      <c r="N1401" s="225"/>
      <c r="O1401" s="225"/>
      <c r="P1401" s="225"/>
      <c r="Q1401" s="225"/>
      <c r="R1401" s="225"/>
      <c r="S1401" s="225"/>
      <c r="T1401" s="225"/>
      <c r="U1401" s="225"/>
      <c r="V1401" s="225"/>
      <c r="W1401" s="110"/>
      <c r="X1401" s="110"/>
      <c r="Y1401" s="110"/>
      <c r="Z1401" s="110"/>
    </row>
    <row r="1402">
      <c r="A1402" s="212"/>
      <c r="B1402" s="21"/>
      <c r="C1402" s="21"/>
      <c r="D1402" s="213"/>
      <c r="E1402" s="214"/>
      <c r="F1402" s="215"/>
      <c r="G1402" s="21"/>
      <c r="H1402" s="225"/>
      <c r="I1402" s="225"/>
      <c r="J1402" s="225"/>
      <c r="K1402" s="225"/>
      <c r="L1402" s="225"/>
      <c r="M1402" s="225"/>
      <c r="N1402" s="225"/>
      <c r="O1402" s="225"/>
      <c r="P1402" s="225"/>
      <c r="Q1402" s="225"/>
      <c r="R1402" s="225"/>
      <c r="S1402" s="225"/>
      <c r="T1402" s="225"/>
      <c r="U1402" s="225"/>
      <c r="V1402" s="225"/>
      <c r="W1402" s="110"/>
      <c r="X1402" s="110"/>
      <c r="Y1402" s="110"/>
      <c r="Z1402" s="110"/>
    </row>
    <row r="1403">
      <c r="A1403" s="212"/>
      <c r="B1403" s="21"/>
      <c r="C1403" s="21"/>
      <c r="D1403" s="213"/>
      <c r="E1403" s="214"/>
      <c r="F1403" s="215"/>
      <c r="G1403" s="21"/>
      <c r="H1403" s="225"/>
      <c r="I1403" s="225"/>
      <c r="J1403" s="225"/>
      <c r="K1403" s="225"/>
      <c r="L1403" s="225"/>
      <c r="M1403" s="225"/>
      <c r="N1403" s="225"/>
      <c r="O1403" s="225"/>
      <c r="P1403" s="225"/>
      <c r="Q1403" s="225"/>
      <c r="R1403" s="225"/>
      <c r="S1403" s="225"/>
      <c r="T1403" s="225"/>
      <c r="U1403" s="225"/>
      <c r="V1403" s="225"/>
      <c r="W1403" s="110"/>
      <c r="X1403" s="110"/>
      <c r="Y1403" s="110"/>
      <c r="Z1403" s="110"/>
    </row>
    <row r="1404">
      <c r="A1404" s="212"/>
      <c r="B1404" s="21"/>
      <c r="C1404" s="21"/>
      <c r="D1404" s="213"/>
      <c r="E1404" s="214"/>
      <c r="F1404" s="215"/>
      <c r="G1404" s="21"/>
      <c r="H1404" s="225"/>
      <c r="I1404" s="225"/>
      <c r="J1404" s="225"/>
      <c r="K1404" s="225"/>
      <c r="L1404" s="225"/>
      <c r="M1404" s="225"/>
      <c r="N1404" s="225"/>
      <c r="O1404" s="225"/>
      <c r="P1404" s="225"/>
      <c r="Q1404" s="225"/>
      <c r="R1404" s="225"/>
      <c r="S1404" s="225"/>
      <c r="T1404" s="225"/>
      <c r="U1404" s="225"/>
      <c r="V1404" s="225"/>
      <c r="W1404" s="110"/>
      <c r="X1404" s="110"/>
      <c r="Y1404" s="110"/>
      <c r="Z1404" s="110"/>
    </row>
    <row r="1405">
      <c r="A1405" s="212"/>
      <c r="B1405" s="21"/>
      <c r="C1405" s="21"/>
      <c r="D1405" s="213"/>
      <c r="E1405" s="214"/>
      <c r="F1405" s="215"/>
      <c r="G1405" s="21"/>
      <c r="H1405" s="225"/>
      <c r="I1405" s="225"/>
      <c r="J1405" s="225"/>
      <c r="K1405" s="225"/>
      <c r="L1405" s="225"/>
      <c r="M1405" s="225"/>
      <c r="N1405" s="225"/>
      <c r="O1405" s="225"/>
      <c r="P1405" s="225"/>
      <c r="Q1405" s="225"/>
      <c r="R1405" s="225"/>
      <c r="S1405" s="225"/>
      <c r="T1405" s="225"/>
      <c r="U1405" s="225"/>
      <c r="V1405" s="225"/>
      <c r="W1405" s="110"/>
      <c r="X1405" s="110"/>
      <c r="Y1405" s="110"/>
      <c r="Z1405" s="110"/>
    </row>
    <row r="1406">
      <c r="A1406" s="212"/>
      <c r="B1406" s="21"/>
      <c r="C1406" s="21"/>
      <c r="D1406" s="213"/>
      <c r="E1406" s="214"/>
      <c r="F1406" s="215"/>
      <c r="G1406" s="21"/>
      <c r="H1406" s="225"/>
      <c r="I1406" s="225"/>
      <c r="J1406" s="225"/>
      <c r="K1406" s="225"/>
      <c r="L1406" s="225"/>
      <c r="M1406" s="225"/>
      <c r="N1406" s="225"/>
      <c r="O1406" s="225"/>
      <c r="P1406" s="225"/>
      <c r="Q1406" s="225"/>
      <c r="R1406" s="225"/>
      <c r="S1406" s="225"/>
      <c r="T1406" s="225"/>
      <c r="U1406" s="225"/>
      <c r="V1406" s="225"/>
      <c r="W1406" s="110"/>
      <c r="X1406" s="110"/>
      <c r="Y1406" s="110"/>
      <c r="Z1406" s="110"/>
    </row>
    <row r="1407">
      <c r="A1407" s="212"/>
      <c r="B1407" s="21"/>
      <c r="C1407" s="21"/>
      <c r="D1407" s="213"/>
      <c r="E1407" s="214"/>
      <c r="F1407" s="215"/>
      <c r="G1407" s="21"/>
      <c r="H1407" s="225"/>
      <c r="I1407" s="225"/>
      <c r="J1407" s="225"/>
      <c r="K1407" s="225"/>
      <c r="L1407" s="225"/>
      <c r="M1407" s="225"/>
      <c r="N1407" s="225"/>
      <c r="O1407" s="225"/>
      <c r="P1407" s="225"/>
      <c r="Q1407" s="225"/>
      <c r="R1407" s="225"/>
      <c r="S1407" s="225"/>
      <c r="T1407" s="225"/>
      <c r="U1407" s="225"/>
      <c r="V1407" s="225"/>
      <c r="W1407" s="110"/>
      <c r="X1407" s="110"/>
      <c r="Y1407" s="110"/>
      <c r="Z1407" s="110"/>
    </row>
    <row r="1408">
      <c r="A1408" s="212"/>
      <c r="B1408" s="21"/>
      <c r="C1408" s="21"/>
      <c r="D1408" s="213"/>
      <c r="E1408" s="214"/>
      <c r="F1408" s="215"/>
      <c r="G1408" s="21"/>
      <c r="H1408" s="225"/>
      <c r="I1408" s="225"/>
      <c r="J1408" s="225"/>
      <c r="K1408" s="225"/>
      <c r="L1408" s="225"/>
      <c r="M1408" s="225"/>
      <c r="N1408" s="225"/>
      <c r="O1408" s="225"/>
      <c r="P1408" s="225"/>
      <c r="Q1408" s="225"/>
      <c r="R1408" s="225"/>
      <c r="S1408" s="225"/>
      <c r="T1408" s="225"/>
      <c r="U1408" s="225"/>
      <c r="V1408" s="225"/>
      <c r="W1408" s="110"/>
      <c r="X1408" s="110"/>
      <c r="Y1408" s="110"/>
      <c r="Z1408" s="110"/>
    </row>
    <row r="1409">
      <c r="A1409" s="212"/>
      <c r="B1409" s="21"/>
      <c r="C1409" s="21"/>
      <c r="D1409" s="213"/>
      <c r="E1409" s="214"/>
      <c r="F1409" s="215"/>
      <c r="G1409" s="21"/>
      <c r="H1409" s="225"/>
      <c r="I1409" s="225"/>
      <c r="J1409" s="225"/>
      <c r="K1409" s="225"/>
      <c r="L1409" s="225"/>
      <c r="M1409" s="225"/>
      <c r="N1409" s="225"/>
      <c r="O1409" s="225"/>
      <c r="P1409" s="225"/>
      <c r="Q1409" s="225"/>
      <c r="R1409" s="225"/>
      <c r="S1409" s="225"/>
      <c r="T1409" s="225"/>
      <c r="U1409" s="225"/>
      <c r="V1409" s="225"/>
      <c r="W1409" s="110"/>
      <c r="X1409" s="110"/>
      <c r="Y1409" s="110"/>
      <c r="Z1409" s="110"/>
    </row>
    <row r="1410">
      <c r="A1410" s="212"/>
      <c r="B1410" s="21"/>
      <c r="C1410" s="21"/>
      <c r="D1410" s="213"/>
      <c r="E1410" s="214"/>
      <c r="F1410" s="215"/>
      <c r="G1410" s="21"/>
      <c r="H1410" s="225"/>
      <c r="I1410" s="225"/>
      <c r="J1410" s="225"/>
      <c r="K1410" s="225"/>
      <c r="L1410" s="225"/>
      <c r="M1410" s="225"/>
      <c r="N1410" s="225"/>
      <c r="O1410" s="225"/>
      <c r="P1410" s="225"/>
      <c r="Q1410" s="225"/>
      <c r="R1410" s="225"/>
      <c r="S1410" s="225"/>
      <c r="T1410" s="225"/>
      <c r="U1410" s="225"/>
      <c r="V1410" s="225"/>
      <c r="W1410" s="110"/>
      <c r="X1410" s="110"/>
      <c r="Y1410" s="110"/>
      <c r="Z1410" s="110"/>
    </row>
    <row r="1411">
      <c r="A1411" s="212"/>
      <c r="B1411" s="21"/>
      <c r="C1411" s="21"/>
      <c r="D1411" s="213"/>
      <c r="E1411" s="214"/>
      <c r="F1411" s="215"/>
      <c r="G1411" s="21"/>
      <c r="H1411" s="225"/>
      <c r="I1411" s="225"/>
      <c r="J1411" s="225"/>
      <c r="K1411" s="225"/>
      <c r="L1411" s="225"/>
      <c r="M1411" s="225"/>
      <c r="N1411" s="225"/>
      <c r="O1411" s="225"/>
      <c r="P1411" s="225"/>
      <c r="Q1411" s="225"/>
      <c r="R1411" s="225"/>
      <c r="S1411" s="225"/>
      <c r="T1411" s="225"/>
      <c r="U1411" s="225"/>
      <c r="V1411" s="225"/>
      <c r="W1411" s="110"/>
      <c r="X1411" s="110"/>
      <c r="Y1411" s="110"/>
      <c r="Z1411" s="110"/>
    </row>
    <row r="1412">
      <c r="A1412" s="212"/>
      <c r="B1412" s="21"/>
      <c r="C1412" s="21"/>
      <c r="D1412" s="213"/>
      <c r="E1412" s="214"/>
      <c r="F1412" s="215"/>
      <c r="G1412" s="21"/>
      <c r="H1412" s="225"/>
      <c r="I1412" s="225"/>
      <c r="J1412" s="225"/>
      <c r="K1412" s="225"/>
      <c r="L1412" s="225"/>
      <c r="M1412" s="225"/>
      <c r="N1412" s="225"/>
      <c r="O1412" s="225"/>
      <c r="P1412" s="225"/>
      <c r="Q1412" s="225"/>
      <c r="R1412" s="225"/>
      <c r="S1412" s="225"/>
      <c r="T1412" s="225"/>
      <c r="U1412" s="225"/>
      <c r="V1412" s="225"/>
      <c r="W1412" s="110"/>
      <c r="X1412" s="110"/>
      <c r="Y1412" s="110"/>
      <c r="Z1412" s="110"/>
    </row>
    <row r="1413">
      <c r="A1413" s="212"/>
      <c r="B1413" s="21"/>
      <c r="C1413" s="21"/>
      <c r="D1413" s="213"/>
      <c r="E1413" s="214"/>
      <c r="F1413" s="215"/>
      <c r="G1413" s="21"/>
      <c r="H1413" s="225"/>
      <c r="I1413" s="225"/>
      <c r="J1413" s="225"/>
      <c r="K1413" s="225"/>
      <c r="L1413" s="225"/>
      <c r="M1413" s="225"/>
      <c r="N1413" s="225"/>
      <c r="O1413" s="225"/>
      <c r="P1413" s="225"/>
      <c r="Q1413" s="225"/>
      <c r="R1413" s="225"/>
      <c r="S1413" s="225"/>
      <c r="T1413" s="225"/>
      <c r="U1413" s="225"/>
      <c r="V1413" s="225"/>
      <c r="W1413" s="110"/>
      <c r="X1413" s="110"/>
      <c r="Y1413" s="110"/>
      <c r="Z1413" s="110"/>
    </row>
    <row r="1414">
      <c r="A1414" s="212"/>
      <c r="B1414" s="21"/>
      <c r="C1414" s="21"/>
      <c r="D1414" s="213"/>
      <c r="E1414" s="214"/>
      <c r="F1414" s="215"/>
      <c r="G1414" s="21"/>
      <c r="H1414" s="225"/>
      <c r="I1414" s="225"/>
      <c r="J1414" s="225"/>
      <c r="K1414" s="225"/>
      <c r="L1414" s="225"/>
      <c r="M1414" s="225"/>
      <c r="N1414" s="225"/>
      <c r="O1414" s="225"/>
      <c r="P1414" s="225"/>
      <c r="Q1414" s="225"/>
      <c r="R1414" s="225"/>
      <c r="S1414" s="225"/>
      <c r="T1414" s="225"/>
      <c r="U1414" s="225"/>
      <c r="V1414" s="225"/>
      <c r="W1414" s="110"/>
      <c r="X1414" s="110"/>
      <c r="Y1414" s="110"/>
      <c r="Z1414" s="110"/>
    </row>
    <row r="1415">
      <c r="A1415" s="212"/>
      <c r="B1415" s="21"/>
      <c r="C1415" s="21"/>
      <c r="D1415" s="213"/>
      <c r="E1415" s="214"/>
      <c r="F1415" s="215"/>
      <c r="G1415" s="21"/>
      <c r="H1415" s="225"/>
      <c r="I1415" s="225"/>
      <c r="J1415" s="225"/>
      <c r="K1415" s="225"/>
      <c r="L1415" s="225"/>
      <c r="M1415" s="225"/>
      <c r="N1415" s="225"/>
      <c r="O1415" s="225"/>
      <c r="P1415" s="225"/>
      <c r="Q1415" s="225"/>
      <c r="R1415" s="225"/>
      <c r="S1415" s="225"/>
      <c r="T1415" s="225"/>
      <c r="U1415" s="225"/>
      <c r="V1415" s="225"/>
      <c r="W1415" s="110"/>
      <c r="X1415" s="110"/>
      <c r="Y1415" s="110"/>
      <c r="Z1415" s="110"/>
    </row>
    <row r="1416">
      <c r="A1416" s="212"/>
      <c r="B1416" s="21"/>
      <c r="C1416" s="21"/>
      <c r="D1416" s="213"/>
      <c r="E1416" s="214"/>
      <c r="F1416" s="215"/>
      <c r="G1416" s="21"/>
      <c r="H1416" s="225"/>
      <c r="I1416" s="225"/>
      <c r="J1416" s="225"/>
      <c r="K1416" s="225"/>
      <c r="L1416" s="225"/>
      <c r="M1416" s="225"/>
      <c r="N1416" s="225"/>
      <c r="O1416" s="225"/>
      <c r="P1416" s="225"/>
      <c r="Q1416" s="225"/>
      <c r="R1416" s="225"/>
      <c r="S1416" s="225"/>
      <c r="T1416" s="225"/>
      <c r="U1416" s="225"/>
      <c r="V1416" s="225"/>
      <c r="W1416" s="110"/>
      <c r="X1416" s="110"/>
      <c r="Y1416" s="110"/>
      <c r="Z1416" s="110"/>
    </row>
    <row r="1417">
      <c r="A1417" s="212"/>
      <c r="B1417" s="21"/>
      <c r="C1417" s="21"/>
      <c r="D1417" s="213"/>
      <c r="E1417" s="214"/>
      <c r="F1417" s="215"/>
      <c r="G1417" s="21"/>
      <c r="H1417" s="225"/>
      <c r="I1417" s="225"/>
      <c r="J1417" s="225"/>
      <c r="K1417" s="225"/>
      <c r="L1417" s="225"/>
      <c r="M1417" s="225"/>
      <c r="N1417" s="225"/>
      <c r="O1417" s="225"/>
      <c r="P1417" s="225"/>
      <c r="Q1417" s="225"/>
      <c r="R1417" s="225"/>
      <c r="S1417" s="225"/>
      <c r="T1417" s="225"/>
      <c r="U1417" s="225"/>
      <c r="V1417" s="225"/>
      <c r="W1417" s="110"/>
      <c r="X1417" s="110"/>
      <c r="Y1417" s="110"/>
      <c r="Z1417" s="110"/>
    </row>
    <row r="1418">
      <c r="A1418" s="212"/>
      <c r="B1418" s="21"/>
      <c r="C1418" s="21"/>
      <c r="D1418" s="213"/>
      <c r="E1418" s="214"/>
      <c r="F1418" s="215"/>
      <c r="G1418" s="21"/>
      <c r="H1418" s="225"/>
      <c r="I1418" s="225"/>
      <c r="J1418" s="225"/>
      <c r="K1418" s="225"/>
      <c r="L1418" s="225"/>
      <c r="M1418" s="225"/>
      <c r="N1418" s="225"/>
      <c r="O1418" s="225"/>
      <c r="P1418" s="225"/>
      <c r="Q1418" s="225"/>
      <c r="R1418" s="225"/>
      <c r="S1418" s="225"/>
      <c r="T1418" s="225"/>
      <c r="U1418" s="225"/>
      <c r="V1418" s="225"/>
      <c r="W1418" s="110"/>
      <c r="X1418" s="110"/>
      <c r="Y1418" s="110"/>
      <c r="Z1418" s="110"/>
    </row>
    <row r="1419">
      <c r="A1419" s="212"/>
      <c r="B1419" s="21"/>
      <c r="C1419" s="21"/>
      <c r="D1419" s="213"/>
      <c r="E1419" s="214"/>
      <c r="F1419" s="215"/>
      <c r="G1419" s="21"/>
      <c r="H1419" s="225"/>
      <c r="I1419" s="225"/>
      <c r="J1419" s="225"/>
      <c r="K1419" s="225"/>
      <c r="L1419" s="225"/>
      <c r="M1419" s="225"/>
      <c r="N1419" s="225"/>
      <c r="O1419" s="225"/>
      <c r="P1419" s="225"/>
      <c r="Q1419" s="225"/>
      <c r="R1419" s="225"/>
      <c r="S1419" s="225"/>
      <c r="T1419" s="225"/>
      <c r="U1419" s="225"/>
      <c r="V1419" s="225"/>
      <c r="W1419" s="110"/>
      <c r="X1419" s="110"/>
      <c r="Y1419" s="110"/>
      <c r="Z1419" s="110"/>
    </row>
    <row r="1420">
      <c r="A1420" s="212"/>
      <c r="B1420" s="21"/>
      <c r="C1420" s="21"/>
      <c r="D1420" s="213"/>
      <c r="E1420" s="214"/>
      <c r="F1420" s="215"/>
      <c r="G1420" s="21"/>
      <c r="H1420" s="225"/>
      <c r="I1420" s="225"/>
      <c r="J1420" s="225"/>
      <c r="K1420" s="225"/>
      <c r="L1420" s="225"/>
      <c r="M1420" s="225"/>
      <c r="N1420" s="225"/>
      <c r="O1420" s="225"/>
      <c r="P1420" s="225"/>
      <c r="Q1420" s="225"/>
      <c r="R1420" s="225"/>
      <c r="S1420" s="225"/>
      <c r="T1420" s="225"/>
      <c r="U1420" s="225"/>
      <c r="V1420" s="225"/>
      <c r="W1420" s="110"/>
      <c r="X1420" s="110"/>
      <c r="Y1420" s="110"/>
      <c r="Z1420" s="110"/>
    </row>
    <row r="1421">
      <c r="A1421" s="212"/>
      <c r="B1421" s="21"/>
      <c r="C1421" s="21"/>
      <c r="D1421" s="213"/>
      <c r="E1421" s="214"/>
      <c r="F1421" s="215"/>
      <c r="G1421" s="21"/>
      <c r="H1421" s="225"/>
      <c r="I1421" s="225"/>
      <c r="J1421" s="225"/>
      <c r="K1421" s="225"/>
      <c r="L1421" s="225"/>
      <c r="M1421" s="225"/>
      <c r="N1421" s="225"/>
      <c r="O1421" s="225"/>
      <c r="P1421" s="225"/>
      <c r="Q1421" s="225"/>
      <c r="R1421" s="225"/>
      <c r="S1421" s="225"/>
      <c r="T1421" s="225"/>
      <c r="U1421" s="225"/>
      <c r="V1421" s="225"/>
      <c r="W1421" s="110"/>
      <c r="X1421" s="110"/>
      <c r="Y1421" s="110"/>
      <c r="Z1421" s="110"/>
    </row>
    <row r="1422">
      <c r="A1422" s="212"/>
      <c r="B1422" s="21"/>
      <c r="C1422" s="21"/>
      <c r="D1422" s="213"/>
      <c r="E1422" s="214"/>
      <c r="F1422" s="215"/>
      <c r="G1422" s="21"/>
      <c r="H1422" s="225"/>
      <c r="I1422" s="225"/>
      <c r="J1422" s="225"/>
      <c r="K1422" s="225"/>
      <c r="L1422" s="225"/>
      <c r="M1422" s="225"/>
      <c r="N1422" s="225"/>
      <c r="O1422" s="225"/>
      <c r="P1422" s="225"/>
      <c r="Q1422" s="225"/>
      <c r="R1422" s="225"/>
      <c r="S1422" s="225"/>
      <c r="T1422" s="225"/>
      <c r="U1422" s="225"/>
      <c r="V1422" s="225"/>
      <c r="W1422" s="110"/>
      <c r="X1422" s="110"/>
      <c r="Y1422" s="110"/>
      <c r="Z1422" s="110"/>
    </row>
    <row r="1423">
      <c r="A1423" s="212"/>
      <c r="B1423" s="21"/>
      <c r="C1423" s="21"/>
      <c r="D1423" s="213"/>
      <c r="E1423" s="214"/>
      <c r="F1423" s="215"/>
      <c r="G1423" s="21"/>
      <c r="H1423" s="225"/>
      <c r="I1423" s="225"/>
      <c r="J1423" s="225"/>
      <c r="K1423" s="225"/>
      <c r="L1423" s="225"/>
      <c r="M1423" s="225"/>
      <c r="N1423" s="225"/>
      <c r="O1423" s="225"/>
      <c r="P1423" s="225"/>
      <c r="Q1423" s="225"/>
      <c r="R1423" s="225"/>
      <c r="S1423" s="225"/>
      <c r="T1423" s="225"/>
      <c r="U1423" s="225"/>
      <c r="V1423" s="225"/>
      <c r="W1423" s="110"/>
      <c r="X1423" s="110"/>
      <c r="Y1423" s="110"/>
      <c r="Z1423" s="110"/>
    </row>
    <row r="1424">
      <c r="A1424" s="212"/>
      <c r="B1424" s="21"/>
      <c r="C1424" s="21"/>
      <c r="D1424" s="213"/>
      <c r="E1424" s="214"/>
      <c r="F1424" s="215"/>
      <c r="G1424" s="21"/>
      <c r="H1424" s="225"/>
      <c r="I1424" s="225"/>
      <c r="J1424" s="225"/>
      <c r="K1424" s="225"/>
      <c r="L1424" s="225"/>
      <c r="M1424" s="225"/>
      <c r="N1424" s="225"/>
      <c r="O1424" s="225"/>
      <c r="P1424" s="225"/>
      <c r="Q1424" s="225"/>
      <c r="R1424" s="225"/>
      <c r="S1424" s="225"/>
      <c r="T1424" s="225"/>
      <c r="U1424" s="225"/>
      <c r="V1424" s="225"/>
      <c r="W1424" s="110"/>
      <c r="X1424" s="110"/>
      <c r="Y1424" s="110"/>
      <c r="Z1424" s="110"/>
    </row>
    <row r="1425">
      <c r="A1425" s="212"/>
      <c r="B1425" s="21"/>
      <c r="C1425" s="21"/>
      <c r="D1425" s="213"/>
      <c r="E1425" s="214"/>
      <c r="F1425" s="215"/>
      <c r="G1425" s="21"/>
      <c r="H1425" s="225"/>
      <c r="I1425" s="225"/>
      <c r="J1425" s="225"/>
      <c r="K1425" s="225"/>
      <c r="L1425" s="225"/>
      <c r="M1425" s="225"/>
      <c r="N1425" s="225"/>
      <c r="O1425" s="225"/>
      <c r="P1425" s="225"/>
      <c r="Q1425" s="225"/>
      <c r="R1425" s="225"/>
      <c r="S1425" s="225"/>
      <c r="T1425" s="225"/>
      <c r="U1425" s="225"/>
      <c r="V1425" s="225"/>
      <c r="W1425" s="110"/>
      <c r="X1425" s="110"/>
      <c r="Y1425" s="110"/>
      <c r="Z1425" s="110"/>
    </row>
    <row r="1426">
      <c r="A1426" s="212"/>
      <c r="B1426" s="21"/>
      <c r="C1426" s="21"/>
      <c r="D1426" s="213"/>
      <c r="E1426" s="214"/>
      <c r="F1426" s="215"/>
      <c r="G1426" s="21"/>
      <c r="H1426" s="225"/>
      <c r="I1426" s="225"/>
      <c r="J1426" s="225"/>
      <c r="K1426" s="225"/>
      <c r="L1426" s="225"/>
      <c r="M1426" s="225"/>
      <c r="N1426" s="225"/>
      <c r="O1426" s="225"/>
      <c r="P1426" s="225"/>
      <c r="Q1426" s="225"/>
      <c r="R1426" s="225"/>
      <c r="S1426" s="225"/>
      <c r="T1426" s="225"/>
      <c r="U1426" s="225"/>
      <c r="V1426" s="225"/>
      <c r="W1426" s="110"/>
      <c r="X1426" s="110"/>
      <c r="Y1426" s="110"/>
      <c r="Z1426" s="110"/>
    </row>
    <row r="1427">
      <c r="A1427" s="212"/>
      <c r="B1427" s="21"/>
      <c r="C1427" s="21"/>
      <c r="D1427" s="213"/>
      <c r="E1427" s="214"/>
      <c r="F1427" s="215"/>
      <c r="G1427" s="21"/>
      <c r="H1427" s="225"/>
      <c r="I1427" s="225"/>
      <c r="J1427" s="225"/>
      <c r="K1427" s="225"/>
      <c r="L1427" s="225"/>
      <c r="M1427" s="225"/>
      <c r="N1427" s="225"/>
      <c r="O1427" s="225"/>
      <c r="P1427" s="225"/>
      <c r="Q1427" s="225"/>
      <c r="R1427" s="225"/>
      <c r="S1427" s="225"/>
      <c r="T1427" s="225"/>
      <c r="U1427" s="225"/>
      <c r="V1427" s="225"/>
      <c r="W1427" s="110"/>
      <c r="X1427" s="110"/>
      <c r="Y1427" s="110"/>
      <c r="Z1427" s="110"/>
    </row>
    <row r="1428">
      <c r="A1428" s="212"/>
      <c r="B1428" s="21"/>
      <c r="C1428" s="21"/>
      <c r="D1428" s="213"/>
      <c r="E1428" s="214"/>
      <c r="F1428" s="215"/>
      <c r="G1428" s="21"/>
      <c r="H1428" s="225"/>
      <c r="I1428" s="225"/>
      <c r="J1428" s="225"/>
      <c r="K1428" s="225"/>
      <c r="L1428" s="225"/>
      <c r="M1428" s="225"/>
      <c r="N1428" s="225"/>
      <c r="O1428" s="225"/>
      <c r="P1428" s="225"/>
      <c r="Q1428" s="225"/>
      <c r="R1428" s="225"/>
      <c r="S1428" s="225"/>
      <c r="T1428" s="225"/>
      <c r="U1428" s="225"/>
      <c r="V1428" s="225"/>
      <c r="W1428" s="110"/>
      <c r="X1428" s="110"/>
      <c r="Y1428" s="110"/>
      <c r="Z1428" s="110"/>
    </row>
    <row r="1429">
      <c r="A1429" s="212"/>
      <c r="B1429" s="21"/>
      <c r="C1429" s="21"/>
      <c r="D1429" s="213"/>
      <c r="E1429" s="214"/>
      <c r="F1429" s="215"/>
      <c r="G1429" s="21"/>
      <c r="H1429" s="225"/>
      <c r="I1429" s="225"/>
      <c r="J1429" s="225"/>
      <c r="K1429" s="225"/>
      <c r="L1429" s="225"/>
      <c r="M1429" s="225"/>
      <c r="N1429" s="225"/>
      <c r="O1429" s="225"/>
      <c r="P1429" s="225"/>
      <c r="Q1429" s="225"/>
      <c r="R1429" s="225"/>
      <c r="S1429" s="225"/>
      <c r="T1429" s="225"/>
      <c r="U1429" s="225"/>
      <c r="V1429" s="225"/>
      <c r="W1429" s="110"/>
      <c r="X1429" s="110"/>
      <c r="Y1429" s="110"/>
      <c r="Z1429" s="110"/>
    </row>
    <row r="1430">
      <c r="A1430" s="212"/>
      <c r="B1430" s="21"/>
      <c r="C1430" s="21"/>
      <c r="D1430" s="213"/>
      <c r="E1430" s="214"/>
      <c r="F1430" s="215"/>
      <c r="G1430" s="21"/>
      <c r="H1430" s="225"/>
      <c r="I1430" s="225"/>
      <c r="J1430" s="225"/>
      <c r="K1430" s="225"/>
      <c r="L1430" s="225"/>
      <c r="M1430" s="225"/>
      <c r="N1430" s="225"/>
      <c r="O1430" s="225"/>
      <c r="P1430" s="225"/>
      <c r="Q1430" s="225"/>
      <c r="R1430" s="225"/>
      <c r="S1430" s="225"/>
      <c r="T1430" s="225"/>
      <c r="U1430" s="225"/>
      <c r="V1430" s="225"/>
      <c r="W1430" s="110"/>
      <c r="X1430" s="110"/>
      <c r="Y1430" s="110"/>
      <c r="Z1430" s="110"/>
    </row>
    <row r="1431">
      <c r="A1431" s="212"/>
      <c r="B1431" s="21"/>
      <c r="C1431" s="21"/>
      <c r="D1431" s="213"/>
      <c r="E1431" s="214"/>
      <c r="F1431" s="215"/>
      <c r="G1431" s="21"/>
      <c r="H1431" s="225"/>
      <c r="I1431" s="225"/>
      <c r="J1431" s="225"/>
      <c r="K1431" s="225"/>
      <c r="L1431" s="225"/>
      <c r="M1431" s="225"/>
      <c r="N1431" s="225"/>
      <c r="O1431" s="225"/>
      <c r="P1431" s="225"/>
      <c r="Q1431" s="225"/>
      <c r="R1431" s="225"/>
      <c r="S1431" s="225"/>
      <c r="T1431" s="225"/>
      <c r="U1431" s="225"/>
      <c r="V1431" s="225"/>
      <c r="W1431" s="110"/>
      <c r="X1431" s="110"/>
      <c r="Y1431" s="110"/>
      <c r="Z1431" s="110"/>
    </row>
    <row r="1432">
      <c r="A1432" s="212"/>
      <c r="B1432" s="21"/>
      <c r="C1432" s="21"/>
      <c r="D1432" s="213"/>
      <c r="E1432" s="214"/>
      <c r="F1432" s="215"/>
      <c r="G1432" s="21"/>
      <c r="H1432" s="225"/>
      <c r="I1432" s="225"/>
      <c r="J1432" s="225"/>
      <c r="K1432" s="225"/>
      <c r="L1432" s="225"/>
      <c r="M1432" s="225"/>
      <c r="N1432" s="225"/>
      <c r="O1432" s="225"/>
      <c r="P1432" s="225"/>
      <c r="Q1432" s="225"/>
      <c r="R1432" s="225"/>
      <c r="S1432" s="225"/>
      <c r="T1432" s="225"/>
      <c r="U1432" s="225"/>
      <c r="V1432" s="225"/>
      <c r="W1432" s="110"/>
      <c r="X1432" s="110"/>
      <c r="Y1432" s="110"/>
      <c r="Z1432" s="110"/>
    </row>
    <row r="1433">
      <c r="A1433" s="212"/>
      <c r="B1433" s="21"/>
      <c r="C1433" s="21"/>
      <c r="D1433" s="213"/>
      <c r="E1433" s="214"/>
      <c r="F1433" s="215"/>
      <c r="G1433" s="21"/>
      <c r="H1433" s="225"/>
      <c r="I1433" s="225"/>
      <c r="J1433" s="225"/>
      <c r="K1433" s="225"/>
      <c r="L1433" s="225"/>
      <c r="M1433" s="225"/>
      <c r="N1433" s="225"/>
      <c r="O1433" s="225"/>
      <c r="P1433" s="225"/>
      <c r="Q1433" s="225"/>
      <c r="R1433" s="225"/>
      <c r="S1433" s="225"/>
      <c r="T1433" s="225"/>
      <c r="U1433" s="225"/>
      <c r="V1433" s="225"/>
      <c r="W1433" s="110"/>
      <c r="X1433" s="110"/>
      <c r="Y1433" s="110"/>
      <c r="Z1433" s="110"/>
    </row>
    <row r="1434">
      <c r="A1434" s="212"/>
      <c r="B1434" s="21"/>
      <c r="C1434" s="21"/>
      <c r="D1434" s="213"/>
      <c r="E1434" s="214"/>
      <c r="F1434" s="215"/>
      <c r="G1434" s="21"/>
      <c r="H1434" s="225"/>
      <c r="I1434" s="225"/>
      <c r="J1434" s="225"/>
      <c r="K1434" s="225"/>
      <c r="L1434" s="225"/>
      <c r="M1434" s="225"/>
      <c r="N1434" s="225"/>
      <c r="O1434" s="225"/>
      <c r="P1434" s="225"/>
      <c r="Q1434" s="225"/>
      <c r="R1434" s="225"/>
      <c r="S1434" s="225"/>
      <c r="T1434" s="225"/>
      <c r="U1434" s="225"/>
      <c r="V1434" s="225"/>
      <c r="W1434" s="110"/>
      <c r="X1434" s="110"/>
      <c r="Y1434" s="110"/>
      <c r="Z1434" s="110"/>
    </row>
    <row r="1435">
      <c r="A1435" s="212"/>
      <c r="B1435" s="21"/>
      <c r="C1435" s="21"/>
      <c r="D1435" s="213"/>
      <c r="E1435" s="214"/>
      <c r="F1435" s="215"/>
      <c r="G1435" s="24"/>
      <c r="H1435" s="222"/>
      <c r="I1435" s="222"/>
      <c r="J1435" s="222"/>
      <c r="K1435" s="222"/>
      <c r="L1435" s="222"/>
      <c r="M1435" s="222"/>
      <c r="N1435" s="222"/>
      <c r="O1435" s="222"/>
      <c r="P1435" s="222"/>
      <c r="Q1435" s="222"/>
      <c r="R1435" s="222"/>
      <c r="S1435" s="222"/>
      <c r="T1435" s="222"/>
      <c r="U1435" s="222"/>
      <c r="V1435" s="222"/>
      <c r="W1435" s="223"/>
      <c r="X1435" s="223"/>
      <c r="Y1435" s="223"/>
      <c r="Z1435" s="223"/>
      <c r="AA1435" s="224"/>
      <c r="AB1435" s="224"/>
      <c r="AC1435" s="224"/>
      <c r="AD1435" s="224"/>
      <c r="AE1435" s="224"/>
      <c r="AF1435" s="224"/>
      <c r="AG1435" s="224"/>
      <c r="AH1435" s="224"/>
      <c r="AI1435" s="224"/>
      <c r="AJ1435" s="224"/>
      <c r="AK1435" s="224"/>
      <c r="AL1435" s="224"/>
      <c r="AM1435" s="224"/>
      <c r="AN1435" s="224"/>
      <c r="AO1435" s="224"/>
      <c r="AP1435" s="224"/>
      <c r="AQ1435" s="224"/>
      <c r="AR1435" s="224"/>
      <c r="AS1435" s="224"/>
      <c r="AT1435" s="224"/>
      <c r="AU1435" s="224"/>
      <c r="AV1435" s="224"/>
      <c r="AW1435" s="224"/>
      <c r="AX1435" s="224"/>
      <c r="AY1435" s="224"/>
      <c r="AZ1435" s="224"/>
      <c r="BA1435" s="224"/>
      <c r="BB1435" s="224"/>
      <c r="BC1435" s="224"/>
      <c r="BD1435" s="224"/>
      <c r="BE1435" s="224"/>
      <c r="BF1435" s="224"/>
      <c r="BG1435" s="224"/>
      <c r="BH1435" s="224"/>
      <c r="BI1435" s="224"/>
      <c r="BJ1435" s="224"/>
      <c r="BK1435" s="224"/>
      <c r="BL1435" s="224"/>
      <c r="BM1435" s="224"/>
      <c r="BN1435" s="224"/>
      <c r="BO1435" s="224"/>
      <c r="BP1435" s="224"/>
      <c r="BQ1435" s="224"/>
      <c r="BR1435" s="224"/>
      <c r="BS1435" s="224"/>
      <c r="BT1435" s="224"/>
      <c r="BU1435" s="224"/>
      <c r="BV1435" s="224"/>
      <c r="BW1435" s="224"/>
      <c r="BX1435" s="224"/>
      <c r="BY1435" s="224"/>
      <c r="BZ1435" s="224"/>
      <c r="CA1435" s="224"/>
      <c r="CB1435" s="224"/>
      <c r="CC1435" s="224"/>
      <c r="CD1435" s="224"/>
      <c r="CE1435" s="224"/>
      <c r="CF1435" s="224"/>
      <c r="CG1435" s="224"/>
      <c r="CH1435" s="224"/>
      <c r="CI1435" s="224"/>
      <c r="CJ1435" s="224"/>
      <c r="CK1435" s="224"/>
      <c r="CL1435" s="224"/>
      <c r="CM1435" s="224"/>
      <c r="CN1435" s="224"/>
      <c r="CO1435" s="224"/>
      <c r="CP1435" s="224"/>
      <c r="CQ1435" s="224"/>
      <c r="CR1435" s="224"/>
      <c r="CS1435" s="224"/>
      <c r="CT1435" s="224"/>
      <c r="CU1435" s="224"/>
      <c r="CV1435" s="224"/>
      <c r="CW1435" s="224"/>
      <c r="CX1435" s="224"/>
      <c r="CY1435" s="224"/>
      <c r="CZ1435" s="224"/>
      <c r="DA1435" s="224"/>
      <c r="DB1435" s="224"/>
      <c r="DC1435" s="224"/>
      <c r="DD1435" s="224"/>
      <c r="DE1435" s="224"/>
      <c r="DF1435" s="224"/>
      <c r="DG1435" s="224"/>
      <c r="DH1435" s="224"/>
      <c r="DI1435" s="224"/>
      <c r="DJ1435" s="224"/>
      <c r="DK1435" s="224"/>
      <c r="DL1435" s="224"/>
      <c r="DM1435" s="224"/>
      <c r="DN1435" s="224"/>
      <c r="DO1435" s="224"/>
      <c r="DP1435" s="224"/>
      <c r="DQ1435" s="224"/>
      <c r="DR1435" s="224"/>
      <c r="DS1435" s="224"/>
      <c r="DT1435" s="224"/>
      <c r="DU1435" s="224"/>
      <c r="DV1435" s="224"/>
      <c r="DW1435" s="224"/>
      <c r="DX1435" s="224"/>
      <c r="DY1435" s="224"/>
      <c r="DZ1435" s="224"/>
      <c r="EA1435" s="224"/>
      <c r="EB1435" s="224"/>
      <c r="EC1435" s="224"/>
      <c r="ED1435" s="224"/>
      <c r="EE1435" s="224"/>
      <c r="EF1435" s="224"/>
      <c r="EG1435" s="224"/>
      <c r="EH1435" s="224"/>
      <c r="EI1435" s="224"/>
      <c r="EJ1435" s="224"/>
      <c r="EK1435" s="224"/>
      <c r="EL1435" s="224"/>
      <c r="EM1435" s="224"/>
      <c r="EN1435" s="224"/>
      <c r="EO1435" s="224"/>
      <c r="EP1435" s="224"/>
      <c r="EQ1435" s="224"/>
      <c r="ER1435" s="224"/>
      <c r="ES1435" s="224"/>
      <c r="ET1435" s="224"/>
      <c r="EU1435" s="224"/>
      <c r="EV1435" s="224"/>
      <c r="EW1435" s="224"/>
      <c r="EX1435" s="224"/>
      <c r="EY1435" s="224"/>
      <c r="EZ1435" s="224"/>
      <c r="FA1435" s="224"/>
      <c r="FB1435" s="224"/>
      <c r="FC1435" s="224"/>
      <c r="FD1435" s="224"/>
      <c r="FE1435" s="224"/>
      <c r="FF1435" s="224"/>
      <c r="FG1435" s="224"/>
      <c r="FH1435" s="224"/>
      <c r="FI1435" s="224"/>
      <c r="FJ1435" s="224"/>
      <c r="FK1435" s="224"/>
      <c r="FL1435" s="224"/>
      <c r="FM1435" s="224"/>
      <c r="FN1435" s="224"/>
      <c r="FO1435" s="224"/>
      <c r="FP1435" s="224"/>
      <c r="FQ1435" s="224"/>
      <c r="FR1435" s="224"/>
      <c r="FS1435" s="224"/>
      <c r="FT1435" s="224"/>
      <c r="FU1435" s="224"/>
      <c r="FV1435" s="224"/>
      <c r="FW1435" s="224"/>
      <c r="FX1435" s="224"/>
      <c r="FY1435" s="224"/>
      <c r="FZ1435" s="224"/>
      <c r="GA1435" s="224"/>
      <c r="GB1435" s="224"/>
      <c r="GC1435" s="224"/>
      <c r="GD1435" s="224"/>
      <c r="GE1435" s="224"/>
      <c r="GF1435" s="224"/>
      <c r="GG1435" s="224"/>
      <c r="GH1435" s="224"/>
      <c r="GI1435" s="224"/>
      <c r="GJ1435" s="224"/>
      <c r="GK1435" s="224"/>
      <c r="GL1435" s="224"/>
      <c r="GM1435" s="224"/>
      <c r="GN1435" s="224"/>
    </row>
    <row r="1436">
      <c r="A1436" s="212"/>
      <c r="B1436" s="21"/>
      <c r="C1436" s="21"/>
      <c r="D1436" s="213"/>
      <c r="E1436" s="214"/>
      <c r="F1436" s="215"/>
      <c r="G1436" s="124"/>
      <c r="H1436" s="110"/>
      <c r="I1436" s="110"/>
      <c r="J1436" s="110"/>
      <c r="K1436" s="110"/>
      <c r="L1436" s="110"/>
      <c r="M1436" s="110"/>
      <c r="N1436" s="110"/>
      <c r="O1436" s="110"/>
      <c r="P1436" s="110"/>
      <c r="Q1436" s="110"/>
      <c r="R1436" s="110"/>
      <c r="S1436" s="110"/>
      <c r="T1436" s="110"/>
      <c r="U1436" s="110"/>
      <c r="V1436" s="110"/>
      <c r="W1436" s="110"/>
      <c r="X1436" s="110"/>
      <c r="Y1436" s="110"/>
      <c r="Z1436" s="110"/>
    </row>
    <row r="1437">
      <c r="A1437" s="212"/>
      <c r="B1437" s="21"/>
      <c r="C1437" s="21"/>
      <c r="D1437" s="213"/>
      <c r="E1437" s="214"/>
      <c r="F1437" s="215"/>
      <c r="G1437" s="110"/>
      <c r="H1437" s="110"/>
      <c r="I1437" s="110"/>
      <c r="J1437" s="110"/>
      <c r="K1437" s="110"/>
      <c r="L1437" s="110"/>
      <c r="M1437" s="110"/>
      <c r="N1437" s="110"/>
      <c r="O1437" s="110"/>
      <c r="P1437" s="110"/>
      <c r="Q1437" s="110"/>
      <c r="R1437" s="110"/>
      <c r="S1437" s="110"/>
      <c r="T1437" s="110"/>
      <c r="U1437" s="110"/>
      <c r="V1437" s="110"/>
      <c r="W1437" s="110"/>
      <c r="X1437" s="110"/>
      <c r="Y1437" s="110"/>
      <c r="Z1437" s="110"/>
    </row>
    <row r="1438">
      <c r="A1438" s="212"/>
      <c r="B1438" s="21"/>
      <c r="C1438" s="21"/>
      <c r="D1438" s="213"/>
      <c r="E1438" s="214"/>
      <c r="F1438" s="215"/>
      <c r="G1438" s="162"/>
      <c r="H1438" s="225"/>
      <c r="I1438" s="225"/>
      <c r="J1438" s="225"/>
      <c r="K1438" s="225"/>
      <c r="L1438" s="225"/>
      <c r="M1438" s="225"/>
      <c r="N1438" s="225"/>
      <c r="O1438" s="225"/>
      <c r="P1438" s="225"/>
      <c r="Q1438" s="225"/>
      <c r="R1438" s="225"/>
      <c r="S1438" s="225"/>
      <c r="T1438" s="225"/>
      <c r="U1438" s="225"/>
      <c r="V1438" s="225"/>
      <c r="W1438" s="110"/>
      <c r="X1438" s="110"/>
      <c r="Y1438" s="110"/>
      <c r="Z1438" s="110"/>
    </row>
    <row r="1439">
      <c r="A1439" s="212"/>
      <c r="B1439" s="21"/>
      <c r="C1439" s="21"/>
      <c r="D1439" s="213"/>
      <c r="E1439" s="214"/>
      <c r="F1439" s="215"/>
      <c r="G1439" s="21"/>
      <c r="H1439" s="225"/>
      <c r="I1439" s="225"/>
      <c r="J1439" s="225"/>
      <c r="K1439" s="225"/>
      <c r="L1439" s="225"/>
      <c r="M1439" s="225"/>
      <c r="N1439" s="225"/>
      <c r="O1439" s="225"/>
      <c r="P1439" s="225"/>
      <c r="Q1439" s="225"/>
      <c r="R1439" s="225"/>
      <c r="S1439" s="225"/>
      <c r="T1439" s="225"/>
      <c r="U1439" s="225"/>
      <c r="V1439" s="225"/>
      <c r="W1439" s="110"/>
      <c r="X1439" s="110"/>
      <c r="Y1439" s="110"/>
      <c r="Z1439" s="110"/>
    </row>
    <row r="1440">
      <c r="A1440" s="212"/>
      <c r="B1440" s="21"/>
      <c r="C1440" s="21"/>
      <c r="D1440" s="213"/>
      <c r="E1440" s="214"/>
      <c r="F1440" s="215"/>
      <c r="G1440" s="21"/>
      <c r="H1440" s="225"/>
      <c r="I1440" s="225"/>
      <c r="J1440" s="225"/>
      <c r="K1440" s="225"/>
      <c r="L1440" s="225"/>
      <c r="M1440" s="225"/>
      <c r="N1440" s="225"/>
      <c r="O1440" s="225"/>
      <c r="P1440" s="225"/>
      <c r="Q1440" s="225"/>
      <c r="R1440" s="225"/>
      <c r="S1440" s="225"/>
      <c r="T1440" s="225"/>
      <c r="U1440" s="225"/>
      <c r="V1440" s="225"/>
      <c r="W1440" s="110"/>
      <c r="X1440" s="110"/>
      <c r="Y1440" s="110"/>
      <c r="Z1440" s="110"/>
    </row>
    <row r="1441">
      <c r="A1441" s="212"/>
      <c r="B1441" s="21"/>
      <c r="C1441" s="21"/>
      <c r="D1441" s="213"/>
      <c r="E1441" s="214"/>
      <c r="F1441" s="215"/>
      <c r="G1441" s="21"/>
      <c r="H1441" s="225"/>
      <c r="I1441" s="225"/>
      <c r="J1441" s="225"/>
      <c r="K1441" s="225"/>
      <c r="L1441" s="225"/>
      <c r="M1441" s="225"/>
      <c r="N1441" s="225"/>
      <c r="O1441" s="225"/>
      <c r="P1441" s="225"/>
      <c r="Q1441" s="225"/>
      <c r="R1441" s="225"/>
      <c r="S1441" s="225"/>
      <c r="T1441" s="225"/>
      <c r="U1441" s="225"/>
      <c r="V1441" s="225"/>
      <c r="W1441" s="110"/>
      <c r="X1441" s="110"/>
      <c r="Y1441" s="110"/>
      <c r="Z1441" s="110"/>
    </row>
    <row r="1442">
      <c r="A1442" s="212"/>
      <c r="B1442" s="21"/>
      <c r="C1442" s="21"/>
      <c r="D1442" s="213"/>
      <c r="E1442" s="214"/>
      <c r="F1442" s="215"/>
      <c r="G1442" s="21"/>
      <c r="H1442" s="225"/>
      <c r="I1442" s="225"/>
      <c r="J1442" s="225"/>
      <c r="K1442" s="225"/>
      <c r="L1442" s="225"/>
      <c r="M1442" s="225"/>
      <c r="N1442" s="225"/>
      <c r="O1442" s="225"/>
      <c r="P1442" s="225"/>
      <c r="Q1442" s="225"/>
      <c r="R1442" s="225"/>
      <c r="S1442" s="225"/>
      <c r="T1442" s="225"/>
      <c r="U1442" s="225"/>
      <c r="V1442" s="225"/>
      <c r="W1442" s="110"/>
      <c r="X1442" s="110"/>
      <c r="Y1442" s="110"/>
      <c r="Z1442" s="110"/>
    </row>
    <row r="1443">
      <c r="A1443" s="212"/>
      <c r="B1443" s="21"/>
      <c r="C1443" s="21"/>
      <c r="D1443" s="213"/>
      <c r="E1443" s="214"/>
      <c r="F1443" s="215"/>
      <c r="G1443" s="21"/>
      <c r="H1443" s="225"/>
      <c r="I1443" s="225"/>
      <c r="J1443" s="225"/>
      <c r="K1443" s="225"/>
      <c r="L1443" s="225"/>
      <c r="M1443" s="225"/>
      <c r="N1443" s="225"/>
      <c r="O1443" s="225"/>
      <c r="P1443" s="225"/>
      <c r="Q1443" s="225"/>
      <c r="R1443" s="225"/>
      <c r="S1443" s="225"/>
      <c r="T1443" s="225"/>
      <c r="U1443" s="225"/>
      <c r="V1443" s="225"/>
      <c r="W1443" s="110"/>
      <c r="X1443" s="110"/>
      <c r="Y1443" s="110"/>
      <c r="Z1443" s="110"/>
    </row>
    <row r="1444">
      <c r="A1444" s="212"/>
      <c r="B1444" s="21"/>
      <c r="C1444" s="21"/>
      <c r="D1444" s="213"/>
      <c r="E1444" s="214"/>
      <c r="F1444" s="215"/>
      <c r="G1444" s="21"/>
      <c r="H1444" s="225"/>
      <c r="I1444" s="225"/>
      <c r="J1444" s="225"/>
      <c r="K1444" s="225"/>
      <c r="L1444" s="225"/>
      <c r="M1444" s="225"/>
      <c r="N1444" s="225"/>
      <c r="O1444" s="225"/>
      <c r="P1444" s="225"/>
      <c r="Q1444" s="225"/>
      <c r="R1444" s="225"/>
      <c r="S1444" s="225"/>
      <c r="T1444" s="225"/>
      <c r="U1444" s="225"/>
      <c r="V1444" s="225"/>
      <c r="W1444" s="110"/>
      <c r="X1444" s="110"/>
      <c r="Y1444" s="110"/>
      <c r="Z1444" s="110"/>
    </row>
    <row r="1445">
      <c r="A1445" s="212"/>
      <c r="B1445" s="21"/>
      <c r="C1445" s="21"/>
      <c r="D1445" s="213"/>
      <c r="E1445" s="214"/>
      <c r="F1445" s="215"/>
      <c r="G1445" s="21"/>
      <c r="H1445" s="225"/>
      <c r="I1445" s="225"/>
      <c r="J1445" s="225"/>
      <c r="K1445" s="225"/>
      <c r="L1445" s="225"/>
      <c r="M1445" s="225"/>
      <c r="N1445" s="225"/>
      <c r="O1445" s="225"/>
      <c r="P1445" s="225"/>
      <c r="Q1445" s="225"/>
      <c r="R1445" s="225"/>
      <c r="S1445" s="225"/>
      <c r="T1445" s="225"/>
      <c r="U1445" s="225"/>
      <c r="V1445" s="225"/>
      <c r="W1445" s="110"/>
      <c r="X1445" s="110"/>
      <c r="Y1445" s="110"/>
      <c r="Z1445" s="110"/>
    </row>
    <row r="1446">
      <c r="A1446" s="212"/>
      <c r="B1446" s="21"/>
      <c r="C1446" s="21"/>
      <c r="D1446" s="213"/>
      <c r="E1446" s="214"/>
      <c r="F1446" s="215"/>
      <c r="G1446" s="21"/>
      <c r="H1446" s="225"/>
      <c r="I1446" s="225"/>
      <c r="J1446" s="225"/>
      <c r="K1446" s="225"/>
      <c r="L1446" s="225"/>
      <c r="M1446" s="225"/>
      <c r="N1446" s="225"/>
      <c r="O1446" s="225"/>
      <c r="P1446" s="225"/>
      <c r="Q1446" s="225"/>
      <c r="R1446" s="225"/>
      <c r="S1446" s="225"/>
      <c r="T1446" s="225"/>
      <c r="U1446" s="225"/>
      <c r="V1446" s="225"/>
      <c r="W1446" s="110"/>
      <c r="X1446" s="110"/>
      <c r="Y1446" s="110"/>
      <c r="Z1446" s="110"/>
    </row>
    <row r="1447">
      <c r="A1447" s="212"/>
      <c r="B1447" s="21"/>
      <c r="C1447" s="21"/>
      <c r="D1447" s="213"/>
      <c r="E1447" s="214"/>
      <c r="F1447" s="215"/>
      <c r="G1447" s="21"/>
      <c r="H1447" s="225"/>
      <c r="I1447" s="225"/>
      <c r="J1447" s="225"/>
      <c r="K1447" s="225"/>
      <c r="L1447" s="225"/>
      <c r="M1447" s="225"/>
      <c r="N1447" s="225"/>
      <c r="O1447" s="225"/>
      <c r="P1447" s="225"/>
      <c r="Q1447" s="225"/>
      <c r="R1447" s="225"/>
      <c r="S1447" s="225"/>
      <c r="T1447" s="225"/>
      <c r="U1447" s="225"/>
      <c r="V1447" s="225"/>
      <c r="W1447" s="110"/>
      <c r="X1447" s="110"/>
      <c r="Y1447" s="110"/>
      <c r="Z1447" s="110"/>
    </row>
    <row r="1448">
      <c r="A1448" s="212"/>
      <c r="B1448" s="21"/>
      <c r="C1448" s="21"/>
      <c r="D1448" s="213"/>
      <c r="E1448" s="214"/>
      <c r="F1448" s="215"/>
      <c r="G1448" s="21"/>
      <c r="H1448" s="225"/>
      <c r="I1448" s="225"/>
      <c r="J1448" s="225"/>
      <c r="K1448" s="225"/>
      <c r="L1448" s="225"/>
      <c r="M1448" s="225"/>
      <c r="N1448" s="225"/>
      <c r="O1448" s="225"/>
      <c r="P1448" s="225"/>
      <c r="Q1448" s="225"/>
      <c r="R1448" s="225"/>
      <c r="S1448" s="225"/>
      <c r="T1448" s="225"/>
      <c r="U1448" s="225"/>
      <c r="V1448" s="225"/>
      <c r="W1448" s="110"/>
      <c r="X1448" s="110"/>
      <c r="Y1448" s="110"/>
      <c r="Z1448" s="110"/>
    </row>
    <row r="1449">
      <c r="A1449" s="212"/>
      <c r="B1449" s="21"/>
      <c r="C1449" s="21"/>
      <c r="D1449" s="213"/>
      <c r="E1449" s="214"/>
      <c r="F1449" s="215"/>
      <c r="G1449" s="21"/>
      <c r="H1449" s="225"/>
      <c r="I1449" s="225"/>
      <c r="J1449" s="225"/>
      <c r="K1449" s="225"/>
      <c r="L1449" s="225"/>
      <c r="M1449" s="225"/>
      <c r="N1449" s="225"/>
      <c r="O1449" s="225"/>
      <c r="P1449" s="225"/>
      <c r="Q1449" s="225"/>
      <c r="R1449" s="225"/>
      <c r="S1449" s="225"/>
      <c r="T1449" s="225"/>
      <c r="U1449" s="225"/>
      <c r="V1449" s="225"/>
      <c r="W1449" s="110"/>
      <c r="X1449" s="110"/>
      <c r="Y1449" s="110"/>
      <c r="Z1449" s="110"/>
    </row>
    <row r="1450">
      <c r="A1450" s="212"/>
      <c r="B1450" s="21"/>
      <c r="C1450" s="21"/>
      <c r="D1450" s="213"/>
      <c r="E1450" s="214"/>
      <c r="F1450" s="215"/>
      <c r="G1450" s="21"/>
      <c r="H1450" s="225"/>
      <c r="I1450" s="225"/>
      <c r="J1450" s="225"/>
      <c r="K1450" s="225"/>
      <c r="L1450" s="225"/>
      <c r="M1450" s="225"/>
      <c r="N1450" s="225"/>
      <c r="O1450" s="225"/>
      <c r="P1450" s="225"/>
      <c r="Q1450" s="225"/>
      <c r="R1450" s="225"/>
      <c r="S1450" s="225"/>
      <c r="T1450" s="225"/>
      <c r="U1450" s="225"/>
      <c r="V1450" s="225"/>
      <c r="W1450" s="110"/>
      <c r="X1450" s="110"/>
      <c r="Y1450" s="110"/>
      <c r="Z1450" s="110"/>
    </row>
    <row r="1451">
      <c r="A1451" s="212"/>
      <c r="B1451" s="21"/>
      <c r="C1451" s="21"/>
      <c r="D1451" s="213"/>
      <c r="E1451" s="214"/>
      <c r="F1451" s="215"/>
      <c r="G1451" s="21"/>
      <c r="H1451" s="225"/>
      <c r="I1451" s="225"/>
      <c r="J1451" s="225"/>
      <c r="K1451" s="225"/>
      <c r="L1451" s="225"/>
      <c r="M1451" s="225"/>
      <c r="N1451" s="225"/>
      <c r="O1451" s="225"/>
      <c r="P1451" s="225"/>
      <c r="Q1451" s="225"/>
      <c r="R1451" s="225"/>
      <c r="S1451" s="225"/>
      <c r="T1451" s="225"/>
      <c r="U1451" s="225"/>
      <c r="V1451" s="225"/>
      <c r="W1451" s="110"/>
      <c r="X1451" s="110"/>
      <c r="Y1451" s="110"/>
      <c r="Z1451" s="110"/>
    </row>
    <row r="1452">
      <c r="A1452" s="212"/>
      <c r="B1452" s="21"/>
      <c r="C1452" s="21"/>
      <c r="D1452" s="213"/>
      <c r="E1452" s="214"/>
      <c r="F1452" s="215"/>
      <c r="G1452" s="21"/>
      <c r="H1452" s="225"/>
      <c r="I1452" s="225"/>
      <c r="J1452" s="225"/>
      <c r="K1452" s="225"/>
      <c r="L1452" s="225"/>
      <c r="M1452" s="225"/>
      <c r="N1452" s="225"/>
      <c r="O1452" s="225"/>
      <c r="P1452" s="225"/>
      <c r="Q1452" s="225"/>
      <c r="R1452" s="225"/>
      <c r="S1452" s="225"/>
      <c r="T1452" s="225"/>
      <c r="U1452" s="225"/>
      <c r="V1452" s="225"/>
      <c r="W1452" s="110"/>
      <c r="X1452" s="110"/>
      <c r="Y1452" s="110"/>
      <c r="Z1452" s="110"/>
    </row>
    <row r="1453">
      <c r="A1453" s="212"/>
      <c r="B1453" s="21"/>
      <c r="C1453" s="21"/>
      <c r="D1453" s="213"/>
      <c r="E1453" s="214"/>
      <c r="F1453" s="215"/>
      <c r="G1453" s="21"/>
      <c r="H1453" s="225"/>
      <c r="I1453" s="225"/>
      <c r="J1453" s="225"/>
      <c r="K1453" s="225"/>
      <c r="L1453" s="225"/>
      <c r="M1453" s="225"/>
      <c r="N1453" s="225"/>
      <c r="O1453" s="225"/>
      <c r="P1453" s="225"/>
      <c r="Q1453" s="225"/>
      <c r="R1453" s="225"/>
      <c r="S1453" s="225"/>
      <c r="T1453" s="225"/>
      <c r="U1453" s="225"/>
      <c r="V1453" s="225"/>
      <c r="W1453" s="110"/>
      <c r="X1453" s="110"/>
      <c r="Y1453" s="110"/>
      <c r="Z1453" s="110"/>
    </row>
    <row r="1454">
      <c r="A1454" s="212"/>
      <c r="B1454" s="21"/>
      <c r="C1454" s="21"/>
      <c r="D1454" s="213"/>
      <c r="E1454" s="214"/>
      <c r="F1454" s="215"/>
      <c r="G1454" s="21"/>
      <c r="H1454" s="225"/>
      <c r="I1454" s="225"/>
      <c r="J1454" s="225"/>
      <c r="K1454" s="225"/>
      <c r="L1454" s="225"/>
      <c r="M1454" s="225"/>
      <c r="N1454" s="225"/>
      <c r="O1454" s="225"/>
      <c r="P1454" s="225"/>
      <c r="Q1454" s="225"/>
      <c r="R1454" s="225"/>
      <c r="S1454" s="225"/>
      <c r="T1454" s="225"/>
      <c r="U1454" s="225"/>
      <c r="V1454" s="225"/>
      <c r="W1454" s="110"/>
      <c r="X1454" s="110"/>
      <c r="Y1454" s="110"/>
      <c r="Z1454" s="110"/>
    </row>
    <row r="1455">
      <c r="A1455" s="212"/>
      <c r="B1455" s="21"/>
      <c r="C1455" s="21"/>
      <c r="D1455" s="213"/>
      <c r="E1455" s="214"/>
      <c r="F1455" s="215"/>
      <c r="G1455" s="21"/>
      <c r="H1455" s="225"/>
      <c r="I1455" s="225"/>
      <c r="J1455" s="225"/>
      <c r="K1455" s="225"/>
      <c r="L1455" s="225"/>
      <c r="M1455" s="225"/>
      <c r="N1455" s="225"/>
      <c r="O1455" s="225"/>
      <c r="P1455" s="225"/>
      <c r="Q1455" s="225"/>
      <c r="R1455" s="225"/>
      <c r="S1455" s="225"/>
      <c r="T1455" s="225"/>
      <c r="U1455" s="225"/>
      <c r="V1455" s="225"/>
      <c r="W1455" s="110"/>
      <c r="X1455" s="110"/>
      <c r="Y1455" s="110"/>
      <c r="Z1455" s="110"/>
    </row>
    <row r="1456">
      <c r="A1456" s="212"/>
      <c r="B1456" s="21"/>
      <c r="C1456" s="21"/>
      <c r="D1456" s="213"/>
      <c r="E1456" s="214"/>
      <c r="F1456" s="215"/>
      <c r="G1456" s="21"/>
      <c r="H1456" s="225"/>
      <c r="I1456" s="225"/>
      <c r="J1456" s="225"/>
      <c r="K1456" s="225"/>
      <c r="L1456" s="225"/>
      <c r="M1456" s="225"/>
      <c r="N1456" s="225"/>
      <c r="O1456" s="225"/>
      <c r="P1456" s="225"/>
      <c r="Q1456" s="225"/>
      <c r="R1456" s="225"/>
      <c r="S1456" s="225"/>
      <c r="T1456" s="225"/>
      <c r="U1456" s="225"/>
      <c r="V1456" s="225"/>
      <c r="W1456" s="110"/>
      <c r="X1456" s="110"/>
      <c r="Y1456" s="110"/>
      <c r="Z1456" s="110"/>
    </row>
    <row r="1457">
      <c r="A1457" s="212"/>
      <c r="B1457" s="21"/>
      <c r="C1457" s="21"/>
      <c r="D1457" s="213"/>
      <c r="E1457" s="214"/>
      <c r="F1457" s="215"/>
      <c r="G1457" s="21"/>
      <c r="H1457" s="225"/>
      <c r="I1457" s="225"/>
      <c r="J1457" s="225"/>
      <c r="K1457" s="225"/>
      <c r="L1457" s="225"/>
      <c r="M1457" s="225"/>
      <c r="N1457" s="225"/>
      <c r="O1457" s="225"/>
      <c r="P1457" s="225"/>
      <c r="Q1457" s="225"/>
      <c r="R1457" s="225"/>
      <c r="S1457" s="225"/>
      <c r="T1457" s="225"/>
      <c r="U1457" s="225"/>
      <c r="V1457" s="225"/>
      <c r="W1457" s="110"/>
      <c r="X1457" s="110"/>
      <c r="Y1457" s="110"/>
      <c r="Z1457" s="110"/>
    </row>
    <row r="1458">
      <c r="A1458" s="212"/>
      <c r="B1458" s="21"/>
      <c r="C1458" s="21"/>
      <c r="D1458" s="213"/>
      <c r="E1458" s="214"/>
      <c r="F1458" s="215"/>
      <c r="G1458" s="21"/>
      <c r="H1458" s="225"/>
      <c r="I1458" s="225"/>
      <c r="J1458" s="225"/>
      <c r="K1458" s="225"/>
      <c r="L1458" s="225"/>
      <c r="M1458" s="225"/>
      <c r="N1458" s="225"/>
      <c r="O1458" s="225"/>
      <c r="P1458" s="225"/>
      <c r="Q1458" s="225"/>
      <c r="R1458" s="225"/>
      <c r="S1458" s="225"/>
      <c r="T1458" s="225"/>
      <c r="U1458" s="225"/>
      <c r="V1458" s="225"/>
      <c r="W1458" s="110"/>
      <c r="X1458" s="110"/>
      <c r="Y1458" s="110"/>
      <c r="Z1458" s="110"/>
    </row>
    <row r="1459">
      <c r="A1459" s="212"/>
      <c r="B1459" s="21"/>
      <c r="C1459" s="21"/>
      <c r="D1459" s="213"/>
      <c r="E1459" s="214"/>
      <c r="F1459" s="215"/>
      <c r="G1459" s="21"/>
      <c r="H1459" s="225"/>
      <c r="I1459" s="225"/>
      <c r="J1459" s="225"/>
      <c r="K1459" s="225"/>
      <c r="L1459" s="225"/>
      <c r="M1459" s="225"/>
      <c r="N1459" s="225"/>
      <c r="O1459" s="225"/>
      <c r="P1459" s="225"/>
      <c r="Q1459" s="225"/>
      <c r="R1459" s="225"/>
      <c r="S1459" s="225"/>
      <c r="T1459" s="225"/>
      <c r="U1459" s="225"/>
      <c r="V1459" s="225"/>
      <c r="W1459" s="110"/>
      <c r="X1459" s="110"/>
      <c r="Y1459" s="110"/>
      <c r="Z1459" s="110"/>
    </row>
    <row r="1460">
      <c r="A1460" s="212"/>
      <c r="B1460" s="21"/>
      <c r="C1460" s="21"/>
      <c r="D1460" s="213"/>
      <c r="E1460" s="214"/>
      <c r="F1460" s="215"/>
      <c r="G1460" s="21"/>
      <c r="H1460" s="225"/>
      <c r="I1460" s="225"/>
      <c r="J1460" s="225"/>
      <c r="K1460" s="225"/>
      <c r="L1460" s="225"/>
      <c r="M1460" s="225"/>
      <c r="N1460" s="225"/>
      <c r="O1460" s="225"/>
      <c r="P1460" s="225"/>
      <c r="Q1460" s="225"/>
      <c r="R1460" s="225"/>
      <c r="S1460" s="225"/>
      <c r="T1460" s="225"/>
      <c r="U1460" s="225"/>
      <c r="V1460" s="225"/>
      <c r="W1460" s="110"/>
      <c r="X1460" s="110"/>
      <c r="Y1460" s="110"/>
      <c r="Z1460" s="110"/>
    </row>
    <row r="1461">
      <c r="A1461" s="212"/>
      <c r="B1461" s="21"/>
      <c r="C1461" s="21"/>
      <c r="D1461" s="213"/>
      <c r="E1461" s="214"/>
      <c r="F1461" s="215"/>
      <c r="G1461" s="21"/>
      <c r="H1461" s="225"/>
      <c r="I1461" s="225"/>
      <c r="J1461" s="225"/>
      <c r="K1461" s="225"/>
      <c r="L1461" s="225"/>
      <c r="M1461" s="225"/>
      <c r="N1461" s="225"/>
      <c r="O1461" s="225"/>
      <c r="P1461" s="225"/>
      <c r="Q1461" s="225"/>
      <c r="R1461" s="225"/>
      <c r="S1461" s="225"/>
      <c r="T1461" s="225"/>
      <c r="U1461" s="225"/>
      <c r="V1461" s="225"/>
      <c r="W1461" s="110"/>
      <c r="X1461" s="110"/>
      <c r="Y1461" s="110"/>
      <c r="Z1461" s="110"/>
    </row>
    <row r="1462">
      <c r="A1462" s="212"/>
      <c r="B1462" s="21"/>
      <c r="C1462" s="21"/>
      <c r="D1462" s="213"/>
      <c r="E1462" s="214"/>
      <c r="F1462" s="215"/>
      <c r="G1462" s="21"/>
      <c r="H1462" s="225"/>
      <c r="I1462" s="225"/>
      <c r="J1462" s="225"/>
      <c r="K1462" s="225"/>
      <c r="L1462" s="225"/>
      <c r="M1462" s="225"/>
      <c r="N1462" s="225"/>
      <c r="O1462" s="225"/>
      <c r="P1462" s="225"/>
      <c r="Q1462" s="225"/>
      <c r="R1462" s="225"/>
      <c r="S1462" s="225"/>
      <c r="T1462" s="225"/>
      <c r="U1462" s="225"/>
      <c r="V1462" s="225"/>
      <c r="W1462" s="110"/>
      <c r="X1462" s="110"/>
      <c r="Y1462" s="110"/>
      <c r="Z1462" s="110"/>
    </row>
    <row r="1463">
      <c r="A1463" s="212"/>
      <c r="B1463" s="21"/>
      <c r="C1463" s="21"/>
      <c r="D1463" s="213"/>
      <c r="E1463" s="214"/>
      <c r="F1463" s="215"/>
      <c r="G1463" s="21"/>
      <c r="H1463" s="225"/>
      <c r="I1463" s="225"/>
      <c r="J1463" s="225"/>
      <c r="K1463" s="225"/>
      <c r="L1463" s="225"/>
      <c r="M1463" s="225"/>
      <c r="N1463" s="225"/>
      <c r="O1463" s="225"/>
      <c r="P1463" s="225"/>
      <c r="Q1463" s="225"/>
      <c r="R1463" s="225"/>
      <c r="S1463" s="225"/>
      <c r="T1463" s="225"/>
      <c r="U1463" s="225"/>
      <c r="V1463" s="225"/>
      <c r="W1463" s="110"/>
      <c r="X1463" s="110"/>
      <c r="Y1463" s="110"/>
      <c r="Z1463" s="110"/>
    </row>
    <row r="1464">
      <c r="A1464" s="212"/>
      <c r="B1464" s="21"/>
      <c r="C1464" s="21"/>
      <c r="D1464" s="213"/>
      <c r="E1464" s="214"/>
      <c r="F1464" s="215"/>
      <c r="G1464" s="124"/>
      <c r="H1464" s="110"/>
      <c r="I1464" s="110"/>
      <c r="J1464" s="110"/>
      <c r="K1464" s="110"/>
      <c r="L1464" s="110"/>
      <c r="M1464" s="110"/>
      <c r="N1464" s="110"/>
      <c r="O1464" s="110"/>
      <c r="P1464" s="110"/>
      <c r="Q1464" s="110"/>
      <c r="R1464" s="110"/>
      <c r="S1464" s="110"/>
      <c r="T1464" s="110"/>
      <c r="U1464" s="110"/>
      <c r="V1464" s="110"/>
      <c r="W1464" s="110"/>
      <c r="X1464" s="110"/>
      <c r="Y1464" s="110"/>
      <c r="Z1464" s="110"/>
    </row>
    <row r="1465">
      <c r="A1465" s="212"/>
      <c r="B1465" s="21"/>
      <c r="C1465" s="21"/>
      <c r="D1465" s="213"/>
      <c r="E1465" s="214"/>
      <c r="F1465" s="215"/>
      <c r="G1465" s="124"/>
      <c r="H1465" s="110"/>
      <c r="I1465" s="110"/>
      <c r="J1465" s="110"/>
      <c r="K1465" s="110"/>
      <c r="L1465" s="110"/>
      <c r="M1465" s="110"/>
      <c r="N1465" s="110"/>
      <c r="O1465" s="110"/>
      <c r="P1465" s="110"/>
      <c r="Q1465" s="110"/>
      <c r="R1465" s="110"/>
      <c r="S1465" s="110"/>
      <c r="T1465" s="110"/>
      <c r="U1465" s="110"/>
      <c r="V1465" s="110"/>
      <c r="W1465" s="110"/>
      <c r="X1465" s="110"/>
      <c r="Y1465" s="110"/>
      <c r="Z1465" s="110"/>
    </row>
    <row r="1466">
      <c r="A1466" s="212"/>
      <c r="B1466" s="21"/>
      <c r="C1466" s="21"/>
      <c r="D1466" s="213"/>
      <c r="E1466" s="214"/>
      <c r="F1466" s="215"/>
      <c r="G1466" s="110"/>
      <c r="H1466" s="110"/>
      <c r="I1466" s="110"/>
      <c r="J1466" s="110"/>
      <c r="K1466" s="110"/>
      <c r="L1466" s="110"/>
      <c r="M1466" s="110"/>
      <c r="N1466" s="110"/>
      <c r="O1466" s="110"/>
      <c r="P1466" s="110"/>
      <c r="Q1466" s="110"/>
      <c r="R1466" s="110"/>
      <c r="S1466" s="110"/>
      <c r="T1466" s="110"/>
      <c r="U1466" s="110"/>
      <c r="V1466" s="110"/>
      <c r="W1466" s="110"/>
      <c r="X1466" s="110"/>
      <c r="Y1466" s="110"/>
      <c r="Z1466" s="110"/>
    </row>
    <row r="1467">
      <c r="A1467" s="212"/>
      <c r="B1467" s="21"/>
      <c r="C1467" s="21"/>
      <c r="D1467" s="213"/>
      <c r="E1467" s="214"/>
      <c r="F1467" s="215"/>
      <c r="G1467" s="110"/>
      <c r="H1467" s="110"/>
      <c r="I1467" s="110"/>
      <c r="J1467" s="110"/>
      <c r="K1467" s="110"/>
      <c r="L1467" s="110"/>
      <c r="M1467" s="110"/>
      <c r="N1467" s="110"/>
      <c r="O1467" s="110"/>
      <c r="P1467" s="110"/>
      <c r="Q1467" s="110"/>
      <c r="R1467" s="110"/>
      <c r="S1467" s="110"/>
      <c r="T1467" s="110"/>
      <c r="U1467" s="110"/>
      <c r="V1467" s="110"/>
      <c r="W1467" s="110"/>
      <c r="X1467" s="110"/>
      <c r="Y1467" s="110"/>
      <c r="Z1467" s="110"/>
    </row>
    <row r="1468">
      <c r="A1468" s="212"/>
      <c r="B1468" s="21"/>
      <c r="C1468" s="21"/>
      <c r="D1468" s="213"/>
      <c r="E1468" s="214"/>
      <c r="F1468" s="215"/>
      <c r="G1468" s="162"/>
      <c r="H1468" s="225"/>
      <c r="I1468" s="225"/>
      <c r="J1468" s="225"/>
      <c r="K1468" s="225"/>
      <c r="L1468" s="225"/>
      <c r="M1468" s="225"/>
      <c r="N1468" s="225"/>
      <c r="O1468" s="225"/>
      <c r="P1468" s="225"/>
      <c r="Q1468" s="225"/>
      <c r="R1468" s="225"/>
      <c r="S1468" s="225"/>
      <c r="T1468" s="225"/>
      <c r="U1468" s="225"/>
      <c r="V1468" s="225"/>
      <c r="W1468" s="110"/>
      <c r="X1468" s="110"/>
      <c r="Y1468" s="110"/>
      <c r="Z1468" s="110"/>
    </row>
    <row r="1469">
      <c r="A1469" s="212"/>
      <c r="B1469" s="21"/>
      <c r="C1469" s="21"/>
      <c r="D1469" s="213"/>
      <c r="E1469" s="214"/>
      <c r="F1469" s="215"/>
      <c r="G1469" s="21"/>
      <c r="H1469" s="225"/>
      <c r="I1469" s="225"/>
      <c r="J1469" s="225"/>
      <c r="K1469" s="225"/>
      <c r="L1469" s="225"/>
      <c r="M1469" s="225"/>
      <c r="N1469" s="225"/>
      <c r="O1469" s="225"/>
      <c r="P1469" s="225"/>
      <c r="Q1469" s="225"/>
      <c r="R1469" s="225"/>
      <c r="S1469" s="225"/>
      <c r="T1469" s="225"/>
      <c r="U1469" s="225"/>
      <c r="V1469" s="225"/>
      <c r="W1469" s="110"/>
      <c r="X1469" s="110"/>
      <c r="Y1469" s="110"/>
      <c r="Z1469" s="110"/>
    </row>
    <row r="1470">
      <c r="A1470" s="212"/>
      <c r="B1470" s="21"/>
      <c r="C1470" s="21"/>
      <c r="D1470" s="213"/>
      <c r="E1470" s="214"/>
      <c r="F1470" s="215"/>
      <c r="G1470" s="21"/>
      <c r="H1470" s="225"/>
      <c r="I1470" s="225"/>
      <c r="J1470" s="225"/>
      <c r="K1470" s="225"/>
      <c r="L1470" s="225"/>
      <c r="M1470" s="225"/>
      <c r="N1470" s="225"/>
      <c r="O1470" s="225"/>
      <c r="P1470" s="225"/>
      <c r="Q1470" s="225"/>
      <c r="R1470" s="225"/>
      <c r="S1470" s="225"/>
      <c r="T1470" s="225"/>
      <c r="U1470" s="225"/>
      <c r="V1470" s="225"/>
      <c r="W1470" s="110"/>
      <c r="X1470" s="110"/>
      <c r="Y1470" s="110"/>
      <c r="Z1470" s="110"/>
    </row>
    <row r="1471">
      <c r="A1471" s="212"/>
      <c r="B1471" s="21"/>
      <c r="C1471" s="21"/>
      <c r="D1471" s="213"/>
      <c r="E1471" s="214"/>
      <c r="F1471" s="215"/>
      <c r="G1471" s="21"/>
      <c r="H1471" s="225"/>
      <c r="I1471" s="225"/>
      <c r="J1471" s="225"/>
      <c r="K1471" s="225"/>
      <c r="L1471" s="225"/>
      <c r="M1471" s="225"/>
      <c r="N1471" s="225"/>
      <c r="O1471" s="225"/>
      <c r="P1471" s="225"/>
      <c r="Q1471" s="225"/>
      <c r="R1471" s="225"/>
      <c r="S1471" s="225"/>
      <c r="T1471" s="225"/>
      <c r="U1471" s="225"/>
      <c r="V1471" s="225"/>
      <c r="W1471" s="110"/>
      <c r="X1471" s="110"/>
      <c r="Y1471" s="110"/>
      <c r="Z1471" s="110"/>
    </row>
    <row r="1472">
      <c r="A1472" s="212"/>
      <c r="B1472" s="21"/>
      <c r="C1472" s="21"/>
      <c r="D1472" s="213"/>
      <c r="E1472" s="214"/>
      <c r="F1472" s="215"/>
      <c r="G1472" s="21"/>
      <c r="H1472" s="225"/>
      <c r="I1472" s="225"/>
      <c r="J1472" s="225"/>
      <c r="K1472" s="225"/>
      <c r="L1472" s="225"/>
      <c r="M1472" s="225"/>
      <c r="N1472" s="225"/>
      <c r="O1472" s="225"/>
      <c r="P1472" s="225"/>
      <c r="Q1472" s="225"/>
      <c r="R1472" s="225"/>
      <c r="S1472" s="225"/>
      <c r="T1472" s="225"/>
      <c r="U1472" s="225"/>
      <c r="V1472" s="225"/>
      <c r="W1472" s="110"/>
      <c r="X1472" s="110"/>
      <c r="Y1472" s="110"/>
      <c r="Z1472" s="110"/>
    </row>
    <row r="1473">
      <c r="A1473" s="212"/>
      <c r="B1473" s="21"/>
      <c r="C1473" s="21"/>
      <c r="D1473" s="213"/>
      <c r="E1473" s="214"/>
      <c r="F1473" s="215"/>
      <c r="G1473" s="21"/>
      <c r="H1473" s="225"/>
      <c r="I1473" s="225"/>
      <c r="J1473" s="225"/>
      <c r="K1473" s="225"/>
      <c r="L1473" s="225"/>
      <c r="M1473" s="225"/>
      <c r="N1473" s="225"/>
      <c r="O1473" s="225"/>
      <c r="P1473" s="225"/>
      <c r="Q1473" s="225"/>
      <c r="R1473" s="225"/>
      <c r="S1473" s="225"/>
      <c r="T1473" s="225"/>
      <c r="U1473" s="225"/>
      <c r="V1473" s="225"/>
      <c r="W1473" s="110"/>
      <c r="X1473" s="110"/>
      <c r="Y1473" s="110"/>
      <c r="Z1473" s="110"/>
    </row>
    <row r="1474">
      <c r="A1474" s="212"/>
      <c r="B1474" s="21"/>
      <c r="C1474" s="21"/>
      <c r="D1474" s="213"/>
      <c r="E1474" s="214"/>
      <c r="F1474" s="215"/>
      <c r="G1474" s="21"/>
      <c r="H1474" s="225"/>
      <c r="I1474" s="225"/>
      <c r="J1474" s="225"/>
      <c r="K1474" s="225"/>
      <c r="L1474" s="225"/>
      <c r="M1474" s="225"/>
      <c r="N1474" s="225"/>
      <c r="O1474" s="225"/>
      <c r="P1474" s="225"/>
      <c r="Q1474" s="225"/>
      <c r="R1474" s="225"/>
      <c r="S1474" s="225"/>
      <c r="T1474" s="225"/>
      <c r="U1474" s="225"/>
      <c r="V1474" s="225"/>
      <c r="W1474" s="110"/>
      <c r="X1474" s="110"/>
      <c r="Y1474" s="110"/>
      <c r="Z1474" s="110"/>
    </row>
    <row r="1475">
      <c r="A1475" s="212"/>
      <c r="B1475" s="21"/>
      <c r="C1475" s="21"/>
      <c r="D1475" s="213"/>
      <c r="E1475" s="214"/>
      <c r="F1475" s="215"/>
      <c r="G1475" s="21"/>
      <c r="H1475" s="225"/>
      <c r="I1475" s="225"/>
      <c r="J1475" s="225"/>
      <c r="K1475" s="225"/>
      <c r="L1475" s="225"/>
      <c r="M1475" s="225"/>
      <c r="N1475" s="225"/>
      <c r="O1475" s="225"/>
      <c r="P1475" s="225"/>
      <c r="Q1475" s="225"/>
      <c r="R1475" s="225"/>
      <c r="S1475" s="225"/>
      <c r="T1475" s="225"/>
      <c r="U1475" s="225"/>
      <c r="V1475" s="225"/>
      <c r="W1475" s="110"/>
      <c r="X1475" s="110"/>
      <c r="Y1475" s="110"/>
      <c r="Z1475" s="110"/>
    </row>
    <row r="1476">
      <c r="A1476" s="212"/>
      <c r="B1476" s="21"/>
      <c r="C1476" s="21"/>
      <c r="D1476" s="213"/>
      <c r="E1476" s="214"/>
      <c r="F1476" s="215"/>
      <c r="G1476" s="21"/>
      <c r="H1476" s="225"/>
      <c r="I1476" s="225"/>
      <c r="J1476" s="225"/>
      <c r="K1476" s="225"/>
      <c r="L1476" s="225"/>
      <c r="M1476" s="225"/>
      <c r="N1476" s="225"/>
      <c r="O1476" s="225"/>
      <c r="P1476" s="225"/>
      <c r="Q1476" s="225"/>
      <c r="R1476" s="225"/>
      <c r="S1476" s="225"/>
      <c r="T1476" s="225"/>
      <c r="U1476" s="225"/>
      <c r="V1476" s="225"/>
      <c r="W1476" s="110"/>
      <c r="X1476" s="110"/>
      <c r="Y1476" s="110"/>
      <c r="Z1476" s="110"/>
    </row>
    <row r="1477">
      <c r="A1477" s="212"/>
      <c r="B1477" s="21"/>
      <c r="C1477" s="21"/>
      <c r="D1477" s="213"/>
      <c r="E1477" s="214"/>
      <c r="F1477" s="215"/>
      <c r="G1477" s="21"/>
      <c r="H1477" s="225"/>
      <c r="I1477" s="225"/>
      <c r="J1477" s="225"/>
      <c r="K1477" s="225"/>
      <c r="L1477" s="225"/>
      <c r="M1477" s="225"/>
      <c r="N1477" s="225"/>
      <c r="O1477" s="225"/>
      <c r="P1477" s="225"/>
      <c r="Q1477" s="225"/>
      <c r="R1477" s="225"/>
      <c r="S1477" s="225"/>
      <c r="T1477" s="225"/>
      <c r="U1477" s="225"/>
      <c r="V1477" s="225"/>
      <c r="W1477" s="110"/>
      <c r="X1477" s="110"/>
      <c r="Y1477" s="110"/>
      <c r="Z1477" s="110"/>
    </row>
    <row r="1478">
      <c r="A1478" s="212"/>
      <c r="B1478" s="21"/>
      <c r="C1478" s="21"/>
      <c r="D1478" s="213"/>
      <c r="E1478" s="214"/>
      <c r="F1478" s="215"/>
      <c r="G1478" s="21"/>
      <c r="H1478" s="225"/>
      <c r="I1478" s="225"/>
      <c r="J1478" s="225"/>
      <c r="K1478" s="225"/>
      <c r="L1478" s="225"/>
      <c r="M1478" s="225"/>
      <c r="N1478" s="225"/>
      <c r="O1478" s="225"/>
      <c r="P1478" s="225"/>
      <c r="Q1478" s="225"/>
      <c r="R1478" s="225"/>
      <c r="S1478" s="225"/>
      <c r="T1478" s="225"/>
      <c r="U1478" s="225"/>
      <c r="V1478" s="225"/>
      <c r="W1478" s="110"/>
      <c r="X1478" s="110"/>
      <c r="Y1478" s="110"/>
      <c r="Z1478" s="110"/>
    </row>
    <row r="1479">
      <c r="A1479" s="212"/>
      <c r="B1479" s="21"/>
      <c r="C1479" s="21"/>
      <c r="D1479" s="213"/>
      <c r="E1479" s="214"/>
      <c r="F1479" s="215"/>
      <c r="G1479" s="21"/>
      <c r="H1479" s="225"/>
      <c r="I1479" s="225"/>
      <c r="J1479" s="225"/>
      <c r="K1479" s="225"/>
      <c r="L1479" s="225"/>
      <c r="M1479" s="225"/>
      <c r="N1479" s="225"/>
      <c r="O1479" s="225"/>
      <c r="P1479" s="225"/>
      <c r="Q1479" s="225"/>
      <c r="R1479" s="225"/>
      <c r="S1479" s="225"/>
      <c r="T1479" s="225"/>
      <c r="U1479" s="225"/>
      <c r="V1479" s="225"/>
      <c r="W1479" s="110"/>
      <c r="X1479" s="110"/>
      <c r="Y1479" s="110"/>
      <c r="Z1479" s="110"/>
    </row>
    <row r="1480">
      <c r="A1480" s="212"/>
      <c r="B1480" s="21"/>
      <c r="C1480" s="21"/>
      <c r="D1480" s="213"/>
      <c r="E1480" s="214"/>
      <c r="F1480" s="215"/>
      <c r="G1480" s="21"/>
      <c r="H1480" s="225"/>
      <c r="I1480" s="225"/>
      <c r="J1480" s="225"/>
      <c r="K1480" s="225"/>
      <c r="L1480" s="225"/>
      <c r="M1480" s="225"/>
      <c r="N1480" s="225"/>
      <c r="O1480" s="225"/>
      <c r="P1480" s="225"/>
      <c r="Q1480" s="225"/>
      <c r="R1480" s="225"/>
      <c r="S1480" s="225"/>
      <c r="T1480" s="225"/>
      <c r="U1480" s="225"/>
      <c r="V1480" s="225"/>
      <c r="W1480" s="110"/>
      <c r="X1480" s="110"/>
      <c r="Y1480" s="110"/>
      <c r="Z1480" s="110"/>
    </row>
    <row r="1481">
      <c r="A1481" s="212"/>
      <c r="B1481" s="21"/>
      <c r="C1481" s="21"/>
      <c r="D1481" s="213"/>
      <c r="E1481" s="214"/>
      <c r="F1481" s="215"/>
      <c r="G1481" s="21"/>
      <c r="H1481" s="225"/>
      <c r="I1481" s="225"/>
      <c r="J1481" s="225"/>
      <c r="K1481" s="225"/>
      <c r="L1481" s="225"/>
      <c r="M1481" s="225"/>
      <c r="N1481" s="225"/>
      <c r="O1481" s="225"/>
      <c r="P1481" s="225"/>
      <c r="Q1481" s="225"/>
      <c r="R1481" s="225"/>
      <c r="S1481" s="225"/>
      <c r="T1481" s="225"/>
      <c r="U1481" s="225"/>
      <c r="V1481" s="225"/>
      <c r="W1481" s="110"/>
      <c r="X1481" s="110"/>
      <c r="Y1481" s="110"/>
      <c r="Z1481" s="110"/>
    </row>
    <row r="1482">
      <c r="A1482" s="212"/>
      <c r="B1482" s="21"/>
      <c r="C1482" s="21"/>
      <c r="D1482" s="213"/>
      <c r="E1482" s="214"/>
      <c r="F1482" s="215"/>
      <c r="G1482" s="21"/>
      <c r="H1482" s="225"/>
      <c r="I1482" s="225"/>
      <c r="J1482" s="225"/>
      <c r="K1482" s="225"/>
      <c r="L1482" s="225"/>
      <c r="M1482" s="225"/>
      <c r="N1482" s="225"/>
      <c r="O1482" s="225"/>
      <c r="P1482" s="225"/>
      <c r="Q1482" s="225"/>
      <c r="R1482" s="225"/>
      <c r="S1482" s="225"/>
      <c r="T1482" s="225"/>
      <c r="U1482" s="225"/>
      <c r="V1482" s="225"/>
      <c r="W1482" s="110"/>
      <c r="X1482" s="110"/>
      <c r="Y1482" s="110"/>
      <c r="Z1482" s="110"/>
    </row>
    <row r="1483">
      <c r="A1483" s="212"/>
      <c r="B1483" s="21"/>
      <c r="C1483" s="21"/>
      <c r="D1483" s="213"/>
      <c r="E1483" s="214"/>
      <c r="F1483" s="215"/>
      <c r="G1483" s="21"/>
      <c r="H1483" s="225"/>
      <c r="I1483" s="225"/>
      <c r="J1483" s="225"/>
      <c r="K1483" s="225"/>
      <c r="L1483" s="225"/>
      <c r="M1483" s="225"/>
      <c r="N1483" s="225"/>
      <c r="O1483" s="225"/>
      <c r="P1483" s="225"/>
      <c r="Q1483" s="225"/>
      <c r="R1483" s="225"/>
      <c r="S1483" s="225"/>
      <c r="T1483" s="225"/>
      <c r="U1483" s="225"/>
      <c r="V1483" s="225"/>
      <c r="W1483" s="110"/>
      <c r="X1483" s="110"/>
      <c r="Y1483" s="110"/>
      <c r="Z1483" s="110"/>
    </row>
    <row r="1484">
      <c r="A1484" s="212"/>
      <c r="B1484" s="21"/>
      <c r="C1484" s="21"/>
      <c r="D1484" s="213"/>
      <c r="E1484" s="214"/>
      <c r="F1484" s="215"/>
      <c r="G1484" s="21"/>
      <c r="H1484" s="225"/>
      <c r="I1484" s="225"/>
      <c r="J1484" s="225"/>
      <c r="K1484" s="225"/>
      <c r="L1484" s="225"/>
      <c r="M1484" s="225"/>
      <c r="N1484" s="225"/>
      <c r="O1484" s="225"/>
      <c r="P1484" s="225"/>
      <c r="Q1484" s="225"/>
      <c r="R1484" s="225"/>
      <c r="S1484" s="225"/>
      <c r="T1484" s="225"/>
      <c r="U1484" s="225"/>
      <c r="V1484" s="225"/>
      <c r="W1484" s="110"/>
      <c r="X1484" s="110"/>
      <c r="Y1484" s="110"/>
      <c r="Z1484" s="110"/>
    </row>
    <row r="1485">
      <c r="A1485" s="212"/>
      <c r="B1485" s="21"/>
      <c r="C1485" s="21"/>
      <c r="D1485" s="213"/>
      <c r="E1485" s="214"/>
      <c r="F1485" s="215"/>
      <c r="G1485" s="21"/>
      <c r="H1485" s="225"/>
      <c r="I1485" s="225"/>
      <c r="J1485" s="225"/>
      <c r="K1485" s="225"/>
      <c r="L1485" s="225"/>
      <c r="M1485" s="225"/>
      <c r="N1485" s="225"/>
      <c r="O1485" s="225"/>
      <c r="P1485" s="225"/>
      <c r="Q1485" s="225"/>
      <c r="R1485" s="225"/>
      <c r="S1485" s="225"/>
      <c r="T1485" s="225"/>
      <c r="U1485" s="225"/>
      <c r="V1485" s="225"/>
      <c r="W1485" s="110"/>
      <c r="X1485" s="110"/>
      <c r="Y1485" s="110"/>
      <c r="Z1485" s="110"/>
    </row>
    <row r="1486">
      <c r="A1486" s="212"/>
      <c r="B1486" s="21"/>
      <c r="C1486" s="21"/>
      <c r="D1486" s="213"/>
      <c r="E1486" s="214"/>
      <c r="F1486" s="215"/>
      <c r="G1486" s="21"/>
      <c r="H1486" s="225"/>
      <c r="I1486" s="225"/>
      <c r="J1486" s="225"/>
      <c r="K1486" s="225"/>
      <c r="L1486" s="225"/>
      <c r="M1486" s="225"/>
      <c r="N1486" s="225"/>
      <c r="O1486" s="225"/>
      <c r="P1486" s="225"/>
      <c r="Q1486" s="225"/>
      <c r="R1486" s="225"/>
      <c r="S1486" s="225"/>
      <c r="T1486" s="225"/>
      <c r="U1486" s="225"/>
      <c r="V1486" s="225"/>
      <c r="W1486" s="110"/>
      <c r="X1486" s="110"/>
      <c r="Y1486" s="110"/>
      <c r="Z1486" s="110"/>
    </row>
    <row r="1487">
      <c r="A1487" s="212"/>
      <c r="B1487" s="21"/>
      <c r="C1487" s="21"/>
      <c r="D1487" s="213"/>
      <c r="E1487" s="214"/>
      <c r="F1487" s="215"/>
      <c r="G1487" s="21"/>
      <c r="H1487" s="225"/>
      <c r="I1487" s="225"/>
      <c r="J1487" s="225"/>
      <c r="K1487" s="225"/>
      <c r="L1487" s="225"/>
      <c r="M1487" s="225"/>
      <c r="N1487" s="225"/>
      <c r="O1487" s="225"/>
      <c r="P1487" s="225"/>
      <c r="Q1487" s="225"/>
      <c r="R1487" s="225"/>
      <c r="S1487" s="225"/>
      <c r="T1487" s="225"/>
      <c r="U1487" s="225"/>
      <c r="V1487" s="225"/>
      <c r="W1487" s="110"/>
      <c r="X1487" s="110"/>
      <c r="Y1487" s="110"/>
      <c r="Z1487" s="110"/>
    </row>
    <row r="1488">
      <c r="A1488" s="212"/>
      <c r="B1488" s="21"/>
      <c r="C1488" s="21"/>
      <c r="D1488" s="213"/>
      <c r="E1488" s="214"/>
      <c r="F1488" s="215"/>
      <c r="G1488" s="21"/>
      <c r="H1488" s="225"/>
      <c r="I1488" s="225"/>
      <c r="J1488" s="225"/>
      <c r="K1488" s="225"/>
      <c r="L1488" s="225"/>
      <c r="M1488" s="225"/>
      <c r="N1488" s="225"/>
      <c r="O1488" s="225"/>
      <c r="P1488" s="225"/>
      <c r="Q1488" s="225"/>
      <c r="R1488" s="225"/>
      <c r="S1488" s="225"/>
      <c r="T1488" s="225"/>
      <c r="U1488" s="225"/>
      <c r="V1488" s="225"/>
      <c r="W1488" s="110"/>
      <c r="X1488" s="110"/>
      <c r="Y1488" s="110"/>
      <c r="Z1488" s="110"/>
    </row>
    <row r="1489">
      <c r="A1489" s="212"/>
      <c r="B1489" s="21"/>
      <c r="C1489" s="21"/>
      <c r="D1489" s="213"/>
      <c r="E1489" s="214"/>
      <c r="F1489" s="215"/>
      <c r="G1489" s="21"/>
      <c r="H1489" s="225"/>
      <c r="I1489" s="225"/>
      <c r="J1489" s="225"/>
      <c r="K1489" s="225"/>
      <c r="L1489" s="225"/>
      <c r="M1489" s="225"/>
      <c r="N1489" s="225"/>
      <c r="O1489" s="225"/>
      <c r="P1489" s="225"/>
      <c r="Q1489" s="225"/>
      <c r="R1489" s="225"/>
      <c r="S1489" s="225"/>
      <c r="T1489" s="225"/>
      <c r="U1489" s="225"/>
      <c r="V1489" s="225"/>
      <c r="W1489" s="110"/>
      <c r="X1489" s="110"/>
      <c r="Y1489" s="110"/>
      <c r="Z1489" s="110"/>
    </row>
    <row r="1490">
      <c r="A1490" s="212"/>
      <c r="B1490" s="21"/>
      <c r="C1490" s="21"/>
      <c r="D1490" s="213"/>
      <c r="E1490" s="214"/>
      <c r="F1490" s="215"/>
      <c r="G1490" s="21"/>
      <c r="H1490" s="225"/>
      <c r="I1490" s="225"/>
      <c r="J1490" s="225"/>
      <c r="K1490" s="225"/>
      <c r="L1490" s="225"/>
      <c r="M1490" s="225"/>
      <c r="N1490" s="225"/>
      <c r="O1490" s="225"/>
      <c r="P1490" s="225"/>
      <c r="Q1490" s="225"/>
      <c r="R1490" s="225"/>
      <c r="S1490" s="225"/>
      <c r="T1490" s="225"/>
      <c r="U1490" s="225"/>
      <c r="V1490" s="225"/>
      <c r="W1490" s="110"/>
      <c r="X1490" s="110"/>
      <c r="Y1490" s="110"/>
      <c r="Z1490" s="110"/>
    </row>
    <row r="1491">
      <c r="A1491" s="212"/>
      <c r="B1491" s="21"/>
      <c r="C1491" s="21"/>
      <c r="D1491" s="213"/>
      <c r="E1491" s="214"/>
      <c r="F1491" s="215"/>
      <c r="G1491" s="21"/>
      <c r="H1491" s="225"/>
      <c r="I1491" s="225"/>
      <c r="J1491" s="225"/>
      <c r="K1491" s="225"/>
      <c r="L1491" s="225"/>
      <c r="M1491" s="225"/>
      <c r="N1491" s="225"/>
      <c r="O1491" s="225"/>
      <c r="P1491" s="225"/>
      <c r="Q1491" s="225"/>
      <c r="R1491" s="225"/>
      <c r="S1491" s="225"/>
      <c r="T1491" s="225"/>
      <c r="U1491" s="225"/>
      <c r="V1491" s="225"/>
      <c r="W1491" s="110"/>
      <c r="X1491" s="110"/>
      <c r="Y1491" s="110"/>
      <c r="Z1491" s="110"/>
    </row>
    <row r="1492">
      <c r="A1492" s="212"/>
      <c r="B1492" s="21"/>
      <c r="C1492" s="21"/>
      <c r="D1492" s="213"/>
      <c r="E1492" s="214"/>
      <c r="F1492" s="215"/>
      <c r="G1492" s="21"/>
      <c r="H1492" s="225"/>
      <c r="I1492" s="225"/>
      <c r="J1492" s="225"/>
      <c r="K1492" s="225"/>
      <c r="L1492" s="225"/>
      <c r="M1492" s="225"/>
      <c r="N1492" s="225"/>
      <c r="O1492" s="225"/>
      <c r="P1492" s="225"/>
      <c r="Q1492" s="225"/>
      <c r="R1492" s="225"/>
      <c r="S1492" s="225"/>
      <c r="T1492" s="225"/>
      <c r="U1492" s="225"/>
      <c r="V1492" s="225"/>
      <c r="W1492" s="110"/>
      <c r="X1492" s="110"/>
      <c r="Y1492" s="110"/>
      <c r="Z1492" s="110"/>
    </row>
    <row r="1493">
      <c r="A1493" s="212"/>
      <c r="B1493" s="21"/>
      <c r="C1493" s="21"/>
      <c r="D1493" s="213"/>
      <c r="E1493" s="214"/>
      <c r="F1493" s="215"/>
      <c r="G1493" s="21"/>
      <c r="H1493" s="225"/>
      <c r="I1493" s="225"/>
      <c r="J1493" s="225"/>
      <c r="K1493" s="225"/>
      <c r="L1493" s="225"/>
      <c r="M1493" s="225"/>
      <c r="N1493" s="225"/>
      <c r="O1493" s="225"/>
      <c r="P1493" s="225"/>
      <c r="Q1493" s="225"/>
      <c r="R1493" s="225"/>
      <c r="S1493" s="225"/>
      <c r="T1493" s="225"/>
      <c r="U1493" s="225"/>
      <c r="V1493" s="225"/>
      <c r="W1493" s="110"/>
      <c r="X1493" s="110"/>
      <c r="Y1493" s="110"/>
      <c r="Z1493" s="110"/>
    </row>
    <row r="1494">
      <c r="A1494" s="212"/>
      <c r="B1494" s="21"/>
      <c r="C1494" s="21"/>
      <c r="D1494" s="213"/>
      <c r="E1494" s="214"/>
      <c r="F1494" s="215"/>
      <c r="G1494" s="21"/>
      <c r="H1494" s="225"/>
      <c r="I1494" s="225"/>
      <c r="J1494" s="225"/>
      <c r="K1494" s="225"/>
      <c r="L1494" s="225"/>
      <c r="M1494" s="225"/>
      <c r="N1494" s="225"/>
      <c r="O1494" s="225"/>
      <c r="P1494" s="225"/>
      <c r="Q1494" s="225"/>
      <c r="R1494" s="225"/>
      <c r="S1494" s="225"/>
      <c r="T1494" s="225"/>
      <c r="U1494" s="225"/>
      <c r="V1494" s="225"/>
      <c r="W1494" s="110"/>
      <c r="X1494" s="110"/>
      <c r="Y1494" s="110"/>
      <c r="Z1494" s="110"/>
    </row>
    <row r="1495">
      <c r="A1495" s="212"/>
      <c r="B1495" s="21"/>
      <c r="C1495" s="21"/>
      <c r="D1495" s="213"/>
      <c r="E1495" s="214"/>
      <c r="F1495" s="215"/>
      <c r="G1495" s="21"/>
      <c r="H1495" s="225"/>
      <c r="I1495" s="225"/>
      <c r="J1495" s="225"/>
      <c r="K1495" s="225"/>
      <c r="L1495" s="225"/>
      <c r="M1495" s="225"/>
      <c r="N1495" s="225"/>
      <c r="O1495" s="225"/>
      <c r="P1495" s="225"/>
      <c r="Q1495" s="225"/>
      <c r="R1495" s="225"/>
      <c r="S1495" s="225"/>
      <c r="T1495" s="225"/>
      <c r="U1495" s="225"/>
      <c r="V1495" s="225"/>
      <c r="W1495" s="110"/>
      <c r="X1495" s="110"/>
      <c r="Y1495" s="110"/>
      <c r="Z1495" s="110"/>
    </row>
    <row r="1496">
      <c r="A1496" s="212"/>
      <c r="B1496" s="21"/>
      <c r="C1496" s="21"/>
      <c r="D1496" s="213"/>
      <c r="E1496" s="214"/>
      <c r="F1496" s="215"/>
      <c r="G1496" s="21"/>
      <c r="H1496" s="225"/>
      <c r="I1496" s="225"/>
      <c r="J1496" s="225"/>
      <c r="K1496" s="225"/>
      <c r="L1496" s="225"/>
      <c r="M1496" s="225"/>
      <c r="N1496" s="225"/>
      <c r="O1496" s="225"/>
      <c r="P1496" s="225"/>
      <c r="Q1496" s="225"/>
      <c r="R1496" s="225"/>
      <c r="S1496" s="225"/>
      <c r="T1496" s="225"/>
      <c r="U1496" s="225"/>
      <c r="V1496" s="225"/>
      <c r="W1496" s="110"/>
      <c r="X1496" s="110"/>
      <c r="Y1496" s="110"/>
      <c r="Z1496" s="110"/>
    </row>
    <row r="1497">
      <c r="A1497" s="212"/>
      <c r="B1497" s="21"/>
      <c r="C1497" s="21"/>
      <c r="D1497" s="213"/>
      <c r="E1497" s="214"/>
      <c r="F1497" s="215"/>
      <c r="G1497" s="21"/>
      <c r="H1497" s="225"/>
      <c r="I1497" s="225"/>
      <c r="J1497" s="225"/>
      <c r="K1497" s="225"/>
      <c r="L1497" s="225"/>
      <c r="M1497" s="225"/>
      <c r="N1497" s="225"/>
      <c r="O1497" s="225"/>
      <c r="P1497" s="225"/>
      <c r="Q1497" s="225"/>
      <c r="R1497" s="225"/>
      <c r="S1497" s="225"/>
      <c r="T1497" s="225"/>
      <c r="U1497" s="225"/>
      <c r="V1497" s="225"/>
      <c r="W1497" s="110"/>
      <c r="X1497" s="110"/>
      <c r="Y1497" s="110"/>
      <c r="Z1497" s="110"/>
    </row>
    <row r="1498">
      <c r="A1498" s="212"/>
      <c r="B1498" s="21"/>
      <c r="C1498" s="21"/>
      <c r="D1498" s="213"/>
      <c r="E1498" s="214"/>
      <c r="F1498" s="215"/>
      <c r="G1498" s="21"/>
      <c r="H1498" s="225"/>
      <c r="I1498" s="225"/>
      <c r="J1498" s="225"/>
      <c r="K1498" s="225"/>
      <c r="L1498" s="225"/>
      <c r="M1498" s="225"/>
      <c r="N1498" s="225"/>
      <c r="O1498" s="225"/>
      <c r="P1498" s="225"/>
      <c r="Q1498" s="225"/>
      <c r="R1498" s="225"/>
      <c r="S1498" s="225"/>
      <c r="T1498" s="225"/>
      <c r="U1498" s="225"/>
      <c r="V1498" s="225"/>
      <c r="W1498" s="110"/>
      <c r="X1498" s="110"/>
      <c r="Y1498" s="110"/>
      <c r="Z1498" s="110"/>
    </row>
    <row r="1499">
      <c r="A1499" s="212"/>
      <c r="B1499" s="21"/>
      <c r="C1499" s="21"/>
      <c r="D1499" s="213"/>
      <c r="E1499" s="214"/>
      <c r="F1499" s="215"/>
      <c r="G1499" s="24"/>
      <c r="H1499" s="225"/>
      <c r="I1499" s="225"/>
      <c r="J1499" s="225"/>
      <c r="K1499" s="225"/>
      <c r="L1499" s="225"/>
      <c r="M1499" s="225"/>
      <c r="N1499" s="225"/>
      <c r="O1499" s="225"/>
      <c r="P1499" s="225"/>
      <c r="Q1499" s="225"/>
      <c r="R1499" s="225"/>
      <c r="S1499" s="225"/>
      <c r="T1499" s="225"/>
      <c r="U1499" s="225"/>
      <c r="V1499" s="225"/>
      <c r="W1499" s="110"/>
      <c r="X1499" s="110"/>
      <c r="Y1499" s="110"/>
      <c r="Z1499" s="110"/>
    </row>
    <row r="1500">
      <c r="A1500" s="212"/>
      <c r="B1500" s="21"/>
      <c r="C1500" s="21"/>
      <c r="D1500" s="213"/>
      <c r="E1500" s="214"/>
      <c r="F1500" s="215"/>
      <c r="G1500" s="21"/>
      <c r="H1500" s="225"/>
      <c r="I1500" s="225"/>
      <c r="J1500" s="225"/>
      <c r="K1500" s="225"/>
      <c r="L1500" s="225"/>
      <c r="M1500" s="225"/>
      <c r="N1500" s="225"/>
      <c r="O1500" s="225"/>
      <c r="P1500" s="225"/>
      <c r="Q1500" s="225"/>
      <c r="R1500" s="225"/>
      <c r="S1500" s="225"/>
      <c r="T1500" s="225"/>
      <c r="U1500" s="225"/>
      <c r="V1500" s="225"/>
      <c r="W1500" s="110"/>
      <c r="X1500" s="110"/>
      <c r="Y1500" s="110"/>
      <c r="Z1500" s="110"/>
    </row>
    <row r="1501">
      <c r="A1501" s="212"/>
      <c r="B1501" s="21"/>
      <c r="C1501" s="21"/>
      <c r="D1501" s="213"/>
      <c r="E1501" s="214"/>
      <c r="F1501" s="215"/>
      <c r="G1501" s="124"/>
      <c r="H1501" s="110"/>
      <c r="I1501" s="110"/>
      <c r="J1501" s="110"/>
      <c r="K1501" s="110"/>
      <c r="L1501" s="110"/>
      <c r="M1501" s="110"/>
      <c r="N1501" s="110"/>
      <c r="O1501" s="110"/>
      <c r="P1501" s="110"/>
      <c r="Q1501" s="110"/>
      <c r="R1501" s="110"/>
      <c r="S1501" s="110"/>
      <c r="T1501" s="110"/>
      <c r="U1501" s="110"/>
      <c r="V1501" s="110"/>
      <c r="W1501" s="110"/>
      <c r="X1501" s="110"/>
      <c r="Y1501" s="110"/>
      <c r="Z1501" s="110"/>
    </row>
    <row r="1502">
      <c r="A1502" s="212"/>
      <c r="B1502" s="21"/>
      <c r="C1502" s="21"/>
      <c r="D1502" s="213"/>
      <c r="E1502" s="214"/>
      <c r="F1502" s="215"/>
      <c r="G1502" s="110"/>
      <c r="H1502" s="110"/>
      <c r="I1502" s="110"/>
      <c r="J1502" s="110"/>
      <c r="K1502" s="110"/>
      <c r="L1502" s="110"/>
      <c r="M1502" s="110"/>
      <c r="N1502" s="110"/>
      <c r="O1502" s="110"/>
      <c r="P1502" s="110"/>
      <c r="Q1502" s="110"/>
      <c r="R1502" s="110"/>
      <c r="S1502" s="110"/>
      <c r="T1502" s="110"/>
      <c r="U1502" s="110"/>
      <c r="V1502" s="110"/>
      <c r="W1502" s="110"/>
      <c r="X1502" s="110"/>
      <c r="Y1502" s="110"/>
      <c r="Z1502" s="110"/>
    </row>
    <row r="1503">
      <c r="A1503" s="212"/>
      <c r="B1503" s="21"/>
      <c r="C1503" s="21"/>
      <c r="D1503" s="213"/>
      <c r="E1503" s="214"/>
      <c r="F1503" s="215"/>
      <c r="G1503" s="124"/>
      <c r="H1503" s="110"/>
      <c r="I1503" s="110"/>
      <c r="J1503" s="110"/>
      <c r="K1503" s="110"/>
      <c r="L1503" s="110"/>
      <c r="M1503" s="110"/>
      <c r="N1503" s="110"/>
      <c r="O1503" s="110"/>
      <c r="P1503" s="110"/>
      <c r="Q1503" s="110"/>
      <c r="R1503" s="110"/>
      <c r="S1503" s="110"/>
      <c r="T1503" s="110"/>
      <c r="U1503" s="110"/>
      <c r="V1503" s="110"/>
      <c r="W1503" s="110"/>
      <c r="X1503" s="110"/>
      <c r="Y1503" s="110"/>
      <c r="Z1503" s="110"/>
    </row>
    <row r="1504">
      <c r="A1504" s="212"/>
      <c r="B1504" s="21"/>
      <c r="C1504" s="21"/>
      <c r="D1504" s="213"/>
      <c r="E1504" s="214"/>
      <c r="F1504" s="215"/>
      <c r="G1504" s="21"/>
      <c r="H1504" s="110"/>
      <c r="I1504" s="110"/>
      <c r="J1504" s="110"/>
      <c r="K1504" s="110"/>
      <c r="L1504" s="110"/>
      <c r="M1504" s="110"/>
      <c r="N1504" s="110"/>
      <c r="O1504" s="110"/>
      <c r="P1504" s="110"/>
      <c r="Q1504" s="110"/>
      <c r="R1504" s="110"/>
      <c r="S1504" s="110"/>
      <c r="T1504" s="110"/>
      <c r="U1504" s="110"/>
      <c r="V1504" s="110"/>
      <c r="W1504" s="110"/>
      <c r="X1504" s="110"/>
      <c r="Y1504" s="110"/>
      <c r="Z1504" s="110"/>
    </row>
    <row r="1505">
      <c r="A1505" s="212"/>
      <c r="B1505" s="21"/>
      <c r="C1505" s="21"/>
      <c r="D1505" s="213"/>
      <c r="E1505" s="214"/>
      <c r="F1505" s="215"/>
      <c r="G1505" s="21"/>
      <c r="H1505" s="110"/>
      <c r="I1505" s="110"/>
      <c r="J1505" s="110"/>
      <c r="K1505" s="110"/>
      <c r="L1505" s="110"/>
      <c r="M1505" s="110"/>
      <c r="N1505" s="110"/>
      <c r="O1505" s="110"/>
      <c r="P1505" s="110"/>
      <c r="Q1505" s="110"/>
      <c r="R1505" s="110"/>
      <c r="S1505" s="110"/>
      <c r="T1505" s="110"/>
      <c r="U1505" s="110"/>
      <c r="V1505" s="110"/>
      <c r="W1505" s="110"/>
      <c r="X1505" s="110"/>
      <c r="Y1505" s="110"/>
      <c r="Z1505" s="110"/>
    </row>
    <row r="1506">
      <c r="A1506" s="212"/>
      <c r="B1506" s="21"/>
      <c r="C1506" s="21"/>
      <c r="D1506" s="213"/>
      <c r="E1506" s="214"/>
      <c r="F1506" s="215"/>
      <c r="G1506" s="21"/>
      <c r="H1506" s="110"/>
      <c r="I1506" s="110"/>
      <c r="J1506" s="110"/>
      <c r="K1506" s="110"/>
      <c r="L1506" s="110"/>
      <c r="M1506" s="110"/>
      <c r="N1506" s="110"/>
      <c r="O1506" s="110"/>
      <c r="P1506" s="110"/>
      <c r="Q1506" s="110"/>
      <c r="R1506" s="110"/>
      <c r="S1506" s="110"/>
      <c r="T1506" s="110"/>
      <c r="U1506" s="110"/>
      <c r="V1506" s="110"/>
      <c r="W1506" s="110"/>
      <c r="X1506" s="110"/>
      <c r="Y1506" s="110"/>
      <c r="Z1506" s="110"/>
    </row>
    <row r="1507">
      <c r="A1507" s="212"/>
      <c r="B1507" s="21"/>
      <c r="C1507" s="21"/>
      <c r="D1507" s="213"/>
      <c r="E1507" s="214"/>
      <c r="F1507" s="215"/>
      <c r="G1507" s="21"/>
      <c r="H1507" s="110"/>
      <c r="I1507" s="110"/>
      <c r="J1507" s="110"/>
      <c r="K1507" s="110"/>
      <c r="L1507" s="110"/>
      <c r="M1507" s="110"/>
      <c r="N1507" s="110"/>
      <c r="O1507" s="110"/>
      <c r="P1507" s="110"/>
      <c r="Q1507" s="110"/>
      <c r="R1507" s="110"/>
      <c r="S1507" s="110"/>
      <c r="T1507" s="110"/>
      <c r="U1507" s="110"/>
      <c r="V1507" s="110"/>
      <c r="W1507" s="110"/>
      <c r="X1507" s="110"/>
      <c r="Y1507" s="110"/>
      <c r="Z1507" s="110"/>
    </row>
    <row r="1508">
      <c r="A1508" s="212"/>
      <c r="B1508" s="21"/>
      <c r="C1508" s="21"/>
      <c r="D1508" s="213"/>
      <c r="E1508" s="214"/>
      <c r="F1508" s="215"/>
      <c r="G1508" s="21"/>
      <c r="H1508" s="110"/>
      <c r="I1508" s="110"/>
      <c r="J1508" s="110"/>
      <c r="K1508" s="110"/>
      <c r="L1508" s="110"/>
      <c r="M1508" s="110"/>
      <c r="N1508" s="110"/>
      <c r="O1508" s="110"/>
      <c r="P1508" s="110"/>
      <c r="Q1508" s="110"/>
      <c r="R1508" s="110"/>
      <c r="S1508" s="110"/>
      <c r="T1508" s="110"/>
      <c r="U1508" s="110"/>
      <c r="V1508" s="110"/>
      <c r="W1508" s="110"/>
      <c r="X1508" s="110"/>
      <c r="Y1508" s="110"/>
      <c r="Z1508" s="110"/>
    </row>
    <row r="1509">
      <c r="A1509" s="212"/>
      <c r="B1509" s="21"/>
      <c r="C1509" s="21"/>
      <c r="D1509" s="213"/>
      <c r="E1509" s="214"/>
      <c r="F1509" s="215"/>
      <c r="G1509" s="21"/>
      <c r="H1509" s="110"/>
      <c r="I1509" s="110"/>
      <c r="J1509" s="110"/>
      <c r="K1509" s="110"/>
      <c r="L1509" s="110"/>
      <c r="M1509" s="110"/>
      <c r="N1509" s="110"/>
      <c r="O1509" s="110"/>
      <c r="P1509" s="110"/>
      <c r="Q1509" s="110"/>
      <c r="R1509" s="110"/>
      <c r="S1509" s="110"/>
      <c r="T1509" s="110"/>
      <c r="U1509" s="110"/>
      <c r="V1509" s="110"/>
      <c r="W1509" s="110"/>
      <c r="X1509" s="110"/>
      <c r="Y1509" s="110"/>
      <c r="Z1509" s="110"/>
    </row>
    <row r="1510">
      <c r="A1510" s="212"/>
      <c r="B1510" s="21"/>
      <c r="C1510" s="21"/>
      <c r="D1510" s="213"/>
      <c r="E1510" s="214"/>
      <c r="F1510" s="215"/>
      <c r="G1510" s="21"/>
      <c r="H1510" s="110"/>
      <c r="I1510" s="110"/>
      <c r="J1510" s="110"/>
      <c r="K1510" s="110"/>
      <c r="L1510" s="110"/>
      <c r="M1510" s="110"/>
      <c r="N1510" s="110"/>
      <c r="O1510" s="110"/>
      <c r="P1510" s="110"/>
      <c r="Q1510" s="110"/>
      <c r="R1510" s="110"/>
      <c r="S1510" s="110"/>
      <c r="T1510" s="110"/>
      <c r="U1510" s="110"/>
      <c r="V1510" s="110"/>
      <c r="W1510" s="110"/>
      <c r="X1510" s="110"/>
      <c r="Y1510" s="110"/>
      <c r="Z1510" s="110"/>
    </row>
    <row r="1511">
      <c r="A1511" s="212"/>
      <c r="B1511" s="21"/>
      <c r="C1511" s="21"/>
      <c r="D1511" s="213"/>
      <c r="E1511" s="214"/>
      <c r="F1511" s="215"/>
      <c r="G1511" s="21"/>
      <c r="H1511" s="110"/>
      <c r="I1511" s="110"/>
      <c r="J1511" s="110"/>
      <c r="K1511" s="110"/>
      <c r="L1511" s="110"/>
      <c r="M1511" s="110"/>
      <c r="N1511" s="110"/>
      <c r="O1511" s="110"/>
      <c r="P1511" s="110"/>
      <c r="Q1511" s="110"/>
      <c r="R1511" s="110"/>
      <c r="S1511" s="110"/>
      <c r="T1511" s="110"/>
      <c r="U1511" s="110"/>
      <c r="V1511" s="110"/>
      <c r="W1511" s="110"/>
      <c r="X1511" s="110"/>
      <c r="Y1511" s="110"/>
      <c r="Z1511" s="110"/>
    </row>
    <row r="1512">
      <c r="A1512" s="212"/>
      <c r="B1512" s="21"/>
      <c r="C1512" s="21"/>
      <c r="D1512" s="213"/>
      <c r="E1512" s="214"/>
      <c r="F1512" s="215"/>
      <c r="G1512" s="21"/>
      <c r="H1512" s="110"/>
      <c r="I1512" s="110"/>
      <c r="J1512" s="110"/>
      <c r="K1512" s="110"/>
      <c r="L1512" s="110"/>
      <c r="M1512" s="110"/>
      <c r="N1512" s="110"/>
      <c r="O1512" s="110"/>
      <c r="P1512" s="110"/>
      <c r="Q1512" s="110"/>
      <c r="R1512" s="110"/>
      <c r="S1512" s="110"/>
      <c r="T1512" s="110"/>
      <c r="U1512" s="110"/>
      <c r="V1512" s="110"/>
      <c r="W1512" s="110"/>
      <c r="X1512" s="110"/>
      <c r="Y1512" s="110"/>
      <c r="Z1512" s="110"/>
    </row>
    <row r="1513">
      <c r="A1513" s="212"/>
      <c r="B1513" s="21"/>
      <c r="C1513" s="21"/>
      <c r="D1513" s="213"/>
      <c r="E1513" s="214"/>
      <c r="F1513" s="215"/>
      <c r="G1513" s="21"/>
      <c r="H1513" s="110"/>
      <c r="I1513" s="110"/>
      <c r="J1513" s="110"/>
      <c r="K1513" s="110"/>
      <c r="L1513" s="110"/>
      <c r="M1513" s="110"/>
      <c r="N1513" s="110"/>
      <c r="O1513" s="110"/>
      <c r="P1513" s="110"/>
      <c r="Q1513" s="110"/>
      <c r="R1513" s="110"/>
      <c r="S1513" s="110"/>
      <c r="T1513" s="110"/>
      <c r="U1513" s="110"/>
      <c r="V1513" s="110"/>
      <c r="W1513" s="110"/>
      <c r="X1513" s="110"/>
      <c r="Y1513" s="110"/>
      <c r="Z1513" s="110"/>
    </row>
    <row r="1514">
      <c r="A1514" s="212"/>
      <c r="B1514" s="21"/>
      <c r="C1514" s="21"/>
      <c r="D1514" s="213"/>
      <c r="E1514" s="214"/>
      <c r="F1514" s="215"/>
      <c r="G1514" s="21"/>
      <c r="H1514" s="110"/>
      <c r="I1514" s="110"/>
      <c r="J1514" s="110"/>
      <c r="K1514" s="110"/>
      <c r="L1514" s="110"/>
      <c r="M1514" s="110"/>
      <c r="N1514" s="110"/>
      <c r="O1514" s="110"/>
      <c r="P1514" s="110"/>
      <c r="Q1514" s="110"/>
      <c r="R1514" s="110"/>
      <c r="S1514" s="110"/>
      <c r="T1514" s="110"/>
      <c r="U1514" s="110"/>
      <c r="V1514" s="110"/>
      <c r="W1514" s="110"/>
      <c r="X1514" s="110"/>
      <c r="Y1514" s="110"/>
      <c r="Z1514" s="110"/>
    </row>
    <row r="1515">
      <c r="A1515" s="212"/>
      <c r="B1515" s="21"/>
      <c r="C1515" s="21"/>
      <c r="D1515" s="213"/>
      <c r="E1515" s="214"/>
      <c r="F1515" s="215"/>
      <c r="G1515" s="21"/>
      <c r="H1515" s="110"/>
      <c r="I1515" s="110"/>
      <c r="J1515" s="110"/>
      <c r="K1515" s="110"/>
      <c r="L1515" s="110"/>
      <c r="M1515" s="110"/>
      <c r="N1515" s="110"/>
      <c r="O1515" s="110"/>
      <c r="P1515" s="110"/>
      <c r="Q1515" s="110"/>
      <c r="R1515" s="110"/>
      <c r="S1515" s="110"/>
      <c r="T1515" s="110"/>
      <c r="U1515" s="110"/>
      <c r="V1515" s="110"/>
      <c r="W1515" s="110"/>
      <c r="X1515" s="110"/>
      <c r="Y1515" s="110"/>
      <c r="Z1515" s="110"/>
    </row>
    <row r="1516">
      <c r="A1516" s="212"/>
      <c r="B1516" s="21"/>
      <c r="C1516" s="21"/>
      <c r="D1516" s="213"/>
      <c r="E1516" s="214"/>
      <c r="F1516" s="215"/>
      <c r="G1516" s="21"/>
      <c r="H1516" s="110"/>
      <c r="I1516" s="110"/>
      <c r="J1516" s="110"/>
      <c r="K1516" s="110"/>
      <c r="L1516" s="110"/>
      <c r="M1516" s="110"/>
      <c r="N1516" s="110"/>
      <c r="O1516" s="110"/>
      <c r="P1516" s="110"/>
      <c r="Q1516" s="110"/>
      <c r="R1516" s="110"/>
      <c r="S1516" s="110"/>
      <c r="T1516" s="110"/>
      <c r="U1516" s="110"/>
      <c r="V1516" s="110"/>
      <c r="W1516" s="110"/>
      <c r="X1516" s="110"/>
      <c r="Y1516" s="110"/>
      <c r="Z1516" s="110"/>
    </row>
    <row r="1517">
      <c r="A1517" s="212"/>
      <c r="B1517" s="21"/>
      <c r="C1517" s="21"/>
      <c r="D1517" s="213"/>
      <c r="E1517" s="214"/>
      <c r="F1517" s="215"/>
      <c r="G1517" s="21"/>
      <c r="H1517" s="225"/>
      <c r="I1517" s="225"/>
      <c r="J1517" s="225"/>
      <c r="K1517" s="225"/>
      <c r="L1517" s="225"/>
      <c r="M1517" s="225"/>
      <c r="N1517" s="225"/>
      <c r="O1517" s="225"/>
      <c r="P1517" s="225"/>
      <c r="Q1517" s="225"/>
      <c r="R1517" s="225"/>
      <c r="S1517" s="225"/>
      <c r="T1517" s="225"/>
      <c r="U1517" s="225"/>
      <c r="V1517" s="225"/>
      <c r="W1517" s="110"/>
      <c r="X1517" s="110"/>
      <c r="Y1517" s="110"/>
      <c r="Z1517" s="110"/>
    </row>
    <row r="1518">
      <c r="A1518" s="212"/>
      <c r="B1518" s="21"/>
      <c r="C1518" s="21"/>
      <c r="D1518" s="213"/>
      <c r="E1518" s="214"/>
      <c r="F1518" s="215"/>
      <c r="G1518" s="21"/>
      <c r="H1518" s="110"/>
      <c r="I1518" s="110"/>
      <c r="J1518" s="110"/>
      <c r="K1518" s="110"/>
      <c r="L1518" s="110"/>
      <c r="M1518" s="110"/>
      <c r="N1518" s="110"/>
      <c r="O1518" s="110"/>
      <c r="P1518" s="110"/>
      <c r="Q1518" s="110"/>
      <c r="R1518" s="110"/>
      <c r="S1518" s="110"/>
      <c r="T1518" s="110"/>
      <c r="U1518" s="110"/>
      <c r="V1518" s="110"/>
      <c r="W1518" s="110"/>
      <c r="X1518" s="110"/>
      <c r="Y1518" s="110"/>
      <c r="Z1518" s="110"/>
    </row>
    <row r="1519">
      <c r="A1519" s="212"/>
      <c r="B1519" s="21"/>
      <c r="C1519" s="21"/>
      <c r="D1519" s="213"/>
      <c r="E1519" s="214"/>
      <c r="F1519" s="215"/>
      <c r="G1519" s="24"/>
      <c r="H1519" s="223"/>
      <c r="I1519" s="223"/>
      <c r="J1519" s="223"/>
      <c r="K1519" s="223"/>
      <c r="L1519" s="223"/>
      <c r="M1519" s="223"/>
      <c r="N1519" s="223"/>
      <c r="O1519" s="223"/>
      <c r="P1519" s="223"/>
      <c r="Q1519" s="223"/>
      <c r="R1519" s="223"/>
      <c r="S1519" s="223"/>
      <c r="T1519" s="223"/>
      <c r="U1519" s="223"/>
      <c r="V1519" s="223"/>
      <c r="W1519" s="223"/>
      <c r="X1519" s="223"/>
      <c r="Y1519" s="223"/>
      <c r="Z1519" s="223"/>
      <c r="AA1519" s="224"/>
      <c r="AB1519" s="224"/>
      <c r="AC1519" s="224"/>
      <c r="AD1519" s="224"/>
      <c r="AE1519" s="224"/>
      <c r="AF1519" s="224"/>
      <c r="AG1519" s="224"/>
      <c r="AH1519" s="224"/>
      <c r="AI1519" s="224"/>
      <c r="AJ1519" s="224"/>
      <c r="AK1519" s="224"/>
      <c r="AL1519" s="224"/>
      <c r="AM1519" s="224"/>
      <c r="AN1519" s="224"/>
      <c r="AO1519" s="224"/>
      <c r="AP1519" s="224"/>
      <c r="AQ1519" s="224"/>
      <c r="AR1519" s="224"/>
      <c r="AS1519" s="224"/>
      <c r="AT1519" s="224"/>
      <c r="AU1519" s="224"/>
      <c r="AV1519" s="224"/>
      <c r="AW1519" s="224"/>
      <c r="AX1519" s="224"/>
      <c r="AY1519" s="224"/>
      <c r="AZ1519" s="224"/>
      <c r="BA1519" s="224"/>
      <c r="BB1519" s="224"/>
      <c r="BC1519" s="224"/>
      <c r="BD1519" s="224"/>
      <c r="BE1519" s="224"/>
      <c r="BF1519" s="224"/>
      <c r="BG1519" s="224"/>
      <c r="BH1519" s="224"/>
      <c r="BI1519" s="224"/>
      <c r="BJ1519" s="224"/>
      <c r="BK1519" s="224"/>
      <c r="BL1519" s="224"/>
      <c r="BM1519" s="224"/>
      <c r="BN1519" s="224"/>
      <c r="BO1519" s="224"/>
      <c r="BP1519" s="224"/>
      <c r="BQ1519" s="224"/>
      <c r="BR1519" s="224"/>
      <c r="BS1519" s="224"/>
      <c r="BT1519" s="224"/>
      <c r="BU1519" s="224"/>
      <c r="BV1519" s="224"/>
      <c r="BW1519" s="224"/>
      <c r="BX1519" s="224"/>
      <c r="BY1519" s="224"/>
      <c r="BZ1519" s="224"/>
      <c r="CA1519" s="224"/>
      <c r="CB1519" s="224"/>
      <c r="CC1519" s="224"/>
      <c r="CD1519" s="224"/>
      <c r="CE1519" s="224"/>
      <c r="CF1519" s="224"/>
      <c r="CG1519" s="224"/>
      <c r="CH1519" s="224"/>
      <c r="CI1519" s="224"/>
      <c r="CJ1519" s="224"/>
      <c r="CK1519" s="224"/>
      <c r="CL1519" s="224"/>
      <c r="CM1519" s="224"/>
      <c r="CN1519" s="224"/>
      <c r="CO1519" s="224"/>
      <c r="CP1519" s="224"/>
      <c r="CQ1519" s="224"/>
      <c r="CR1519" s="224"/>
      <c r="CS1519" s="224"/>
      <c r="CT1519" s="224"/>
      <c r="CU1519" s="224"/>
      <c r="CV1519" s="224"/>
      <c r="CW1519" s="224"/>
      <c r="CX1519" s="224"/>
      <c r="CY1519" s="224"/>
      <c r="CZ1519" s="224"/>
      <c r="DA1519" s="224"/>
      <c r="DB1519" s="224"/>
      <c r="DC1519" s="224"/>
      <c r="DD1519" s="224"/>
      <c r="DE1519" s="224"/>
      <c r="DF1519" s="224"/>
      <c r="DG1519" s="224"/>
      <c r="DH1519" s="224"/>
      <c r="DI1519" s="224"/>
      <c r="DJ1519" s="224"/>
      <c r="DK1519" s="224"/>
      <c r="DL1519" s="224"/>
      <c r="DM1519" s="224"/>
      <c r="DN1519" s="224"/>
      <c r="DO1519" s="224"/>
      <c r="DP1519" s="224"/>
      <c r="DQ1519" s="224"/>
      <c r="DR1519" s="224"/>
      <c r="DS1519" s="224"/>
      <c r="DT1519" s="224"/>
      <c r="DU1519" s="224"/>
      <c r="DV1519" s="224"/>
      <c r="DW1519" s="224"/>
      <c r="DX1519" s="224"/>
      <c r="DY1519" s="224"/>
      <c r="DZ1519" s="224"/>
      <c r="EA1519" s="224"/>
      <c r="EB1519" s="224"/>
      <c r="EC1519" s="224"/>
      <c r="ED1519" s="224"/>
      <c r="EE1519" s="224"/>
      <c r="EF1519" s="224"/>
      <c r="EG1519" s="224"/>
      <c r="EH1519" s="224"/>
      <c r="EI1519" s="224"/>
      <c r="EJ1519" s="224"/>
      <c r="EK1519" s="224"/>
      <c r="EL1519" s="224"/>
      <c r="EM1519" s="224"/>
      <c r="EN1519" s="224"/>
      <c r="EO1519" s="224"/>
      <c r="EP1519" s="224"/>
      <c r="EQ1519" s="224"/>
      <c r="ER1519" s="224"/>
      <c r="ES1519" s="224"/>
      <c r="ET1519" s="224"/>
      <c r="EU1519" s="224"/>
      <c r="EV1519" s="224"/>
      <c r="EW1519" s="224"/>
      <c r="EX1519" s="224"/>
      <c r="EY1519" s="224"/>
      <c r="EZ1519" s="224"/>
      <c r="FA1519" s="224"/>
      <c r="FB1519" s="224"/>
      <c r="FC1519" s="224"/>
      <c r="FD1519" s="224"/>
      <c r="FE1519" s="224"/>
      <c r="FF1519" s="224"/>
      <c r="FG1519" s="224"/>
      <c r="FH1519" s="224"/>
      <c r="FI1519" s="224"/>
      <c r="FJ1519" s="224"/>
      <c r="FK1519" s="224"/>
      <c r="FL1519" s="224"/>
      <c r="FM1519" s="224"/>
      <c r="FN1519" s="224"/>
      <c r="FO1519" s="224"/>
      <c r="FP1519" s="224"/>
      <c r="FQ1519" s="224"/>
      <c r="FR1519" s="224"/>
      <c r="FS1519" s="224"/>
      <c r="FT1519" s="224"/>
      <c r="FU1519" s="224"/>
      <c r="FV1519" s="224"/>
      <c r="FW1519" s="224"/>
      <c r="FX1519" s="224"/>
      <c r="FY1519" s="224"/>
      <c r="FZ1519" s="224"/>
      <c r="GA1519" s="224"/>
      <c r="GB1519" s="224"/>
      <c r="GC1519" s="224"/>
      <c r="GD1519" s="224"/>
      <c r="GE1519" s="224"/>
      <c r="GF1519" s="224"/>
      <c r="GG1519" s="224"/>
      <c r="GH1519" s="224"/>
      <c r="GI1519" s="224"/>
      <c r="GJ1519" s="224"/>
      <c r="GK1519" s="224"/>
      <c r="GL1519" s="224"/>
      <c r="GM1519" s="224"/>
      <c r="GN1519" s="224"/>
    </row>
    <row r="1520">
      <c r="A1520" s="212"/>
      <c r="B1520" s="21"/>
      <c r="C1520" s="21"/>
      <c r="D1520" s="213"/>
      <c r="E1520" s="214"/>
      <c r="F1520" s="215"/>
      <c r="G1520" s="124"/>
      <c r="H1520" s="110"/>
      <c r="I1520" s="110"/>
      <c r="J1520" s="110"/>
      <c r="K1520" s="110"/>
      <c r="L1520" s="110"/>
      <c r="M1520" s="110"/>
      <c r="N1520" s="110"/>
      <c r="O1520" s="110"/>
      <c r="P1520" s="110"/>
      <c r="Q1520" s="110"/>
      <c r="R1520" s="110"/>
      <c r="S1520" s="110"/>
      <c r="T1520" s="110"/>
      <c r="U1520" s="110"/>
      <c r="V1520" s="110"/>
      <c r="W1520" s="110"/>
      <c r="X1520" s="110"/>
      <c r="Y1520" s="110"/>
      <c r="Z1520" s="110"/>
    </row>
    <row r="1521">
      <c r="A1521" s="212"/>
      <c r="B1521" s="21"/>
      <c r="C1521" s="21"/>
      <c r="D1521" s="213"/>
      <c r="E1521" s="214"/>
      <c r="F1521" s="215"/>
      <c r="G1521" s="124"/>
      <c r="H1521" s="110"/>
      <c r="I1521" s="110"/>
      <c r="J1521" s="110"/>
      <c r="K1521" s="110"/>
      <c r="L1521" s="110"/>
      <c r="M1521" s="110"/>
      <c r="N1521" s="110"/>
      <c r="O1521" s="110"/>
      <c r="P1521" s="110"/>
      <c r="Q1521" s="110"/>
      <c r="R1521" s="110"/>
      <c r="S1521" s="110"/>
      <c r="T1521" s="110"/>
      <c r="U1521" s="110"/>
      <c r="V1521" s="110"/>
      <c r="W1521" s="110"/>
      <c r="X1521" s="110"/>
      <c r="Y1521" s="110"/>
      <c r="Z1521" s="110"/>
    </row>
    <row r="1522">
      <c r="A1522" s="212"/>
      <c r="B1522" s="21"/>
      <c r="C1522" s="21"/>
      <c r="D1522" s="213"/>
      <c r="E1522" s="214"/>
      <c r="F1522" s="215"/>
      <c r="G1522" s="110"/>
      <c r="H1522" s="110"/>
      <c r="I1522" s="110"/>
      <c r="J1522" s="110"/>
      <c r="K1522" s="110"/>
      <c r="L1522" s="110"/>
      <c r="M1522" s="110"/>
      <c r="N1522" s="110"/>
      <c r="O1522" s="110"/>
      <c r="P1522" s="110"/>
      <c r="Q1522" s="110"/>
      <c r="R1522" s="110"/>
      <c r="S1522" s="110"/>
      <c r="T1522" s="110"/>
      <c r="U1522" s="110"/>
      <c r="V1522" s="110"/>
      <c r="W1522" s="110"/>
      <c r="X1522" s="110"/>
      <c r="Y1522" s="110"/>
      <c r="Z1522" s="110"/>
    </row>
    <row r="1523">
      <c r="A1523" s="212"/>
      <c r="B1523" s="21"/>
      <c r="C1523" s="21"/>
      <c r="D1523" s="213"/>
      <c r="E1523" s="214"/>
      <c r="F1523" s="215"/>
      <c r="G1523" s="110"/>
      <c r="H1523" s="110"/>
      <c r="I1523" s="110"/>
      <c r="J1523" s="110"/>
      <c r="K1523" s="110"/>
      <c r="L1523" s="110"/>
      <c r="M1523" s="110"/>
      <c r="N1523" s="110"/>
      <c r="O1523" s="110"/>
      <c r="P1523" s="110"/>
      <c r="Q1523" s="110"/>
      <c r="R1523" s="110"/>
      <c r="S1523" s="110"/>
      <c r="T1523" s="110"/>
      <c r="U1523" s="110"/>
      <c r="V1523" s="110"/>
      <c r="W1523" s="110"/>
      <c r="X1523" s="110"/>
      <c r="Y1523" s="110"/>
      <c r="Z1523" s="110"/>
    </row>
    <row r="1524">
      <c r="A1524" s="212"/>
      <c r="B1524" s="21"/>
      <c r="C1524" s="21"/>
      <c r="D1524" s="213"/>
      <c r="E1524" s="214"/>
      <c r="F1524" s="215"/>
      <c r="G1524" s="162"/>
      <c r="H1524" s="225"/>
      <c r="I1524" s="225"/>
      <c r="J1524" s="225"/>
      <c r="K1524" s="225"/>
      <c r="L1524" s="225"/>
      <c r="M1524" s="225"/>
      <c r="N1524" s="225"/>
      <c r="O1524" s="225"/>
      <c r="P1524" s="225"/>
      <c r="Q1524" s="225"/>
      <c r="R1524" s="225"/>
      <c r="S1524" s="225"/>
      <c r="T1524" s="225"/>
      <c r="U1524" s="225"/>
      <c r="V1524" s="225"/>
      <c r="W1524" s="110"/>
      <c r="X1524" s="110"/>
      <c r="Y1524" s="110"/>
      <c r="Z1524" s="110"/>
    </row>
    <row r="1525">
      <c r="A1525" s="212"/>
      <c r="B1525" s="21"/>
      <c r="C1525" s="21"/>
      <c r="D1525" s="213"/>
      <c r="E1525" s="214"/>
      <c r="F1525" s="215"/>
      <c r="G1525" s="21"/>
      <c r="H1525" s="225"/>
      <c r="I1525" s="225"/>
      <c r="J1525" s="225"/>
      <c r="K1525" s="225"/>
      <c r="L1525" s="225"/>
      <c r="M1525" s="225"/>
      <c r="N1525" s="225"/>
      <c r="O1525" s="225"/>
      <c r="P1525" s="225"/>
      <c r="Q1525" s="225"/>
      <c r="R1525" s="225"/>
      <c r="S1525" s="225"/>
      <c r="T1525" s="225"/>
      <c r="U1525" s="225"/>
      <c r="V1525" s="225"/>
      <c r="W1525" s="110"/>
      <c r="X1525" s="110"/>
      <c r="Y1525" s="110"/>
      <c r="Z1525" s="110"/>
    </row>
    <row r="1526">
      <c r="A1526" s="212"/>
      <c r="B1526" s="21"/>
      <c r="C1526" s="21"/>
      <c r="D1526" s="213"/>
      <c r="E1526" s="214"/>
      <c r="F1526" s="215"/>
      <c r="G1526" s="21"/>
      <c r="H1526" s="225"/>
      <c r="I1526" s="225"/>
      <c r="J1526" s="225"/>
      <c r="K1526" s="225"/>
      <c r="L1526" s="225"/>
      <c r="M1526" s="225"/>
      <c r="N1526" s="225"/>
      <c r="O1526" s="225"/>
      <c r="P1526" s="225"/>
      <c r="Q1526" s="225"/>
      <c r="R1526" s="225"/>
      <c r="S1526" s="225"/>
      <c r="T1526" s="225"/>
      <c r="U1526" s="225"/>
      <c r="V1526" s="225"/>
      <c r="W1526" s="110"/>
      <c r="X1526" s="110"/>
      <c r="Y1526" s="110"/>
      <c r="Z1526" s="110"/>
    </row>
    <row r="1527">
      <c r="A1527" s="212"/>
      <c r="B1527" s="21"/>
      <c r="C1527" s="21"/>
      <c r="D1527" s="213"/>
      <c r="E1527" s="214"/>
      <c r="F1527" s="215"/>
      <c r="G1527" s="21"/>
      <c r="H1527" s="225"/>
      <c r="I1527" s="225"/>
      <c r="J1527" s="225"/>
      <c r="K1527" s="225"/>
      <c r="L1527" s="225"/>
      <c r="M1527" s="225"/>
      <c r="N1527" s="225"/>
      <c r="O1527" s="225"/>
      <c r="P1527" s="225"/>
      <c r="Q1527" s="225"/>
      <c r="R1527" s="225"/>
      <c r="S1527" s="225"/>
      <c r="T1527" s="225"/>
      <c r="U1527" s="225"/>
      <c r="V1527" s="225"/>
      <c r="W1527" s="110"/>
      <c r="X1527" s="110"/>
      <c r="Y1527" s="110"/>
      <c r="Z1527" s="110"/>
    </row>
    <row r="1528">
      <c r="A1528" s="212"/>
      <c r="B1528" s="21"/>
      <c r="C1528" s="21"/>
      <c r="D1528" s="213"/>
      <c r="E1528" s="214"/>
      <c r="F1528" s="215"/>
      <c r="G1528" s="21"/>
      <c r="H1528" s="225"/>
      <c r="I1528" s="225"/>
      <c r="J1528" s="225"/>
      <c r="K1528" s="225"/>
      <c r="L1528" s="225"/>
      <c r="M1528" s="225"/>
      <c r="N1528" s="225"/>
      <c r="O1528" s="225"/>
      <c r="P1528" s="225"/>
      <c r="Q1528" s="225"/>
      <c r="R1528" s="225"/>
      <c r="S1528" s="225"/>
      <c r="T1528" s="225"/>
      <c r="U1528" s="225"/>
      <c r="V1528" s="225"/>
      <c r="W1528" s="110"/>
      <c r="X1528" s="110"/>
      <c r="Y1528" s="110"/>
      <c r="Z1528" s="110"/>
    </row>
    <row r="1529">
      <c r="A1529" s="212"/>
      <c r="B1529" s="21"/>
      <c r="C1529" s="21"/>
      <c r="D1529" s="213"/>
      <c r="E1529" s="214"/>
      <c r="F1529" s="215"/>
      <c r="G1529" s="21"/>
      <c r="H1529" s="225"/>
      <c r="I1529" s="225"/>
      <c r="J1529" s="225"/>
      <c r="K1529" s="225"/>
      <c r="L1529" s="225"/>
      <c r="M1529" s="225"/>
      <c r="N1529" s="225"/>
      <c r="O1529" s="225"/>
      <c r="P1529" s="225"/>
      <c r="Q1529" s="225"/>
      <c r="R1529" s="225"/>
      <c r="S1529" s="225"/>
      <c r="T1529" s="225"/>
      <c r="U1529" s="225"/>
      <c r="V1529" s="225"/>
      <c r="W1529" s="110"/>
      <c r="X1529" s="110"/>
      <c r="Y1529" s="110"/>
      <c r="Z1529" s="110"/>
    </row>
    <row r="1530">
      <c r="A1530" s="212"/>
      <c r="B1530" s="21"/>
      <c r="C1530" s="21"/>
      <c r="D1530" s="213"/>
      <c r="E1530" s="214"/>
      <c r="F1530" s="215"/>
      <c r="G1530" s="21"/>
      <c r="H1530" s="225"/>
      <c r="I1530" s="225"/>
      <c r="J1530" s="225"/>
      <c r="K1530" s="225"/>
      <c r="L1530" s="225"/>
      <c r="M1530" s="225"/>
      <c r="N1530" s="225"/>
      <c r="O1530" s="225"/>
      <c r="P1530" s="225"/>
      <c r="Q1530" s="225"/>
      <c r="R1530" s="225"/>
      <c r="S1530" s="225"/>
      <c r="T1530" s="225"/>
      <c r="U1530" s="225"/>
      <c r="V1530" s="225"/>
      <c r="W1530" s="110"/>
      <c r="X1530" s="110"/>
      <c r="Y1530" s="110"/>
      <c r="Z1530" s="110"/>
    </row>
    <row r="1531">
      <c r="A1531" s="212"/>
      <c r="B1531" s="21"/>
      <c r="C1531" s="21"/>
      <c r="D1531" s="213"/>
      <c r="E1531" s="214"/>
      <c r="F1531" s="215"/>
      <c r="G1531" s="21"/>
      <c r="H1531" s="225"/>
      <c r="I1531" s="225"/>
      <c r="J1531" s="225"/>
      <c r="K1531" s="225"/>
      <c r="L1531" s="225"/>
      <c r="M1531" s="225"/>
      <c r="N1531" s="225"/>
      <c r="O1531" s="225"/>
      <c r="P1531" s="225"/>
      <c r="Q1531" s="225"/>
      <c r="R1531" s="225"/>
      <c r="S1531" s="225"/>
      <c r="T1531" s="225"/>
      <c r="U1531" s="225"/>
      <c r="V1531" s="225"/>
      <c r="W1531" s="110"/>
      <c r="X1531" s="110"/>
      <c r="Y1531" s="110"/>
      <c r="Z1531" s="110"/>
    </row>
    <row r="1532">
      <c r="A1532" s="212"/>
      <c r="B1532" s="21"/>
      <c r="C1532" s="21"/>
      <c r="D1532" s="213"/>
      <c r="E1532" s="214"/>
      <c r="F1532" s="215"/>
      <c r="G1532" s="21"/>
      <c r="H1532" s="225"/>
      <c r="I1532" s="225"/>
      <c r="J1532" s="225"/>
      <c r="K1532" s="225"/>
      <c r="L1532" s="225"/>
      <c r="M1532" s="225"/>
      <c r="N1532" s="225"/>
      <c r="O1532" s="225"/>
      <c r="P1532" s="225"/>
      <c r="Q1532" s="225"/>
      <c r="R1532" s="225"/>
      <c r="S1532" s="225"/>
      <c r="T1532" s="225"/>
      <c r="U1532" s="225"/>
      <c r="V1532" s="225"/>
      <c r="W1532" s="110"/>
      <c r="X1532" s="110"/>
      <c r="Y1532" s="110"/>
      <c r="Z1532" s="110"/>
    </row>
    <row r="1533">
      <c r="A1533" s="212"/>
      <c r="B1533" s="21"/>
      <c r="C1533" s="21"/>
      <c r="D1533" s="213"/>
      <c r="E1533" s="214"/>
      <c r="F1533" s="215"/>
      <c r="G1533" s="21"/>
      <c r="H1533" s="225"/>
      <c r="I1533" s="225"/>
      <c r="J1533" s="225"/>
      <c r="K1533" s="225"/>
      <c r="L1533" s="225"/>
      <c r="M1533" s="225"/>
      <c r="N1533" s="225"/>
      <c r="O1533" s="225"/>
      <c r="P1533" s="225"/>
      <c r="Q1533" s="225"/>
      <c r="R1533" s="225"/>
      <c r="S1533" s="225"/>
      <c r="T1533" s="225"/>
      <c r="U1533" s="225"/>
      <c r="V1533" s="225"/>
      <c r="W1533" s="110"/>
      <c r="X1533" s="110"/>
      <c r="Y1533" s="110"/>
      <c r="Z1533" s="110"/>
    </row>
    <row r="1534">
      <c r="A1534" s="212"/>
      <c r="B1534" s="21"/>
      <c r="C1534" s="21"/>
      <c r="D1534" s="213"/>
      <c r="E1534" s="214"/>
      <c r="F1534" s="215"/>
      <c r="G1534" s="21"/>
      <c r="H1534" s="225"/>
      <c r="I1534" s="225"/>
      <c r="J1534" s="225"/>
      <c r="K1534" s="225"/>
      <c r="L1534" s="225"/>
      <c r="M1534" s="225"/>
      <c r="N1534" s="225"/>
      <c r="O1534" s="225"/>
      <c r="P1534" s="225"/>
      <c r="Q1534" s="225"/>
      <c r="R1534" s="225"/>
      <c r="S1534" s="225"/>
      <c r="T1534" s="225"/>
      <c r="U1534" s="225"/>
      <c r="V1534" s="225"/>
      <c r="W1534" s="110"/>
      <c r="X1534" s="110"/>
      <c r="Y1534" s="110"/>
      <c r="Z1534" s="110"/>
    </row>
    <row r="1535">
      <c r="A1535" s="212"/>
      <c r="B1535" s="21"/>
      <c r="C1535" s="21"/>
      <c r="D1535" s="213"/>
      <c r="E1535" s="214"/>
      <c r="F1535" s="215"/>
      <c r="G1535" s="21"/>
      <c r="H1535" s="225"/>
      <c r="I1535" s="225"/>
      <c r="J1535" s="225"/>
      <c r="K1535" s="225"/>
      <c r="L1535" s="225"/>
      <c r="M1535" s="225"/>
      <c r="N1535" s="225"/>
      <c r="O1535" s="225"/>
      <c r="P1535" s="225"/>
      <c r="Q1535" s="225"/>
      <c r="R1535" s="225"/>
      <c r="S1535" s="225"/>
      <c r="T1535" s="225"/>
      <c r="U1535" s="225"/>
      <c r="V1535" s="225"/>
      <c r="W1535" s="110"/>
      <c r="X1535" s="110"/>
      <c r="Y1535" s="110"/>
      <c r="Z1535" s="110"/>
    </row>
    <row r="1536">
      <c r="A1536" s="212"/>
      <c r="B1536" s="21"/>
      <c r="C1536" s="21"/>
      <c r="D1536" s="213"/>
      <c r="E1536" s="214"/>
      <c r="F1536" s="215"/>
      <c r="G1536" s="21"/>
      <c r="H1536" s="225"/>
      <c r="I1536" s="225"/>
      <c r="J1536" s="225"/>
      <c r="K1536" s="225"/>
      <c r="L1536" s="225"/>
      <c r="M1536" s="225"/>
      <c r="N1536" s="225"/>
      <c r="O1536" s="225"/>
      <c r="P1536" s="225"/>
      <c r="Q1536" s="225"/>
      <c r="R1536" s="225"/>
      <c r="S1536" s="225"/>
      <c r="T1536" s="225"/>
      <c r="U1536" s="225"/>
      <c r="V1536" s="225"/>
      <c r="W1536" s="110"/>
      <c r="X1536" s="110"/>
      <c r="Y1536" s="110"/>
      <c r="Z1536" s="110"/>
    </row>
    <row r="1537">
      <c r="A1537" s="212"/>
      <c r="B1537" s="21"/>
      <c r="C1537" s="21"/>
      <c r="D1537" s="213"/>
      <c r="E1537" s="214"/>
      <c r="F1537" s="215"/>
      <c r="G1537" s="21"/>
      <c r="H1537" s="225"/>
      <c r="I1537" s="225"/>
      <c r="J1537" s="225"/>
      <c r="K1537" s="225"/>
      <c r="L1537" s="225"/>
      <c r="M1537" s="225"/>
      <c r="N1537" s="225"/>
      <c r="O1537" s="225"/>
      <c r="P1537" s="225"/>
      <c r="Q1537" s="225"/>
      <c r="R1537" s="225"/>
      <c r="S1537" s="225"/>
      <c r="T1537" s="225"/>
      <c r="U1537" s="225"/>
      <c r="V1537" s="225"/>
      <c r="W1537" s="110"/>
      <c r="X1537" s="110"/>
      <c r="Y1537" s="110"/>
      <c r="Z1537" s="110"/>
    </row>
    <row r="1538">
      <c r="A1538" s="212"/>
      <c r="B1538" s="21"/>
      <c r="C1538" s="21"/>
      <c r="D1538" s="213"/>
      <c r="E1538" s="214"/>
      <c r="F1538" s="215"/>
      <c r="G1538" s="21"/>
      <c r="H1538" s="225"/>
      <c r="I1538" s="225"/>
      <c r="J1538" s="225"/>
      <c r="K1538" s="225"/>
      <c r="L1538" s="225"/>
      <c r="M1538" s="225"/>
      <c r="N1538" s="225"/>
      <c r="O1538" s="225"/>
      <c r="P1538" s="225"/>
      <c r="Q1538" s="225"/>
      <c r="R1538" s="225"/>
      <c r="S1538" s="225"/>
      <c r="T1538" s="225"/>
      <c r="U1538" s="225"/>
      <c r="V1538" s="225"/>
      <c r="W1538" s="110"/>
      <c r="X1538" s="110"/>
      <c r="Y1538" s="110"/>
      <c r="Z1538" s="110"/>
    </row>
    <row r="1539">
      <c r="A1539" s="212"/>
      <c r="B1539" s="21"/>
      <c r="C1539" s="21"/>
      <c r="D1539" s="213"/>
      <c r="E1539" s="214"/>
      <c r="F1539" s="215"/>
      <c r="G1539" s="21"/>
      <c r="H1539" s="225"/>
      <c r="I1539" s="225"/>
      <c r="J1539" s="225"/>
      <c r="K1539" s="225"/>
      <c r="L1539" s="225"/>
      <c r="M1539" s="225"/>
      <c r="N1539" s="225"/>
      <c r="O1539" s="225"/>
      <c r="P1539" s="225"/>
      <c r="Q1539" s="225"/>
      <c r="R1539" s="225"/>
      <c r="S1539" s="225"/>
      <c r="T1539" s="225"/>
      <c r="U1539" s="225"/>
      <c r="V1539" s="225"/>
      <c r="W1539" s="110"/>
      <c r="X1539" s="110"/>
      <c r="Y1539" s="110"/>
      <c r="Z1539" s="110"/>
    </row>
    <row r="1540">
      <c r="A1540" s="212"/>
      <c r="B1540" s="21"/>
      <c r="C1540" s="21"/>
      <c r="D1540" s="213"/>
      <c r="E1540" s="214"/>
      <c r="F1540" s="215"/>
      <c r="G1540" s="21"/>
      <c r="H1540" s="225"/>
      <c r="I1540" s="225"/>
      <c r="J1540" s="225"/>
      <c r="K1540" s="225"/>
      <c r="L1540" s="225"/>
      <c r="M1540" s="225"/>
      <c r="N1540" s="225"/>
      <c r="O1540" s="225"/>
      <c r="P1540" s="225"/>
      <c r="Q1540" s="225"/>
      <c r="R1540" s="225"/>
      <c r="S1540" s="225"/>
      <c r="T1540" s="225"/>
      <c r="U1540" s="225"/>
      <c r="V1540" s="225"/>
      <c r="W1540" s="110"/>
      <c r="X1540" s="110"/>
      <c r="Y1540" s="110"/>
      <c r="Z1540" s="110"/>
    </row>
    <row r="1541">
      <c r="A1541" s="212"/>
      <c r="B1541" s="21"/>
      <c r="C1541" s="21"/>
      <c r="D1541" s="213"/>
      <c r="E1541" s="214"/>
      <c r="F1541" s="215"/>
      <c r="G1541" s="21"/>
      <c r="H1541" s="225"/>
      <c r="I1541" s="225"/>
      <c r="J1541" s="225"/>
      <c r="K1541" s="225"/>
      <c r="L1541" s="225"/>
      <c r="M1541" s="225"/>
      <c r="N1541" s="225"/>
      <c r="O1541" s="225"/>
      <c r="P1541" s="225"/>
      <c r="Q1541" s="225"/>
      <c r="R1541" s="225"/>
      <c r="S1541" s="225"/>
      <c r="T1541" s="225"/>
      <c r="U1541" s="225"/>
      <c r="V1541" s="225"/>
      <c r="W1541" s="110"/>
      <c r="X1541" s="110"/>
      <c r="Y1541" s="110"/>
      <c r="Z1541" s="110"/>
    </row>
    <row r="1542">
      <c r="A1542" s="212"/>
      <c r="B1542" s="21"/>
      <c r="C1542" s="21"/>
      <c r="D1542" s="213"/>
      <c r="E1542" s="214"/>
      <c r="F1542" s="215"/>
      <c r="G1542" s="21"/>
      <c r="H1542" s="225"/>
      <c r="I1542" s="225"/>
      <c r="J1542" s="225"/>
      <c r="K1542" s="225"/>
      <c r="L1542" s="225"/>
      <c r="M1542" s="225"/>
      <c r="N1542" s="225"/>
      <c r="O1542" s="225"/>
      <c r="P1542" s="225"/>
      <c r="Q1542" s="225"/>
      <c r="R1542" s="225"/>
      <c r="S1542" s="225"/>
      <c r="T1542" s="225"/>
      <c r="U1542" s="225"/>
      <c r="V1542" s="225"/>
      <c r="W1542" s="110"/>
      <c r="X1542" s="110"/>
      <c r="Y1542" s="110"/>
      <c r="Z1542" s="110"/>
    </row>
    <row r="1543">
      <c r="A1543" s="212"/>
      <c r="B1543" s="21"/>
      <c r="C1543" s="21"/>
      <c r="D1543" s="213"/>
      <c r="E1543" s="214"/>
      <c r="F1543" s="215"/>
      <c r="G1543" s="21"/>
      <c r="H1543" s="225"/>
      <c r="I1543" s="225"/>
      <c r="J1543" s="225"/>
      <c r="K1543" s="225"/>
      <c r="L1543" s="225"/>
      <c r="M1543" s="225"/>
      <c r="N1543" s="225"/>
      <c r="O1543" s="225"/>
      <c r="P1543" s="225"/>
      <c r="Q1543" s="225"/>
      <c r="R1543" s="225"/>
      <c r="S1543" s="225"/>
      <c r="T1543" s="225"/>
      <c r="U1543" s="225"/>
      <c r="V1543" s="225"/>
      <c r="W1543" s="110"/>
      <c r="X1543" s="110"/>
      <c r="Y1543" s="110"/>
      <c r="Z1543" s="110"/>
    </row>
    <row r="1544">
      <c r="A1544" s="212"/>
      <c r="B1544" s="21"/>
      <c r="C1544" s="21"/>
      <c r="D1544" s="213"/>
      <c r="E1544" s="214"/>
      <c r="F1544" s="215"/>
      <c r="G1544" s="21"/>
      <c r="H1544" s="225"/>
      <c r="I1544" s="225"/>
      <c r="J1544" s="225"/>
      <c r="K1544" s="225"/>
      <c r="L1544" s="225"/>
      <c r="M1544" s="225"/>
      <c r="N1544" s="225"/>
      <c r="O1544" s="225"/>
      <c r="P1544" s="225"/>
      <c r="Q1544" s="225"/>
      <c r="R1544" s="225"/>
      <c r="S1544" s="225"/>
      <c r="T1544" s="225"/>
      <c r="U1544" s="225"/>
      <c r="V1544" s="225"/>
      <c r="W1544" s="110"/>
      <c r="X1544" s="110"/>
      <c r="Y1544" s="110"/>
      <c r="Z1544" s="110"/>
    </row>
    <row r="1545">
      <c r="A1545" s="212"/>
      <c r="B1545" s="21"/>
      <c r="C1545" s="21"/>
      <c r="D1545" s="213"/>
      <c r="E1545" s="214"/>
      <c r="F1545" s="215"/>
      <c r="G1545" s="21"/>
      <c r="H1545" s="225"/>
      <c r="I1545" s="225"/>
      <c r="J1545" s="225"/>
      <c r="K1545" s="225"/>
      <c r="L1545" s="225"/>
      <c r="M1545" s="225"/>
      <c r="N1545" s="225"/>
      <c r="O1545" s="225"/>
      <c r="P1545" s="225"/>
      <c r="Q1545" s="225"/>
      <c r="R1545" s="225"/>
      <c r="S1545" s="225"/>
      <c r="T1545" s="225"/>
      <c r="U1545" s="225"/>
      <c r="V1545" s="225"/>
      <c r="W1545" s="110"/>
      <c r="X1545" s="110"/>
      <c r="Y1545" s="110"/>
      <c r="Z1545" s="110"/>
    </row>
    <row r="1546">
      <c r="A1546" s="212"/>
      <c r="B1546" s="21"/>
      <c r="C1546" s="21"/>
      <c r="D1546" s="213"/>
      <c r="E1546" s="214"/>
      <c r="F1546" s="215"/>
      <c r="G1546" s="21"/>
      <c r="H1546" s="225"/>
      <c r="I1546" s="225"/>
      <c r="J1546" s="225"/>
      <c r="K1546" s="225"/>
      <c r="L1546" s="225"/>
      <c r="M1546" s="225"/>
      <c r="N1546" s="225"/>
      <c r="O1546" s="225"/>
      <c r="P1546" s="225"/>
      <c r="Q1546" s="225"/>
      <c r="R1546" s="225"/>
      <c r="S1546" s="225"/>
      <c r="T1546" s="225"/>
      <c r="U1546" s="225"/>
      <c r="V1546" s="225"/>
      <c r="W1546" s="110"/>
      <c r="X1546" s="110"/>
      <c r="Y1546" s="110"/>
      <c r="Z1546" s="110"/>
    </row>
    <row r="1547">
      <c r="A1547" s="212"/>
      <c r="B1547" s="21"/>
      <c r="C1547" s="21"/>
      <c r="D1547" s="213"/>
      <c r="E1547" s="214"/>
      <c r="F1547" s="215"/>
      <c r="G1547" s="21"/>
      <c r="H1547" s="225"/>
      <c r="I1547" s="225"/>
      <c r="J1547" s="225"/>
      <c r="K1547" s="225"/>
      <c r="L1547" s="225"/>
      <c r="M1547" s="225"/>
      <c r="N1547" s="225"/>
      <c r="O1547" s="225"/>
      <c r="P1547" s="225"/>
      <c r="Q1547" s="225"/>
      <c r="R1547" s="225"/>
      <c r="S1547" s="225"/>
      <c r="T1547" s="225"/>
      <c r="U1547" s="225"/>
      <c r="V1547" s="225"/>
      <c r="W1547" s="110"/>
      <c r="X1547" s="110"/>
      <c r="Y1547" s="110"/>
      <c r="Z1547" s="110"/>
    </row>
    <row r="1548">
      <c r="A1548" s="212"/>
      <c r="B1548" s="21"/>
      <c r="C1548" s="21"/>
      <c r="D1548" s="213"/>
      <c r="E1548" s="214"/>
      <c r="F1548" s="215"/>
      <c r="G1548" s="21"/>
      <c r="H1548" s="225"/>
      <c r="I1548" s="225"/>
      <c r="J1548" s="225"/>
      <c r="K1548" s="225"/>
      <c r="L1548" s="225"/>
      <c r="M1548" s="225"/>
      <c r="N1548" s="225"/>
      <c r="O1548" s="225"/>
      <c r="P1548" s="225"/>
      <c r="Q1548" s="225"/>
      <c r="R1548" s="225"/>
      <c r="S1548" s="225"/>
      <c r="T1548" s="225"/>
      <c r="U1548" s="225"/>
      <c r="V1548" s="225"/>
      <c r="W1548" s="110"/>
      <c r="X1548" s="110"/>
      <c r="Y1548" s="110"/>
      <c r="Z1548" s="110"/>
    </row>
    <row r="1549">
      <c r="A1549" s="212"/>
      <c r="B1549" s="21"/>
      <c r="C1549" s="21"/>
      <c r="D1549" s="213"/>
      <c r="E1549" s="214"/>
      <c r="F1549" s="215"/>
      <c r="G1549" s="21"/>
      <c r="H1549" s="225"/>
      <c r="I1549" s="225"/>
      <c r="J1549" s="225"/>
      <c r="K1549" s="225"/>
      <c r="L1549" s="225"/>
      <c r="M1549" s="225"/>
      <c r="N1549" s="225"/>
      <c r="O1549" s="225"/>
      <c r="P1549" s="225"/>
      <c r="Q1549" s="225"/>
      <c r="R1549" s="225"/>
      <c r="S1549" s="225"/>
      <c r="T1549" s="225"/>
      <c r="U1549" s="225"/>
      <c r="V1549" s="225"/>
      <c r="W1549" s="110"/>
      <c r="X1549" s="110"/>
      <c r="Y1549" s="110"/>
      <c r="Z1549" s="110"/>
    </row>
    <row r="1550">
      <c r="A1550" s="212"/>
      <c r="B1550" s="21"/>
      <c r="C1550" s="21"/>
      <c r="D1550" s="213"/>
      <c r="E1550" s="214"/>
      <c r="F1550" s="215"/>
      <c r="G1550" s="21"/>
      <c r="H1550" s="225"/>
      <c r="I1550" s="225"/>
      <c r="J1550" s="225"/>
      <c r="K1550" s="225"/>
      <c r="L1550" s="225"/>
      <c r="M1550" s="225"/>
      <c r="N1550" s="225"/>
      <c r="O1550" s="225"/>
      <c r="P1550" s="225"/>
      <c r="Q1550" s="225"/>
      <c r="R1550" s="225"/>
      <c r="S1550" s="225"/>
      <c r="T1550" s="225"/>
      <c r="U1550" s="225"/>
      <c r="V1550" s="225"/>
      <c r="W1550" s="110"/>
      <c r="X1550" s="110"/>
      <c r="Y1550" s="110"/>
      <c r="Z1550" s="110"/>
    </row>
    <row r="1551">
      <c r="A1551" s="212"/>
      <c r="B1551" s="21"/>
      <c r="C1551" s="21"/>
      <c r="D1551" s="213"/>
      <c r="E1551" s="214"/>
      <c r="F1551" s="215"/>
      <c r="G1551" s="21"/>
      <c r="H1551" s="225"/>
      <c r="I1551" s="225"/>
      <c r="J1551" s="225"/>
      <c r="K1551" s="225"/>
      <c r="L1551" s="225"/>
      <c r="M1551" s="225"/>
      <c r="N1551" s="225"/>
      <c r="O1551" s="225"/>
      <c r="P1551" s="225"/>
      <c r="Q1551" s="225"/>
      <c r="R1551" s="225"/>
      <c r="S1551" s="225"/>
      <c r="T1551" s="225"/>
      <c r="U1551" s="225"/>
      <c r="V1551" s="225"/>
      <c r="W1551" s="110"/>
      <c r="X1551" s="110"/>
      <c r="Y1551" s="110"/>
      <c r="Z1551" s="110"/>
    </row>
    <row r="1552">
      <c r="A1552" s="212"/>
      <c r="B1552" s="21"/>
      <c r="C1552" s="21"/>
      <c r="D1552" s="213"/>
      <c r="E1552" s="214"/>
      <c r="F1552" s="215"/>
      <c r="G1552" s="21"/>
      <c r="H1552" s="225"/>
      <c r="I1552" s="225"/>
      <c r="J1552" s="225"/>
      <c r="K1552" s="225"/>
      <c r="L1552" s="225"/>
      <c r="M1552" s="225"/>
      <c r="N1552" s="225"/>
      <c r="O1552" s="225"/>
      <c r="P1552" s="225"/>
      <c r="Q1552" s="225"/>
      <c r="R1552" s="225"/>
      <c r="S1552" s="225"/>
      <c r="T1552" s="225"/>
      <c r="U1552" s="225"/>
      <c r="V1552" s="225"/>
      <c r="W1552" s="110"/>
      <c r="X1552" s="110"/>
      <c r="Y1552" s="110"/>
      <c r="Z1552" s="110"/>
    </row>
    <row r="1553">
      <c r="A1553" s="212"/>
      <c r="B1553" s="21"/>
      <c r="C1553" s="21"/>
      <c r="D1553" s="213"/>
      <c r="E1553" s="214"/>
      <c r="F1553" s="215"/>
      <c r="G1553" s="124"/>
      <c r="H1553" s="110"/>
      <c r="I1553" s="110"/>
      <c r="J1553" s="110"/>
      <c r="K1553" s="110"/>
      <c r="L1553" s="110"/>
      <c r="M1553" s="110"/>
      <c r="N1553" s="110"/>
      <c r="O1553" s="110"/>
      <c r="P1553" s="110"/>
      <c r="Q1553" s="110"/>
      <c r="R1553" s="110"/>
      <c r="S1553" s="110"/>
      <c r="T1553" s="110"/>
      <c r="U1553" s="110"/>
      <c r="V1553" s="110"/>
      <c r="W1553" s="110"/>
      <c r="X1553" s="110"/>
      <c r="Y1553" s="110"/>
      <c r="Z1553" s="110"/>
    </row>
    <row r="1554">
      <c r="A1554" s="212"/>
      <c r="B1554" s="21"/>
      <c r="C1554" s="21"/>
      <c r="D1554" s="213"/>
      <c r="E1554" s="214"/>
      <c r="F1554" s="215"/>
      <c r="G1554" s="110"/>
      <c r="H1554" s="110"/>
      <c r="I1554" s="110"/>
      <c r="J1554" s="110"/>
      <c r="K1554" s="110"/>
      <c r="L1554" s="110"/>
      <c r="M1554" s="110"/>
      <c r="N1554" s="110"/>
      <c r="O1554" s="110"/>
      <c r="P1554" s="110"/>
      <c r="Q1554" s="110"/>
      <c r="R1554" s="110"/>
      <c r="S1554" s="110"/>
      <c r="T1554" s="110"/>
      <c r="U1554" s="110"/>
      <c r="V1554" s="110"/>
      <c r="W1554" s="110"/>
      <c r="X1554" s="110"/>
      <c r="Y1554" s="110"/>
      <c r="Z1554" s="110"/>
    </row>
    <row r="1555">
      <c r="A1555" s="212"/>
      <c r="B1555" s="21"/>
      <c r="C1555" s="21"/>
      <c r="D1555" s="213"/>
      <c r="E1555" s="214"/>
      <c r="F1555" s="215"/>
      <c r="G1555" s="110"/>
      <c r="H1555" s="110"/>
      <c r="I1555" s="110"/>
      <c r="J1555" s="110"/>
      <c r="K1555" s="110"/>
      <c r="L1555" s="110"/>
      <c r="M1555" s="110"/>
      <c r="N1555" s="110"/>
      <c r="O1555" s="110"/>
      <c r="P1555" s="110"/>
      <c r="Q1555" s="110"/>
      <c r="R1555" s="110"/>
      <c r="S1555" s="110"/>
      <c r="T1555" s="110"/>
      <c r="U1555" s="110"/>
      <c r="V1555" s="110"/>
      <c r="W1555" s="110"/>
      <c r="X1555" s="110"/>
      <c r="Y1555" s="110"/>
      <c r="Z1555" s="110"/>
    </row>
    <row r="1556">
      <c r="A1556" s="212"/>
      <c r="B1556" s="21"/>
      <c r="C1556" s="21"/>
      <c r="D1556" s="213"/>
      <c r="E1556" s="214"/>
      <c r="F1556" s="215"/>
      <c r="G1556" s="162"/>
      <c r="H1556" s="225"/>
      <c r="I1556" s="225"/>
      <c r="J1556" s="225"/>
      <c r="K1556" s="225"/>
      <c r="L1556" s="225"/>
      <c r="M1556" s="225"/>
      <c r="N1556" s="225"/>
      <c r="O1556" s="225"/>
      <c r="P1556" s="225"/>
      <c r="Q1556" s="225"/>
      <c r="R1556" s="225"/>
      <c r="S1556" s="225"/>
      <c r="T1556" s="225"/>
      <c r="U1556" s="225"/>
      <c r="V1556" s="225"/>
      <c r="W1556" s="110"/>
      <c r="X1556" s="110"/>
      <c r="Y1556" s="110"/>
      <c r="Z1556" s="110"/>
    </row>
    <row r="1557">
      <c r="A1557" s="212"/>
      <c r="B1557" s="21"/>
      <c r="C1557" s="21"/>
      <c r="D1557" s="213"/>
      <c r="E1557" s="214"/>
      <c r="F1557" s="215"/>
      <c r="G1557" s="21"/>
      <c r="H1557" s="225"/>
      <c r="I1557" s="225"/>
      <c r="J1557" s="225"/>
      <c r="K1557" s="225"/>
      <c r="L1557" s="225"/>
      <c r="M1557" s="225"/>
      <c r="N1557" s="225"/>
      <c r="O1557" s="225"/>
      <c r="P1557" s="225"/>
      <c r="Q1557" s="225"/>
      <c r="R1557" s="225"/>
      <c r="S1557" s="225"/>
      <c r="T1557" s="225"/>
      <c r="U1557" s="225"/>
      <c r="V1557" s="225"/>
      <c r="W1557" s="110"/>
      <c r="X1557" s="110"/>
      <c r="Y1557" s="110"/>
      <c r="Z1557" s="110"/>
    </row>
    <row r="1558">
      <c r="A1558" s="212"/>
      <c r="B1558" s="21"/>
      <c r="C1558" s="21"/>
      <c r="D1558" s="213"/>
      <c r="E1558" s="214"/>
      <c r="F1558" s="215"/>
      <c r="G1558" s="21"/>
      <c r="H1558" s="225"/>
      <c r="I1558" s="225"/>
      <c r="J1558" s="225"/>
      <c r="K1558" s="225"/>
      <c r="L1558" s="225"/>
      <c r="M1558" s="225"/>
      <c r="N1558" s="225"/>
      <c r="O1558" s="225"/>
      <c r="P1558" s="225"/>
      <c r="Q1558" s="225"/>
      <c r="R1558" s="225"/>
      <c r="S1558" s="225"/>
      <c r="T1558" s="225"/>
      <c r="U1558" s="225"/>
      <c r="V1558" s="225"/>
      <c r="W1558" s="110"/>
      <c r="X1558" s="110"/>
      <c r="Y1558" s="110"/>
      <c r="Z1558" s="110"/>
    </row>
    <row r="1559">
      <c r="A1559" s="212"/>
      <c r="B1559" s="21"/>
      <c r="C1559" s="21"/>
      <c r="D1559" s="213"/>
      <c r="E1559" s="214"/>
      <c r="F1559" s="215"/>
      <c r="G1559" s="21"/>
      <c r="H1559" s="225"/>
      <c r="I1559" s="225"/>
      <c r="J1559" s="225"/>
      <c r="K1559" s="225"/>
      <c r="L1559" s="225"/>
      <c r="M1559" s="225"/>
      <c r="N1559" s="225"/>
      <c r="O1559" s="225"/>
      <c r="P1559" s="225"/>
      <c r="Q1559" s="225"/>
      <c r="R1559" s="225"/>
      <c r="S1559" s="225"/>
      <c r="T1559" s="225"/>
      <c r="U1559" s="225"/>
      <c r="V1559" s="225"/>
      <c r="W1559" s="110"/>
      <c r="X1559" s="110"/>
      <c r="Y1559" s="110"/>
      <c r="Z1559" s="110"/>
    </row>
    <row r="1560">
      <c r="A1560" s="212"/>
      <c r="B1560" s="21"/>
      <c r="C1560" s="21"/>
      <c r="D1560" s="213"/>
      <c r="E1560" s="214"/>
      <c r="F1560" s="215"/>
      <c r="G1560" s="21"/>
      <c r="H1560" s="225"/>
      <c r="I1560" s="225"/>
      <c r="J1560" s="225"/>
      <c r="K1560" s="225"/>
      <c r="L1560" s="225"/>
      <c r="M1560" s="225"/>
      <c r="N1560" s="225"/>
      <c r="O1560" s="225"/>
      <c r="P1560" s="225"/>
      <c r="Q1560" s="225"/>
      <c r="R1560" s="225"/>
      <c r="S1560" s="225"/>
      <c r="T1560" s="225"/>
      <c r="U1560" s="225"/>
      <c r="V1560" s="225"/>
      <c r="W1560" s="110"/>
      <c r="X1560" s="110"/>
      <c r="Y1560" s="110"/>
      <c r="Z1560" s="110"/>
    </row>
    <row r="1561">
      <c r="A1561" s="212"/>
      <c r="B1561" s="21"/>
      <c r="C1561" s="21"/>
      <c r="D1561" s="213"/>
      <c r="E1561" s="214"/>
      <c r="F1561" s="215"/>
      <c r="G1561" s="21"/>
      <c r="H1561" s="225"/>
      <c r="I1561" s="225"/>
      <c r="J1561" s="225"/>
      <c r="K1561" s="225"/>
      <c r="L1561" s="225"/>
      <c r="M1561" s="225"/>
      <c r="N1561" s="225"/>
      <c r="O1561" s="225"/>
      <c r="P1561" s="225"/>
      <c r="Q1561" s="225"/>
      <c r="R1561" s="225"/>
      <c r="S1561" s="225"/>
      <c r="T1561" s="225"/>
      <c r="U1561" s="225"/>
      <c r="V1561" s="225"/>
      <c r="W1561" s="110"/>
      <c r="X1561" s="110"/>
      <c r="Y1561" s="110"/>
      <c r="Z1561" s="110"/>
    </row>
    <row r="1562">
      <c r="A1562" s="212"/>
      <c r="B1562" s="21"/>
      <c r="C1562" s="21"/>
      <c r="D1562" s="213"/>
      <c r="E1562" s="214"/>
      <c r="F1562" s="215"/>
      <c r="G1562" s="21"/>
      <c r="H1562" s="225"/>
      <c r="I1562" s="225"/>
      <c r="J1562" s="225"/>
      <c r="K1562" s="225"/>
      <c r="L1562" s="225"/>
      <c r="M1562" s="225"/>
      <c r="N1562" s="225"/>
      <c r="O1562" s="225"/>
      <c r="P1562" s="225"/>
      <c r="Q1562" s="225"/>
      <c r="R1562" s="225"/>
      <c r="S1562" s="225"/>
      <c r="T1562" s="225"/>
      <c r="U1562" s="225"/>
      <c r="V1562" s="225"/>
      <c r="W1562" s="110"/>
      <c r="X1562" s="110"/>
      <c r="Y1562" s="110"/>
      <c r="Z1562" s="110"/>
    </row>
    <row r="1563">
      <c r="A1563" s="212"/>
      <c r="B1563" s="21"/>
      <c r="C1563" s="21"/>
      <c r="D1563" s="213"/>
      <c r="E1563" s="214"/>
      <c r="F1563" s="215"/>
      <c r="G1563" s="21"/>
      <c r="H1563" s="225"/>
      <c r="I1563" s="225"/>
      <c r="J1563" s="225"/>
      <c r="K1563" s="225"/>
      <c r="L1563" s="225"/>
      <c r="M1563" s="225"/>
      <c r="N1563" s="225"/>
      <c r="O1563" s="225"/>
      <c r="P1563" s="225"/>
      <c r="Q1563" s="225"/>
      <c r="R1563" s="225"/>
      <c r="S1563" s="225"/>
      <c r="T1563" s="225"/>
      <c r="U1563" s="225"/>
      <c r="V1563" s="225"/>
      <c r="W1563" s="110"/>
      <c r="X1563" s="110"/>
      <c r="Y1563" s="110"/>
      <c r="Z1563" s="110"/>
    </row>
    <row r="1564">
      <c r="A1564" s="212"/>
      <c r="B1564" s="21"/>
      <c r="C1564" s="21"/>
      <c r="D1564" s="213"/>
      <c r="E1564" s="214"/>
      <c r="F1564" s="215"/>
      <c r="G1564" s="21"/>
      <c r="H1564" s="225"/>
      <c r="I1564" s="225"/>
      <c r="J1564" s="225"/>
      <c r="K1564" s="225"/>
      <c r="L1564" s="225"/>
      <c r="M1564" s="225"/>
      <c r="N1564" s="225"/>
      <c r="O1564" s="225"/>
      <c r="P1564" s="225"/>
      <c r="Q1564" s="225"/>
      <c r="R1564" s="225"/>
      <c r="S1564" s="225"/>
      <c r="T1564" s="225"/>
      <c r="U1564" s="225"/>
      <c r="V1564" s="225"/>
      <c r="W1564" s="110"/>
      <c r="X1564" s="110"/>
      <c r="Y1564" s="110"/>
      <c r="Z1564" s="110"/>
    </row>
    <row r="1565">
      <c r="A1565" s="212"/>
      <c r="B1565" s="21"/>
      <c r="C1565" s="21"/>
      <c r="D1565" s="213"/>
      <c r="E1565" s="214"/>
      <c r="F1565" s="215"/>
      <c r="G1565" s="21"/>
      <c r="H1565" s="225"/>
      <c r="I1565" s="225"/>
      <c r="J1565" s="225"/>
      <c r="K1565" s="225"/>
      <c r="L1565" s="225"/>
      <c r="M1565" s="225"/>
      <c r="N1565" s="225"/>
      <c r="O1565" s="225"/>
      <c r="P1565" s="225"/>
      <c r="Q1565" s="225"/>
      <c r="R1565" s="225"/>
      <c r="S1565" s="225"/>
      <c r="T1565" s="225"/>
      <c r="U1565" s="225"/>
      <c r="V1565" s="225"/>
      <c r="W1565" s="110"/>
      <c r="X1565" s="110"/>
      <c r="Y1565" s="110"/>
      <c r="Z1565" s="110"/>
    </row>
    <row r="1566">
      <c r="A1566" s="212"/>
      <c r="B1566" s="21"/>
      <c r="C1566" s="21"/>
      <c r="D1566" s="213"/>
      <c r="E1566" s="214"/>
      <c r="F1566" s="215"/>
      <c r="G1566" s="21"/>
      <c r="H1566" s="225"/>
      <c r="I1566" s="225"/>
      <c r="J1566" s="225"/>
      <c r="K1566" s="225"/>
      <c r="L1566" s="225"/>
      <c r="M1566" s="225"/>
      <c r="N1566" s="225"/>
      <c r="O1566" s="225"/>
      <c r="P1566" s="225"/>
      <c r="Q1566" s="225"/>
      <c r="R1566" s="225"/>
      <c r="S1566" s="225"/>
      <c r="T1566" s="225"/>
      <c r="U1566" s="225"/>
      <c r="V1566" s="225"/>
      <c r="W1566" s="110"/>
      <c r="X1566" s="110"/>
      <c r="Y1566" s="110"/>
      <c r="Z1566" s="110"/>
    </row>
    <row r="1567">
      <c r="A1567" s="212"/>
      <c r="B1567" s="21"/>
      <c r="C1567" s="21"/>
      <c r="D1567" s="213"/>
      <c r="E1567" s="214"/>
      <c r="F1567" s="215"/>
      <c r="G1567" s="21"/>
      <c r="H1567" s="225"/>
      <c r="I1567" s="225"/>
      <c r="J1567" s="225"/>
      <c r="K1567" s="225"/>
      <c r="L1567" s="225"/>
      <c r="M1567" s="225"/>
      <c r="N1567" s="225"/>
      <c r="O1567" s="225"/>
      <c r="P1567" s="225"/>
      <c r="Q1567" s="225"/>
      <c r="R1567" s="225"/>
      <c r="S1567" s="225"/>
      <c r="T1567" s="225"/>
      <c r="U1567" s="225"/>
      <c r="V1567" s="225"/>
      <c r="W1567" s="110"/>
      <c r="X1567" s="110"/>
      <c r="Y1567" s="110"/>
      <c r="Z1567" s="110"/>
    </row>
    <row r="1568">
      <c r="A1568" s="212"/>
      <c r="B1568" s="21"/>
      <c r="C1568" s="21"/>
      <c r="D1568" s="213"/>
      <c r="E1568" s="214"/>
      <c r="F1568" s="215"/>
      <c r="G1568" s="124"/>
      <c r="H1568" s="110"/>
      <c r="I1568" s="110"/>
      <c r="J1568" s="110"/>
      <c r="K1568" s="110"/>
      <c r="L1568" s="110"/>
      <c r="M1568" s="110"/>
      <c r="N1568" s="110"/>
      <c r="O1568" s="110"/>
      <c r="P1568" s="110"/>
      <c r="Q1568" s="110"/>
      <c r="R1568" s="110"/>
      <c r="S1568" s="110"/>
      <c r="T1568" s="110"/>
      <c r="U1568" s="110"/>
      <c r="V1568" s="110"/>
      <c r="W1568" s="110"/>
      <c r="X1568" s="110"/>
      <c r="Y1568" s="110"/>
      <c r="Z1568" s="110"/>
    </row>
    <row r="1569">
      <c r="A1569" s="212"/>
      <c r="B1569" s="21"/>
      <c r="C1569" s="21"/>
      <c r="D1569" s="213"/>
      <c r="E1569" s="214"/>
      <c r="F1569" s="215"/>
      <c r="G1569" s="124"/>
      <c r="H1569" s="110"/>
      <c r="I1569" s="110"/>
      <c r="J1569" s="110"/>
      <c r="K1569" s="110"/>
      <c r="L1569" s="110"/>
      <c r="M1569" s="110"/>
      <c r="N1569" s="110"/>
      <c r="O1569" s="110"/>
      <c r="P1569" s="110"/>
      <c r="Q1569" s="110"/>
      <c r="R1569" s="110"/>
      <c r="S1569" s="110"/>
      <c r="T1569" s="110"/>
      <c r="U1569" s="110"/>
      <c r="V1569" s="110"/>
      <c r="W1569" s="110"/>
      <c r="X1569" s="110"/>
      <c r="Y1569" s="110"/>
      <c r="Z1569" s="110"/>
    </row>
    <row r="1570">
      <c r="A1570" s="212"/>
      <c r="B1570" s="21"/>
      <c r="C1570" s="21"/>
      <c r="D1570" s="213"/>
      <c r="E1570" s="214"/>
      <c r="F1570" s="215"/>
      <c r="G1570" s="110"/>
      <c r="H1570" s="110"/>
      <c r="I1570" s="110"/>
      <c r="J1570" s="110"/>
      <c r="K1570" s="110"/>
      <c r="L1570" s="110"/>
      <c r="M1570" s="110"/>
      <c r="N1570" s="110"/>
      <c r="O1570" s="110"/>
      <c r="P1570" s="110"/>
      <c r="Q1570" s="110"/>
      <c r="R1570" s="110"/>
      <c r="S1570" s="110"/>
      <c r="T1570" s="110"/>
      <c r="U1570" s="110"/>
      <c r="V1570" s="110"/>
      <c r="W1570" s="110"/>
      <c r="X1570" s="110"/>
      <c r="Y1570" s="110"/>
      <c r="Z1570" s="110"/>
    </row>
    <row r="1571">
      <c r="A1571" s="212"/>
      <c r="B1571" s="21"/>
      <c r="C1571" s="21"/>
      <c r="D1571" s="213"/>
      <c r="E1571" s="214"/>
      <c r="F1571" s="215"/>
      <c r="G1571" s="110"/>
      <c r="H1571" s="110"/>
      <c r="I1571" s="110"/>
      <c r="J1571" s="110"/>
      <c r="K1571" s="110"/>
      <c r="L1571" s="110"/>
      <c r="M1571" s="110"/>
      <c r="N1571" s="110"/>
      <c r="O1571" s="110"/>
      <c r="P1571" s="110"/>
      <c r="Q1571" s="110"/>
      <c r="R1571" s="110"/>
      <c r="S1571" s="110"/>
      <c r="T1571" s="110"/>
      <c r="U1571" s="110"/>
      <c r="V1571" s="110"/>
      <c r="W1571" s="110"/>
      <c r="X1571" s="110"/>
      <c r="Y1571" s="110"/>
      <c r="Z1571" s="110"/>
    </row>
    <row r="1572">
      <c r="A1572" s="212"/>
      <c r="B1572" s="21"/>
      <c r="C1572" s="21"/>
      <c r="D1572" s="213"/>
      <c r="E1572" s="214"/>
      <c r="F1572" s="215"/>
      <c r="G1572" s="162"/>
      <c r="H1572" s="225"/>
      <c r="I1572" s="225"/>
      <c r="J1572" s="225"/>
      <c r="K1572" s="225"/>
      <c r="L1572" s="225"/>
      <c r="M1572" s="225"/>
      <c r="N1572" s="225"/>
      <c r="O1572" s="225"/>
      <c r="P1572" s="225"/>
      <c r="Q1572" s="225"/>
      <c r="R1572" s="225"/>
      <c r="S1572" s="225"/>
      <c r="T1572" s="225"/>
      <c r="U1572" s="225"/>
      <c r="V1572" s="225"/>
      <c r="W1572" s="225"/>
      <c r="X1572" s="225"/>
      <c r="Y1572" s="225"/>
      <c r="Z1572" s="225"/>
    </row>
    <row r="1573">
      <c r="A1573" s="212"/>
      <c r="B1573" s="21"/>
      <c r="C1573" s="21"/>
      <c r="D1573" s="213"/>
      <c r="E1573" s="214"/>
      <c r="F1573" s="215"/>
      <c r="G1573" s="21"/>
      <c r="H1573" s="225"/>
      <c r="I1573" s="225"/>
      <c r="J1573" s="225"/>
      <c r="K1573" s="225"/>
      <c r="L1573" s="225"/>
      <c r="M1573" s="225"/>
      <c r="N1573" s="225"/>
      <c r="O1573" s="225"/>
      <c r="P1573" s="225"/>
      <c r="Q1573" s="225"/>
      <c r="R1573" s="225"/>
      <c r="S1573" s="225"/>
      <c r="T1573" s="225"/>
      <c r="U1573" s="225"/>
      <c r="V1573" s="225"/>
      <c r="W1573" s="225"/>
      <c r="X1573" s="225"/>
      <c r="Y1573" s="225"/>
      <c r="Z1573" s="225"/>
    </row>
    <row r="1574">
      <c r="A1574" s="212"/>
      <c r="B1574" s="21"/>
      <c r="C1574" s="21"/>
      <c r="D1574" s="213"/>
      <c r="E1574" s="214"/>
      <c r="F1574" s="215"/>
      <c r="G1574" s="21"/>
      <c r="H1574" s="225"/>
      <c r="I1574" s="225"/>
      <c r="J1574" s="225"/>
      <c r="K1574" s="225"/>
      <c r="L1574" s="225"/>
      <c r="M1574" s="225"/>
      <c r="N1574" s="225"/>
      <c r="O1574" s="225"/>
      <c r="P1574" s="225"/>
      <c r="Q1574" s="225"/>
      <c r="R1574" s="225"/>
      <c r="S1574" s="225"/>
      <c r="T1574" s="225"/>
      <c r="U1574" s="225"/>
      <c r="V1574" s="225"/>
      <c r="W1574" s="225"/>
      <c r="X1574" s="225"/>
      <c r="Y1574" s="225"/>
      <c r="Z1574" s="225"/>
    </row>
    <row r="1575">
      <c r="A1575" s="212"/>
      <c r="B1575" s="21"/>
      <c r="C1575" s="21"/>
      <c r="D1575" s="213"/>
      <c r="E1575" s="214"/>
      <c r="F1575" s="215"/>
      <c r="G1575" s="21"/>
      <c r="H1575" s="225"/>
      <c r="I1575" s="225"/>
      <c r="J1575" s="225"/>
      <c r="K1575" s="225"/>
      <c r="L1575" s="225"/>
      <c r="M1575" s="225"/>
      <c r="N1575" s="225"/>
      <c r="O1575" s="225"/>
      <c r="P1575" s="225"/>
      <c r="Q1575" s="225"/>
      <c r="R1575" s="225"/>
      <c r="S1575" s="225"/>
      <c r="T1575" s="225"/>
      <c r="U1575" s="225"/>
      <c r="V1575" s="225"/>
      <c r="W1575" s="225"/>
      <c r="X1575" s="225"/>
      <c r="Y1575" s="225"/>
      <c r="Z1575" s="225"/>
    </row>
    <row r="1576">
      <c r="A1576" s="212"/>
      <c r="B1576" s="21"/>
      <c r="C1576" s="21"/>
      <c r="D1576" s="213"/>
      <c r="E1576" s="214"/>
      <c r="F1576" s="215"/>
      <c r="G1576" s="21"/>
      <c r="H1576" s="225"/>
      <c r="I1576" s="225"/>
      <c r="J1576" s="225"/>
      <c r="K1576" s="225"/>
      <c r="L1576" s="225"/>
      <c r="M1576" s="225"/>
      <c r="N1576" s="225"/>
      <c r="O1576" s="225"/>
      <c r="P1576" s="225"/>
      <c r="Q1576" s="225"/>
      <c r="R1576" s="225"/>
      <c r="S1576" s="225"/>
      <c r="T1576" s="225"/>
      <c r="U1576" s="225"/>
      <c r="V1576" s="225"/>
      <c r="W1576" s="225"/>
      <c r="X1576" s="225"/>
      <c r="Y1576" s="225"/>
      <c r="Z1576" s="225"/>
    </row>
    <row r="1577">
      <c r="A1577" s="212"/>
      <c r="B1577" s="21"/>
      <c r="C1577" s="21"/>
      <c r="D1577" s="213"/>
      <c r="E1577" s="214"/>
      <c r="F1577" s="215"/>
      <c r="G1577" s="21"/>
      <c r="H1577" s="225"/>
      <c r="I1577" s="225"/>
      <c r="J1577" s="225"/>
      <c r="K1577" s="225"/>
      <c r="L1577" s="225"/>
      <c r="M1577" s="225"/>
      <c r="N1577" s="225"/>
      <c r="O1577" s="225"/>
      <c r="P1577" s="225"/>
      <c r="Q1577" s="225"/>
      <c r="R1577" s="225"/>
      <c r="S1577" s="225"/>
      <c r="T1577" s="225"/>
      <c r="U1577" s="225"/>
      <c r="V1577" s="225"/>
      <c r="W1577" s="225"/>
      <c r="X1577" s="225"/>
      <c r="Y1577" s="225"/>
      <c r="Z1577" s="225"/>
    </row>
    <row r="1578">
      <c r="A1578" s="212"/>
      <c r="B1578" s="21"/>
      <c r="C1578" s="21"/>
      <c r="D1578" s="213"/>
      <c r="E1578" s="214"/>
      <c r="F1578" s="215"/>
      <c r="G1578" s="21"/>
      <c r="H1578" s="225"/>
      <c r="I1578" s="225"/>
      <c r="J1578" s="225"/>
      <c r="K1578" s="225"/>
      <c r="L1578" s="225"/>
      <c r="M1578" s="225"/>
      <c r="N1578" s="225"/>
      <c r="O1578" s="225"/>
      <c r="P1578" s="225"/>
      <c r="Q1578" s="225"/>
      <c r="R1578" s="225"/>
      <c r="S1578" s="225"/>
      <c r="T1578" s="225"/>
      <c r="U1578" s="225"/>
      <c r="V1578" s="225"/>
      <c r="W1578" s="225"/>
      <c r="X1578" s="225"/>
      <c r="Y1578" s="225"/>
      <c r="Z1578" s="225"/>
    </row>
    <row r="1579">
      <c r="A1579" s="212"/>
      <c r="B1579" s="21"/>
      <c r="C1579" s="21"/>
      <c r="D1579" s="213"/>
      <c r="E1579" s="214"/>
      <c r="F1579" s="215"/>
      <c r="G1579" s="21"/>
      <c r="H1579" s="225"/>
      <c r="I1579" s="225"/>
      <c r="J1579" s="225"/>
      <c r="K1579" s="225"/>
      <c r="L1579" s="225"/>
      <c r="M1579" s="225"/>
      <c r="N1579" s="225"/>
      <c r="O1579" s="225"/>
      <c r="P1579" s="225"/>
      <c r="Q1579" s="225"/>
      <c r="R1579" s="225"/>
      <c r="S1579" s="225"/>
      <c r="T1579" s="225"/>
      <c r="U1579" s="225"/>
      <c r="V1579" s="225"/>
      <c r="W1579" s="225"/>
      <c r="X1579" s="225"/>
      <c r="Y1579" s="225"/>
      <c r="Z1579" s="225"/>
    </row>
    <row r="1580">
      <c r="A1580" s="212"/>
      <c r="B1580" s="21"/>
      <c r="C1580" s="21"/>
      <c r="D1580" s="213"/>
      <c r="E1580" s="214"/>
      <c r="F1580" s="215"/>
      <c r="G1580" s="21"/>
      <c r="H1580" s="225"/>
      <c r="I1580" s="225"/>
      <c r="J1580" s="225"/>
      <c r="K1580" s="225"/>
      <c r="L1580" s="225"/>
      <c r="M1580" s="225"/>
      <c r="N1580" s="225"/>
      <c r="O1580" s="225"/>
      <c r="P1580" s="225"/>
      <c r="Q1580" s="225"/>
      <c r="R1580" s="225"/>
      <c r="S1580" s="225"/>
      <c r="T1580" s="225"/>
      <c r="U1580" s="225"/>
      <c r="V1580" s="225"/>
      <c r="W1580" s="225"/>
      <c r="X1580" s="225"/>
      <c r="Y1580" s="225"/>
      <c r="Z1580" s="225"/>
    </row>
    <row r="1581">
      <c r="A1581" s="212"/>
      <c r="B1581" s="21"/>
      <c r="C1581" s="21"/>
      <c r="D1581" s="213"/>
      <c r="E1581" s="214"/>
      <c r="F1581" s="215"/>
      <c r="G1581" s="21"/>
      <c r="H1581" s="225"/>
      <c r="I1581" s="225"/>
      <c r="J1581" s="225"/>
      <c r="K1581" s="225"/>
      <c r="L1581" s="225"/>
      <c r="M1581" s="225"/>
      <c r="N1581" s="225"/>
      <c r="O1581" s="225"/>
      <c r="P1581" s="225"/>
      <c r="Q1581" s="225"/>
      <c r="R1581" s="225"/>
      <c r="S1581" s="225"/>
      <c r="T1581" s="225"/>
      <c r="U1581" s="225"/>
      <c r="V1581" s="225"/>
      <c r="W1581" s="225"/>
      <c r="X1581" s="225"/>
      <c r="Y1581" s="225"/>
      <c r="Z1581" s="225"/>
    </row>
    <row r="1582">
      <c r="A1582" s="212"/>
      <c r="B1582" s="21"/>
      <c r="C1582" s="21"/>
      <c r="D1582" s="213"/>
      <c r="E1582" s="214"/>
      <c r="F1582" s="215"/>
      <c r="G1582" s="21"/>
      <c r="H1582" s="225"/>
      <c r="I1582" s="225"/>
      <c r="J1582" s="225"/>
      <c r="K1582" s="225"/>
      <c r="L1582" s="225"/>
      <c r="M1582" s="225"/>
      <c r="N1582" s="225"/>
      <c r="O1582" s="225"/>
      <c r="P1582" s="225"/>
      <c r="Q1582" s="225"/>
      <c r="R1582" s="225"/>
      <c r="S1582" s="225"/>
      <c r="T1582" s="225"/>
      <c r="U1582" s="225"/>
      <c r="V1582" s="225"/>
      <c r="W1582" s="225"/>
      <c r="X1582" s="225"/>
      <c r="Y1582" s="225"/>
      <c r="Z1582" s="225"/>
    </row>
    <row r="1583">
      <c r="A1583" s="212"/>
      <c r="B1583" s="21"/>
      <c r="C1583" s="21"/>
      <c r="D1583" s="213"/>
      <c r="E1583" s="214"/>
      <c r="F1583" s="215"/>
      <c r="G1583" s="21"/>
      <c r="H1583" s="225"/>
      <c r="I1583" s="225"/>
      <c r="J1583" s="225"/>
      <c r="K1583" s="225"/>
      <c r="L1583" s="225"/>
      <c r="M1583" s="225"/>
      <c r="N1583" s="225"/>
      <c r="O1583" s="225"/>
      <c r="P1583" s="225"/>
      <c r="Q1583" s="225"/>
      <c r="R1583" s="225"/>
      <c r="S1583" s="225"/>
      <c r="T1583" s="225"/>
      <c r="U1583" s="225"/>
      <c r="V1583" s="225"/>
      <c r="W1583" s="225"/>
      <c r="X1583" s="225"/>
      <c r="Y1583" s="225"/>
      <c r="Z1583" s="225"/>
    </row>
    <row r="1584">
      <c r="A1584" s="212"/>
      <c r="B1584" s="21"/>
      <c r="C1584" s="21"/>
      <c r="D1584" s="213"/>
      <c r="E1584" s="214"/>
      <c r="F1584" s="215"/>
      <c r="G1584" s="21"/>
      <c r="H1584" s="225"/>
      <c r="I1584" s="225"/>
      <c r="J1584" s="225"/>
      <c r="K1584" s="225"/>
      <c r="L1584" s="225"/>
      <c r="M1584" s="225"/>
      <c r="N1584" s="225"/>
      <c r="O1584" s="225"/>
      <c r="P1584" s="225"/>
      <c r="Q1584" s="225"/>
      <c r="R1584" s="225"/>
      <c r="S1584" s="225"/>
      <c r="T1584" s="225"/>
      <c r="U1584" s="225"/>
      <c r="V1584" s="225"/>
      <c r="W1584" s="225"/>
      <c r="X1584" s="225"/>
      <c r="Y1584" s="225"/>
      <c r="Z1584" s="225"/>
    </row>
    <row r="1585">
      <c r="A1585" s="212"/>
      <c r="B1585" s="21"/>
      <c r="C1585" s="21"/>
      <c r="D1585" s="213"/>
      <c r="E1585" s="214"/>
      <c r="F1585" s="215"/>
      <c r="G1585" s="21"/>
      <c r="H1585" s="225"/>
      <c r="I1585" s="225"/>
      <c r="J1585" s="225"/>
      <c r="K1585" s="225"/>
      <c r="L1585" s="225"/>
      <c r="M1585" s="225"/>
      <c r="N1585" s="225"/>
      <c r="O1585" s="225"/>
      <c r="P1585" s="225"/>
      <c r="Q1585" s="225"/>
      <c r="R1585" s="225"/>
      <c r="S1585" s="225"/>
      <c r="T1585" s="225"/>
      <c r="U1585" s="225"/>
      <c r="V1585" s="225"/>
      <c r="W1585" s="225"/>
      <c r="X1585" s="225"/>
      <c r="Y1585" s="225"/>
      <c r="Z1585" s="225"/>
    </row>
    <row r="1586">
      <c r="A1586" s="212"/>
      <c r="B1586" s="21"/>
      <c r="C1586" s="21"/>
      <c r="D1586" s="213"/>
      <c r="E1586" s="214"/>
      <c r="F1586" s="215"/>
      <c r="G1586" s="21"/>
      <c r="H1586" s="225"/>
      <c r="I1586" s="225"/>
      <c r="J1586" s="225"/>
      <c r="K1586" s="225"/>
      <c r="L1586" s="225"/>
      <c r="M1586" s="225"/>
      <c r="N1586" s="225"/>
      <c r="O1586" s="225"/>
      <c r="P1586" s="225"/>
      <c r="Q1586" s="225"/>
      <c r="R1586" s="225"/>
      <c r="S1586" s="225"/>
      <c r="T1586" s="225"/>
      <c r="U1586" s="225"/>
      <c r="V1586" s="225"/>
      <c r="W1586" s="225"/>
      <c r="X1586" s="225"/>
      <c r="Y1586" s="225"/>
      <c r="Z1586" s="225"/>
    </row>
    <row r="1587">
      <c r="A1587" s="212"/>
      <c r="B1587" s="21"/>
      <c r="C1587" s="21"/>
      <c r="D1587" s="213"/>
      <c r="E1587" s="214"/>
      <c r="F1587" s="215"/>
      <c r="G1587" s="21"/>
      <c r="H1587" s="225"/>
      <c r="I1587" s="225"/>
      <c r="J1587" s="225"/>
      <c r="K1587" s="225"/>
      <c r="L1587" s="225"/>
      <c r="M1587" s="225"/>
      <c r="N1587" s="225"/>
      <c r="O1587" s="225"/>
      <c r="P1587" s="225"/>
      <c r="Q1587" s="225"/>
      <c r="R1587" s="225"/>
      <c r="S1587" s="225"/>
      <c r="T1587" s="225"/>
      <c r="U1587" s="225"/>
      <c r="V1587" s="225"/>
      <c r="W1587" s="225"/>
      <c r="X1587" s="225"/>
      <c r="Y1587" s="225"/>
      <c r="Z1587" s="225"/>
    </row>
    <row r="1588">
      <c r="A1588" s="212"/>
      <c r="B1588" s="21"/>
      <c r="C1588" s="21"/>
      <c r="D1588" s="213"/>
      <c r="E1588" s="214"/>
      <c r="F1588" s="215"/>
      <c r="G1588" s="21"/>
      <c r="H1588" s="225"/>
      <c r="I1588" s="225"/>
      <c r="J1588" s="225"/>
      <c r="K1588" s="225"/>
      <c r="L1588" s="225"/>
      <c r="M1588" s="225"/>
      <c r="N1588" s="225"/>
      <c r="O1588" s="225"/>
      <c r="P1588" s="225"/>
      <c r="Q1588" s="225"/>
      <c r="R1588" s="225"/>
      <c r="S1588" s="225"/>
      <c r="T1588" s="225"/>
      <c r="U1588" s="225"/>
      <c r="V1588" s="225"/>
      <c r="W1588" s="225"/>
      <c r="X1588" s="225"/>
      <c r="Y1588" s="225"/>
      <c r="Z1588" s="225"/>
    </row>
    <row r="1589">
      <c r="A1589" s="212"/>
      <c r="B1589" s="21"/>
      <c r="C1589" s="21"/>
      <c r="D1589" s="213"/>
      <c r="E1589" s="214"/>
      <c r="F1589" s="215"/>
      <c r="G1589" s="21"/>
      <c r="H1589" s="225"/>
      <c r="I1589" s="225"/>
      <c r="J1589" s="225"/>
      <c r="K1589" s="225"/>
      <c r="L1589" s="225"/>
      <c r="M1589" s="225"/>
      <c r="N1589" s="225"/>
      <c r="O1589" s="225"/>
      <c r="P1589" s="225"/>
      <c r="Q1589" s="225"/>
      <c r="R1589" s="225"/>
      <c r="S1589" s="225"/>
      <c r="T1589" s="225"/>
      <c r="U1589" s="225"/>
      <c r="V1589" s="225"/>
      <c r="W1589" s="225"/>
      <c r="X1589" s="225"/>
      <c r="Y1589" s="225"/>
      <c r="Z1589" s="225"/>
    </row>
    <row r="1590">
      <c r="A1590" s="212"/>
      <c r="B1590" s="21"/>
      <c r="C1590" s="21"/>
      <c r="D1590" s="213"/>
      <c r="E1590" s="214"/>
      <c r="F1590" s="215"/>
      <c r="G1590" s="21"/>
      <c r="H1590" s="225"/>
      <c r="I1590" s="225"/>
      <c r="J1590" s="225"/>
      <c r="K1590" s="225"/>
      <c r="L1590" s="225"/>
      <c r="M1590" s="225"/>
      <c r="N1590" s="225"/>
      <c r="O1590" s="225"/>
      <c r="P1590" s="225"/>
      <c r="Q1590" s="225"/>
      <c r="R1590" s="225"/>
      <c r="S1590" s="225"/>
      <c r="T1590" s="225"/>
      <c r="U1590" s="225"/>
      <c r="V1590" s="225"/>
      <c r="W1590" s="225"/>
      <c r="X1590" s="225"/>
      <c r="Y1590" s="225"/>
      <c r="Z1590" s="225"/>
    </row>
    <row r="1591">
      <c r="A1591" s="212"/>
      <c r="B1591" s="21"/>
      <c r="C1591" s="21"/>
      <c r="D1591" s="213"/>
      <c r="E1591" s="214"/>
      <c r="F1591" s="215"/>
      <c r="G1591" s="21"/>
      <c r="H1591" s="225"/>
      <c r="I1591" s="225"/>
      <c r="J1591" s="225"/>
      <c r="K1591" s="225"/>
      <c r="L1591" s="225"/>
      <c r="M1591" s="225"/>
      <c r="N1591" s="225"/>
      <c r="O1591" s="225"/>
      <c r="P1591" s="225"/>
      <c r="Q1591" s="225"/>
      <c r="R1591" s="225"/>
      <c r="S1591" s="225"/>
      <c r="T1591" s="225"/>
      <c r="U1591" s="225"/>
      <c r="V1591" s="225"/>
      <c r="W1591" s="225"/>
      <c r="X1591" s="225"/>
      <c r="Y1591" s="225"/>
      <c r="Z1591" s="225"/>
    </row>
    <row r="1592">
      <c r="A1592" s="212"/>
      <c r="B1592" s="21"/>
      <c r="C1592" s="21"/>
      <c r="D1592" s="213"/>
      <c r="E1592" s="214"/>
      <c r="F1592" s="215"/>
      <c r="G1592" s="21"/>
      <c r="H1592" s="225"/>
      <c r="I1592" s="225"/>
      <c r="J1592" s="225"/>
      <c r="K1592" s="225"/>
      <c r="L1592" s="225"/>
      <c r="M1592" s="225"/>
      <c r="N1592" s="225"/>
      <c r="O1592" s="225"/>
      <c r="P1592" s="225"/>
      <c r="Q1592" s="225"/>
      <c r="R1592" s="225"/>
      <c r="S1592" s="225"/>
      <c r="T1592" s="225"/>
      <c r="U1592" s="225"/>
      <c r="V1592" s="225"/>
      <c r="W1592" s="225"/>
      <c r="X1592" s="225"/>
      <c r="Y1592" s="225"/>
      <c r="Z1592" s="225"/>
    </row>
    <row r="1593">
      <c r="A1593" s="212"/>
      <c r="B1593" s="21"/>
      <c r="C1593" s="21"/>
      <c r="D1593" s="213"/>
      <c r="E1593" s="214"/>
      <c r="F1593" s="215"/>
      <c r="G1593" s="21"/>
      <c r="H1593" s="225"/>
      <c r="I1593" s="225"/>
      <c r="J1593" s="225"/>
      <c r="K1593" s="225"/>
      <c r="L1593" s="225"/>
      <c r="M1593" s="225"/>
      <c r="N1593" s="225"/>
      <c r="O1593" s="225"/>
      <c r="P1593" s="225"/>
      <c r="Q1593" s="225"/>
      <c r="R1593" s="225"/>
      <c r="S1593" s="225"/>
      <c r="T1593" s="225"/>
      <c r="U1593" s="225"/>
      <c r="V1593" s="225"/>
      <c r="W1593" s="225"/>
      <c r="X1593" s="225"/>
      <c r="Y1593" s="225"/>
      <c r="Z1593" s="225"/>
    </row>
    <row r="1594">
      <c r="A1594" s="212"/>
      <c r="B1594" s="21"/>
      <c r="C1594" s="21"/>
      <c r="D1594" s="213"/>
      <c r="E1594" s="214"/>
      <c r="F1594" s="215"/>
      <c r="G1594" s="21"/>
      <c r="H1594" s="225"/>
      <c r="I1594" s="225"/>
      <c r="J1594" s="225"/>
      <c r="K1594" s="225"/>
      <c r="L1594" s="225"/>
      <c r="M1594" s="225"/>
      <c r="N1594" s="225"/>
      <c r="O1594" s="225"/>
      <c r="P1594" s="225"/>
      <c r="Q1594" s="225"/>
      <c r="R1594" s="225"/>
      <c r="S1594" s="225"/>
      <c r="T1594" s="225"/>
      <c r="U1594" s="225"/>
      <c r="V1594" s="225"/>
      <c r="W1594" s="225"/>
      <c r="X1594" s="225"/>
      <c r="Y1594" s="225"/>
      <c r="Z1594" s="225"/>
    </row>
    <row r="1595">
      <c r="A1595" s="212"/>
      <c r="B1595" s="21"/>
      <c r="C1595" s="21"/>
      <c r="D1595" s="213"/>
      <c r="E1595" s="214"/>
      <c r="F1595" s="215"/>
      <c r="G1595" s="21"/>
      <c r="H1595" s="225"/>
      <c r="I1595" s="225"/>
      <c r="J1595" s="225"/>
      <c r="K1595" s="225"/>
      <c r="L1595" s="225"/>
      <c r="M1595" s="225"/>
      <c r="N1595" s="225"/>
      <c r="O1595" s="225"/>
      <c r="P1595" s="225"/>
      <c r="Q1595" s="225"/>
      <c r="R1595" s="225"/>
      <c r="S1595" s="225"/>
      <c r="T1595" s="225"/>
      <c r="U1595" s="225"/>
      <c r="V1595" s="225"/>
      <c r="W1595" s="225"/>
      <c r="X1595" s="225"/>
      <c r="Y1595" s="225"/>
      <c r="Z1595" s="225"/>
    </row>
    <row r="1596">
      <c r="A1596" s="212"/>
      <c r="B1596" s="21"/>
      <c r="C1596" s="21"/>
      <c r="D1596" s="213"/>
      <c r="E1596" s="214"/>
      <c r="F1596" s="215"/>
      <c r="G1596" s="21"/>
      <c r="H1596" s="225"/>
      <c r="I1596" s="225"/>
      <c r="J1596" s="225"/>
      <c r="K1596" s="225"/>
      <c r="L1596" s="225"/>
      <c r="M1596" s="225"/>
      <c r="N1596" s="225"/>
      <c r="O1596" s="225"/>
      <c r="P1596" s="225"/>
      <c r="Q1596" s="225"/>
      <c r="R1596" s="225"/>
      <c r="S1596" s="225"/>
      <c r="T1596" s="225"/>
      <c r="U1596" s="225"/>
      <c r="V1596" s="225"/>
      <c r="W1596" s="225"/>
      <c r="X1596" s="225"/>
      <c r="Y1596" s="225"/>
      <c r="Z1596" s="225"/>
    </row>
    <row r="1597">
      <c r="A1597" s="212"/>
      <c r="B1597" s="21"/>
      <c r="C1597" s="21"/>
      <c r="D1597" s="213"/>
      <c r="E1597" s="214"/>
      <c r="F1597" s="215"/>
      <c r="G1597" s="21"/>
      <c r="H1597" s="225"/>
      <c r="I1597" s="225"/>
      <c r="J1597" s="225"/>
      <c r="K1597" s="225"/>
      <c r="L1597" s="225"/>
      <c r="M1597" s="225"/>
      <c r="N1597" s="225"/>
      <c r="O1597" s="225"/>
      <c r="P1597" s="225"/>
      <c r="Q1597" s="225"/>
      <c r="R1597" s="225"/>
      <c r="S1597" s="225"/>
      <c r="T1597" s="225"/>
      <c r="U1597" s="225"/>
      <c r="V1597" s="225"/>
      <c r="W1597" s="225"/>
      <c r="X1597" s="225"/>
      <c r="Y1597" s="225"/>
      <c r="Z1597" s="225"/>
    </row>
    <row r="1598">
      <c r="A1598" s="212"/>
      <c r="B1598" s="21"/>
      <c r="C1598" s="21"/>
      <c r="D1598" s="213"/>
      <c r="E1598" s="214"/>
      <c r="F1598" s="215"/>
      <c r="G1598" s="24"/>
      <c r="H1598" s="222"/>
      <c r="I1598" s="222"/>
      <c r="J1598" s="222"/>
      <c r="K1598" s="222"/>
      <c r="L1598" s="222"/>
      <c r="M1598" s="222"/>
      <c r="N1598" s="222"/>
      <c r="O1598" s="222"/>
      <c r="P1598" s="222"/>
      <c r="Q1598" s="222"/>
      <c r="R1598" s="222"/>
      <c r="S1598" s="222"/>
      <c r="T1598" s="222"/>
      <c r="U1598" s="222"/>
      <c r="V1598" s="222"/>
      <c r="W1598" s="222"/>
      <c r="X1598" s="222"/>
      <c r="Y1598" s="222"/>
      <c r="Z1598" s="222"/>
      <c r="AA1598" s="224"/>
      <c r="AB1598" s="224"/>
      <c r="AC1598" s="224"/>
      <c r="AD1598" s="224"/>
      <c r="AE1598" s="224"/>
      <c r="AF1598" s="224"/>
      <c r="AG1598" s="224"/>
      <c r="AH1598" s="224"/>
      <c r="AI1598" s="224"/>
      <c r="AJ1598" s="224"/>
      <c r="AK1598" s="224"/>
      <c r="AL1598" s="224"/>
      <c r="AM1598" s="224"/>
      <c r="AN1598" s="224"/>
      <c r="AO1598" s="224"/>
      <c r="AP1598" s="224"/>
      <c r="AQ1598" s="224"/>
      <c r="AR1598" s="224"/>
      <c r="AS1598" s="224"/>
      <c r="AT1598" s="224"/>
      <c r="AU1598" s="224"/>
      <c r="AV1598" s="224"/>
      <c r="AW1598" s="224"/>
      <c r="AX1598" s="224"/>
      <c r="AY1598" s="224"/>
      <c r="AZ1598" s="224"/>
      <c r="BA1598" s="224"/>
      <c r="BB1598" s="224"/>
      <c r="BC1598" s="224"/>
      <c r="BD1598" s="224"/>
      <c r="BE1598" s="224"/>
      <c r="BF1598" s="224"/>
      <c r="BG1598" s="224"/>
      <c r="BH1598" s="224"/>
      <c r="BI1598" s="224"/>
      <c r="BJ1598" s="224"/>
      <c r="BK1598" s="224"/>
      <c r="BL1598" s="224"/>
      <c r="BM1598" s="224"/>
      <c r="BN1598" s="224"/>
      <c r="BO1598" s="224"/>
      <c r="BP1598" s="224"/>
      <c r="BQ1598" s="224"/>
      <c r="BR1598" s="224"/>
      <c r="BS1598" s="224"/>
      <c r="BT1598" s="224"/>
      <c r="BU1598" s="224"/>
      <c r="BV1598" s="224"/>
      <c r="BW1598" s="224"/>
      <c r="BX1598" s="224"/>
      <c r="BY1598" s="224"/>
      <c r="BZ1598" s="224"/>
      <c r="CA1598" s="224"/>
      <c r="CB1598" s="224"/>
      <c r="CC1598" s="224"/>
      <c r="CD1598" s="224"/>
      <c r="CE1598" s="224"/>
      <c r="CF1598" s="224"/>
      <c r="CG1598" s="224"/>
      <c r="CH1598" s="224"/>
      <c r="CI1598" s="224"/>
      <c r="CJ1598" s="224"/>
      <c r="CK1598" s="224"/>
      <c r="CL1598" s="224"/>
      <c r="CM1598" s="224"/>
      <c r="CN1598" s="224"/>
      <c r="CO1598" s="224"/>
      <c r="CP1598" s="224"/>
      <c r="CQ1598" s="224"/>
      <c r="CR1598" s="224"/>
      <c r="CS1598" s="224"/>
      <c r="CT1598" s="224"/>
      <c r="CU1598" s="224"/>
      <c r="CV1598" s="224"/>
      <c r="CW1598" s="224"/>
      <c r="CX1598" s="224"/>
      <c r="CY1598" s="224"/>
      <c r="CZ1598" s="224"/>
      <c r="DA1598" s="224"/>
      <c r="DB1598" s="224"/>
      <c r="DC1598" s="224"/>
      <c r="DD1598" s="224"/>
      <c r="DE1598" s="224"/>
      <c r="DF1598" s="224"/>
      <c r="DG1598" s="224"/>
      <c r="DH1598" s="224"/>
      <c r="DI1598" s="224"/>
      <c r="DJ1598" s="224"/>
      <c r="DK1598" s="224"/>
      <c r="DL1598" s="224"/>
      <c r="DM1598" s="224"/>
      <c r="DN1598" s="224"/>
      <c r="DO1598" s="224"/>
      <c r="DP1598" s="224"/>
      <c r="DQ1598" s="224"/>
      <c r="DR1598" s="224"/>
      <c r="DS1598" s="224"/>
      <c r="DT1598" s="224"/>
      <c r="DU1598" s="224"/>
      <c r="DV1598" s="224"/>
      <c r="DW1598" s="224"/>
      <c r="DX1598" s="224"/>
      <c r="DY1598" s="224"/>
      <c r="DZ1598" s="224"/>
      <c r="EA1598" s="224"/>
      <c r="EB1598" s="224"/>
      <c r="EC1598" s="224"/>
      <c r="ED1598" s="224"/>
      <c r="EE1598" s="224"/>
      <c r="EF1598" s="224"/>
      <c r="EG1598" s="224"/>
      <c r="EH1598" s="224"/>
      <c r="EI1598" s="224"/>
      <c r="EJ1598" s="224"/>
      <c r="EK1598" s="224"/>
      <c r="EL1598" s="224"/>
      <c r="EM1598" s="224"/>
      <c r="EN1598" s="224"/>
      <c r="EO1598" s="224"/>
      <c r="EP1598" s="224"/>
      <c r="EQ1598" s="224"/>
      <c r="ER1598" s="224"/>
      <c r="ES1598" s="224"/>
      <c r="ET1598" s="224"/>
      <c r="EU1598" s="224"/>
      <c r="EV1598" s="224"/>
      <c r="EW1598" s="224"/>
      <c r="EX1598" s="224"/>
      <c r="EY1598" s="224"/>
      <c r="EZ1598" s="224"/>
      <c r="FA1598" s="224"/>
      <c r="FB1598" s="224"/>
      <c r="FC1598" s="224"/>
      <c r="FD1598" s="224"/>
      <c r="FE1598" s="224"/>
      <c r="FF1598" s="224"/>
      <c r="FG1598" s="224"/>
      <c r="FH1598" s="224"/>
      <c r="FI1598" s="224"/>
      <c r="FJ1598" s="224"/>
      <c r="FK1598" s="224"/>
      <c r="FL1598" s="224"/>
      <c r="FM1598" s="224"/>
      <c r="FN1598" s="224"/>
      <c r="FO1598" s="224"/>
      <c r="FP1598" s="224"/>
      <c r="FQ1598" s="224"/>
      <c r="FR1598" s="224"/>
      <c r="FS1598" s="224"/>
      <c r="FT1598" s="224"/>
      <c r="FU1598" s="224"/>
      <c r="FV1598" s="224"/>
      <c r="FW1598" s="224"/>
      <c r="FX1598" s="224"/>
      <c r="FY1598" s="224"/>
      <c r="FZ1598" s="224"/>
      <c r="GA1598" s="224"/>
      <c r="GB1598" s="224"/>
      <c r="GC1598" s="224"/>
      <c r="GD1598" s="224"/>
      <c r="GE1598" s="224"/>
      <c r="GF1598" s="224"/>
      <c r="GG1598" s="224"/>
      <c r="GH1598" s="224"/>
      <c r="GI1598" s="224"/>
      <c r="GJ1598" s="224"/>
      <c r="GK1598" s="224"/>
      <c r="GL1598" s="224"/>
      <c r="GM1598" s="224"/>
      <c r="GN1598" s="224"/>
    </row>
    <row r="1599">
      <c r="A1599" s="212"/>
      <c r="B1599" s="21"/>
      <c r="C1599" s="21"/>
      <c r="D1599" s="213"/>
      <c r="E1599" s="214"/>
      <c r="F1599" s="215"/>
      <c r="G1599" s="21"/>
      <c r="H1599" s="225"/>
      <c r="I1599" s="225"/>
      <c r="J1599" s="225"/>
      <c r="K1599" s="225"/>
      <c r="L1599" s="225"/>
      <c r="M1599" s="225"/>
      <c r="N1599" s="225"/>
      <c r="O1599" s="225"/>
      <c r="P1599" s="225"/>
      <c r="Q1599" s="225"/>
      <c r="R1599" s="225"/>
      <c r="S1599" s="225"/>
      <c r="T1599" s="225"/>
      <c r="U1599" s="225"/>
      <c r="V1599" s="225"/>
      <c r="W1599" s="225"/>
      <c r="X1599" s="225"/>
      <c r="Y1599" s="225"/>
      <c r="Z1599" s="225"/>
    </row>
    <row r="1600">
      <c r="A1600" s="212"/>
      <c r="B1600" s="21"/>
      <c r="C1600" s="21"/>
      <c r="D1600" s="213"/>
      <c r="E1600" s="214"/>
      <c r="F1600" s="215"/>
      <c r="G1600" s="21"/>
      <c r="H1600" s="225"/>
      <c r="I1600" s="225"/>
      <c r="J1600" s="225"/>
      <c r="K1600" s="225"/>
      <c r="L1600" s="225"/>
      <c r="M1600" s="225"/>
      <c r="N1600" s="225"/>
      <c r="O1600" s="225"/>
      <c r="P1600" s="225"/>
      <c r="Q1600" s="225"/>
      <c r="R1600" s="225"/>
      <c r="S1600" s="225"/>
      <c r="T1600" s="225"/>
      <c r="U1600" s="225"/>
      <c r="V1600" s="225"/>
      <c r="W1600" s="225"/>
      <c r="X1600" s="225"/>
      <c r="Y1600" s="225"/>
      <c r="Z1600" s="225"/>
    </row>
    <row r="1601">
      <c r="A1601" s="212"/>
      <c r="B1601" s="21"/>
      <c r="C1601" s="21"/>
      <c r="D1601" s="213"/>
      <c r="E1601" s="214"/>
      <c r="F1601" s="215"/>
      <c r="G1601" s="21"/>
      <c r="H1601" s="225"/>
      <c r="I1601" s="225"/>
      <c r="J1601" s="225"/>
      <c r="K1601" s="225"/>
      <c r="L1601" s="225"/>
      <c r="M1601" s="225"/>
      <c r="N1601" s="225"/>
      <c r="O1601" s="225"/>
      <c r="P1601" s="225"/>
      <c r="Q1601" s="225"/>
      <c r="R1601" s="225"/>
      <c r="S1601" s="225"/>
      <c r="T1601" s="225"/>
      <c r="U1601" s="225"/>
      <c r="V1601" s="225"/>
      <c r="W1601" s="225"/>
      <c r="X1601" s="225"/>
      <c r="Y1601" s="225"/>
      <c r="Z1601" s="225"/>
    </row>
    <row r="1602">
      <c r="A1602" s="212"/>
      <c r="B1602" s="21"/>
      <c r="C1602" s="21"/>
      <c r="D1602" s="213"/>
      <c r="E1602" s="214"/>
      <c r="F1602" s="215"/>
      <c r="G1602" s="21"/>
      <c r="H1602" s="225"/>
      <c r="I1602" s="225"/>
      <c r="J1602" s="225"/>
      <c r="K1602" s="225"/>
      <c r="L1602" s="225"/>
      <c r="M1602" s="225"/>
      <c r="N1602" s="225"/>
      <c r="O1602" s="225"/>
      <c r="P1602" s="225"/>
      <c r="Q1602" s="225"/>
      <c r="R1602" s="225"/>
      <c r="S1602" s="225"/>
      <c r="T1602" s="225"/>
      <c r="U1602" s="225"/>
      <c r="V1602" s="225"/>
      <c r="W1602" s="225"/>
      <c r="X1602" s="225"/>
      <c r="Y1602" s="225"/>
      <c r="Z1602" s="225"/>
    </row>
    <row r="1603">
      <c r="A1603" s="212"/>
      <c r="B1603" s="21"/>
      <c r="C1603" s="21"/>
      <c r="D1603" s="213"/>
      <c r="E1603" s="214"/>
      <c r="F1603" s="215"/>
      <c r="G1603" s="21"/>
      <c r="H1603" s="225"/>
      <c r="I1603" s="225"/>
      <c r="J1603" s="225"/>
      <c r="K1603" s="225"/>
      <c r="L1603" s="225"/>
      <c r="M1603" s="225"/>
      <c r="N1603" s="225"/>
      <c r="O1603" s="225"/>
      <c r="P1603" s="225"/>
      <c r="Q1603" s="225"/>
      <c r="R1603" s="225"/>
      <c r="S1603" s="225"/>
      <c r="T1603" s="225"/>
      <c r="U1603" s="225"/>
      <c r="V1603" s="225"/>
      <c r="W1603" s="225"/>
      <c r="X1603" s="225"/>
      <c r="Y1603" s="225"/>
      <c r="Z1603" s="225"/>
    </row>
    <row r="1604">
      <c r="A1604" s="212"/>
      <c r="B1604" s="21"/>
      <c r="C1604" s="21"/>
      <c r="D1604" s="213"/>
      <c r="E1604" s="214"/>
      <c r="F1604" s="215"/>
      <c r="G1604" s="21"/>
      <c r="H1604" s="225"/>
      <c r="I1604" s="225"/>
      <c r="J1604" s="225"/>
      <c r="K1604" s="225"/>
      <c r="L1604" s="225"/>
      <c r="M1604" s="225"/>
      <c r="N1604" s="225"/>
      <c r="O1604" s="225"/>
      <c r="P1604" s="225"/>
      <c r="Q1604" s="225"/>
      <c r="R1604" s="225"/>
      <c r="S1604" s="225"/>
      <c r="T1604" s="225"/>
      <c r="U1604" s="225"/>
      <c r="V1604" s="225"/>
      <c r="W1604" s="225"/>
      <c r="X1604" s="225"/>
      <c r="Y1604" s="225"/>
      <c r="Z1604" s="225"/>
    </row>
    <row r="1605">
      <c r="A1605" s="212"/>
      <c r="B1605" s="21"/>
      <c r="C1605" s="21"/>
      <c r="D1605" s="213"/>
      <c r="E1605" s="214"/>
      <c r="F1605" s="215"/>
      <c r="G1605" s="21"/>
      <c r="H1605" s="225"/>
      <c r="I1605" s="225"/>
      <c r="J1605" s="225"/>
      <c r="K1605" s="225"/>
      <c r="L1605" s="225"/>
      <c r="M1605" s="225"/>
      <c r="N1605" s="225"/>
      <c r="O1605" s="225"/>
      <c r="P1605" s="225"/>
      <c r="Q1605" s="225"/>
      <c r="R1605" s="225"/>
      <c r="S1605" s="225"/>
      <c r="T1605" s="225"/>
      <c r="U1605" s="225"/>
      <c r="V1605" s="225"/>
      <c r="W1605" s="225"/>
      <c r="X1605" s="225"/>
      <c r="Y1605" s="225"/>
      <c r="Z1605" s="225"/>
    </row>
    <row r="1606">
      <c r="A1606" s="212"/>
      <c r="B1606" s="21"/>
      <c r="C1606" s="21"/>
      <c r="D1606" s="213"/>
      <c r="E1606" s="214"/>
      <c r="F1606" s="215"/>
      <c r="G1606" s="21"/>
      <c r="H1606" s="225"/>
      <c r="I1606" s="225"/>
      <c r="J1606" s="225"/>
      <c r="K1606" s="225"/>
      <c r="L1606" s="225"/>
      <c r="M1606" s="225"/>
      <c r="N1606" s="225"/>
      <c r="O1606" s="225"/>
      <c r="P1606" s="225"/>
      <c r="Q1606" s="225"/>
      <c r="R1606" s="225"/>
      <c r="S1606" s="225"/>
      <c r="T1606" s="225"/>
      <c r="U1606" s="225"/>
      <c r="V1606" s="225"/>
      <c r="W1606" s="225"/>
      <c r="X1606" s="225"/>
      <c r="Y1606" s="225"/>
      <c r="Z1606" s="225"/>
    </row>
    <row r="1607">
      <c r="A1607" s="212"/>
      <c r="B1607" s="21"/>
      <c r="C1607" s="21"/>
      <c r="D1607" s="213"/>
      <c r="E1607" s="214"/>
      <c r="F1607" s="215"/>
      <c r="G1607" s="21"/>
      <c r="H1607" s="225"/>
      <c r="I1607" s="225"/>
      <c r="J1607" s="225"/>
      <c r="K1607" s="225"/>
      <c r="L1607" s="225"/>
      <c r="M1607" s="225"/>
      <c r="N1607" s="225"/>
      <c r="O1607" s="225"/>
      <c r="P1607" s="225"/>
      <c r="Q1607" s="225"/>
      <c r="R1607" s="225"/>
      <c r="S1607" s="225"/>
      <c r="T1607" s="225"/>
      <c r="U1607" s="225"/>
      <c r="V1607" s="225"/>
      <c r="W1607" s="225"/>
      <c r="X1607" s="225"/>
      <c r="Y1607" s="225"/>
      <c r="Z1607" s="225"/>
    </row>
    <row r="1608">
      <c r="A1608" s="212"/>
      <c r="B1608" s="21"/>
      <c r="C1608" s="21"/>
      <c r="D1608" s="213"/>
      <c r="E1608" s="214"/>
      <c r="F1608" s="215"/>
      <c r="G1608" s="21"/>
      <c r="H1608" s="225"/>
      <c r="I1608" s="225"/>
      <c r="J1608" s="225"/>
      <c r="K1608" s="225"/>
      <c r="L1608" s="225"/>
      <c r="M1608" s="225"/>
      <c r="N1608" s="225"/>
      <c r="O1608" s="225"/>
      <c r="P1608" s="225"/>
      <c r="Q1608" s="225"/>
      <c r="R1608" s="225"/>
      <c r="S1608" s="225"/>
      <c r="T1608" s="225"/>
      <c r="U1608" s="225"/>
      <c r="V1608" s="225"/>
      <c r="W1608" s="225"/>
      <c r="X1608" s="225"/>
      <c r="Y1608" s="225"/>
      <c r="Z1608" s="225"/>
    </row>
    <row r="1609">
      <c r="A1609" s="212"/>
      <c r="B1609" s="21"/>
      <c r="C1609" s="21"/>
      <c r="D1609" s="213"/>
      <c r="E1609" s="214"/>
      <c r="F1609" s="215"/>
      <c r="G1609" s="21"/>
      <c r="H1609" s="225"/>
      <c r="I1609" s="225"/>
      <c r="J1609" s="225"/>
      <c r="K1609" s="225"/>
      <c r="L1609" s="225"/>
      <c r="M1609" s="225"/>
      <c r="N1609" s="225"/>
      <c r="O1609" s="225"/>
      <c r="P1609" s="225"/>
      <c r="Q1609" s="225"/>
      <c r="R1609" s="225"/>
      <c r="S1609" s="225"/>
      <c r="T1609" s="225"/>
      <c r="U1609" s="225"/>
      <c r="V1609" s="225"/>
      <c r="W1609" s="225"/>
      <c r="X1609" s="225"/>
      <c r="Y1609" s="225"/>
      <c r="Z1609" s="225"/>
    </row>
    <row r="1610">
      <c r="A1610" s="212"/>
      <c r="B1610" s="21"/>
      <c r="C1610" s="21"/>
      <c r="D1610" s="213"/>
      <c r="E1610" s="214"/>
      <c r="F1610" s="215"/>
      <c r="G1610" s="21"/>
      <c r="H1610" s="225"/>
      <c r="I1610" s="225"/>
      <c r="J1610" s="225"/>
      <c r="K1610" s="225"/>
      <c r="L1610" s="225"/>
      <c r="M1610" s="225"/>
      <c r="N1610" s="225"/>
      <c r="O1610" s="225"/>
      <c r="P1610" s="225"/>
      <c r="Q1610" s="225"/>
      <c r="R1610" s="225"/>
      <c r="S1610" s="225"/>
      <c r="T1610" s="225"/>
      <c r="U1610" s="225"/>
      <c r="V1610" s="225"/>
      <c r="W1610" s="225"/>
      <c r="X1610" s="225"/>
      <c r="Y1610" s="225"/>
      <c r="Z1610" s="225"/>
    </row>
    <row r="1611" ht="15.75" customHeight="1">
      <c r="A1611" s="212"/>
      <c r="B1611" s="21"/>
      <c r="C1611" s="21"/>
      <c r="D1611" s="213"/>
      <c r="E1611" s="214"/>
      <c r="F1611" s="215"/>
      <c r="G1611" s="21"/>
      <c r="H1611" s="110"/>
      <c r="I1611" s="110"/>
      <c r="J1611" s="21"/>
      <c r="K1611" s="110"/>
      <c r="L1611" s="110"/>
      <c r="M1611" s="110"/>
      <c r="N1611" s="110"/>
      <c r="O1611" s="110"/>
      <c r="P1611" s="110"/>
      <c r="Q1611" s="110"/>
      <c r="R1611" s="110"/>
      <c r="S1611" s="110"/>
      <c r="T1611" s="110"/>
      <c r="U1611" s="110"/>
      <c r="V1611" s="110"/>
      <c r="W1611" s="110"/>
      <c r="X1611" s="110"/>
      <c r="Y1611" s="110"/>
      <c r="Z1611" s="110"/>
    </row>
    <row r="1612">
      <c r="A1612" s="212"/>
      <c r="B1612" s="21"/>
      <c r="C1612" s="21"/>
      <c r="D1612" s="213"/>
      <c r="E1612" s="214"/>
      <c r="F1612" s="215"/>
      <c r="G1612" s="124"/>
      <c r="H1612" s="110"/>
      <c r="I1612" s="110"/>
      <c r="J1612" s="110"/>
      <c r="K1612" s="110"/>
      <c r="L1612" s="110"/>
      <c r="M1612" s="110"/>
      <c r="N1612" s="110"/>
      <c r="O1612" s="110"/>
      <c r="P1612" s="110"/>
      <c r="Q1612" s="110"/>
      <c r="R1612" s="110"/>
      <c r="S1612" s="110"/>
      <c r="T1612" s="110"/>
      <c r="U1612" s="110"/>
      <c r="V1612" s="110"/>
      <c r="W1612" s="110"/>
      <c r="X1612" s="110"/>
      <c r="Y1612" s="110"/>
      <c r="Z1612" s="110"/>
    </row>
    <row r="1613">
      <c r="A1613" s="212"/>
      <c r="B1613" s="21"/>
      <c r="C1613" s="21"/>
      <c r="D1613" s="213"/>
      <c r="E1613" s="214"/>
      <c r="F1613" s="215"/>
      <c r="G1613" s="110"/>
      <c r="H1613" s="110"/>
      <c r="I1613" s="110"/>
      <c r="J1613" s="110"/>
      <c r="K1613" s="110"/>
      <c r="L1613" s="110"/>
      <c r="M1613" s="110"/>
      <c r="N1613" s="110"/>
      <c r="O1613" s="110"/>
      <c r="P1613" s="110"/>
      <c r="Q1613" s="110"/>
      <c r="R1613" s="110"/>
      <c r="S1613" s="110"/>
      <c r="T1613" s="110"/>
      <c r="U1613" s="110"/>
      <c r="V1613" s="110"/>
      <c r="W1613" s="110"/>
      <c r="X1613" s="110"/>
      <c r="Y1613" s="110"/>
      <c r="Z1613" s="110"/>
    </row>
    <row r="1614">
      <c r="A1614" s="212"/>
      <c r="B1614" s="21"/>
      <c r="C1614" s="21"/>
      <c r="D1614" s="213"/>
      <c r="E1614" s="214"/>
      <c r="F1614" s="215"/>
      <c r="G1614" s="162"/>
      <c r="H1614" s="225"/>
      <c r="I1614" s="225"/>
      <c r="J1614" s="225"/>
      <c r="K1614" s="225"/>
      <c r="L1614" s="225"/>
      <c r="M1614" s="225"/>
      <c r="N1614" s="225"/>
      <c r="O1614" s="225"/>
      <c r="P1614" s="225"/>
      <c r="Q1614" s="225"/>
      <c r="R1614" s="225"/>
      <c r="S1614" s="225"/>
      <c r="T1614" s="225"/>
      <c r="U1614" s="225"/>
      <c r="V1614" s="225"/>
      <c r="W1614" s="110"/>
      <c r="X1614" s="110"/>
      <c r="Y1614" s="110"/>
      <c r="Z1614" s="110"/>
    </row>
    <row r="1615">
      <c r="A1615" s="212"/>
      <c r="B1615" s="21"/>
      <c r="C1615" s="21"/>
      <c r="D1615" s="213"/>
      <c r="E1615" s="214"/>
      <c r="F1615" s="215"/>
      <c r="G1615" s="21"/>
      <c r="H1615" s="225"/>
      <c r="I1615" s="225"/>
      <c r="J1615" s="225"/>
      <c r="K1615" s="225"/>
      <c r="L1615" s="225"/>
      <c r="M1615" s="225"/>
      <c r="N1615" s="225"/>
      <c r="O1615" s="225"/>
      <c r="P1615" s="225"/>
      <c r="Q1615" s="225"/>
      <c r="R1615" s="225"/>
      <c r="S1615" s="225"/>
      <c r="T1615" s="225"/>
      <c r="U1615" s="225"/>
      <c r="V1615" s="225"/>
      <c r="W1615" s="110"/>
      <c r="X1615" s="110"/>
      <c r="Y1615" s="110"/>
      <c r="Z1615" s="110"/>
    </row>
    <row r="1616">
      <c r="A1616" s="212"/>
      <c r="B1616" s="21"/>
      <c r="C1616" s="21"/>
      <c r="D1616" s="213"/>
      <c r="E1616" s="214"/>
      <c r="F1616" s="215"/>
      <c r="G1616" s="21"/>
      <c r="H1616" s="225"/>
      <c r="I1616" s="225"/>
      <c r="J1616" s="225"/>
      <c r="K1616" s="225"/>
      <c r="L1616" s="225"/>
      <c r="M1616" s="225"/>
      <c r="N1616" s="225"/>
      <c r="O1616" s="225"/>
      <c r="P1616" s="225"/>
      <c r="Q1616" s="225"/>
      <c r="R1616" s="225"/>
      <c r="S1616" s="225"/>
      <c r="T1616" s="225"/>
      <c r="U1616" s="225"/>
      <c r="V1616" s="225"/>
      <c r="W1616" s="110"/>
      <c r="X1616" s="110"/>
      <c r="Y1616" s="110"/>
      <c r="Z1616" s="110"/>
    </row>
    <row r="1617">
      <c r="A1617" s="212"/>
      <c r="B1617" s="21"/>
      <c r="C1617" s="21"/>
      <c r="D1617" s="213"/>
      <c r="E1617" s="214"/>
      <c r="F1617" s="215"/>
      <c r="G1617" s="21"/>
      <c r="H1617" s="225"/>
      <c r="I1617" s="225"/>
      <c r="J1617" s="225"/>
      <c r="K1617" s="225"/>
      <c r="L1617" s="225"/>
      <c r="M1617" s="225"/>
      <c r="N1617" s="225"/>
      <c r="O1617" s="225"/>
      <c r="P1617" s="225"/>
      <c r="Q1617" s="225"/>
      <c r="R1617" s="225"/>
      <c r="S1617" s="225"/>
      <c r="T1617" s="225"/>
      <c r="U1617" s="225"/>
      <c r="V1617" s="225"/>
      <c r="W1617" s="110"/>
      <c r="X1617" s="110"/>
      <c r="Y1617" s="110"/>
      <c r="Z1617" s="110"/>
    </row>
    <row r="1618">
      <c r="A1618" s="212"/>
      <c r="B1618" s="21"/>
      <c r="C1618" s="21"/>
      <c r="D1618" s="213"/>
      <c r="E1618" s="214"/>
      <c r="F1618" s="215"/>
      <c r="G1618" s="21"/>
      <c r="H1618" s="225"/>
      <c r="I1618" s="225"/>
      <c r="J1618" s="225"/>
      <c r="K1618" s="225"/>
      <c r="L1618" s="225"/>
      <c r="M1618" s="225"/>
      <c r="N1618" s="225"/>
      <c r="O1618" s="225"/>
      <c r="P1618" s="225"/>
      <c r="Q1618" s="225"/>
      <c r="R1618" s="225"/>
      <c r="S1618" s="225"/>
      <c r="T1618" s="225"/>
      <c r="U1618" s="225"/>
      <c r="V1618" s="225"/>
      <c r="W1618" s="110"/>
      <c r="X1618" s="110"/>
      <c r="Y1618" s="110"/>
      <c r="Z1618" s="110"/>
    </row>
    <row r="1619">
      <c r="A1619" s="212"/>
      <c r="B1619" s="21"/>
      <c r="C1619" s="21"/>
      <c r="D1619" s="213"/>
      <c r="E1619" s="214"/>
      <c r="F1619" s="215"/>
      <c r="G1619" s="21"/>
      <c r="H1619" s="225"/>
      <c r="I1619" s="225"/>
      <c r="J1619" s="225"/>
      <c r="K1619" s="225"/>
      <c r="L1619" s="225"/>
      <c r="M1619" s="225"/>
      <c r="N1619" s="225"/>
      <c r="O1619" s="225"/>
      <c r="P1619" s="225"/>
      <c r="Q1619" s="225"/>
      <c r="R1619" s="225"/>
      <c r="S1619" s="225"/>
      <c r="T1619" s="225"/>
      <c r="U1619" s="225"/>
      <c r="V1619" s="225"/>
      <c r="W1619" s="110"/>
      <c r="X1619" s="110"/>
      <c r="Y1619" s="110"/>
      <c r="Z1619" s="110"/>
    </row>
    <row r="1620">
      <c r="A1620" s="212"/>
      <c r="B1620" s="21"/>
      <c r="C1620" s="21"/>
      <c r="D1620" s="213"/>
      <c r="E1620" s="214"/>
      <c r="F1620" s="215"/>
      <c r="G1620" s="21"/>
      <c r="H1620" s="225"/>
      <c r="I1620" s="225"/>
      <c r="J1620" s="225"/>
      <c r="K1620" s="225"/>
      <c r="L1620" s="225"/>
      <c r="M1620" s="225"/>
      <c r="N1620" s="225"/>
      <c r="O1620" s="225"/>
      <c r="P1620" s="225"/>
      <c r="Q1620" s="225"/>
      <c r="R1620" s="225"/>
      <c r="S1620" s="225"/>
      <c r="T1620" s="225"/>
      <c r="U1620" s="225"/>
      <c r="V1620" s="225"/>
      <c r="W1620" s="110"/>
      <c r="X1620" s="110"/>
      <c r="Y1620" s="110"/>
      <c r="Z1620" s="110"/>
    </row>
    <row r="1621">
      <c r="A1621" s="212"/>
      <c r="B1621" s="21"/>
      <c r="C1621" s="21"/>
      <c r="D1621" s="213"/>
      <c r="E1621" s="214"/>
      <c r="F1621" s="215"/>
      <c r="G1621" s="21"/>
      <c r="H1621" s="225"/>
      <c r="I1621" s="225"/>
      <c r="J1621" s="225"/>
      <c r="K1621" s="225"/>
      <c r="L1621" s="225"/>
      <c r="M1621" s="225"/>
      <c r="N1621" s="225"/>
      <c r="O1621" s="225"/>
      <c r="P1621" s="225"/>
      <c r="Q1621" s="225"/>
      <c r="R1621" s="225"/>
      <c r="S1621" s="225"/>
      <c r="T1621" s="225"/>
      <c r="U1621" s="225"/>
      <c r="V1621" s="225"/>
      <c r="W1621" s="110"/>
      <c r="X1621" s="110"/>
      <c r="Y1621" s="110"/>
      <c r="Z1621" s="110"/>
    </row>
    <row r="1622">
      <c r="A1622" s="212"/>
      <c r="B1622" s="21"/>
      <c r="C1622" s="21"/>
      <c r="D1622" s="213"/>
      <c r="E1622" s="214"/>
      <c r="F1622" s="215"/>
      <c r="G1622" s="21"/>
      <c r="H1622" s="225"/>
      <c r="I1622" s="225"/>
      <c r="J1622" s="225"/>
      <c r="K1622" s="225"/>
      <c r="L1622" s="225"/>
      <c r="M1622" s="225"/>
      <c r="N1622" s="225"/>
      <c r="O1622" s="225"/>
      <c r="P1622" s="225"/>
      <c r="Q1622" s="225"/>
      <c r="R1622" s="225"/>
      <c r="S1622" s="225"/>
      <c r="T1622" s="225"/>
      <c r="U1622" s="225"/>
      <c r="V1622" s="225"/>
      <c r="W1622" s="110"/>
      <c r="X1622" s="110"/>
      <c r="Y1622" s="110"/>
      <c r="Z1622" s="110"/>
    </row>
    <row r="1623">
      <c r="A1623" s="212"/>
      <c r="B1623" s="21"/>
      <c r="C1623" s="21"/>
      <c r="D1623" s="213"/>
      <c r="E1623" s="214"/>
      <c r="F1623" s="215"/>
      <c r="G1623" s="21"/>
      <c r="H1623" s="225"/>
      <c r="I1623" s="225"/>
      <c r="J1623" s="225"/>
      <c r="K1623" s="225"/>
      <c r="L1623" s="225"/>
      <c r="M1623" s="225"/>
      <c r="N1623" s="225"/>
      <c r="O1623" s="225"/>
      <c r="P1623" s="225"/>
      <c r="Q1623" s="225"/>
      <c r="R1623" s="225"/>
      <c r="S1623" s="225"/>
      <c r="T1623" s="225"/>
      <c r="U1623" s="225"/>
      <c r="V1623" s="225"/>
      <c r="W1623" s="225"/>
      <c r="X1623" s="225"/>
      <c r="Y1623" s="225"/>
      <c r="Z1623" s="225"/>
    </row>
    <row r="1624">
      <c r="A1624" s="212"/>
      <c r="B1624" s="21"/>
      <c r="C1624" s="21"/>
      <c r="D1624" s="213"/>
      <c r="E1624" s="214"/>
      <c r="F1624" s="215"/>
      <c r="G1624" s="21"/>
      <c r="H1624" s="225"/>
      <c r="I1624" s="225"/>
      <c r="J1624" s="225"/>
      <c r="K1624" s="225"/>
      <c r="L1624" s="225"/>
      <c r="M1624" s="225"/>
      <c r="N1624" s="225"/>
      <c r="O1624" s="225"/>
      <c r="P1624" s="225"/>
      <c r="Q1624" s="225"/>
      <c r="R1624" s="225"/>
      <c r="S1624" s="225"/>
      <c r="T1624" s="225"/>
      <c r="U1624" s="225"/>
      <c r="V1624" s="225"/>
      <c r="W1624" s="110"/>
      <c r="X1624" s="110"/>
      <c r="Y1624" s="110"/>
      <c r="Z1624" s="110"/>
    </row>
    <row r="1625">
      <c r="A1625" s="212"/>
      <c r="B1625" s="21"/>
      <c r="C1625" s="21"/>
      <c r="D1625" s="213"/>
      <c r="E1625" s="214"/>
      <c r="F1625" s="215"/>
      <c r="G1625" s="21"/>
      <c r="H1625" s="225"/>
      <c r="I1625" s="225"/>
      <c r="J1625" s="225"/>
      <c r="K1625" s="225"/>
      <c r="L1625" s="225"/>
      <c r="M1625" s="225"/>
      <c r="N1625" s="225"/>
      <c r="O1625" s="225"/>
      <c r="P1625" s="225"/>
      <c r="Q1625" s="225"/>
      <c r="R1625" s="225"/>
      <c r="S1625" s="225"/>
      <c r="T1625" s="225"/>
      <c r="U1625" s="225"/>
      <c r="V1625" s="225"/>
      <c r="W1625" s="110"/>
      <c r="X1625" s="110"/>
      <c r="Y1625" s="110"/>
      <c r="Z1625" s="110"/>
    </row>
    <row r="1626">
      <c r="A1626" s="212"/>
      <c r="B1626" s="21"/>
      <c r="C1626" s="21"/>
      <c r="D1626" s="213"/>
      <c r="E1626" s="214"/>
      <c r="F1626" s="215"/>
      <c r="G1626" s="21"/>
      <c r="H1626" s="225"/>
      <c r="I1626" s="225"/>
      <c r="J1626" s="225"/>
      <c r="K1626" s="225"/>
      <c r="L1626" s="225"/>
      <c r="M1626" s="225"/>
      <c r="N1626" s="225"/>
      <c r="O1626" s="225"/>
      <c r="P1626" s="225"/>
      <c r="Q1626" s="225"/>
      <c r="R1626" s="225"/>
      <c r="S1626" s="225"/>
      <c r="T1626" s="225"/>
      <c r="U1626" s="225"/>
      <c r="V1626" s="225"/>
      <c r="W1626" s="110"/>
      <c r="X1626" s="110"/>
      <c r="Y1626" s="110"/>
      <c r="Z1626" s="110"/>
    </row>
    <row r="1627">
      <c r="A1627" s="212"/>
      <c r="B1627" s="21"/>
      <c r="C1627" s="21"/>
      <c r="D1627" s="213"/>
      <c r="E1627" s="214"/>
      <c r="F1627" s="215"/>
      <c r="G1627" s="21"/>
      <c r="H1627" s="225"/>
      <c r="I1627" s="225"/>
      <c r="J1627" s="225"/>
      <c r="K1627" s="225"/>
      <c r="L1627" s="225"/>
      <c r="M1627" s="225"/>
      <c r="N1627" s="225"/>
      <c r="O1627" s="225"/>
      <c r="P1627" s="225"/>
      <c r="Q1627" s="225"/>
      <c r="R1627" s="225"/>
      <c r="S1627" s="225"/>
      <c r="T1627" s="225"/>
      <c r="U1627" s="225"/>
      <c r="V1627" s="225"/>
      <c r="W1627" s="110"/>
      <c r="X1627" s="110"/>
      <c r="Y1627" s="110"/>
      <c r="Z1627" s="110"/>
    </row>
    <row r="1628">
      <c r="A1628" s="212"/>
      <c r="B1628" s="21"/>
      <c r="C1628" s="21"/>
      <c r="D1628" s="213"/>
      <c r="E1628" s="214"/>
      <c r="F1628" s="215"/>
      <c r="G1628" s="21"/>
      <c r="H1628" s="225"/>
      <c r="I1628" s="225"/>
      <c r="J1628" s="225"/>
      <c r="K1628" s="225"/>
      <c r="L1628" s="225"/>
      <c r="M1628" s="225"/>
      <c r="N1628" s="225"/>
      <c r="O1628" s="225"/>
      <c r="P1628" s="225"/>
      <c r="Q1628" s="225"/>
      <c r="R1628" s="225"/>
      <c r="S1628" s="225"/>
      <c r="T1628" s="225"/>
      <c r="U1628" s="225"/>
      <c r="V1628" s="225"/>
      <c r="W1628" s="110"/>
      <c r="X1628" s="110"/>
      <c r="Y1628" s="110"/>
      <c r="Z1628" s="110"/>
    </row>
    <row r="1629">
      <c r="A1629" s="212"/>
      <c r="B1629" s="21"/>
      <c r="C1629" s="21"/>
      <c r="D1629" s="213"/>
      <c r="E1629" s="214"/>
      <c r="F1629" s="215"/>
      <c r="G1629" s="21"/>
      <c r="H1629" s="225"/>
      <c r="I1629" s="225"/>
      <c r="J1629" s="225"/>
      <c r="K1629" s="225"/>
      <c r="L1629" s="225"/>
      <c r="M1629" s="225"/>
      <c r="N1629" s="225"/>
      <c r="O1629" s="225"/>
      <c r="P1629" s="225"/>
      <c r="Q1629" s="225"/>
      <c r="R1629" s="225"/>
      <c r="S1629" s="225"/>
      <c r="T1629" s="225"/>
      <c r="U1629" s="225"/>
      <c r="V1629" s="225"/>
      <c r="W1629" s="110"/>
      <c r="X1629" s="110"/>
      <c r="Y1629" s="110"/>
      <c r="Z1629" s="110"/>
    </row>
    <row r="1630">
      <c r="A1630" s="212"/>
      <c r="B1630" s="21"/>
      <c r="C1630" s="21"/>
      <c r="D1630" s="213"/>
      <c r="E1630" s="214"/>
      <c r="F1630" s="215"/>
      <c r="G1630" s="21"/>
      <c r="H1630" s="225"/>
      <c r="I1630" s="225"/>
      <c r="J1630" s="225"/>
      <c r="K1630" s="225"/>
      <c r="L1630" s="225"/>
      <c r="M1630" s="225"/>
      <c r="N1630" s="225"/>
      <c r="O1630" s="225"/>
      <c r="P1630" s="225"/>
      <c r="Q1630" s="225"/>
      <c r="R1630" s="225"/>
      <c r="S1630" s="225"/>
      <c r="T1630" s="225"/>
      <c r="U1630" s="225"/>
      <c r="V1630" s="225"/>
      <c r="W1630" s="110"/>
      <c r="X1630" s="110"/>
      <c r="Y1630" s="110"/>
      <c r="Z1630" s="110"/>
    </row>
    <row r="1631" ht="15.75" customHeight="1">
      <c r="A1631" s="212"/>
      <c r="B1631" s="21"/>
      <c r="C1631" s="21"/>
      <c r="D1631" s="213"/>
      <c r="E1631" s="214"/>
      <c r="F1631" s="215"/>
      <c r="G1631" s="21"/>
      <c r="H1631" s="110"/>
      <c r="I1631" s="110"/>
      <c r="J1631" s="21"/>
      <c r="K1631" s="110"/>
      <c r="L1631" s="110"/>
      <c r="M1631" s="110"/>
      <c r="N1631" s="110"/>
      <c r="O1631" s="110"/>
      <c r="P1631" s="110"/>
      <c r="Q1631" s="110"/>
      <c r="R1631" s="110"/>
      <c r="S1631" s="110"/>
      <c r="T1631" s="110"/>
      <c r="U1631" s="110"/>
      <c r="V1631" s="110"/>
      <c r="W1631" s="110"/>
      <c r="X1631" s="110"/>
      <c r="Y1631" s="110"/>
      <c r="Z1631" s="110"/>
    </row>
    <row r="1632" ht="15.75" customHeight="1">
      <c r="A1632" s="212"/>
      <c r="B1632" s="21"/>
      <c r="C1632" s="21"/>
      <c r="D1632" s="213"/>
      <c r="E1632" s="214"/>
      <c r="F1632" s="215"/>
      <c r="G1632" s="24"/>
      <c r="H1632" s="223"/>
      <c r="I1632" s="223"/>
      <c r="J1632" s="222"/>
      <c r="K1632" s="223"/>
      <c r="L1632" s="223"/>
      <c r="M1632" s="223"/>
      <c r="N1632" s="223"/>
      <c r="O1632" s="223"/>
      <c r="P1632" s="223"/>
      <c r="Q1632" s="223"/>
      <c r="R1632" s="223"/>
      <c r="S1632" s="223"/>
      <c r="T1632" s="223"/>
      <c r="U1632" s="223"/>
      <c r="V1632" s="223"/>
      <c r="W1632" s="223"/>
      <c r="X1632" s="223"/>
      <c r="Y1632" s="223"/>
      <c r="Z1632" s="223"/>
      <c r="AA1632" s="224"/>
      <c r="AB1632" s="224"/>
      <c r="AC1632" s="224"/>
      <c r="AD1632" s="224"/>
      <c r="AE1632" s="224"/>
      <c r="AF1632" s="224"/>
      <c r="AG1632" s="224"/>
      <c r="AH1632" s="224"/>
      <c r="AI1632" s="224"/>
      <c r="AJ1632" s="224"/>
      <c r="AK1632" s="224"/>
      <c r="AL1632" s="224"/>
      <c r="AM1632" s="224"/>
      <c r="AN1632" s="224"/>
      <c r="AO1632" s="224"/>
      <c r="AP1632" s="224"/>
      <c r="AQ1632" s="224"/>
      <c r="AR1632" s="224"/>
      <c r="AS1632" s="224"/>
      <c r="AT1632" s="224"/>
      <c r="AU1632" s="224"/>
      <c r="AV1632" s="224"/>
      <c r="AW1632" s="224"/>
      <c r="AX1632" s="224"/>
      <c r="AY1632" s="224"/>
      <c r="AZ1632" s="224"/>
      <c r="BA1632" s="224"/>
      <c r="BB1632" s="224"/>
      <c r="BC1632" s="224"/>
      <c r="BD1632" s="224"/>
      <c r="BE1632" s="224"/>
      <c r="BF1632" s="224"/>
      <c r="BG1632" s="224"/>
      <c r="BH1632" s="224"/>
      <c r="BI1632" s="224"/>
      <c r="BJ1632" s="224"/>
      <c r="BK1632" s="224"/>
      <c r="BL1632" s="224"/>
      <c r="BM1632" s="224"/>
      <c r="BN1632" s="224"/>
      <c r="BO1632" s="224"/>
      <c r="BP1632" s="224"/>
      <c r="BQ1632" s="224"/>
      <c r="BR1632" s="224"/>
      <c r="BS1632" s="224"/>
      <c r="BT1632" s="224"/>
      <c r="BU1632" s="224"/>
      <c r="BV1632" s="224"/>
      <c r="BW1632" s="224"/>
      <c r="BX1632" s="224"/>
      <c r="BY1632" s="224"/>
      <c r="BZ1632" s="224"/>
      <c r="CA1632" s="224"/>
      <c r="CB1632" s="224"/>
      <c r="CC1632" s="224"/>
      <c r="CD1632" s="224"/>
      <c r="CE1632" s="224"/>
      <c r="CF1632" s="224"/>
      <c r="CG1632" s="224"/>
      <c r="CH1632" s="224"/>
      <c r="CI1632" s="224"/>
      <c r="CJ1632" s="224"/>
      <c r="CK1632" s="224"/>
      <c r="CL1632" s="224"/>
      <c r="CM1632" s="224"/>
      <c r="CN1632" s="224"/>
      <c r="CO1632" s="224"/>
      <c r="CP1632" s="224"/>
      <c r="CQ1632" s="224"/>
      <c r="CR1632" s="224"/>
      <c r="CS1632" s="224"/>
      <c r="CT1632" s="224"/>
      <c r="CU1632" s="224"/>
      <c r="CV1632" s="224"/>
      <c r="CW1632" s="224"/>
      <c r="CX1632" s="224"/>
      <c r="CY1632" s="224"/>
      <c r="CZ1632" s="224"/>
      <c r="DA1632" s="224"/>
      <c r="DB1632" s="224"/>
      <c r="DC1632" s="224"/>
      <c r="DD1632" s="224"/>
      <c r="DE1632" s="224"/>
      <c r="DF1632" s="224"/>
      <c r="DG1632" s="224"/>
      <c r="DH1632" s="224"/>
      <c r="DI1632" s="224"/>
      <c r="DJ1632" s="224"/>
      <c r="DK1632" s="224"/>
      <c r="DL1632" s="224"/>
      <c r="DM1632" s="224"/>
      <c r="DN1632" s="224"/>
      <c r="DO1632" s="224"/>
      <c r="DP1632" s="224"/>
      <c r="DQ1632" s="224"/>
      <c r="DR1632" s="224"/>
      <c r="DS1632" s="224"/>
      <c r="DT1632" s="224"/>
      <c r="DU1632" s="224"/>
      <c r="DV1632" s="224"/>
      <c r="DW1632" s="224"/>
      <c r="DX1632" s="224"/>
      <c r="DY1632" s="224"/>
      <c r="DZ1632" s="224"/>
      <c r="EA1632" s="224"/>
      <c r="EB1632" s="224"/>
      <c r="EC1632" s="224"/>
      <c r="ED1632" s="224"/>
      <c r="EE1632" s="224"/>
      <c r="EF1632" s="224"/>
      <c r="EG1632" s="224"/>
      <c r="EH1632" s="224"/>
      <c r="EI1632" s="224"/>
      <c r="EJ1632" s="224"/>
      <c r="EK1632" s="224"/>
      <c r="EL1632" s="224"/>
      <c r="EM1632" s="224"/>
      <c r="EN1632" s="224"/>
      <c r="EO1632" s="224"/>
      <c r="EP1632" s="224"/>
      <c r="EQ1632" s="224"/>
      <c r="ER1632" s="224"/>
      <c r="ES1632" s="224"/>
      <c r="ET1632" s="224"/>
      <c r="EU1632" s="224"/>
      <c r="EV1632" s="224"/>
      <c r="EW1632" s="224"/>
      <c r="EX1632" s="224"/>
      <c r="EY1632" s="224"/>
      <c r="EZ1632" s="224"/>
      <c r="FA1632" s="224"/>
      <c r="FB1632" s="224"/>
      <c r="FC1632" s="224"/>
      <c r="FD1632" s="224"/>
      <c r="FE1632" s="224"/>
      <c r="FF1632" s="224"/>
      <c r="FG1632" s="224"/>
      <c r="FH1632" s="224"/>
      <c r="FI1632" s="224"/>
      <c r="FJ1632" s="224"/>
      <c r="FK1632" s="224"/>
      <c r="FL1632" s="224"/>
      <c r="FM1632" s="224"/>
      <c r="FN1632" s="224"/>
      <c r="FO1632" s="224"/>
      <c r="FP1632" s="224"/>
      <c r="FQ1632" s="224"/>
      <c r="FR1632" s="224"/>
      <c r="FS1632" s="224"/>
      <c r="FT1632" s="224"/>
      <c r="FU1632" s="224"/>
      <c r="FV1632" s="224"/>
      <c r="FW1632" s="224"/>
      <c r="FX1632" s="224"/>
      <c r="FY1632" s="224"/>
      <c r="FZ1632" s="224"/>
      <c r="GA1632" s="224"/>
      <c r="GB1632" s="224"/>
      <c r="GC1632" s="224"/>
      <c r="GD1632" s="224"/>
      <c r="GE1632" s="224"/>
      <c r="GF1632" s="224"/>
      <c r="GG1632" s="224"/>
      <c r="GH1632" s="224"/>
      <c r="GI1632" s="224"/>
      <c r="GJ1632" s="224"/>
      <c r="GK1632" s="224"/>
      <c r="GL1632" s="224"/>
      <c r="GM1632" s="224"/>
      <c r="GN1632" s="224"/>
    </row>
    <row r="1633" ht="15.75" customHeight="1">
      <c r="A1633" s="212"/>
      <c r="B1633" s="21"/>
      <c r="C1633" s="21"/>
      <c r="D1633" s="213"/>
      <c r="E1633" s="214"/>
      <c r="F1633" s="215"/>
      <c r="G1633" s="24"/>
      <c r="H1633" s="223"/>
      <c r="I1633" s="223"/>
      <c r="J1633" s="222"/>
      <c r="K1633" s="223"/>
      <c r="L1633" s="223"/>
      <c r="M1633" s="223"/>
      <c r="N1633" s="223"/>
      <c r="O1633" s="223"/>
      <c r="P1633" s="223"/>
      <c r="Q1633" s="223"/>
      <c r="R1633" s="223"/>
      <c r="S1633" s="223"/>
      <c r="T1633" s="223"/>
      <c r="U1633" s="223"/>
      <c r="V1633" s="223"/>
      <c r="W1633" s="223"/>
      <c r="X1633" s="223"/>
      <c r="Y1633" s="223"/>
      <c r="Z1633" s="223"/>
      <c r="AA1633" s="224"/>
      <c r="AB1633" s="224"/>
      <c r="AC1633" s="224"/>
      <c r="AD1633" s="224"/>
      <c r="AE1633" s="224"/>
      <c r="AF1633" s="224"/>
      <c r="AG1633" s="224"/>
      <c r="AH1633" s="224"/>
      <c r="AI1633" s="224"/>
      <c r="AJ1633" s="224"/>
      <c r="AK1633" s="224"/>
      <c r="AL1633" s="224"/>
      <c r="AM1633" s="224"/>
      <c r="AN1633" s="224"/>
      <c r="AO1633" s="224"/>
      <c r="AP1633" s="224"/>
      <c r="AQ1633" s="224"/>
      <c r="AR1633" s="224"/>
      <c r="AS1633" s="224"/>
      <c r="AT1633" s="224"/>
      <c r="AU1633" s="224"/>
      <c r="AV1633" s="224"/>
      <c r="AW1633" s="224"/>
      <c r="AX1633" s="224"/>
      <c r="AY1633" s="224"/>
      <c r="AZ1633" s="224"/>
      <c r="BA1633" s="224"/>
      <c r="BB1633" s="224"/>
      <c r="BC1633" s="224"/>
      <c r="BD1633" s="224"/>
      <c r="BE1633" s="224"/>
      <c r="BF1633" s="224"/>
      <c r="BG1633" s="224"/>
      <c r="BH1633" s="224"/>
      <c r="BI1633" s="224"/>
      <c r="BJ1633" s="224"/>
      <c r="BK1633" s="224"/>
      <c r="BL1633" s="224"/>
      <c r="BM1633" s="224"/>
      <c r="BN1633" s="224"/>
      <c r="BO1633" s="224"/>
      <c r="BP1633" s="224"/>
      <c r="BQ1633" s="224"/>
      <c r="BR1633" s="224"/>
      <c r="BS1633" s="224"/>
      <c r="BT1633" s="224"/>
      <c r="BU1633" s="224"/>
      <c r="BV1633" s="224"/>
      <c r="BW1633" s="224"/>
      <c r="BX1633" s="224"/>
      <c r="BY1633" s="224"/>
      <c r="BZ1633" s="224"/>
      <c r="CA1633" s="224"/>
      <c r="CB1633" s="224"/>
      <c r="CC1633" s="224"/>
      <c r="CD1633" s="224"/>
      <c r="CE1633" s="224"/>
      <c r="CF1633" s="224"/>
      <c r="CG1633" s="224"/>
      <c r="CH1633" s="224"/>
      <c r="CI1633" s="224"/>
      <c r="CJ1633" s="224"/>
      <c r="CK1633" s="224"/>
      <c r="CL1633" s="224"/>
      <c r="CM1633" s="224"/>
      <c r="CN1633" s="224"/>
      <c r="CO1633" s="224"/>
      <c r="CP1633" s="224"/>
      <c r="CQ1633" s="224"/>
      <c r="CR1633" s="224"/>
      <c r="CS1633" s="224"/>
      <c r="CT1633" s="224"/>
      <c r="CU1633" s="224"/>
      <c r="CV1633" s="224"/>
      <c r="CW1633" s="224"/>
      <c r="CX1633" s="224"/>
      <c r="CY1633" s="224"/>
      <c r="CZ1633" s="224"/>
      <c r="DA1633" s="224"/>
      <c r="DB1633" s="224"/>
      <c r="DC1633" s="224"/>
      <c r="DD1633" s="224"/>
      <c r="DE1633" s="224"/>
      <c r="DF1633" s="224"/>
      <c r="DG1633" s="224"/>
      <c r="DH1633" s="224"/>
      <c r="DI1633" s="224"/>
      <c r="DJ1633" s="224"/>
      <c r="DK1633" s="224"/>
      <c r="DL1633" s="224"/>
      <c r="DM1633" s="224"/>
      <c r="DN1633" s="224"/>
      <c r="DO1633" s="224"/>
      <c r="DP1633" s="224"/>
      <c r="DQ1633" s="224"/>
      <c r="DR1633" s="224"/>
      <c r="DS1633" s="224"/>
      <c r="DT1633" s="224"/>
      <c r="DU1633" s="224"/>
      <c r="DV1633" s="224"/>
      <c r="DW1633" s="224"/>
      <c r="DX1633" s="224"/>
      <c r="DY1633" s="224"/>
      <c r="DZ1633" s="224"/>
      <c r="EA1633" s="224"/>
      <c r="EB1633" s="224"/>
      <c r="EC1633" s="224"/>
      <c r="ED1633" s="224"/>
      <c r="EE1633" s="224"/>
      <c r="EF1633" s="224"/>
      <c r="EG1633" s="224"/>
      <c r="EH1633" s="224"/>
      <c r="EI1633" s="224"/>
      <c r="EJ1633" s="224"/>
      <c r="EK1633" s="224"/>
      <c r="EL1633" s="224"/>
      <c r="EM1633" s="224"/>
      <c r="EN1633" s="224"/>
      <c r="EO1633" s="224"/>
      <c r="EP1633" s="224"/>
      <c r="EQ1633" s="224"/>
      <c r="ER1633" s="224"/>
      <c r="ES1633" s="224"/>
      <c r="ET1633" s="224"/>
      <c r="EU1633" s="224"/>
      <c r="EV1633" s="224"/>
      <c r="EW1633" s="224"/>
      <c r="EX1633" s="224"/>
      <c r="EY1633" s="224"/>
      <c r="EZ1633" s="224"/>
      <c r="FA1633" s="224"/>
      <c r="FB1633" s="224"/>
      <c r="FC1633" s="224"/>
      <c r="FD1633" s="224"/>
      <c r="FE1633" s="224"/>
      <c r="FF1633" s="224"/>
      <c r="FG1633" s="224"/>
      <c r="FH1633" s="224"/>
      <c r="FI1633" s="224"/>
      <c r="FJ1633" s="224"/>
      <c r="FK1633" s="224"/>
      <c r="FL1633" s="224"/>
      <c r="FM1633" s="224"/>
      <c r="FN1633" s="224"/>
      <c r="FO1633" s="224"/>
      <c r="FP1633" s="224"/>
      <c r="FQ1633" s="224"/>
      <c r="FR1633" s="224"/>
      <c r="FS1633" s="224"/>
      <c r="FT1633" s="224"/>
      <c r="FU1633" s="224"/>
      <c r="FV1633" s="224"/>
      <c r="FW1633" s="224"/>
      <c r="FX1633" s="224"/>
      <c r="FY1633" s="224"/>
      <c r="FZ1633" s="224"/>
      <c r="GA1633" s="224"/>
      <c r="GB1633" s="224"/>
      <c r="GC1633" s="224"/>
      <c r="GD1633" s="224"/>
      <c r="GE1633" s="224"/>
      <c r="GF1633" s="224"/>
      <c r="GG1633" s="224"/>
      <c r="GH1633" s="224"/>
      <c r="GI1633" s="224"/>
      <c r="GJ1633" s="224"/>
      <c r="GK1633" s="224"/>
      <c r="GL1633" s="224"/>
      <c r="GM1633" s="224"/>
      <c r="GN1633" s="224"/>
    </row>
    <row r="1634">
      <c r="A1634" s="212"/>
      <c r="B1634" s="21"/>
      <c r="C1634" s="21"/>
      <c r="D1634" s="213"/>
      <c r="E1634" s="214"/>
      <c r="F1634" s="215"/>
      <c r="G1634" s="124"/>
      <c r="H1634" s="110"/>
      <c r="I1634" s="110"/>
      <c r="J1634" s="110"/>
      <c r="K1634" s="110"/>
      <c r="L1634" s="110"/>
      <c r="M1634" s="110"/>
      <c r="N1634" s="110"/>
      <c r="O1634" s="110"/>
      <c r="P1634" s="110"/>
      <c r="Q1634" s="110"/>
      <c r="R1634" s="110"/>
      <c r="S1634" s="110"/>
      <c r="T1634" s="110"/>
      <c r="U1634" s="110"/>
      <c r="V1634" s="110"/>
      <c r="W1634" s="110"/>
      <c r="X1634" s="110"/>
      <c r="Y1634" s="110"/>
      <c r="Z1634" s="110"/>
    </row>
    <row r="1635">
      <c r="A1635" s="212"/>
      <c r="B1635" s="21"/>
      <c r="C1635" s="21"/>
      <c r="D1635" s="213"/>
      <c r="E1635" s="214"/>
      <c r="F1635" s="215"/>
      <c r="G1635" s="124"/>
      <c r="H1635" s="110"/>
      <c r="I1635" s="110"/>
      <c r="J1635" s="110"/>
      <c r="K1635" s="110"/>
      <c r="L1635" s="110"/>
      <c r="M1635" s="110"/>
      <c r="N1635" s="110"/>
      <c r="O1635" s="110"/>
      <c r="P1635" s="110"/>
      <c r="Q1635" s="110"/>
      <c r="R1635" s="110"/>
      <c r="S1635" s="110"/>
      <c r="T1635" s="110"/>
      <c r="U1635" s="110"/>
      <c r="V1635" s="110"/>
      <c r="W1635" s="110"/>
      <c r="X1635" s="110"/>
      <c r="Y1635" s="110"/>
      <c r="Z1635" s="110"/>
    </row>
    <row r="1636">
      <c r="A1636" s="212"/>
      <c r="B1636" s="21"/>
      <c r="C1636" s="21"/>
      <c r="D1636" s="213"/>
      <c r="E1636" s="214"/>
      <c r="F1636" s="215"/>
      <c r="G1636" s="110"/>
      <c r="H1636" s="110"/>
      <c r="I1636" s="110"/>
      <c r="J1636" s="110"/>
      <c r="K1636" s="110"/>
      <c r="L1636" s="110"/>
      <c r="M1636" s="110"/>
      <c r="N1636" s="110"/>
      <c r="O1636" s="110"/>
      <c r="P1636" s="110"/>
      <c r="Q1636" s="110"/>
      <c r="R1636" s="110"/>
      <c r="S1636" s="110"/>
      <c r="T1636" s="110"/>
      <c r="U1636" s="110"/>
      <c r="V1636" s="110"/>
      <c r="W1636" s="110"/>
      <c r="X1636" s="110"/>
      <c r="Y1636" s="110"/>
      <c r="Z1636" s="110"/>
    </row>
    <row r="1637">
      <c r="A1637" s="212"/>
      <c r="B1637" s="21"/>
      <c r="C1637" s="21"/>
      <c r="D1637" s="213"/>
      <c r="E1637" s="214"/>
      <c r="F1637" s="215"/>
      <c r="G1637" s="162"/>
      <c r="H1637" s="225"/>
      <c r="I1637" s="225"/>
      <c r="J1637" s="225"/>
      <c r="K1637" s="225"/>
      <c r="L1637" s="225"/>
      <c r="M1637" s="225"/>
      <c r="N1637" s="225"/>
      <c r="O1637" s="225"/>
      <c r="P1637" s="225"/>
      <c r="Q1637" s="225"/>
      <c r="R1637" s="225"/>
      <c r="S1637" s="225"/>
      <c r="T1637" s="225"/>
      <c r="U1637" s="225"/>
      <c r="V1637" s="225"/>
      <c r="W1637" s="110"/>
      <c r="X1637" s="110"/>
      <c r="Y1637" s="110"/>
      <c r="Z1637" s="110"/>
    </row>
    <row r="1638">
      <c r="A1638" s="212"/>
      <c r="B1638" s="21"/>
      <c r="C1638" s="21"/>
      <c r="D1638" s="213"/>
      <c r="E1638" s="214"/>
      <c r="F1638" s="215"/>
      <c r="G1638" s="21"/>
      <c r="H1638" s="225"/>
      <c r="I1638" s="225"/>
      <c r="J1638" s="225"/>
      <c r="K1638" s="225"/>
      <c r="L1638" s="225"/>
      <c r="M1638" s="225"/>
      <c r="N1638" s="225"/>
      <c r="O1638" s="225"/>
      <c r="P1638" s="225"/>
      <c r="Q1638" s="225"/>
      <c r="R1638" s="225"/>
      <c r="S1638" s="225"/>
      <c r="T1638" s="225"/>
      <c r="U1638" s="225"/>
      <c r="V1638" s="225"/>
      <c r="W1638" s="110"/>
      <c r="X1638" s="110"/>
      <c r="Y1638" s="110"/>
      <c r="Z1638" s="110"/>
    </row>
    <row r="1639">
      <c r="A1639" s="212"/>
      <c r="B1639" s="21"/>
      <c r="C1639" s="21"/>
      <c r="D1639" s="213"/>
      <c r="E1639" s="214"/>
      <c r="F1639" s="215"/>
      <c r="G1639" s="21"/>
      <c r="H1639" s="225"/>
      <c r="I1639" s="225"/>
      <c r="J1639" s="225"/>
      <c r="K1639" s="225"/>
      <c r="L1639" s="225"/>
      <c r="M1639" s="225"/>
      <c r="N1639" s="225"/>
      <c r="O1639" s="225"/>
      <c r="P1639" s="225"/>
      <c r="Q1639" s="225"/>
      <c r="R1639" s="225"/>
      <c r="S1639" s="225"/>
      <c r="T1639" s="225"/>
      <c r="U1639" s="225"/>
      <c r="V1639" s="225"/>
      <c r="W1639" s="110"/>
      <c r="X1639" s="110"/>
      <c r="Y1639" s="110"/>
      <c r="Z1639" s="110"/>
    </row>
    <row r="1640">
      <c r="A1640" s="212"/>
      <c r="B1640" s="21"/>
      <c r="C1640" s="21"/>
      <c r="D1640" s="213"/>
      <c r="E1640" s="214"/>
      <c r="F1640" s="215"/>
      <c r="G1640" s="21"/>
      <c r="H1640" s="225"/>
      <c r="I1640" s="225"/>
      <c r="J1640" s="225"/>
      <c r="K1640" s="225"/>
      <c r="L1640" s="225"/>
      <c r="M1640" s="225"/>
      <c r="N1640" s="225"/>
      <c r="O1640" s="225"/>
      <c r="P1640" s="225"/>
      <c r="Q1640" s="225"/>
      <c r="R1640" s="225"/>
      <c r="S1640" s="225"/>
      <c r="T1640" s="225"/>
      <c r="U1640" s="225"/>
      <c r="V1640" s="225"/>
      <c r="W1640" s="110"/>
      <c r="X1640" s="110"/>
      <c r="Y1640" s="110"/>
      <c r="Z1640" s="110"/>
    </row>
    <row r="1641">
      <c r="A1641" s="212"/>
      <c r="B1641" s="21"/>
      <c r="C1641" s="21"/>
      <c r="D1641" s="213"/>
      <c r="E1641" s="214"/>
      <c r="F1641" s="215"/>
      <c r="G1641" s="21"/>
      <c r="H1641" s="225"/>
      <c r="I1641" s="225"/>
      <c r="J1641" s="225"/>
      <c r="K1641" s="225"/>
      <c r="L1641" s="225"/>
      <c r="M1641" s="225"/>
      <c r="N1641" s="225"/>
      <c r="O1641" s="225"/>
      <c r="P1641" s="225"/>
      <c r="Q1641" s="225"/>
      <c r="R1641" s="225"/>
      <c r="S1641" s="225"/>
      <c r="T1641" s="225"/>
      <c r="U1641" s="225"/>
      <c r="V1641" s="225"/>
      <c r="W1641" s="110"/>
      <c r="X1641" s="110"/>
      <c r="Y1641" s="110"/>
      <c r="Z1641" s="110"/>
    </row>
    <row r="1642">
      <c r="A1642" s="212"/>
      <c r="B1642" s="21"/>
      <c r="C1642" s="21"/>
      <c r="D1642" s="213"/>
      <c r="E1642" s="214"/>
      <c r="F1642" s="215"/>
      <c r="G1642" s="21"/>
      <c r="H1642" s="225"/>
      <c r="I1642" s="225"/>
      <c r="J1642" s="225"/>
      <c r="K1642" s="225"/>
      <c r="L1642" s="225"/>
      <c r="M1642" s="225"/>
      <c r="N1642" s="225"/>
      <c r="O1642" s="225"/>
      <c r="P1642" s="225"/>
      <c r="Q1642" s="225"/>
      <c r="R1642" s="225"/>
      <c r="S1642" s="225"/>
      <c r="T1642" s="225"/>
      <c r="U1642" s="225"/>
      <c r="V1642" s="225"/>
      <c r="W1642" s="110"/>
      <c r="X1642" s="110"/>
      <c r="Y1642" s="110"/>
      <c r="Z1642" s="110"/>
    </row>
    <row r="1643">
      <c r="A1643" s="212"/>
      <c r="B1643" s="21"/>
      <c r="C1643" s="21"/>
      <c r="D1643" s="213"/>
      <c r="E1643" s="214"/>
      <c r="F1643" s="215"/>
      <c r="G1643" s="21"/>
      <c r="H1643" s="225"/>
      <c r="I1643" s="225"/>
      <c r="J1643" s="225"/>
      <c r="K1643" s="225"/>
      <c r="L1643" s="225"/>
      <c r="M1643" s="225"/>
      <c r="N1643" s="225"/>
      <c r="O1643" s="225"/>
      <c r="P1643" s="225"/>
      <c r="Q1643" s="225"/>
      <c r="R1643" s="225"/>
      <c r="S1643" s="225"/>
      <c r="T1643" s="225"/>
      <c r="U1643" s="225"/>
      <c r="V1643" s="225"/>
      <c r="W1643" s="110"/>
      <c r="X1643" s="110"/>
      <c r="Y1643" s="110"/>
      <c r="Z1643" s="110"/>
    </row>
    <row r="1644">
      <c r="A1644" s="212"/>
      <c r="B1644" s="21"/>
      <c r="C1644" s="21"/>
      <c r="D1644" s="213"/>
      <c r="E1644" s="214"/>
      <c r="F1644" s="215"/>
      <c r="G1644" s="21"/>
      <c r="H1644" s="225"/>
      <c r="I1644" s="225"/>
      <c r="J1644" s="225"/>
      <c r="K1644" s="225"/>
      <c r="L1644" s="225"/>
      <c r="M1644" s="225"/>
      <c r="N1644" s="225"/>
      <c r="O1644" s="225"/>
      <c r="P1644" s="225"/>
      <c r="Q1644" s="225"/>
      <c r="R1644" s="225"/>
      <c r="S1644" s="225"/>
      <c r="T1644" s="225"/>
      <c r="U1644" s="225"/>
      <c r="V1644" s="225"/>
      <c r="W1644" s="110"/>
      <c r="X1644" s="110"/>
      <c r="Y1644" s="110"/>
      <c r="Z1644" s="110"/>
    </row>
    <row r="1645">
      <c r="A1645" s="212"/>
      <c r="B1645" s="21"/>
      <c r="C1645" s="21"/>
      <c r="D1645" s="213"/>
      <c r="E1645" s="214"/>
      <c r="F1645" s="215"/>
      <c r="G1645" s="21"/>
      <c r="H1645" s="225"/>
      <c r="I1645" s="225"/>
      <c r="J1645" s="225"/>
      <c r="K1645" s="225"/>
      <c r="L1645" s="225"/>
      <c r="M1645" s="225"/>
      <c r="N1645" s="225"/>
      <c r="O1645" s="225"/>
      <c r="P1645" s="225"/>
      <c r="Q1645" s="225"/>
      <c r="R1645" s="225"/>
      <c r="S1645" s="225"/>
      <c r="T1645" s="225"/>
      <c r="U1645" s="225"/>
      <c r="V1645" s="225"/>
      <c r="W1645" s="110"/>
      <c r="X1645" s="110"/>
      <c r="Y1645" s="110"/>
      <c r="Z1645" s="110"/>
    </row>
    <row r="1646">
      <c r="A1646" s="212"/>
      <c r="B1646" s="21"/>
      <c r="C1646" s="21"/>
      <c r="D1646" s="213"/>
      <c r="E1646" s="214"/>
      <c r="F1646" s="215"/>
      <c r="G1646" s="21"/>
      <c r="H1646" s="225"/>
      <c r="I1646" s="225"/>
      <c r="J1646" s="225"/>
      <c r="K1646" s="225"/>
      <c r="L1646" s="225"/>
      <c r="M1646" s="225"/>
      <c r="N1646" s="225"/>
      <c r="O1646" s="225"/>
      <c r="P1646" s="225"/>
      <c r="Q1646" s="225"/>
      <c r="R1646" s="225"/>
      <c r="S1646" s="225"/>
      <c r="T1646" s="225"/>
      <c r="U1646" s="225"/>
      <c r="V1646" s="225"/>
      <c r="W1646" s="110"/>
      <c r="X1646" s="110"/>
      <c r="Y1646" s="110"/>
      <c r="Z1646" s="110"/>
    </row>
    <row r="1647">
      <c r="A1647" s="212"/>
      <c r="B1647" s="21"/>
      <c r="C1647" s="21"/>
      <c r="D1647" s="213"/>
      <c r="E1647" s="214"/>
      <c r="F1647" s="215"/>
      <c r="G1647" s="21"/>
      <c r="H1647" s="225"/>
      <c r="I1647" s="225"/>
      <c r="J1647" s="225"/>
      <c r="K1647" s="225"/>
      <c r="L1647" s="225"/>
      <c r="M1647" s="225"/>
      <c r="N1647" s="225"/>
      <c r="O1647" s="225"/>
      <c r="P1647" s="225"/>
      <c r="Q1647" s="225"/>
      <c r="R1647" s="225"/>
      <c r="S1647" s="225"/>
      <c r="T1647" s="225"/>
      <c r="U1647" s="225"/>
      <c r="V1647" s="225"/>
      <c r="W1647" s="110"/>
      <c r="X1647" s="110"/>
      <c r="Y1647" s="110"/>
      <c r="Z1647" s="110"/>
    </row>
    <row r="1648">
      <c r="A1648" s="212"/>
      <c r="B1648" s="21"/>
      <c r="C1648" s="21"/>
      <c r="D1648" s="213"/>
      <c r="E1648" s="214"/>
      <c r="F1648" s="215"/>
      <c r="G1648" s="21"/>
      <c r="H1648" s="225"/>
      <c r="I1648" s="225"/>
      <c r="J1648" s="225"/>
      <c r="K1648" s="225"/>
      <c r="L1648" s="225"/>
      <c r="M1648" s="225"/>
      <c r="N1648" s="225"/>
      <c r="O1648" s="225"/>
      <c r="P1648" s="225"/>
      <c r="Q1648" s="225"/>
      <c r="R1648" s="225"/>
      <c r="S1648" s="225"/>
      <c r="T1648" s="225"/>
      <c r="U1648" s="225"/>
      <c r="V1648" s="225"/>
      <c r="W1648" s="110"/>
      <c r="X1648" s="110"/>
      <c r="Y1648" s="110"/>
      <c r="Z1648" s="110"/>
    </row>
    <row r="1649">
      <c r="A1649" s="212"/>
      <c r="B1649" s="21"/>
      <c r="C1649" s="21"/>
      <c r="D1649" s="213"/>
      <c r="E1649" s="214"/>
      <c r="F1649" s="215"/>
      <c r="G1649" s="21"/>
      <c r="H1649" s="225"/>
      <c r="I1649" s="225"/>
      <c r="J1649" s="225"/>
      <c r="K1649" s="225"/>
      <c r="L1649" s="225"/>
      <c r="M1649" s="225"/>
      <c r="N1649" s="225"/>
      <c r="O1649" s="225"/>
      <c r="P1649" s="225"/>
      <c r="Q1649" s="225"/>
      <c r="R1649" s="225"/>
      <c r="S1649" s="225"/>
      <c r="T1649" s="225"/>
      <c r="U1649" s="225"/>
      <c r="V1649" s="225"/>
      <c r="W1649" s="110"/>
      <c r="X1649" s="110"/>
      <c r="Y1649" s="110"/>
      <c r="Z1649" s="110"/>
    </row>
    <row r="1650">
      <c r="A1650" s="212"/>
      <c r="B1650" s="21"/>
      <c r="C1650" s="21"/>
      <c r="D1650" s="213"/>
      <c r="E1650" s="214"/>
      <c r="F1650" s="215"/>
      <c r="G1650" s="21"/>
      <c r="H1650" s="225"/>
      <c r="I1650" s="225"/>
      <c r="J1650" s="225"/>
      <c r="K1650" s="225"/>
      <c r="L1650" s="225"/>
      <c r="M1650" s="225"/>
      <c r="N1650" s="225"/>
      <c r="O1650" s="225"/>
      <c r="P1650" s="225"/>
      <c r="Q1650" s="225"/>
      <c r="R1650" s="225"/>
      <c r="S1650" s="225"/>
      <c r="T1650" s="225"/>
      <c r="U1650" s="225"/>
      <c r="V1650" s="225"/>
      <c r="W1650" s="110"/>
      <c r="X1650" s="110"/>
      <c r="Y1650" s="110"/>
      <c r="Z1650" s="110"/>
    </row>
    <row r="1651">
      <c r="A1651" s="212"/>
      <c r="B1651" s="21"/>
      <c r="C1651" s="21"/>
      <c r="D1651" s="213"/>
      <c r="E1651" s="214"/>
      <c r="F1651" s="215"/>
      <c r="G1651" s="21"/>
      <c r="H1651" s="225"/>
      <c r="I1651" s="225"/>
      <c r="J1651" s="225"/>
      <c r="K1651" s="225"/>
      <c r="L1651" s="225"/>
      <c r="M1651" s="225"/>
      <c r="N1651" s="225"/>
      <c r="O1651" s="225"/>
      <c r="P1651" s="225"/>
      <c r="Q1651" s="225"/>
      <c r="R1651" s="225"/>
      <c r="S1651" s="225"/>
      <c r="T1651" s="225"/>
      <c r="U1651" s="225"/>
      <c r="V1651" s="225"/>
      <c r="W1651" s="110"/>
      <c r="X1651" s="110"/>
      <c r="Y1651" s="110"/>
      <c r="Z1651" s="110"/>
    </row>
    <row r="1652">
      <c r="A1652" s="212"/>
      <c r="B1652" s="21"/>
      <c r="C1652" s="21"/>
      <c r="D1652" s="213"/>
      <c r="E1652" s="214"/>
      <c r="F1652" s="215"/>
      <c r="G1652" s="21"/>
      <c r="H1652" s="225"/>
      <c r="I1652" s="225"/>
      <c r="J1652" s="225"/>
      <c r="K1652" s="225"/>
      <c r="L1652" s="225"/>
      <c r="M1652" s="225"/>
      <c r="N1652" s="225"/>
      <c r="O1652" s="225"/>
      <c r="P1652" s="225"/>
      <c r="Q1652" s="225"/>
      <c r="R1652" s="225"/>
      <c r="S1652" s="225"/>
      <c r="T1652" s="225"/>
      <c r="U1652" s="225"/>
      <c r="V1652" s="225"/>
      <c r="W1652" s="110"/>
      <c r="X1652" s="110"/>
      <c r="Y1652" s="110"/>
      <c r="Z1652" s="110"/>
    </row>
    <row r="1653">
      <c r="A1653" s="212"/>
      <c r="B1653" s="21"/>
      <c r="C1653" s="21"/>
      <c r="D1653" s="213"/>
      <c r="E1653" s="214"/>
      <c r="F1653" s="215"/>
      <c r="G1653" s="21"/>
      <c r="H1653" s="225"/>
      <c r="I1653" s="225"/>
      <c r="J1653" s="225"/>
      <c r="K1653" s="225"/>
      <c r="L1653" s="225"/>
      <c r="M1653" s="225"/>
      <c r="N1653" s="225"/>
      <c r="O1653" s="225"/>
      <c r="P1653" s="225"/>
      <c r="Q1653" s="225"/>
      <c r="R1653" s="225"/>
      <c r="S1653" s="225"/>
      <c r="T1653" s="225"/>
      <c r="U1653" s="225"/>
      <c r="V1653" s="225"/>
      <c r="W1653" s="110"/>
      <c r="X1653" s="110"/>
      <c r="Y1653" s="110"/>
      <c r="Z1653" s="110"/>
    </row>
    <row r="1654">
      <c r="A1654" s="212"/>
      <c r="B1654" s="21"/>
      <c r="C1654" s="21"/>
      <c r="D1654" s="213"/>
      <c r="E1654" s="214"/>
      <c r="F1654" s="215"/>
      <c r="G1654" s="21"/>
      <c r="H1654" s="225"/>
      <c r="I1654" s="225"/>
      <c r="J1654" s="225"/>
      <c r="K1654" s="225"/>
      <c r="L1654" s="225"/>
      <c r="M1654" s="225"/>
      <c r="N1654" s="225"/>
      <c r="O1654" s="225"/>
      <c r="P1654" s="225"/>
      <c r="Q1654" s="225"/>
      <c r="R1654" s="225"/>
      <c r="S1654" s="225"/>
      <c r="T1654" s="225"/>
      <c r="U1654" s="225"/>
      <c r="V1654" s="225"/>
      <c r="W1654" s="110"/>
      <c r="X1654" s="110"/>
      <c r="Y1654" s="110"/>
      <c r="Z1654" s="110"/>
    </row>
    <row r="1655">
      <c r="A1655" s="212"/>
      <c r="B1655" s="21"/>
      <c r="C1655" s="21"/>
      <c r="D1655" s="213"/>
      <c r="E1655" s="214"/>
      <c r="F1655" s="215"/>
      <c r="G1655" s="21"/>
      <c r="H1655" s="225"/>
      <c r="I1655" s="225"/>
      <c r="J1655" s="225"/>
      <c r="K1655" s="225"/>
      <c r="L1655" s="225"/>
      <c r="M1655" s="225"/>
      <c r="N1655" s="225"/>
      <c r="O1655" s="225"/>
      <c r="P1655" s="225"/>
      <c r="Q1655" s="225"/>
      <c r="R1655" s="225"/>
      <c r="S1655" s="225"/>
      <c r="T1655" s="225"/>
      <c r="U1655" s="225"/>
      <c r="V1655" s="225"/>
      <c r="W1655" s="110"/>
      <c r="X1655" s="110"/>
      <c r="Y1655" s="110"/>
      <c r="Z1655" s="110"/>
    </row>
    <row r="1656">
      <c r="A1656" s="212"/>
      <c r="B1656" s="21"/>
      <c r="C1656" s="21"/>
      <c r="D1656" s="213"/>
      <c r="E1656" s="214"/>
      <c r="F1656" s="215"/>
      <c r="G1656" s="21"/>
      <c r="H1656" s="225"/>
      <c r="I1656" s="225"/>
      <c r="J1656" s="225"/>
      <c r="K1656" s="225"/>
      <c r="L1656" s="225"/>
      <c r="M1656" s="225"/>
      <c r="N1656" s="225"/>
      <c r="O1656" s="225"/>
      <c r="P1656" s="225"/>
      <c r="Q1656" s="225"/>
      <c r="R1656" s="225"/>
      <c r="S1656" s="225"/>
      <c r="T1656" s="225"/>
      <c r="U1656" s="225"/>
      <c r="V1656" s="225"/>
      <c r="W1656" s="110"/>
      <c r="X1656" s="110"/>
      <c r="Y1656" s="110"/>
      <c r="Z1656" s="110"/>
    </row>
    <row r="1657">
      <c r="A1657" s="212"/>
      <c r="B1657" s="21"/>
      <c r="C1657" s="21"/>
      <c r="D1657" s="213"/>
      <c r="E1657" s="214"/>
      <c r="F1657" s="215"/>
      <c r="G1657" s="21"/>
      <c r="H1657" s="225"/>
      <c r="I1657" s="225"/>
      <c r="J1657" s="225"/>
      <c r="K1657" s="225"/>
      <c r="L1657" s="225"/>
      <c r="M1657" s="225"/>
      <c r="N1657" s="225"/>
      <c r="O1657" s="225"/>
      <c r="P1657" s="225"/>
      <c r="Q1657" s="225"/>
      <c r="R1657" s="225"/>
      <c r="S1657" s="225"/>
      <c r="T1657" s="225"/>
      <c r="U1657" s="225"/>
      <c r="V1657" s="225"/>
      <c r="W1657" s="110"/>
      <c r="X1657" s="110"/>
      <c r="Y1657" s="110"/>
      <c r="Z1657" s="110"/>
    </row>
    <row r="1658">
      <c r="A1658" s="212"/>
      <c r="B1658" s="21"/>
      <c r="C1658" s="21"/>
      <c r="D1658" s="213"/>
      <c r="E1658" s="214"/>
      <c r="F1658" s="215"/>
      <c r="G1658" s="21"/>
      <c r="H1658" s="225"/>
      <c r="I1658" s="225"/>
      <c r="J1658" s="225"/>
      <c r="K1658" s="225"/>
      <c r="L1658" s="225"/>
      <c r="M1658" s="225"/>
      <c r="N1658" s="225"/>
      <c r="O1658" s="225"/>
      <c r="P1658" s="225"/>
      <c r="Q1658" s="225"/>
      <c r="R1658" s="225"/>
      <c r="S1658" s="225"/>
      <c r="T1658" s="225"/>
      <c r="U1658" s="225"/>
      <c r="V1658" s="225"/>
      <c r="W1658" s="110"/>
      <c r="X1658" s="110"/>
      <c r="Y1658" s="110"/>
      <c r="Z1658" s="110"/>
    </row>
    <row r="1659">
      <c r="A1659" s="212"/>
      <c r="B1659" s="21"/>
      <c r="C1659" s="21"/>
      <c r="D1659" s="213"/>
      <c r="E1659" s="214"/>
      <c r="F1659" s="215"/>
      <c r="G1659" s="21"/>
      <c r="H1659" s="225"/>
      <c r="I1659" s="225"/>
      <c r="J1659" s="225"/>
      <c r="K1659" s="225"/>
      <c r="L1659" s="225"/>
      <c r="M1659" s="225"/>
      <c r="N1659" s="225"/>
      <c r="O1659" s="225"/>
      <c r="P1659" s="225"/>
      <c r="Q1659" s="225"/>
      <c r="R1659" s="225"/>
      <c r="S1659" s="225"/>
      <c r="T1659" s="225"/>
      <c r="U1659" s="225"/>
      <c r="V1659" s="225"/>
      <c r="W1659" s="110"/>
      <c r="X1659" s="110"/>
      <c r="Y1659" s="110"/>
      <c r="Z1659" s="110"/>
    </row>
    <row r="1660">
      <c r="A1660" s="212"/>
      <c r="B1660" s="21"/>
      <c r="C1660" s="21"/>
      <c r="D1660" s="213"/>
      <c r="E1660" s="214"/>
      <c r="F1660" s="215"/>
      <c r="G1660" s="21"/>
      <c r="H1660" s="225"/>
      <c r="I1660" s="225"/>
      <c r="J1660" s="225"/>
      <c r="K1660" s="225"/>
      <c r="L1660" s="225"/>
      <c r="M1660" s="225"/>
      <c r="N1660" s="225"/>
      <c r="O1660" s="225"/>
      <c r="P1660" s="225"/>
      <c r="Q1660" s="225"/>
      <c r="R1660" s="225"/>
      <c r="S1660" s="225"/>
      <c r="T1660" s="225"/>
      <c r="U1660" s="225"/>
      <c r="V1660" s="225"/>
      <c r="W1660" s="110"/>
      <c r="X1660" s="110"/>
      <c r="Y1660" s="110"/>
      <c r="Z1660" s="110"/>
    </row>
    <row r="1661">
      <c r="A1661" s="212"/>
      <c r="B1661" s="21"/>
      <c r="C1661" s="21"/>
      <c r="D1661" s="213"/>
      <c r="E1661" s="214"/>
      <c r="F1661" s="215"/>
      <c r="G1661" s="21"/>
      <c r="H1661" s="225"/>
      <c r="I1661" s="225"/>
      <c r="J1661" s="225"/>
      <c r="K1661" s="225"/>
      <c r="L1661" s="225"/>
      <c r="M1661" s="225"/>
      <c r="N1661" s="225"/>
      <c r="O1661" s="225"/>
      <c r="P1661" s="225"/>
      <c r="Q1661" s="225"/>
      <c r="R1661" s="225"/>
      <c r="S1661" s="225"/>
      <c r="T1661" s="225"/>
      <c r="U1661" s="225"/>
      <c r="V1661" s="225"/>
      <c r="W1661" s="110"/>
      <c r="X1661" s="110"/>
      <c r="Y1661" s="110"/>
      <c r="Z1661" s="110"/>
    </row>
    <row r="1662">
      <c r="A1662" s="212"/>
      <c r="B1662" s="21"/>
      <c r="C1662" s="21"/>
      <c r="D1662" s="213"/>
      <c r="E1662" s="214"/>
      <c r="F1662" s="215"/>
      <c r="G1662" s="21"/>
      <c r="H1662" s="225"/>
      <c r="I1662" s="225"/>
      <c r="J1662" s="225"/>
      <c r="K1662" s="225"/>
      <c r="L1662" s="225"/>
      <c r="M1662" s="225"/>
      <c r="N1662" s="225"/>
      <c r="O1662" s="225"/>
      <c r="P1662" s="225"/>
      <c r="Q1662" s="225"/>
      <c r="R1662" s="225"/>
      <c r="S1662" s="225"/>
      <c r="T1662" s="225"/>
      <c r="U1662" s="225"/>
      <c r="V1662" s="225"/>
      <c r="W1662" s="110"/>
      <c r="X1662" s="110"/>
      <c r="Y1662" s="110"/>
      <c r="Z1662" s="110"/>
    </row>
    <row r="1663">
      <c r="A1663" s="212"/>
      <c r="B1663" s="21"/>
      <c r="C1663" s="21"/>
      <c r="D1663" s="213"/>
      <c r="E1663" s="214"/>
      <c r="F1663" s="215"/>
      <c r="G1663" s="21"/>
      <c r="H1663" s="225"/>
      <c r="I1663" s="225"/>
      <c r="J1663" s="225"/>
      <c r="K1663" s="225"/>
      <c r="L1663" s="225"/>
      <c r="M1663" s="225"/>
      <c r="N1663" s="225"/>
      <c r="O1663" s="225"/>
      <c r="P1663" s="225"/>
      <c r="Q1663" s="225"/>
      <c r="R1663" s="225"/>
      <c r="S1663" s="225"/>
      <c r="T1663" s="225"/>
      <c r="U1663" s="225"/>
      <c r="V1663" s="225"/>
      <c r="W1663" s="110"/>
      <c r="X1663" s="110"/>
      <c r="Y1663" s="110"/>
      <c r="Z1663" s="110"/>
    </row>
    <row r="1664">
      <c r="A1664" s="212"/>
      <c r="B1664" s="21"/>
      <c r="C1664" s="21"/>
      <c r="D1664" s="213"/>
      <c r="E1664" s="214"/>
      <c r="F1664" s="215"/>
      <c r="G1664" s="21"/>
      <c r="H1664" s="225"/>
      <c r="I1664" s="225"/>
      <c r="J1664" s="225"/>
      <c r="K1664" s="225"/>
      <c r="L1664" s="225"/>
      <c r="M1664" s="225"/>
      <c r="N1664" s="225"/>
      <c r="O1664" s="225"/>
      <c r="P1664" s="225"/>
      <c r="Q1664" s="225"/>
      <c r="R1664" s="225"/>
      <c r="S1664" s="225"/>
      <c r="T1664" s="225"/>
      <c r="U1664" s="225"/>
      <c r="V1664" s="225"/>
      <c r="W1664" s="110"/>
      <c r="X1664" s="110"/>
      <c r="Y1664" s="110"/>
      <c r="Z1664" s="110"/>
    </row>
    <row r="1665">
      <c r="A1665" s="212"/>
      <c r="B1665" s="21"/>
      <c r="C1665" s="21"/>
      <c r="D1665" s="213"/>
      <c r="E1665" s="214"/>
      <c r="F1665" s="215"/>
      <c r="G1665" s="21"/>
      <c r="H1665" s="225"/>
      <c r="I1665" s="225"/>
      <c r="J1665" s="225"/>
      <c r="K1665" s="225"/>
      <c r="L1665" s="225"/>
      <c r="M1665" s="225"/>
      <c r="N1665" s="225"/>
      <c r="O1665" s="225"/>
      <c r="P1665" s="225"/>
      <c r="Q1665" s="225"/>
      <c r="R1665" s="225"/>
      <c r="S1665" s="225"/>
      <c r="T1665" s="225"/>
      <c r="U1665" s="225"/>
      <c r="V1665" s="225"/>
      <c r="W1665" s="110"/>
      <c r="X1665" s="110"/>
      <c r="Y1665" s="110"/>
      <c r="Z1665" s="110"/>
    </row>
    <row r="1666">
      <c r="A1666" s="212"/>
      <c r="B1666" s="21"/>
      <c r="C1666" s="21"/>
      <c r="D1666" s="213"/>
      <c r="E1666" s="214"/>
      <c r="F1666" s="215"/>
      <c r="G1666" s="21"/>
      <c r="H1666" s="225"/>
      <c r="I1666" s="225"/>
      <c r="J1666" s="225"/>
      <c r="K1666" s="225"/>
      <c r="L1666" s="225"/>
      <c r="M1666" s="225"/>
      <c r="N1666" s="225"/>
      <c r="O1666" s="225"/>
      <c r="P1666" s="225"/>
      <c r="Q1666" s="225"/>
      <c r="R1666" s="225"/>
      <c r="S1666" s="225"/>
      <c r="T1666" s="225"/>
      <c r="U1666" s="225"/>
      <c r="V1666" s="225"/>
      <c r="W1666" s="110"/>
      <c r="X1666" s="110"/>
      <c r="Y1666" s="110"/>
      <c r="Z1666" s="110"/>
    </row>
    <row r="1667">
      <c r="A1667" s="212"/>
      <c r="B1667" s="21"/>
      <c r="C1667" s="21"/>
      <c r="D1667" s="213"/>
      <c r="E1667" s="214"/>
      <c r="F1667" s="215"/>
      <c r="G1667" s="21"/>
      <c r="H1667" s="225"/>
      <c r="I1667" s="225"/>
      <c r="J1667" s="225"/>
      <c r="K1667" s="225"/>
      <c r="L1667" s="225"/>
      <c r="M1667" s="225"/>
      <c r="N1667" s="225"/>
      <c r="O1667" s="225"/>
      <c r="P1667" s="225"/>
      <c r="Q1667" s="225"/>
      <c r="R1667" s="225"/>
      <c r="S1667" s="225"/>
      <c r="T1667" s="225"/>
      <c r="U1667" s="225"/>
      <c r="V1667" s="225"/>
      <c r="W1667" s="110"/>
      <c r="X1667" s="110"/>
      <c r="Y1667" s="110"/>
      <c r="Z1667" s="110"/>
    </row>
    <row r="1668">
      <c r="A1668" s="212"/>
      <c r="B1668" s="21"/>
      <c r="C1668" s="21"/>
      <c r="D1668" s="213"/>
      <c r="E1668" s="214"/>
      <c r="F1668" s="215"/>
      <c r="G1668" s="21"/>
      <c r="H1668" s="225"/>
      <c r="I1668" s="225"/>
      <c r="J1668" s="225"/>
      <c r="K1668" s="225"/>
      <c r="L1668" s="225"/>
      <c r="M1668" s="225"/>
      <c r="N1668" s="225"/>
      <c r="O1668" s="225"/>
      <c r="P1668" s="225"/>
      <c r="Q1668" s="225"/>
      <c r="R1668" s="225"/>
      <c r="S1668" s="225"/>
      <c r="T1668" s="225"/>
      <c r="U1668" s="225"/>
      <c r="V1668" s="225"/>
      <c r="W1668" s="110"/>
      <c r="X1668" s="110"/>
      <c r="Y1668" s="110"/>
      <c r="Z1668" s="110"/>
    </row>
    <row r="1669">
      <c r="A1669" s="212"/>
      <c r="B1669" s="21"/>
      <c r="C1669" s="21"/>
      <c r="D1669" s="213"/>
      <c r="E1669" s="214"/>
      <c r="F1669" s="215"/>
      <c r="G1669" s="21"/>
      <c r="H1669" s="225"/>
      <c r="I1669" s="225"/>
      <c r="J1669" s="225"/>
      <c r="K1669" s="225"/>
      <c r="L1669" s="225"/>
      <c r="M1669" s="225"/>
      <c r="N1669" s="225"/>
      <c r="O1669" s="225"/>
      <c r="P1669" s="225"/>
      <c r="Q1669" s="225"/>
      <c r="R1669" s="225"/>
      <c r="S1669" s="225"/>
      <c r="T1669" s="225"/>
      <c r="U1669" s="225"/>
      <c r="V1669" s="225"/>
      <c r="W1669" s="110"/>
      <c r="X1669" s="110"/>
      <c r="Y1669" s="110"/>
      <c r="Z1669" s="110"/>
    </row>
    <row r="1670">
      <c r="A1670" s="212"/>
      <c r="B1670" s="21"/>
      <c r="C1670" s="21"/>
      <c r="D1670" s="213"/>
      <c r="E1670" s="214"/>
      <c r="F1670" s="215"/>
      <c r="G1670" s="21"/>
      <c r="H1670" s="225"/>
      <c r="I1670" s="225"/>
      <c r="J1670" s="225"/>
      <c r="K1670" s="225"/>
      <c r="L1670" s="225"/>
      <c r="M1670" s="225"/>
      <c r="N1670" s="225"/>
      <c r="O1670" s="225"/>
      <c r="P1670" s="225"/>
      <c r="Q1670" s="225"/>
      <c r="R1670" s="225"/>
      <c r="S1670" s="225"/>
      <c r="T1670" s="225"/>
      <c r="U1670" s="225"/>
      <c r="V1670" s="225"/>
      <c r="W1670" s="110"/>
      <c r="X1670" s="110"/>
      <c r="Y1670" s="110"/>
      <c r="Z1670" s="110"/>
    </row>
    <row r="1671">
      <c r="A1671" s="212"/>
      <c r="B1671" s="21"/>
      <c r="C1671" s="21"/>
      <c r="D1671" s="213"/>
      <c r="E1671" s="214"/>
      <c r="F1671" s="215"/>
      <c r="G1671" s="21"/>
      <c r="H1671" s="225"/>
      <c r="I1671" s="225"/>
      <c r="J1671" s="225"/>
      <c r="K1671" s="225"/>
      <c r="L1671" s="225"/>
      <c r="M1671" s="225"/>
      <c r="N1671" s="225"/>
      <c r="O1671" s="225"/>
      <c r="P1671" s="225"/>
      <c r="Q1671" s="225"/>
      <c r="R1671" s="225"/>
      <c r="S1671" s="225"/>
      <c r="T1671" s="225"/>
      <c r="U1671" s="225"/>
      <c r="V1671" s="225"/>
      <c r="W1671" s="110"/>
      <c r="X1671" s="110"/>
      <c r="Y1671" s="110"/>
      <c r="Z1671" s="110"/>
    </row>
    <row r="1672">
      <c r="A1672" s="212"/>
      <c r="B1672" s="21"/>
      <c r="C1672" s="21"/>
      <c r="D1672" s="213"/>
      <c r="E1672" s="214"/>
      <c r="F1672" s="215"/>
      <c r="G1672" s="21"/>
      <c r="H1672" s="225"/>
      <c r="I1672" s="225"/>
      <c r="J1672" s="225"/>
      <c r="K1672" s="225"/>
      <c r="L1672" s="225"/>
      <c r="M1672" s="225"/>
      <c r="N1672" s="225"/>
      <c r="O1672" s="225"/>
      <c r="P1672" s="225"/>
      <c r="Q1672" s="225"/>
      <c r="R1672" s="225"/>
      <c r="S1672" s="225"/>
      <c r="T1672" s="225"/>
      <c r="U1672" s="225"/>
      <c r="V1672" s="225"/>
      <c r="W1672" s="110"/>
      <c r="X1672" s="110"/>
      <c r="Y1672" s="110"/>
      <c r="Z1672" s="110"/>
    </row>
    <row r="1673">
      <c r="A1673" s="212"/>
      <c r="B1673" s="21"/>
      <c r="C1673" s="21"/>
      <c r="D1673" s="213"/>
      <c r="E1673" s="214"/>
      <c r="F1673" s="215"/>
      <c r="G1673" s="21"/>
      <c r="H1673" s="225"/>
      <c r="I1673" s="225"/>
      <c r="J1673" s="225"/>
      <c r="K1673" s="225"/>
      <c r="L1673" s="225"/>
      <c r="M1673" s="225"/>
      <c r="N1673" s="225"/>
      <c r="O1673" s="225"/>
      <c r="P1673" s="225"/>
      <c r="Q1673" s="225"/>
      <c r="R1673" s="225"/>
      <c r="S1673" s="225"/>
      <c r="T1673" s="225"/>
      <c r="U1673" s="225"/>
      <c r="V1673" s="225"/>
      <c r="W1673" s="110"/>
      <c r="X1673" s="110"/>
      <c r="Y1673" s="110"/>
      <c r="Z1673" s="110"/>
    </row>
    <row r="1674">
      <c r="A1674" s="212"/>
      <c r="B1674" s="21"/>
      <c r="C1674" s="21"/>
      <c r="D1674" s="213"/>
      <c r="E1674" s="214"/>
      <c r="F1674" s="215"/>
      <c r="G1674" s="21"/>
      <c r="H1674" s="225"/>
      <c r="I1674" s="225"/>
      <c r="J1674" s="225"/>
      <c r="K1674" s="225"/>
      <c r="L1674" s="225"/>
      <c r="M1674" s="225"/>
      <c r="N1674" s="225"/>
      <c r="O1674" s="225"/>
      <c r="P1674" s="225"/>
      <c r="Q1674" s="225"/>
      <c r="R1674" s="225"/>
      <c r="S1674" s="225"/>
      <c r="T1674" s="225"/>
      <c r="U1674" s="225"/>
      <c r="V1674" s="225"/>
      <c r="W1674" s="110"/>
      <c r="X1674" s="110"/>
      <c r="Y1674" s="110"/>
      <c r="Z1674" s="110"/>
    </row>
    <row r="1675">
      <c r="A1675" s="212"/>
      <c r="B1675" s="21"/>
      <c r="C1675" s="21"/>
      <c r="D1675" s="213"/>
      <c r="E1675" s="214"/>
      <c r="F1675" s="215"/>
      <c r="G1675" s="21"/>
      <c r="H1675" s="225"/>
      <c r="I1675" s="225"/>
      <c r="J1675" s="225"/>
      <c r="K1675" s="225"/>
      <c r="L1675" s="225"/>
      <c r="M1675" s="225"/>
      <c r="N1675" s="225"/>
      <c r="O1675" s="225"/>
      <c r="P1675" s="225"/>
      <c r="Q1675" s="225"/>
      <c r="R1675" s="225"/>
      <c r="S1675" s="225"/>
      <c r="T1675" s="225"/>
      <c r="U1675" s="225"/>
      <c r="V1675" s="225"/>
      <c r="W1675" s="110"/>
      <c r="X1675" s="110"/>
      <c r="Y1675" s="110"/>
      <c r="Z1675" s="110"/>
    </row>
    <row r="1676">
      <c r="A1676" s="212"/>
      <c r="B1676" s="21"/>
      <c r="C1676" s="21"/>
      <c r="D1676" s="213"/>
      <c r="E1676" s="214"/>
      <c r="F1676" s="215"/>
      <c r="G1676" s="21"/>
      <c r="H1676" s="110"/>
      <c r="I1676" s="110"/>
      <c r="J1676" s="110"/>
      <c r="K1676" s="110"/>
      <c r="L1676" s="110"/>
      <c r="M1676" s="110"/>
      <c r="N1676" s="110"/>
      <c r="O1676" s="110"/>
      <c r="P1676" s="110"/>
      <c r="Q1676" s="110"/>
      <c r="R1676" s="110"/>
      <c r="S1676" s="110"/>
      <c r="T1676" s="110"/>
      <c r="U1676" s="110"/>
      <c r="V1676" s="110"/>
      <c r="W1676" s="110"/>
      <c r="X1676" s="110"/>
      <c r="Y1676" s="110"/>
      <c r="Z1676" s="110"/>
    </row>
    <row r="1677">
      <c r="A1677" s="212"/>
      <c r="B1677" s="21"/>
      <c r="C1677" s="21"/>
      <c r="D1677" s="213"/>
      <c r="E1677" s="214"/>
      <c r="F1677" s="215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</row>
    <row r="1678">
      <c r="A1678" s="212"/>
      <c r="B1678" s="21"/>
      <c r="C1678" s="21"/>
      <c r="D1678" s="213"/>
      <c r="E1678" s="214"/>
      <c r="F1678" s="215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</row>
    <row r="1679">
      <c r="A1679" s="212"/>
      <c r="B1679" s="21"/>
      <c r="C1679" s="21"/>
      <c r="D1679" s="213"/>
      <c r="E1679" s="214"/>
      <c r="F1679" s="215"/>
      <c r="G1679" s="124"/>
      <c r="H1679" s="124"/>
      <c r="I1679" s="124"/>
      <c r="J1679" s="124"/>
      <c r="K1679" s="124"/>
      <c r="L1679" s="124"/>
      <c r="M1679" s="124"/>
      <c r="N1679" s="124"/>
      <c r="O1679" s="124"/>
      <c r="P1679" s="124"/>
      <c r="Q1679" s="124"/>
      <c r="R1679" s="124"/>
      <c r="S1679" s="124"/>
      <c r="T1679" s="124"/>
      <c r="U1679" s="124"/>
      <c r="V1679" s="124"/>
      <c r="W1679" s="124"/>
      <c r="X1679" s="124"/>
      <c r="Y1679" s="124"/>
      <c r="Z1679" s="124"/>
    </row>
    <row r="1680">
      <c r="A1680" s="212"/>
      <c r="B1680" s="21"/>
      <c r="C1680" s="21"/>
      <c r="D1680" s="213"/>
      <c r="E1680" s="214"/>
      <c r="F1680" s="215"/>
      <c r="G1680" s="124"/>
      <c r="H1680" s="124"/>
      <c r="I1680" s="124"/>
      <c r="J1680" s="124"/>
      <c r="K1680" s="124"/>
      <c r="L1680" s="124"/>
      <c r="M1680" s="124"/>
      <c r="N1680" s="124"/>
      <c r="O1680" s="124"/>
      <c r="P1680" s="124"/>
      <c r="Q1680" s="124"/>
      <c r="R1680" s="124"/>
      <c r="S1680" s="124"/>
      <c r="T1680" s="124"/>
      <c r="U1680" s="124"/>
      <c r="V1680" s="124"/>
      <c r="W1680" s="124"/>
      <c r="X1680" s="124"/>
      <c r="Y1680" s="124"/>
      <c r="Z1680" s="124"/>
    </row>
    <row r="1681">
      <c r="A1681" s="212"/>
      <c r="B1681" s="21"/>
      <c r="C1681" s="21"/>
      <c r="D1681" s="213"/>
      <c r="E1681" s="214"/>
      <c r="F1681" s="215"/>
      <c r="G1681" s="124"/>
      <c r="H1681" s="124"/>
      <c r="I1681" s="124"/>
      <c r="J1681" s="124"/>
      <c r="K1681" s="124"/>
      <c r="L1681" s="124"/>
      <c r="M1681" s="124"/>
      <c r="N1681" s="124"/>
      <c r="O1681" s="124"/>
      <c r="P1681" s="124"/>
      <c r="Q1681" s="124"/>
      <c r="R1681" s="124"/>
      <c r="S1681" s="124"/>
      <c r="T1681" s="124"/>
      <c r="U1681" s="124"/>
      <c r="V1681" s="124"/>
      <c r="W1681" s="124"/>
      <c r="X1681" s="124"/>
      <c r="Y1681" s="124"/>
      <c r="Z1681" s="124"/>
    </row>
    <row r="1682">
      <c r="A1682" s="212"/>
      <c r="B1682" s="21"/>
      <c r="C1682" s="21"/>
      <c r="D1682" s="213"/>
      <c r="E1682" s="214"/>
      <c r="F1682" s="215"/>
      <c r="G1682" s="124"/>
      <c r="H1682" s="124"/>
      <c r="I1682" s="124"/>
      <c r="J1682" s="124"/>
      <c r="K1682" s="124"/>
      <c r="L1682" s="124"/>
      <c r="M1682" s="124"/>
      <c r="N1682" s="124"/>
      <c r="O1682" s="124"/>
      <c r="P1682" s="124"/>
      <c r="Q1682" s="124"/>
      <c r="R1682" s="124"/>
      <c r="S1682" s="124"/>
      <c r="T1682" s="124"/>
      <c r="U1682" s="124"/>
      <c r="V1682" s="124"/>
      <c r="W1682" s="124"/>
      <c r="X1682" s="124"/>
      <c r="Y1682" s="124"/>
      <c r="Z1682" s="124"/>
    </row>
    <row r="1683">
      <c r="A1683" s="212"/>
      <c r="B1683" s="21"/>
      <c r="C1683" s="21"/>
      <c r="D1683" s="213"/>
      <c r="E1683" s="214"/>
      <c r="F1683" s="215"/>
      <c r="G1683" s="21"/>
      <c r="H1683" s="225"/>
      <c r="I1683" s="225"/>
      <c r="J1683" s="225"/>
      <c r="K1683" s="225"/>
      <c r="L1683" s="225"/>
      <c r="M1683" s="225"/>
      <c r="N1683" s="225"/>
      <c r="O1683" s="225"/>
      <c r="P1683" s="225"/>
      <c r="Q1683" s="225"/>
      <c r="R1683" s="225"/>
      <c r="S1683" s="225"/>
      <c r="T1683" s="225"/>
      <c r="U1683" s="225"/>
      <c r="V1683" s="225"/>
      <c r="W1683" s="21"/>
      <c r="X1683" s="21"/>
      <c r="Y1683" s="21"/>
      <c r="Z1683" s="21"/>
    </row>
    <row r="1684">
      <c r="A1684" s="212"/>
      <c r="B1684" s="21"/>
      <c r="C1684" s="21"/>
      <c r="D1684" s="213"/>
      <c r="E1684" s="214"/>
      <c r="F1684" s="215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</row>
    <row r="1685">
      <c r="A1685" s="212"/>
      <c r="B1685" s="21"/>
      <c r="C1685" s="21"/>
      <c r="D1685" s="213"/>
      <c r="E1685" s="214"/>
      <c r="F1685" s="215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</row>
    <row r="1686">
      <c r="A1686" s="212"/>
      <c r="B1686" s="21"/>
      <c r="C1686" s="21"/>
      <c r="D1686" s="213"/>
      <c r="E1686" s="214"/>
      <c r="F1686" s="215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</row>
    <row r="1687">
      <c r="A1687" s="212"/>
      <c r="B1687" s="21"/>
      <c r="C1687" s="21"/>
      <c r="D1687" s="213"/>
      <c r="E1687" s="214"/>
      <c r="F1687" s="215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</row>
    <row r="1688">
      <c r="A1688" s="212"/>
      <c r="B1688" s="21"/>
      <c r="C1688" s="21"/>
      <c r="D1688" s="213"/>
      <c r="E1688" s="214"/>
      <c r="F1688" s="215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</row>
    <row r="1689">
      <c r="A1689" s="212"/>
      <c r="B1689" s="21"/>
      <c r="C1689" s="21"/>
      <c r="D1689" s="213"/>
      <c r="E1689" s="214"/>
      <c r="F1689" s="215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</row>
    <row r="1690">
      <c r="A1690" s="212"/>
      <c r="B1690" s="21"/>
      <c r="C1690" s="21"/>
      <c r="D1690" s="213"/>
      <c r="E1690" s="214"/>
      <c r="F1690" s="215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</row>
    <row r="1691">
      <c r="A1691" s="212"/>
      <c r="B1691" s="21"/>
      <c r="C1691" s="21"/>
      <c r="D1691" s="213"/>
      <c r="E1691" s="214"/>
      <c r="F1691" s="215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</row>
    <row r="1692">
      <c r="A1692" s="212"/>
      <c r="B1692" s="21"/>
      <c r="C1692" s="21"/>
      <c r="D1692" s="213"/>
      <c r="E1692" s="214"/>
      <c r="F1692" s="215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</row>
    <row r="1693">
      <c r="A1693" s="212"/>
      <c r="B1693" s="21"/>
      <c r="C1693" s="21"/>
      <c r="D1693" s="213"/>
      <c r="E1693" s="214"/>
      <c r="F1693" s="215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</row>
    <row r="1694">
      <c r="A1694" s="212"/>
      <c r="B1694" s="21"/>
      <c r="C1694" s="21"/>
      <c r="D1694" s="213"/>
      <c r="E1694" s="214"/>
      <c r="F1694" s="215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</row>
    <row r="1695">
      <c r="A1695" s="212"/>
      <c r="B1695" s="21"/>
      <c r="C1695" s="21"/>
      <c r="D1695" s="213"/>
      <c r="E1695" s="214"/>
      <c r="F1695" s="215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</row>
    <row r="1696">
      <c r="A1696" s="212"/>
      <c r="B1696" s="21"/>
      <c r="C1696" s="21"/>
      <c r="D1696" s="213"/>
      <c r="E1696" s="214"/>
      <c r="F1696" s="215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</row>
    <row r="1697">
      <c r="A1697" s="212"/>
      <c r="B1697" s="21"/>
      <c r="C1697" s="21"/>
      <c r="D1697" s="213"/>
      <c r="E1697" s="214"/>
      <c r="F1697" s="215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</row>
    <row r="1698">
      <c r="A1698" s="212"/>
      <c r="B1698" s="21"/>
      <c r="C1698" s="21"/>
      <c r="D1698" s="213"/>
      <c r="E1698" s="214"/>
      <c r="F1698" s="215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</row>
    <row r="1699">
      <c r="A1699" s="212"/>
      <c r="B1699" s="21"/>
      <c r="C1699" s="21"/>
      <c r="D1699" s="213"/>
      <c r="E1699" s="214"/>
      <c r="F1699" s="215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</row>
    <row r="1700">
      <c r="A1700" s="212"/>
      <c r="B1700" s="21"/>
      <c r="C1700" s="21"/>
      <c r="D1700" s="213"/>
      <c r="E1700" s="214"/>
      <c r="F1700" s="215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</row>
    <row r="1701" ht="15.75" customHeight="1">
      <c r="A1701" s="212"/>
      <c r="B1701" s="21"/>
      <c r="C1701" s="21"/>
      <c r="D1701" s="213"/>
      <c r="E1701" s="214"/>
      <c r="F1701" s="215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</row>
    <row r="1702" ht="15.75" customHeight="1">
      <c r="A1702" s="212"/>
      <c r="B1702" s="21"/>
      <c r="C1702" s="21"/>
      <c r="D1702" s="213"/>
      <c r="E1702" s="214"/>
      <c r="F1702" s="215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</row>
    <row r="1703" ht="15.75" customHeight="1">
      <c r="A1703" s="212"/>
      <c r="B1703" s="21"/>
      <c r="C1703" s="21"/>
      <c r="D1703" s="213"/>
      <c r="E1703" s="214"/>
      <c r="F1703" s="215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</row>
    <row r="1704" ht="15.75" customHeight="1">
      <c r="A1704" s="212"/>
      <c r="B1704" s="21"/>
      <c r="C1704" s="21"/>
      <c r="D1704" s="213"/>
      <c r="E1704" s="214"/>
      <c r="F1704" s="215"/>
      <c r="G1704" s="21"/>
      <c r="H1704" s="110"/>
      <c r="I1704" s="110"/>
      <c r="J1704" s="21"/>
      <c r="K1704" s="110"/>
      <c r="L1704" s="110"/>
      <c r="M1704" s="110"/>
      <c r="N1704" s="110"/>
      <c r="O1704" s="110"/>
      <c r="P1704" s="110"/>
      <c r="Q1704" s="110"/>
      <c r="R1704" s="110"/>
      <c r="S1704" s="110"/>
      <c r="T1704" s="110"/>
      <c r="U1704" s="110"/>
      <c r="V1704" s="110"/>
      <c r="W1704" s="110"/>
      <c r="X1704" s="110"/>
      <c r="Y1704" s="110"/>
      <c r="Z1704" s="110"/>
    </row>
    <row r="1705" ht="15.75" customHeight="1">
      <c r="A1705" s="212"/>
      <c r="B1705" s="21"/>
      <c r="C1705" s="21"/>
      <c r="D1705" s="213"/>
      <c r="E1705" s="214"/>
      <c r="F1705" s="215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</row>
    <row r="1706">
      <c r="A1706" s="212"/>
      <c r="B1706" s="21"/>
      <c r="C1706" s="21"/>
      <c r="D1706" s="213"/>
      <c r="E1706" s="214"/>
      <c r="F1706" s="215"/>
      <c r="G1706" s="124"/>
      <c r="H1706" s="110"/>
      <c r="I1706" s="110"/>
      <c r="J1706" s="110"/>
      <c r="K1706" s="110"/>
      <c r="L1706" s="110"/>
      <c r="M1706" s="110"/>
      <c r="N1706" s="110"/>
      <c r="O1706" s="110"/>
      <c r="P1706" s="110"/>
      <c r="Q1706" s="110"/>
      <c r="R1706" s="110"/>
      <c r="S1706" s="110"/>
      <c r="T1706" s="110"/>
      <c r="U1706" s="110"/>
      <c r="V1706" s="110"/>
      <c r="W1706" s="110"/>
      <c r="X1706" s="110"/>
      <c r="Y1706" s="110"/>
      <c r="Z1706" s="110"/>
    </row>
    <row r="1707">
      <c r="A1707" s="212"/>
      <c r="B1707" s="21"/>
      <c r="C1707" s="21"/>
      <c r="D1707" s="213"/>
      <c r="E1707" s="214"/>
      <c r="F1707" s="215"/>
      <c r="G1707" s="124"/>
      <c r="H1707" s="110"/>
      <c r="I1707" s="110"/>
      <c r="J1707" s="110"/>
      <c r="K1707" s="110"/>
      <c r="L1707" s="110"/>
      <c r="M1707" s="110"/>
      <c r="N1707" s="110"/>
      <c r="O1707" s="110"/>
      <c r="P1707" s="110"/>
      <c r="Q1707" s="110"/>
      <c r="R1707" s="110"/>
      <c r="S1707" s="110"/>
      <c r="T1707" s="110"/>
      <c r="U1707" s="110"/>
      <c r="V1707" s="110"/>
      <c r="W1707" s="110"/>
      <c r="X1707" s="110"/>
      <c r="Y1707" s="110"/>
      <c r="Z1707" s="110"/>
    </row>
    <row r="1708">
      <c r="A1708" s="212"/>
      <c r="B1708" s="21"/>
      <c r="C1708" s="21"/>
      <c r="D1708" s="213"/>
      <c r="E1708" s="214"/>
      <c r="F1708" s="215"/>
      <c r="G1708" s="110"/>
      <c r="H1708" s="110"/>
      <c r="I1708" s="110"/>
      <c r="J1708" s="110"/>
      <c r="K1708" s="110"/>
      <c r="L1708" s="110"/>
      <c r="M1708" s="110"/>
      <c r="N1708" s="110"/>
      <c r="O1708" s="110"/>
      <c r="P1708" s="110"/>
      <c r="Q1708" s="110"/>
      <c r="R1708" s="110"/>
      <c r="S1708" s="110"/>
      <c r="T1708" s="110"/>
      <c r="U1708" s="110"/>
      <c r="V1708" s="110"/>
      <c r="W1708" s="110"/>
      <c r="X1708" s="110"/>
      <c r="Y1708" s="110"/>
      <c r="Z1708" s="110"/>
    </row>
    <row r="1709">
      <c r="A1709" s="212"/>
      <c r="B1709" s="21"/>
      <c r="C1709" s="21"/>
      <c r="D1709" s="213"/>
      <c r="E1709" s="214"/>
      <c r="F1709" s="215"/>
      <c r="G1709" s="110"/>
      <c r="H1709" s="110"/>
      <c r="I1709" s="110"/>
      <c r="J1709" s="110"/>
      <c r="K1709" s="110"/>
      <c r="L1709" s="110"/>
      <c r="M1709" s="110"/>
      <c r="N1709" s="110"/>
      <c r="O1709" s="110"/>
      <c r="P1709" s="110"/>
      <c r="Q1709" s="110"/>
      <c r="R1709" s="110"/>
      <c r="S1709" s="110"/>
      <c r="T1709" s="110"/>
      <c r="U1709" s="110"/>
      <c r="V1709" s="110"/>
      <c r="W1709" s="110"/>
      <c r="X1709" s="110"/>
      <c r="Y1709" s="110"/>
      <c r="Z1709" s="110"/>
    </row>
    <row r="1710">
      <c r="A1710" s="212"/>
      <c r="B1710" s="21"/>
      <c r="C1710" s="21"/>
      <c r="D1710" s="213"/>
      <c r="E1710" s="214"/>
      <c r="F1710" s="215"/>
      <c r="G1710" s="162"/>
      <c r="H1710" s="225"/>
      <c r="I1710" s="225"/>
      <c r="J1710" s="225"/>
      <c r="K1710" s="225"/>
      <c r="L1710" s="225"/>
      <c r="M1710" s="225"/>
      <c r="N1710" s="225"/>
      <c r="O1710" s="225"/>
      <c r="P1710" s="225"/>
      <c r="Q1710" s="225"/>
      <c r="R1710" s="225"/>
      <c r="S1710" s="225"/>
      <c r="T1710" s="225"/>
      <c r="U1710" s="225"/>
      <c r="V1710" s="225"/>
      <c r="W1710" s="225"/>
      <c r="X1710" s="225"/>
      <c r="Y1710" s="225"/>
      <c r="Z1710" s="225"/>
    </row>
    <row r="1711" ht="15.75" customHeight="1">
      <c r="A1711" s="212"/>
      <c r="B1711" s="21"/>
      <c r="C1711" s="21"/>
      <c r="D1711" s="213"/>
      <c r="E1711" s="214"/>
      <c r="F1711" s="215"/>
      <c r="G1711" s="21"/>
      <c r="H1711" s="110"/>
      <c r="I1711" s="110"/>
      <c r="J1711" s="21"/>
      <c r="K1711" s="110"/>
      <c r="L1711" s="110"/>
      <c r="M1711" s="110"/>
      <c r="N1711" s="110"/>
      <c r="O1711" s="110"/>
      <c r="P1711" s="110"/>
      <c r="Q1711" s="110"/>
      <c r="R1711" s="110"/>
      <c r="S1711" s="110"/>
      <c r="T1711" s="110"/>
      <c r="U1711" s="110"/>
      <c r="V1711" s="110"/>
      <c r="W1711" s="221"/>
      <c r="X1711" s="221"/>
      <c r="Y1711" s="221"/>
      <c r="Z1711" s="221"/>
    </row>
    <row r="1712">
      <c r="A1712" s="212"/>
      <c r="B1712" s="21"/>
      <c r="C1712" s="21"/>
      <c r="D1712" s="213"/>
      <c r="E1712" s="214"/>
      <c r="F1712" s="215"/>
      <c r="G1712" s="21"/>
      <c r="H1712" s="221"/>
      <c r="I1712" s="221"/>
      <c r="J1712" s="21"/>
      <c r="K1712" s="221"/>
      <c r="L1712" s="221"/>
      <c r="M1712" s="221"/>
      <c r="N1712" s="221"/>
      <c r="O1712" s="221"/>
      <c r="P1712" s="221"/>
      <c r="Q1712" s="221"/>
      <c r="R1712" s="221"/>
      <c r="S1712" s="221"/>
      <c r="T1712" s="221"/>
      <c r="U1712" s="221"/>
      <c r="V1712" s="221"/>
      <c r="W1712" s="221"/>
      <c r="X1712" s="221"/>
      <c r="Y1712" s="221"/>
      <c r="Z1712" s="221"/>
    </row>
    <row r="1713">
      <c r="A1713" s="212"/>
      <c r="B1713" s="21"/>
      <c r="C1713" s="21"/>
      <c r="D1713" s="213"/>
      <c r="E1713" s="214"/>
      <c r="F1713" s="215"/>
      <c r="G1713" s="21"/>
      <c r="H1713" s="221"/>
      <c r="I1713" s="221"/>
      <c r="J1713" s="21"/>
      <c r="K1713" s="221"/>
      <c r="L1713" s="221"/>
      <c r="M1713" s="221"/>
      <c r="N1713" s="221"/>
      <c r="O1713" s="221"/>
      <c r="P1713" s="221"/>
      <c r="Q1713" s="221"/>
      <c r="R1713" s="221"/>
      <c r="S1713" s="221"/>
      <c r="T1713" s="221"/>
      <c r="U1713" s="221"/>
      <c r="V1713" s="221"/>
      <c r="W1713" s="221"/>
      <c r="X1713" s="221"/>
      <c r="Y1713" s="221"/>
      <c r="Z1713" s="221"/>
    </row>
    <row r="1714">
      <c r="A1714" s="212"/>
      <c r="B1714" s="21"/>
      <c r="C1714" s="21"/>
      <c r="D1714" s="213"/>
      <c r="E1714" s="214"/>
      <c r="F1714" s="215"/>
      <c r="G1714" s="21"/>
      <c r="H1714" s="221"/>
      <c r="I1714" s="221"/>
      <c r="J1714" s="21"/>
      <c r="K1714" s="221"/>
      <c r="L1714" s="221"/>
      <c r="M1714" s="221"/>
      <c r="N1714" s="221"/>
      <c r="O1714" s="221"/>
      <c r="P1714" s="221"/>
      <c r="Q1714" s="221"/>
      <c r="R1714" s="221"/>
      <c r="S1714" s="221"/>
      <c r="T1714" s="221"/>
      <c r="U1714" s="221"/>
      <c r="V1714" s="221"/>
      <c r="W1714" s="221"/>
      <c r="X1714" s="221"/>
      <c r="Y1714" s="221"/>
      <c r="Z1714" s="221"/>
    </row>
    <row r="1715">
      <c r="A1715" s="212"/>
      <c r="B1715" s="21"/>
      <c r="C1715" s="21"/>
      <c r="D1715" s="213"/>
      <c r="E1715" s="214"/>
      <c r="F1715" s="215"/>
      <c r="G1715" s="21"/>
      <c r="H1715" s="221"/>
      <c r="I1715" s="221"/>
      <c r="J1715" s="21"/>
      <c r="K1715" s="221"/>
      <c r="L1715" s="221"/>
      <c r="M1715" s="221"/>
      <c r="N1715" s="221"/>
      <c r="O1715" s="221"/>
      <c r="P1715" s="221"/>
      <c r="Q1715" s="221"/>
      <c r="R1715" s="221"/>
      <c r="S1715" s="221"/>
      <c r="T1715" s="221"/>
      <c r="U1715" s="221"/>
      <c r="V1715" s="221"/>
      <c r="W1715" s="221"/>
      <c r="X1715" s="221"/>
      <c r="Y1715" s="221"/>
      <c r="Z1715" s="221"/>
    </row>
    <row r="1716">
      <c r="A1716" s="212"/>
      <c r="B1716" s="21"/>
      <c r="C1716" s="21"/>
      <c r="D1716" s="213"/>
      <c r="E1716" s="214"/>
      <c r="F1716" s="215"/>
      <c r="G1716" s="21"/>
      <c r="H1716" s="221"/>
      <c r="I1716" s="221"/>
      <c r="J1716" s="21"/>
      <c r="K1716" s="221"/>
      <c r="L1716" s="221"/>
      <c r="M1716" s="221"/>
      <c r="N1716" s="221"/>
      <c r="O1716" s="221"/>
      <c r="P1716" s="221"/>
      <c r="Q1716" s="221"/>
      <c r="R1716" s="221"/>
      <c r="S1716" s="221"/>
      <c r="T1716" s="221"/>
      <c r="U1716" s="221"/>
      <c r="V1716" s="221"/>
      <c r="W1716" s="221"/>
      <c r="X1716" s="221"/>
      <c r="Y1716" s="221"/>
      <c r="Z1716" s="221"/>
    </row>
    <row r="1717">
      <c r="A1717" s="212"/>
      <c r="B1717" s="21"/>
      <c r="C1717" s="21"/>
      <c r="D1717" s="213"/>
      <c r="E1717" s="214"/>
      <c r="F1717" s="215"/>
      <c r="G1717" s="21"/>
      <c r="H1717" s="221"/>
      <c r="I1717" s="221"/>
      <c r="J1717" s="21"/>
      <c r="K1717" s="221"/>
      <c r="L1717" s="221"/>
      <c r="M1717" s="221"/>
      <c r="N1717" s="221"/>
      <c r="O1717" s="221"/>
      <c r="P1717" s="221"/>
      <c r="Q1717" s="221"/>
      <c r="R1717" s="221"/>
      <c r="S1717" s="221"/>
      <c r="T1717" s="221"/>
      <c r="U1717" s="221"/>
      <c r="V1717" s="221"/>
      <c r="W1717" s="221"/>
      <c r="X1717" s="221"/>
      <c r="Y1717" s="221"/>
      <c r="Z1717" s="221"/>
    </row>
    <row r="1718">
      <c r="A1718" s="212"/>
      <c r="B1718" s="21"/>
      <c r="C1718" s="21"/>
      <c r="D1718" s="213"/>
      <c r="E1718" s="214"/>
      <c r="F1718" s="215"/>
      <c r="G1718" s="21"/>
      <c r="H1718" s="221"/>
      <c r="I1718" s="221"/>
      <c r="J1718" s="21"/>
      <c r="K1718" s="221"/>
      <c r="L1718" s="221"/>
      <c r="M1718" s="221"/>
      <c r="N1718" s="221"/>
      <c r="O1718" s="221"/>
      <c r="P1718" s="221"/>
      <c r="Q1718" s="221"/>
      <c r="R1718" s="221"/>
      <c r="S1718" s="221"/>
      <c r="T1718" s="221"/>
      <c r="U1718" s="221"/>
      <c r="V1718" s="221"/>
      <c r="W1718" s="221"/>
      <c r="X1718" s="221"/>
      <c r="Y1718" s="221"/>
      <c r="Z1718" s="221"/>
    </row>
    <row r="1719">
      <c r="A1719" s="212"/>
      <c r="B1719" s="21"/>
      <c r="C1719" s="21"/>
      <c r="D1719" s="213"/>
      <c r="E1719" s="214"/>
      <c r="F1719" s="215"/>
      <c r="G1719" s="21"/>
      <c r="H1719" s="221"/>
      <c r="I1719" s="221"/>
      <c r="J1719" s="21"/>
      <c r="K1719" s="221"/>
      <c r="L1719" s="221"/>
      <c r="M1719" s="221"/>
      <c r="N1719" s="221"/>
      <c r="O1719" s="221"/>
      <c r="P1719" s="221"/>
      <c r="Q1719" s="221"/>
      <c r="R1719" s="221"/>
      <c r="S1719" s="221"/>
      <c r="T1719" s="221"/>
      <c r="U1719" s="221"/>
      <c r="V1719" s="221"/>
      <c r="W1719" s="221"/>
      <c r="X1719" s="221"/>
      <c r="Y1719" s="221"/>
      <c r="Z1719" s="221"/>
    </row>
    <row r="1720">
      <c r="A1720" s="212"/>
      <c r="B1720" s="21"/>
      <c r="C1720" s="21"/>
      <c r="D1720" s="213"/>
      <c r="E1720" s="214"/>
      <c r="F1720" s="215"/>
      <c r="G1720" s="21"/>
      <c r="H1720" s="221"/>
      <c r="I1720" s="221"/>
      <c r="J1720" s="21"/>
      <c r="K1720" s="221"/>
      <c r="L1720" s="221"/>
      <c r="M1720" s="221"/>
      <c r="N1720" s="221"/>
      <c r="O1720" s="221"/>
      <c r="P1720" s="221"/>
      <c r="Q1720" s="221"/>
      <c r="R1720" s="221"/>
      <c r="S1720" s="221"/>
      <c r="T1720" s="221"/>
      <c r="U1720" s="221"/>
      <c r="V1720" s="221"/>
      <c r="W1720" s="221"/>
      <c r="X1720" s="221"/>
      <c r="Y1720" s="221"/>
      <c r="Z1720" s="221"/>
    </row>
    <row r="1721">
      <c r="A1721" s="212"/>
      <c r="B1721" s="21"/>
      <c r="C1721" s="21"/>
      <c r="D1721" s="213"/>
      <c r="E1721" s="214"/>
      <c r="F1721" s="215"/>
      <c r="G1721" s="21"/>
      <c r="H1721" s="221"/>
      <c r="I1721" s="221"/>
      <c r="J1721" s="21"/>
      <c r="K1721" s="221"/>
      <c r="L1721" s="221"/>
      <c r="M1721" s="221"/>
      <c r="N1721" s="221"/>
      <c r="O1721" s="221"/>
      <c r="P1721" s="221"/>
      <c r="Q1721" s="221"/>
      <c r="R1721" s="221"/>
      <c r="S1721" s="221"/>
      <c r="T1721" s="221"/>
      <c r="U1721" s="221"/>
      <c r="V1721" s="221"/>
      <c r="W1721" s="221"/>
      <c r="X1721" s="221"/>
      <c r="Y1721" s="221"/>
      <c r="Z1721" s="221"/>
    </row>
    <row r="1722">
      <c r="A1722" s="212"/>
      <c r="B1722" s="21"/>
      <c r="C1722" s="21"/>
      <c r="D1722" s="213"/>
      <c r="E1722" s="214"/>
      <c r="F1722" s="215"/>
      <c r="G1722" s="21"/>
      <c r="H1722" s="221"/>
      <c r="I1722" s="221"/>
      <c r="J1722" s="21"/>
      <c r="K1722" s="221"/>
      <c r="L1722" s="221"/>
      <c r="M1722" s="221"/>
      <c r="N1722" s="221"/>
      <c r="O1722" s="221"/>
      <c r="P1722" s="221"/>
      <c r="Q1722" s="221"/>
      <c r="R1722" s="221"/>
      <c r="S1722" s="221"/>
      <c r="T1722" s="221"/>
      <c r="U1722" s="221"/>
      <c r="V1722" s="221"/>
      <c r="W1722" s="221"/>
      <c r="X1722" s="221"/>
      <c r="Y1722" s="221"/>
      <c r="Z1722" s="221"/>
    </row>
    <row r="1723">
      <c r="A1723" s="212"/>
      <c r="B1723" s="21"/>
      <c r="C1723" s="21"/>
      <c r="D1723" s="213"/>
      <c r="E1723" s="214"/>
      <c r="F1723" s="215"/>
      <c r="G1723" s="21"/>
      <c r="H1723" s="110"/>
      <c r="I1723" s="110"/>
      <c r="J1723" s="110"/>
      <c r="K1723" s="110"/>
      <c r="L1723" s="110"/>
      <c r="M1723" s="110"/>
      <c r="N1723" s="110"/>
      <c r="O1723" s="110"/>
      <c r="P1723" s="110"/>
      <c r="Q1723" s="110"/>
      <c r="R1723" s="110"/>
      <c r="S1723" s="110"/>
      <c r="T1723" s="110"/>
      <c r="U1723" s="110"/>
      <c r="V1723" s="110"/>
      <c r="W1723" s="110"/>
      <c r="X1723" s="110"/>
      <c r="Y1723" s="110"/>
      <c r="Z1723" s="110"/>
    </row>
    <row r="1724" ht="15.75" customHeight="1">
      <c r="A1724" s="212"/>
      <c r="B1724" s="21"/>
      <c r="C1724" s="21"/>
      <c r="D1724" s="213"/>
      <c r="E1724" s="214"/>
      <c r="F1724" s="215"/>
      <c r="G1724" s="21"/>
      <c r="H1724" s="110"/>
      <c r="I1724" s="110"/>
      <c r="J1724" s="21"/>
      <c r="K1724" s="110"/>
      <c r="L1724" s="110"/>
      <c r="M1724" s="110"/>
      <c r="N1724" s="110"/>
      <c r="O1724" s="110"/>
      <c r="P1724" s="110"/>
      <c r="Q1724" s="110"/>
      <c r="R1724" s="110"/>
      <c r="S1724" s="110"/>
      <c r="T1724" s="110"/>
      <c r="U1724" s="110"/>
      <c r="V1724" s="110"/>
      <c r="W1724" s="110"/>
      <c r="X1724" s="110"/>
      <c r="Y1724" s="110"/>
      <c r="Z1724" s="110"/>
    </row>
    <row r="1725">
      <c r="A1725" s="212"/>
      <c r="B1725" s="21"/>
      <c r="C1725" s="21"/>
      <c r="D1725" s="213"/>
      <c r="E1725" s="214"/>
      <c r="F1725" s="215"/>
      <c r="G1725" s="21"/>
      <c r="H1725" s="221"/>
      <c r="I1725" s="221"/>
      <c r="J1725" s="21"/>
      <c r="K1725" s="221"/>
      <c r="L1725" s="221"/>
      <c r="M1725" s="221"/>
      <c r="N1725" s="221"/>
      <c r="O1725" s="221"/>
      <c r="P1725" s="221"/>
      <c r="Q1725" s="221"/>
      <c r="R1725" s="221"/>
      <c r="S1725" s="221"/>
      <c r="T1725" s="221"/>
      <c r="U1725" s="221"/>
      <c r="V1725" s="221"/>
      <c r="W1725" s="221"/>
      <c r="X1725" s="221"/>
      <c r="Y1725" s="221"/>
      <c r="Z1725" s="221"/>
    </row>
    <row r="1726">
      <c r="A1726" s="212"/>
      <c r="B1726" s="21"/>
      <c r="C1726" s="21"/>
      <c r="D1726" s="213"/>
      <c r="E1726" s="214"/>
      <c r="F1726" s="215"/>
      <c r="G1726" s="21"/>
      <c r="H1726" s="221"/>
      <c r="I1726" s="221"/>
      <c r="J1726" s="21"/>
      <c r="K1726" s="221"/>
      <c r="L1726" s="221"/>
      <c r="M1726" s="221"/>
      <c r="N1726" s="221"/>
      <c r="O1726" s="221"/>
      <c r="P1726" s="221"/>
      <c r="Q1726" s="221"/>
      <c r="R1726" s="221"/>
      <c r="S1726" s="221"/>
      <c r="T1726" s="221"/>
      <c r="U1726" s="221"/>
      <c r="V1726" s="221"/>
      <c r="W1726" s="221"/>
      <c r="X1726" s="221"/>
      <c r="Y1726" s="221"/>
      <c r="Z1726" s="221"/>
    </row>
    <row r="1727">
      <c r="A1727" s="212"/>
      <c r="B1727" s="21"/>
      <c r="C1727" s="21"/>
      <c r="D1727" s="213"/>
      <c r="E1727" s="214"/>
      <c r="F1727" s="215"/>
      <c r="G1727" s="21"/>
      <c r="H1727" s="221"/>
      <c r="I1727" s="221"/>
      <c r="J1727" s="21"/>
      <c r="K1727" s="221"/>
      <c r="L1727" s="221"/>
      <c r="M1727" s="221"/>
      <c r="N1727" s="221"/>
      <c r="O1727" s="221"/>
      <c r="P1727" s="221"/>
      <c r="Q1727" s="221"/>
      <c r="R1727" s="221"/>
      <c r="S1727" s="221"/>
      <c r="T1727" s="221"/>
      <c r="U1727" s="221"/>
      <c r="V1727" s="221"/>
      <c r="W1727" s="221"/>
      <c r="X1727" s="221"/>
      <c r="Y1727" s="221"/>
      <c r="Z1727" s="221"/>
    </row>
    <row r="1728">
      <c r="A1728" s="212"/>
      <c r="B1728" s="21"/>
      <c r="C1728" s="21"/>
      <c r="D1728" s="213"/>
      <c r="E1728" s="214"/>
      <c r="F1728" s="215"/>
      <c r="G1728" s="21"/>
      <c r="H1728" s="221"/>
      <c r="I1728" s="221"/>
      <c r="J1728" s="21"/>
      <c r="K1728" s="221"/>
      <c r="L1728" s="221"/>
      <c r="M1728" s="221"/>
      <c r="N1728" s="221"/>
      <c r="O1728" s="221"/>
      <c r="P1728" s="221"/>
      <c r="Q1728" s="221"/>
      <c r="R1728" s="221"/>
      <c r="S1728" s="221"/>
      <c r="T1728" s="221"/>
      <c r="U1728" s="221"/>
      <c r="V1728" s="221"/>
      <c r="W1728" s="221"/>
      <c r="X1728" s="221"/>
      <c r="Y1728" s="221"/>
      <c r="Z1728" s="221"/>
    </row>
    <row r="1729">
      <c r="A1729" s="212"/>
      <c r="B1729" s="21"/>
      <c r="C1729" s="21"/>
      <c r="D1729" s="213"/>
      <c r="E1729" s="214"/>
      <c r="F1729" s="215"/>
      <c r="G1729" s="21"/>
      <c r="H1729" s="221"/>
      <c r="I1729" s="221"/>
      <c r="J1729" s="21"/>
      <c r="K1729" s="221"/>
      <c r="L1729" s="221"/>
      <c r="M1729" s="221"/>
      <c r="N1729" s="221"/>
      <c r="O1729" s="221"/>
      <c r="P1729" s="221"/>
      <c r="Q1729" s="221"/>
      <c r="R1729" s="221"/>
      <c r="S1729" s="221"/>
      <c r="T1729" s="221"/>
      <c r="U1729" s="221"/>
      <c r="V1729" s="221"/>
      <c r="W1729" s="221"/>
      <c r="X1729" s="221"/>
      <c r="Y1729" s="221"/>
      <c r="Z1729" s="221"/>
    </row>
    <row r="1730">
      <c r="A1730" s="212"/>
      <c r="B1730" s="21"/>
      <c r="C1730" s="21"/>
      <c r="D1730" s="213"/>
      <c r="E1730" s="214"/>
      <c r="F1730" s="215"/>
      <c r="G1730" s="21"/>
      <c r="H1730" s="221"/>
      <c r="I1730" s="221"/>
      <c r="J1730" s="21"/>
      <c r="K1730" s="221"/>
      <c r="L1730" s="221"/>
      <c r="M1730" s="221"/>
      <c r="N1730" s="221"/>
      <c r="O1730" s="221"/>
      <c r="P1730" s="221"/>
      <c r="Q1730" s="221"/>
      <c r="R1730" s="221"/>
      <c r="S1730" s="221"/>
      <c r="T1730" s="221"/>
      <c r="U1730" s="221"/>
      <c r="V1730" s="221"/>
      <c r="W1730" s="221"/>
      <c r="X1730" s="221"/>
      <c r="Y1730" s="221"/>
      <c r="Z1730" s="221"/>
    </row>
    <row r="1731">
      <c r="A1731" s="212"/>
      <c r="B1731" s="21"/>
      <c r="C1731" s="21"/>
      <c r="D1731" s="213"/>
      <c r="E1731" s="214"/>
      <c r="F1731" s="215"/>
      <c r="G1731" s="21"/>
      <c r="H1731" s="221"/>
      <c r="I1731" s="221"/>
      <c r="J1731" s="21"/>
      <c r="K1731" s="221"/>
      <c r="L1731" s="221"/>
      <c r="M1731" s="221"/>
      <c r="N1731" s="221"/>
      <c r="O1731" s="221"/>
      <c r="P1731" s="221"/>
      <c r="Q1731" s="221"/>
      <c r="R1731" s="221"/>
      <c r="S1731" s="221"/>
      <c r="T1731" s="221"/>
      <c r="U1731" s="221"/>
      <c r="V1731" s="221"/>
      <c r="W1731" s="221"/>
      <c r="X1731" s="221"/>
      <c r="Y1731" s="221"/>
      <c r="Z1731" s="221"/>
    </row>
    <row r="1732">
      <c r="A1732" s="212"/>
      <c r="B1732" s="21"/>
      <c r="C1732" s="21"/>
      <c r="D1732" s="213"/>
      <c r="E1732" s="214"/>
      <c r="F1732" s="215"/>
      <c r="G1732" s="21"/>
      <c r="H1732" s="221"/>
      <c r="I1732" s="221"/>
      <c r="J1732" s="21"/>
      <c r="K1732" s="221"/>
      <c r="L1732" s="221"/>
      <c r="M1732" s="221"/>
      <c r="N1732" s="221"/>
      <c r="O1732" s="221"/>
      <c r="P1732" s="221"/>
      <c r="Q1732" s="221"/>
      <c r="R1732" s="221"/>
      <c r="S1732" s="221"/>
      <c r="T1732" s="221"/>
      <c r="U1732" s="221"/>
      <c r="V1732" s="221"/>
      <c r="W1732" s="221"/>
      <c r="X1732" s="221"/>
      <c r="Y1732" s="221"/>
      <c r="Z1732" s="221"/>
    </row>
    <row r="1733">
      <c r="A1733" s="212"/>
      <c r="B1733" s="21"/>
      <c r="C1733" s="21"/>
      <c r="D1733" s="213"/>
      <c r="E1733" s="214"/>
      <c r="F1733" s="215"/>
      <c r="G1733" s="21"/>
      <c r="H1733" s="221"/>
      <c r="I1733" s="221"/>
      <c r="J1733" s="21"/>
      <c r="K1733" s="221"/>
      <c r="L1733" s="221"/>
      <c r="M1733" s="221"/>
      <c r="N1733" s="221"/>
      <c r="O1733" s="221"/>
      <c r="P1733" s="221"/>
      <c r="Q1733" s="221"/>
      <c r="R1733" s="221"/>
      <c r="S1733" s="221"/>
      <c r="T1733" s="221"/>
      <c r="U1733" s="221"/>
      <c r="V1733" s="221"/>
      <c r="W1733" s="221"/>
      <c r="X1733" s="221"/>
      <c r="Y1733" s="221"/>
      <c r="Z1733" s="221"/>
    </row>
    <row r="1734" ht="15.75" customHeight="1">
      <c r="A1734" s="212"/>
      <c r="B1734" s="21"/>
      <c r="C1734" s="21"/>
      <c r="D1734" s="213"/>
      <c r="E1734" s="214"/>
      <c r="F1734" s="215"/>
      <c r="G1734" s="21"/>
      <c r="H1734" s="110"/>
      <c r="I1734" s="110"/>
      <c r="J1734" s="110"/>
      <c r="K1734" s="110"/>
      <c r="L1734" s="110"/>
      <c r="M1734" s="110"/>
      <c r="N1734" s="110"/>
      <c r="O1734" s="110"/>
      <c r="P1734" s="110"/>
      <c r="Q1734" s="110"/>
      <c r="R1734" s="110"/>
      <c r="S1734" s="110"/>
      <c r="T1734" s="110"/>
      <c r="U1734" s="110"/>
      <c r="V1734" s="110"/>
      <c r="W1734" s="221"/>
      <c r="X1734" s="221"/>
      <c r="Y1734" s="221"/>
      <c r="Z1734" s="221"/>
    </row>
    <row r="1735">
      <c r="A1735" s="212"/>
      <c r="B1735" s="21"/>
      <c r="C1735" s="21"/>
      <c r="D1735" s="213"/>
      <c r="E1735" s="214"/>
      <c r="F1735" s="215"/>
      <c r="G1735" s="21"/>
      <c r="H1735" s="221"/>
      <c r="I1735" s="221"/>
      <c r="J1735" s="221"/>
      <c r="K1735" s="221"/>
      <c r="L1735" s="221"/>
      <c r="M1735" s="221"/>
      <c r="N1735" s="221"/>
      <c r="O1735" s="221"/>
      <c r="P1735" s="221"/>
      <c r="Q1735" s="221"/>
      <c r="R1735" s="221"/>
      <c r="S1735" s="221"/>
      <c r="T1735" s="221"/>
      <c r="U1735" s="221"/>
      <c r="V1735" s="221"/>
      <c r="W1735" s="221"/>
      <c r="X1735" s="221"/>
      <c r="Y1735" s="221"/>
      <c r="Z1735" s="221"/>
    </row>
    <row r="1736">
      <c r="A1736" s="212"/>
      <c r="B1736" s="21"/>
      <c r="C1736" s="21"/>
      <c r="D1736" s="213"/>
      <c r="E1736" s="214"/>
      <c r="F1736" s="215"/>
      <c r="G1736" s="21"/>
      <c r="H1736" s="221"/>
      <c r="I1736" s="221"/>
      <c r="J1736" s="221"/>
      <c r="K1736" s="221"/>
      <c r="L1736" s="221"/>
      <c r="M1736" s="221"/>
      <c r="N1736" s="221"/>
      <c r="O1736" s="221"/>
      <c r="P1736" s="221"/>
      <c r="Q1736" s="221"/>
      <c r="R1736" s="221"/>
      <c r="S1736" s="221"/>
      <c r="T1736" s="221"/>
      <c r="U1736" s="221"/>
      <c r="V1736" s="221"/>
      <c r="W1736" s="221"/>
      <c r="X1736" s="221"/>
      <c r="Y1736" s="221"/>
      <c r="Z1736" s="221"/>
    </row>
    <row r="1737">
      <c r="A1737" s="212"/>
      <c r="B1737" s="21"/>
      <c r="C1737" s="21"/>
      <c r="D1737" s="213"/>
      <c r="E1737" s="214"/>
      <c r="F1737" s="215"/>
      <c r="G1737" s="21"/>
      <c r="H1737" s="221"/>
      <c r="I1737" s="221"/>
      <c r="J1737" s="221"/>
      <c r="K1737" s="221"/>
      <c r="L1737" s="221"/>
      <c r="M1737" s="221"/>
      <c r="N1737" s="221"/>
      <c r="O1737" s="221"/>
      <c r="P1737" s="221"/>
      <c r="Q1737" s="221"/>
      <c r="R1737" s="221"/>
      <c r="S1737" s="221"/>
      <c r="T1737" s="221"/>
      <c r="U1737" s="221"/>
      <c r="V1737" s="221"/>
      <c r="W1737" s="221"/>
      <c r="X1737" s="221"/>
      <c r="Y1737" s="221"/>
      <c r="Z1737" s="221"/>
    </row>
    <row r="1738">
      <c r="A1738" s="212"/>
      <c r="B1738" s="21"/>
      <c r="C1738" s="21"/>
      <c r="D1738" s="213"/>
      <c r="E1738" s="214"/>
      <c r="F1738" s="215"/>
      <c r="G1738" s="21"/>
      <c r="H1738" s="221"/>
      <c r="I1738" s="221"/>
      <c r="J1738" s="221"/>
      <c r="K1738" s="221"/>
      <c r="L1738" s="221"/>
      <c r="M1738" s="221"/>
      <c r="N1738" s="221"/>
      <c r="O1738" s="221"/>
      <c r="P1738" s="221"/>
      <c r="Q1738" s="221"/>
      <c r="R1738" s="221"/>
      <c r="S1738" s="221"/>
      <c r="T1738" s="221"/>
      <c r="U1738" s="221"/>
      <c r="V1738" s="221"/>
      <c r="W1738" s="221"/>
      <c r="X1738" s="221"/>
      <c r="Y1738" s="221"/>
      <c r="Z1738" s="221"/>
    </row>
    <row r="1739">
      <c r="A1739" s="212"/>
      <c r="B1739" s="21"/>
      <c r="C1739" s="21"/>
      <c r="D1739" s="213"/>
      <c r="E1739" s="214"/>
      <c r="F1739" s="215"/>
      <c r="G1739" s="21"/>
      <c r="H1739" s="221"/>
      <c r="I1739" s="221"/>
      <c r="J1739" s="221"/>
      <c r="K1739" s="221"/>
      <c r="L1739" s="221"/>
      <c r="M1739" s="221"/>
      <c r="N1739" s="221"/>
      <c r="O1739" s="221"/>
      <c r="P1739" s="221"/>
      <c r="Q1739" s="221"/>
      <c r="R1739" s="221"/>
      <c r="S1739" s="221"/>
      <c r="T1739" s="221"/>
      <c r="U1739" s="221"/>
      <c r="V1739" s="221"/>
      <c r="W1739" s="221"/>
      <c r="X1739" s="221"/>
      <c r="Y1739" s="221"/>
      <c r="Z1739" s="221"/>
    </row>
    <row r="1740">
      <c r="A1740" s="212"/>
      <c r="B1740" s="21"/>
      <c r="C1740" s="21"/>
      <c r="D1740" s="213"/>
      <c r="E1740" s="214"/>
      <c r="F1740" s="215"/>
      <c r="G1740" s="21"/>
      <c r="H1740" s="221"/>
      <c r="I1740" s="221"/>
      <c r="J1740" s="221"/>
      <c r="K1740" s="221"/>
      <c r="L1740" s="221"/>
      <c r="M1740" s="221"/>
      <c r="N1740" s="221"/>
      <c r="O1740" s="221"/>
      <c r="P1740" s="221"/>
      <c r="Q1740" s="221"/>
      <c r="R1740" s="221"/>
      <c r="S1740" s="221"/>
      <c r="T1740" s="221"/>
      <c r="U1740" s="221"/>
      <c r="V1740" s="221"/>
      <c r="W1740" s="221"/>
      <c r="X1740" s="221"/>
      <c r="Y1740" s="221"/>
      <c r="Z1740" s="221"/>
    </row>
    <row r="1741">
      <c r="A1741" s="212"/>
      <c r="B1741" s="21"/>
      <c r="C1741" s="21"/>
      <c r="D1741" s="213"/>
      <c r="E1741" s="214"/>
      <c r="F1741" s="215"/>
      <c r="G1741" s="124"/>
      <c r="H1741" s="110"/>
      <c r="I1741" s="110"/>
      <c r="J1741" s="110"/>
      <c r="K1741" s="110"/>
      <c r="L1741" s="110"/>
      <c r="M1741" s="110"/>
      <c r="N1741" s="110"/>
      <c r="O1741" s="110"/>
      <c r="P1741" s="110"/>
      <c r="Q1741" s="110"/>
      <c r="R1741" s="110"/>
      <c r="S1741" s="110"/>
      <c r="T1741" s="110"/>
      <c r="U1741" s="110"/>
      <c r="V1741" s="110"/>
      <c r="W1741" s="110"/>
      <c r="X1741" s="110"/>
      <c r="Y1741" s="110"/>
      <c r="Z1741" s="110"/>
    </row>
    <row r="1742">
      <c r="A1742" s="212"/>
      <c r="B1742" s="21"/>
      <c r="C1742" s="21"/>
      <c r="D1742" s="213"/>
      <c r="E1742" s="214"/>
      <c r="F1742" s="215"/>
      <c r="G1742" s="110"/>
      <c r="H1742" s="110"/>
      <c r="I1742" s="110"/>
      <c r="J1742" s="110"/>
      <c r="K1742" s="110"/>
      <c r="L1742" s="110"/>
      <c r="M1742" s="110"/>
      <c r="N1742" s="110"/>
      <c r="O1742" s="110"/>
      <c r="P1742" s="110"/>
      <c r="Q1742" s="110"/>
      <c r="R1742" s="110"/>
      <c r="S1742" s="110"/>
      <c r="T1742" s="110"/>
      <c r="U1742" s="110"/>
      <c r="V1742" s="110"/>
      <c r="W1742" s="110"/>
      <c r="X1742" s="110"/>
      <c r="Y1742" s="110"/>
      <c r="Z1742" s="110"/>
    </row>
    <row r="1743">
      <c r="A1743" s="212"/>
      <c r="B1743" s="21"/>
      <c r="C1743" s="21"/>
      <c r="D1743" s="213"/>
      <c r="E1743" s="214"/>
      <c r="F1743" s="215"/>
      <c r="G1743" s="124"/>
      <c r="H1743" s="110"/>
      <c r="I1743" s="110"/>
      <c r="J1743" s="110"/>
      <c r="K1743" s="110"/>
      <c r="L1743" s="110"/>
      <c r="M1743" s="110"/>
      <c r="N1743" s="110"/>
      <c r="O1743" s="110"/>
      <c r="P1743" s="110"/>
      <c r="Q1743" s="110"/>
      <c r="R1743" s="110"/>
      <c r="S1743" s="110"/>
      <c r="T1743" s="110"/>
      <c r="U1743" s="110"/>
      <c r="V1743" s="110"/>
      <c r="W1743" s="110"/>
      <c r="X1743" s="110"/>
      <c r="Y1743" s="110"/>
      <c r="Z1743" s="110"/>
    </row>
    <row r="1744" ht="15.75" customHeight="1">
      <c r="A1744" s="212"/>
      <c r="B1744" s="21"/>
      <c r="C1744" s="21"/>
      <c r="D1744" s="213"/>
      <c r="E1744" s="214"/>
      <c r="F1744" s="215"/>
      <c r="G1744" s="21"/>
      <c r="H1744" s="110"/>
      <c r="I1744" s="110"/>
      <c r="J1744" s="21"/>
      <c r="K1744" s="110"/>
      <c r="L1744" s="110"/>
      <c r="M1744" s="110"/>
      <c r="N1744" s="110"/>
      <c r="O1744" s="110"/>
      <c r="P1744" s="110"/>
      <c r="Q1744" s="110"/>
      <c r="R1744" s="110"/>
      <c r="S1744" s="110"/>
      <c r="T1744" s="110"/>
      <c r="U1744" s="110"/>
      <c r="V1744" s="110"/>
      <c r="W1744" s="110"/>
      <c r="X1744" s="110"/>
      <c r="Y1744" s="110"/>
      <c r="Z1744" s="110"/>
    </row>
    <row r="1745">
      <c r="A1745" s="212"/>
      <c r="B1745" s="21"/>
      <c r="C1745" s="21"/>
      <c r="D1745" s="213"/>
      <c r="E1745" s="214"/>
      <c r="F1745" s="215"/>
      <c r="G1745" s="21"/>
      <c r="H1745" s="221"/>
      <c r="I1745" s="221"/>
      <c r="J1745" s="21"/>
      <c r="K1745" s="221"/>
      <c r="L1745" s="221"/>
      <c r="M1745" s="221"/>
      <c r="N1745" s="221"/>
      <c r="O1745" s="221"/>
      <c r="P1745" s="221"/>
      <c r="Q1745" s="221"/>
      <c r="R1745" s="221"/>
      <c r="S1745" s="221"/>
      <c r="T1745" s="221"/>
      <c r="U1745" s="221"/>
      <c r="V1745" s="221"/>
      <c r="W1745" s="110"/>
      <c r="X1745" s="110"/>
      <c r="Y1745" s="110"/>
      <c r="Z1745" s="110"/>
    </row>
    <row r="1746">
      <c r="A1746" s="212"/>
      <c r="B1746" s="21"/>
      <c r="C1746" s="21"/>
      <c r="D1746" s="213"/>
      <c r="E1746" s="214"/>
      <c r="F1746" s="215"/>
      <c r="G1746" s="21"/>
      <c r="H1746" s="110"/>
      <c r="I1746" s="110"/>
      <c r="J1746" s="110"/>
      <c r="K1746" s="110"/>
      <c r="L1746" s="110"/>
      <c r="M1746" s="110"/>
      <c r="N1746" s="110"/>
      <c r="O1746" s="110"/>
      <c r="P1746" s="110"/>
      <c r="Q1746" s="110"/>
      <c r="R1746" s="110"/>
      <c r="S1746" s="110"/>
      <c r="T1746" s="110"/>
      <c r="U1746" s="110"/>
      <c r="V1746" s="110"/>
      <c r="W1746" s="110"/>
      <c r="X1746" s="110"/>
      <c r="Y1746" s="110"/>
      <c r="Z1746" s="110"/>
    </row>
    <row r="1747">
      <c r="A1747" s="212"/>
      <c r="B1747" s="21"/>
      <c r="C1747" s="21"/>
      <c r="D1747" s="213"/>
      <c r="E1747" s="214"/>
      <c r="F1747" s="215"/>
      <c r="G1747" s="21"/>
      <c r="H1747" s="110"/>
      <c r="I1747" s="110"/>
      <c r="J1747" s="110"/>
      <c r="K1747" s="110"/>
      <c r="L1747" s="110"/>
      <c r="M1747" s="110"/>
      <c r="N1747" s="110"/>
      <c r="O1747" s="110"/>
      <c r="P1747" s="110"/>
      <c r="Q1747" s="110"/>
      <c r="R1747" s="110"/>
      <c r="S1747" s="110"/>
      <c r="T1747" s="110"/>
      <c r="U1747" s="110"/>
      <c r="V1747" s="110"/>
      <c r="W1747" s="110"/>
      <c r="X1747" s="110"/>
      <c r="Y1747" s="110"/>
      <c r="Z1747" s="110"/>
    </row>
    <row r="1748">
      <c r="A1748" s="212"/>
      <c r="B1748" s="21"/>
      <c r="C1748" s="21"/>
      <c r="D1748" s="213"/>
      <c r="E1748" s="214"/>
      <c r="F1748" s="215"/>
      <c r="G1748" s="21"/>
      <c r="H1748" s="110"/>
      <c r="I1748" s="110"/>
      <c r="J1748" s="110"/>
      <c r="K1748" s="110"/>
      <c r="L1748" s="110"/>
      <c r="M1748" s="110"/>
      <c r="N1748" s="110"/>
      <c r="O1748" s="110"/>
      <c r="P1748" s="110"/>
      <c r="Q1748" s="110"/>
      <c r="R1748" s="110"/>
      <c r="S1748" s="110"/>
      <c r="T1748" s="110"/>
      <c r="U1748" s="110"/>
      <c r="V1748" s="110"/>
      <c r="W1748" s="110"/>
      <c r="X1748" s="110"/>
      <c r="Y1748" s="110"/>
      <c r="Z1748" s="110"/>
    </row>
    <row r="1749">
      <c r="A1749" s="212"/>
      <c r="B1749" s="21"/>
      <c r="C1749" s="21"/>
      <c r="D1749" s="213"/>
      <c r="E1749" s="214"/>
      <c r="F1749" s="215"/>
      <c r="G1749" s="21"/>
      <c r="H1749" s="110"/>
      <c r="I1749" s="110"/>
      <c r="J1749" s="110"/>
      <c r="K1749" s="110"/>
      <c r="L1749" s="110"/>
      <c r="M1749" s="110"/>
      <c r="N1749" s="110"/>
      <c r="O1749" s="110"/>
      <c r="P1749" s="110"/>
      <c r="Q1749" s="110"/>
      <c r="R1749" s="110"/>
      <c r="S1749" s="110"/>
      <c r="T1749" s="110"/>
      <c r="U1749" s="110"/>
      <c r="V1749" s="110"/>
      <c r="W1749" s="110"/>
      <c r="X1749" s="110"/>
      <c r="Y1749" s="110"/>
      <c r="Z1749" s="110"/>
    </row>
    <row r="1750">
      <c r="A1750" s="212"/>
      <c r="B1750" s="21"/>
      <c r="C1750" s="21"/>
      <c r="D1750" s="213"/>
      <c r="E1750" s="214"/>
      <c r="F1750" s="215"/>
      <c r="G1750" s="21"/>
      <c r="H1750" s="110"/>
      <c r="I1750" s="110"/>
      <c r="J1750" s="110"/>
      <c r="K1750" s="110"/>
      <c r="L1750" s="110"/>
      <c r="M1750" s="110"/>
      <c r="N1750" s="110"/>
      <c r="O1750" s="110"/>
      <c r="P1750" s="110"/>
      <c r="Q1750" s="110"/>
      <c r="R1750" s="110"/>
      <c r="S1750" s="110"/>
      <c r="T1750" s="110"/>
      <c r="U1750" s="110"/>
      <c r="V1750" s="110"/>
      <c r="W1750" s="110"/>
      <c r="X1750" s="110"/>
      <c r="Y1750" s="110"/>
      <c r="Z1750" s="110"/>
    </row>
    <row r="1751">
      <c r="A1751" s="212"/>
      <c r="B1751" s="21"/>
      <c r="C1751" s="21"/>
      <c r="D1751" s="213"/>
      <c r="E1751" s="214"/>
      <c r="F1751" s="215"/>
      <c r="G1751" s="21"/>
      <c r="H1751" s="110"/>
      <c r="I1751" s="110"/>
      <c r="J1751" s="110"/>
      <c r="K1751" s="110"/>
      <c r="L1751" s="110"/>
      <c r="M1751" s="110"/>
      <c r="N1751" s="110"/>
      <c r="O1751" s="110"/>
      <c r="P1751" s="110"/>
      <c r="Q1751" s="110"/>
      <c r="R1751" s="110"/>
      <c r="S1751" s="110"/>
      <c r="T1751" s="110"/>
      <c r="U1751" s="110"/>
      <c r="V1751" s="110"/>
      <c r="W1751" s="110"/>
      <c r="X1751" s="110"/>
      <c r="Y1751" s="110"/>
      <c r="Z1751" s="110"/>
    </row>
    <row r="1752">
      <c r="A1752" s="212"/>
      <c r="B1752" s="21"/>
      <c r="C1752" s="21"/>
      <c r="D1752" s="213"/>
      <c r="E1752" s="214"/>
      <c r="F1752" s="215"/>
      <c r="G1752" s="21"/>
      <c r="H1752" s="110"/>
      <c r="I1752" s="110"/>
      <c r="J1752" s="110"/>
      <c r="K1752" s="110"/>
      <c r="L1752" s="110"/>
      <c r="M1752" s="110"/>
      <c r="N1752" s="110"/>
      <c r="O1752" s="110"/>
      <c r="P1752" s="110"/>
      <c r="Q1752" s="110"/>
      <c r="R1752" s="110"/>
      <c r="S1752" s="110"/>
      <c r="T1752" s="110"/>
      <c r="U1752" s="110"/>
      <c r="V1752" s="110"/>
      <c r="W1752" s="110"/>
      <c r="X1752" s="110"/>
      <c r="Y1752" s="110"/>
      <c r="Z1752" s="110"/>
    </row>
    <row r="1753">
      <c r="A1753" s="212"/>
      <c r="B1753" s="21"/>
      <c r="C1753" s="21"/>
      <c r="D1753" s="213"/>
      <c r="E1753" s="214"/>
      <c r="F1753" s="215"/>
      <c r="G1753" s="21"/>
      <c r="H1753" s="110"/>
      <c r="I1753" s="110"/>
      <c r="J1753" s="110"/>
      <c r="K1753" s="110"/>
      <c r="L1753" s="110"/>
      <c r="M1753" s="110"/>
      <c r="N1753" s="110"/>
      <c r="O1753" s="110"/>
      <c r="P1753" s="110"/>
      <c r="Q1753" s="110"/>
      <c r="R1753" s="110"/>
      <c r="S1753" s="110"/>
      <c r="T1753" s="110"/>
      <c r="U1753" s="110"/>
      <c r="V1753" s="110"/>
      <c r="W1753" s="110"/>
      <c r="X1753" s="110"/>
      <c r="Y1753" s="110"/>
      <c r="Z1753" s="110"/>
    </row>
    <row r="1754">
      <c r="A1754" s="212"/>
      <c r="B1754" s="21"/>
      <c r="C1754" s="21"/>
      <c r="D1754" s="213"/>
      <c r="E1754" s="214"/>
      <c r="F1754" s="215"/>
      <c r="G1754" s="21"/>
      <c r="H1754" s="110"/>
      <c r="I1754" s="110"/>
      <c r="J1754" s="110"/>
      <c r="K1754" s="110"/>
      <c r="L1754" s="110"/>
      <c r="M1754" s="110"/>
      <c r="N1754" s="110"/>
      <c r="O1754" s="110"/>
      <c r="P1754" s="110"/>
      <c r="Q1754" s="110"/>
      <c r="R1754" s="110"/>
      <c r="S1754" s="110"/>
      <c r="T1754" s="110"/>
      <c r="U1754" s="110"/>
      <c r="V1754" s="110"/>
      <c r="W1754" s="110"/>
      <c r="X1754" s="110"/>
      <c r="Y1754" s="110"/>
      <c r="Z1754" s="110"/>
    </row>
    <row r="1755">
      <c r="A1755" s="212"/>
      <c r="B1755" s="21"/>
      <c r="C1755" s="21"/>
      <c r="D1755" s="213"/>
      <c r="E1755" s="214"/>
      <c r="F1755" s="215"/>
      <c r="G1755" s="21"/>
      <c r="H1755" s="110"/>
      <c r="I1755" s="110"/>
      <c r="J1755" s="110"/>
      <c r="K1755" s="110"/>
      <c r="L1755" s="110"/>
      <c r="M1755" s="110"/>
      <c r="N1755" s="110"/>
      <c r="O1755" s="110"/>
      <c r="P1755" s="110"/>
      <c r="Q1755" s="110"/>
      <c r="R1755" s="110"/>
      <c r="S1755" s="110"/>
      <c r="T1755" s="110"/>
      <c r="U1755" s="110"/>
      <c r="V1755" s="110"/>
      <c r="W1755" s="110"/>
      <c r="X1755" s="110"/>
      <c r="Y1755" s="110"/>
      <c r="Z1755" s="110"/>
    </row>
    <row r="1756">
      <c r="A1756" s="212"/>
      <c r="B1756" s="21"/>
      <c r="C1756" s="21"/>
      <c r="D1756" s="213"/>
      <c r="E1756" s="214"/>
      <c r="F1756" s="215"/>
      <c r="G1756" s="21"/>
      <c r="H1756" s="110"/>
      <c r="I1756" s="110"/>
      <c r="J1756" s="110"/>
      <c r="K1756" s="110"/>
      <c r="L1756" s="110"/>
      <c r="M1756" s="110"/>
      <c r="N1756" s="110"/>
      <c r="O1756" s="110"/>
      <c r="P1756" s="110"/>
      <c r="Q1756" s="110"/>
      <c r="R1756" s="110"/>
      <c r="S1756" s="110"/>
      <c r="T1756" s="110"/>
      <c r="U1756" s="110"/>
      <c r="V1756" s="110"/>
      <c r="W1756" s="110"/>
      <c r="X1756" s="110"/>
      <c r="Y1756" s="110"/>
      <c r="Z1756" s="110"/>
    </row>
    <row r="1757">
      <c r="A1757" s="212"/>
      <c r="B1757" s="21"/>
      <c r="C1757" s="21"/>
      <c r="D1757" s="213"/>
      <c r="E1757" s="214"/>
      <c r="F1757" s="215"/>
      <c r="G1757" s="21"/>
      <c r="H1757" s="110"/>
      <c r="I1757" s="110"/>
      <c r="J1757" s="110"/>
      <c r="K1757" s="110"/>
      <c r="L1757" s="110"/>
      <c r="M1757" s="110"/>
      <c r="N1757" s="110"/>
      <c r="O1757" s="110"/>
      <c r="P1757" s="110"/>
      <c r="Q1757" s="110"/>
      <c r="R1757" s="110"/>
      <c r="S1757" s="110"/>
      <c r="T1757" s="110"/>
      <c r="U1757" s="110"/>
      <c r="V1757" s="110"/>
      <c r="W1757" s="110"/>
      <c r="X1757" s="110"/>
      <c r="Y1757" s="110"/>
      <c r="Z1757" s="110"/>
    </row>
    <row r="1758">
      <c r="A1758" s="212"/>
      <c r="B1758" s="21"/>
      <c r="C1758" s="21"/>
      <c r="D1758" s="213"/>
      <c r="E1758" s="214"/>
      <c r="F1758" s="215"/>
      <c r="G1758" s="21"/>
      <c r="H1758" s="110"/>
      <c r="I1758" s="110"/>
      <c r="J1758" s="110"/>
      <c r="K1758" s="110"/>
      <c r="L1758" s="110"/>
      <c r="M1758" s="110"/>
      <c r="N1758" s="110"/>
      <c r="O1758" s="110"/>
      <c r="P1758" s="110"/>
      <c r="Q1758" s="110"/>
      <c r="R1758" s="110"/>
      <c r="S1758" s="110"/>
      <c r="T1758" s="110"/>
      <c r="U1758" s="110"/>
      <c r="V1758" s="110"/>
      <c r="W1758" s="110"/>
      <c r="X1758" s="110"/>
      <c r="Y1758" s="110"/>
      <c r="Z1758" s="110"/>
    </row>
    <row r="1759">
      <c r="A1759" s="212"/>
      <c r="B1759" s="21"/>
      <c r="C1759" s="21"/>
      <c r="D1759" s="213"/>
      <c r="E1759" s="214"/>
      <c r="F1759" s="215"/>
      <c r="G1759" s="21"/>
      <c r="H1759" s="110"/>
      <c r="I1759" s="110"/>
      <c r="J1759" s="110"/>
      <c r="K1759" s="110"/>
      <c r="L1759" s="110"/>
      <c r="M1759" s="110"/>
      <c r="N1759" s="110"/>
      <c r="O1759" s="110"/>
      <c r="P1759" s="110"/>
      <c r="Q1759" s="110"/>
      <c r="R1759" s="110"/>
      <c r="S1759" s="110"/>
      <c r="T1759" s="110"/>
      <c r="U1759" s="110"/>
      <c r="V1759" s="110"/>
      <c r="W1759" s="110"/>
      <c r="X1759" s="110"/>
      <c r="Y1759" s="110"/>
      <c r="Z1759" s="110"/>
    </row>
    <row r="1760">
      <c r="A1760" s="212"/>
      <c r="B1760" s="21"/>
      <c r="C1760" s="21"/>
      <c r="D1760" s="213"/>
      <c r="E1760" s="214"/>
      <c r="F1760" s="215"/>
      <c r="G1760" s="21"/>
      <c r="H1760" s="110"/>
      <c r="I1760" s="110"/>
      <c r="J1760" s="110"/>
      <c r="K1760" s="110"/>
      <c r="L1760" s="110"/>
      <c r="M1760" s="110"/>
      <c r="N1760" s="110"/>
      <c r="O1760" s="110"/>
      <c r="P1760" s="110"/>
      <c r="Q1760" s="110"/>
      <c r="R1760" s="110"/>
      <c r="S1760" s="110"/>
      <c r="T1760" s="110"/>
      <c r="U1760" s="110"/>
      <c r="V1760" s="110"/>
      <c r="W1760" s="110"/>
      <c r="X1760" s="110"/>
      <c r="Y1760" s="110"/>
      <c r="Z1760" s="110"/>
    </row>
    <row r="1761">
      <c r="A1761" s="212"/>
      <c r="B1761" s="21"/>
      <c r="C1761" s="21"/>
      <c r="D1761" s="213"/>
      <c r="E1761" s="214"/>
      <c r="F1761" s="215"/>
      <c r="G1761" s="21"/>
      <c r="H1761" s="110"/>
      <c r="I1761" s="110"/>
      <c r="J1761" s="110"/>
      <c r="K1761" s="110"/>
      <c r="L1761" s="110"/>
      <c r="M1761" s="110"/>
      <c r="N1761" s="110"/>
      <c r="O1761" s="110"/>
      <c r="P1761" s="110"/>
      <c r="Q1761" s="110"/>
      <c r="R1761" s="110"/>
      <c r="S1761" s="110"/>
      <c r="T1761" s="110"/>
      <c r="U1761" s="110"/>
      <c r="V1761" s="110"/>
      <c r="W1761" s="110"/>
      <c r="X1761" s="110"/>
      <c r="Y1761" s="110"/>
      <c r="Z1761" s="110"/>
    </row>
    <row r="1762">
      <c r="A1762" s="212"/>
      <c r="B1762" s="21"/>
      <c r="C1762" s="21"/>
      <c r="D1762" s="213"/>
      <c r="E1762" s="214"/>
      <c r="F1762" s="215"/>
      <c r="G1762" s="21"/>
      <c r="H1762" s="110"/>
      <c r="I1762" s="110"/>
      <c r="J1762" s="110"/>
      <c r="K1762" s="110"/>
      <c r="L1762" s="110"/>
      <c r="M1762" s="110"/>
      <c r="N1762" s="110"/>
      <c r="O1762" s="110"/>
      <c r="P1762" s="110"/>
      <c r="Q1762" s="110"/>
      <c r="R1762" s="110"/>
      <c r="S1762" s="110"/>
      <c r="T1762" s="110"/>
      <c r="U1762" s="110"/>
      <c r="V1762" s="110"/>
      <c r="W1762" s="110"/>
      <c r="X1762" s="110"/>
      <c r="Y1762" s="110"/>
      <c r="Z1762" s="110"/>
    </row>
    <row r="1763">
      <c r="A1763" s="212"/>
      <c r="B1763" s="21"/>
      <c r="C1763" s="21"/>
      <c r="D1763" s="213"/>
      <c r="E1763" s="214"/>
      <c r="F1763" s="215"/>
      <c r="G1763" s="21"/>
      <c r="H1763" s="110"/>
      <c r="I1763" s="110"/>
      <c r="J1763" s="110"/>
      <c r="K1763" s="110"/>
      <c r="L1763" s="110"/>
      <c r="M1763" s="110"/>
      <c r="N1763" s="110"/>
      <c r="O1763" s="110"/>
      <c r="P1763" s="110"/>
      <c r="Q1763" s="110"/>
      <c r="R1763" s="110"/>
      <c r="S1763" s="110"/>
      <c r="T1763" s="110"/>
      <c r="U1763" s="110"/>
      <c r="V1763" s="110"/>
      <c r="W1763" s="110"/>
      <c r="X1763" s="110"/>
      <c r="Y1763" s="110"/>
      <c r="Z1763" s="110"/>
    </row>
    <row r="1764">
      <c r="A1764" s="212"/>
      <c r="B1764" s="21"/>
      <c r="C1764" s="21"/>
      <c r="D1764" s="213"/>
      <c r="E1764" s="214"/>
      <c r="F1764" s="215"/>
      <c r="G1764" s="21"/>
      <c r="H1764" s="110"/>
      <c r="I1764" s="110"/>
      <c r="J1764" s="110"/>
      <c r="K1764" s="110"/>
      <c r="L1764" s="110"/>
      <c r="M1764" s="110"/>
      <c r="N1764" s="110"/>
      <c r="O1764" s="110"/>
      <c r="P1764" s="110"/>
      <c r="Q1764" s="110"/>
      <c r="R1764" s="110"/>
      <c r="S1764" s="110"/>
      <c r="T1764" s="110"/>
      <c r="U1764" s="110"/>
      <c r="V1764" s="110"/>
      <c r="W1764" s="110"/>
      <c r="X1764" s="110"/>
      <c r="Y1764" s="110"/>
      <c r="Z1764" s="110"/>
    </row>
    <row r="1765">
      <c r="A1765" s="212"/>
      <c r="B1765" s="21"/>
      <c r="C1765" s="21"/>
      <c r="D1765" s="213"/>
      <c r="E1765" s="214"/>
      <c r="F1765" s="215"/>
      <c r="G1765" s="21"/>
      <c r="H1765" s="110"/>
      <c r="I1765" s="110"/>
      <c r="J1765" s="110"/>
      <c r="K1765" s="110"/>
      <c r="L1765" s="110"/>
      <c r="M1765" s="110"/>
      <c r="N1765" s="110"/>
      <c r="O1765" s="110"/>
      <c r="P1765" s="110"/>
      <c r="Q1765" s="110"/>
      <c r="R1765" s="110"/>
      <c r="S1765" s="110"/>
      <c r="T1765" s="110"/>
      <c r="U1765" s="110"/>
      <c r="V1765" s="110"/>
      <c r="W1765" s="110"/>
      <c r="X1765" s="110"/>
      <c r="Y1765" s="110"/>
      <c r="Z1765" s="110"/>
    </row>
    <row r="1766">
      <c r="A1766" s="212"/>
      <c r="B1766" s="21"/>
      <c r="C1766" s="21"/>
      <c r="D1766" s="213"/>
      <c r="E1766" s="214"/>
      <c r="F1766" s="215"/>
      <c r="G1766" s="124"/>
      <c r="H1766" s="110"/>
      <c r="I1766" s="110"/>
      <c r="J1766" s="110"/>
      <c r="K1766" s="110"/>
      <c r="L1766" s="110"/>
      <c r="M1766" s="110"/>
      <c r="N1766" s="110"/>
      <c r="O1766" s="110"/>
      <c r="P1766" s="110"/>
      <c r="Q1766" s="110"/>
      <c r="R1766" s="110"/>
      <c r="S1766" s="110"/>
      <c r="T1766" s="110"/>
      <c r="U1766" s="110"/>
      <c r="V1766" s="110"/>
      <c r="W1766" s="110"/>
      <c r="X1766" s="110"/>
      <c r="Y1766" s="110"/>
      <c r="Z1766" s="110"/>
    </row>
    <row r="1767">
      <c r="A1767" s="212"/>
      <c r="B1767" s="21"/>
      <c r="C1767" s="21"/>
      <c r="D1767" s="213"/>
      <c r="E1767" s="214"/>
      <c r="F1767" s="215"/>
      <c r="G1767" s="124"/>
      <c r="H1767" s="110"/>
      <c r="I1767" s="110"/>
      <c r="J1767" s="110"/>
      <c r="K1767" s="110"/>
      <c r="L1767" s="110"/>
      <c r="M1767" s="110"/>
      <c r="N1767" s="110"/>
      <c r="O1767" s="110"/>
      <c r="P1767" s="110"/>
      <c r="Q1767" s="110"/>
      <c r="R1767" s="110"/>
      <c r="S1767" s="110"/>
      <c r="T1767" s="110"/>
      <c r="U1767" s="110"/>
      <c r="V1767" s="110"/>
      <c r="W1767" s="110"/>
      <c r="X1767" s="110"/>
      <c r="Y1767" s="110"/>
      <c r="Z1767" s="110"/>
    </row>
    <row r="1768">
      <c r="A1768" s="212"/>
      <c r="B1768" s="21"/>
      <c r="C1768" s="21"/>
      <c r="D1768" s="213"/>
      <c r="E1768" s="214"/>
      <c r="F1768" s="215"/>
      <c r="G1768" s="110"/>
      <c r="H1768" s="110"/>
      <c r="I1768" s="110"/>
      <c r="J1768" s="110"/>
      <c r="K1768" s="110"/>
      <c r="L1768" s="110"/>
      <c r="M1768" s="110"/>
      <c r="N1768" s="110"/>
      <c r="O1768" s="110"/>
      <c r="P1768" s="110"/>
      <c r="Q1768" s="110"/>
      <c r="R1768" s="110"/>
      <c r="S1768" s="110"/>
      <c r="T1768" s="110"/>
      <c r="U1768" s="110"/>
      <c r="V1768" s="110"/>
      <c r="W1768" s="110"/>
      <c r="X1768" s="110"/>
      <c r="Y1768" s="110"/>
      <c r="Z1768" s="110"/>
    </row>
    <row r="1769">
      <c r="A1769" s="212"/>
      <c r="B1769" s="21"/>
      <c r="C1769" s="21"/>
      <c r="D1769" s="213"/>
      <c r="E1769" s="214"/>
      <c r="F1769" s="215"/>
      <c r="G1769" s="110"/>
      <c r="H1769" s="110"/>
      <c r="I1769" s="110"/>
      <c r="J1769" s="110"/>
      <c r="K1769" s="110"/>
      <c r="L1769" s="110"/>
      <c r="M1769" s="110"/>
      <c r="N1769" s="110"/>
      <c r="O1769" s="110"/>
      <c r="P1769" s="110"/>
      <c r="Q1769" s="110"/>
      <c r="R1769" s="110"/>
      <c r="S1769" s="110"/>
      <c r="T1769" s="110"/>
      <c r="U1769" s="110"/>
      <c r="V1769" s="110"/>
      <c r="W1769" s="110"/>
      <c r="X1769" s="110"/>
      <c r="Y1769" s="110"/>
      <c r="Z1769" s="110"/>
    </row>
    <row r="1770">
      <c r="A1770" s="212"/>
      <c r="B1770" s="21"/>
      <c r="C1770" s="21"/>
      <c r="D1770" s="213"/>
      <c r="E1770" s="214"/>
      <c r="F1770" s="215"/>
      <c r="G1770" s="162"/>
      <c r="H1770" s="225"/>
      <c r="I1770" s="225"/>
      <c r="J1770" s="225"/>
      <c r="K1770" s="225"/>
      <c r="L1770" s="225"/>
      <c r="M1770" s="225"/>
      <c r="N1770" s="225"/>
      <c r="O1770" s="225"/>
      <c r="P1770" s="225"/>
      <c r="Q1770" s="225"/>
      <c r="R1770" s="225"/>
      <c r="S1770" s="225"/>
      <c r="T1770" s="225"/>
      <c r="U1770" s="225"/>
      <c r="V1770" s="225"/>
      <c r="W1770" s="225"/>
      <c r="X1770" s="225"/>
      <c r="Y1770" s="225"/>
      <c r="Z1770" s="225"/>
    </row>
    <row r="1771">
      <c r="A1771" s="212"/>
      <c r="B1771" s="21"/>
      <c r="C1771" s="21"/>
      <c r="D1771" s="213"/>
      <c r="E1771" s="214"/>
      <c r="F1771" s="215"/>
      <c r="G1771" s="21"/>
      <c r="H1771" s="225"/>
      <c r="I1771" s="225"/>
      <c r="J1771" s="225"/>
      <c r="K1771" s="225"/>
      <c r="L1771" s="225"/>
      <c r="M1771" s="225"/>
      <c r="N1771" s="225"/>
      <c r="O1771" s="225"/>
      <c r="P1771" s="225"/>
      <c r="Q1771" s="225"/>
      <c r="R1771" s="225"/>
      <c r="S1771" s="225"/>
      <c r="T1771" s="225"/>
      <c r="U1771" s="225"/>
      <c r="V1771" s="225"/>
      <c r="W1771" s="225"/>
      <c r="X1771" s="225"/>
      <c r="Y1771" s="225"/>
      <c r="Z1771" s="225"/>
    </row>
    <row r="1772">
      <c r="A1772" s="212"/>
      <c r="B1772" s="21"/>
      <c r="C1772" s="21"/>
      <c r="D1772" s="213"/>
      <c r="E1772" s="214"/>
      <c r="F1772" s="215"/>
      <c r="G1772" s="21"/>
      <c r="H1772" s="225"/>
      <c r="I1772" s="225"/>
      <c r="J1772" s="225"/>
      <c r="K1772" s="225"/>
      <c r="L1772" s="225"/>
      <c r="M1772" s="225"/>
      <c r="N1772" s="225"/>
      <c r="O1772" s="225"/>
      <c r="P1772" s="225"/>
      <c r="Q1772" s="225"/>
      <c r="R1772" s="225"/>
      <c r="S1772" s="225"/>
      <c r="T1772" s="225"/>
      <c r="U1772" s="225"/>
      <c r="V1772" s="225"/>
      <c r="W1772" s="225"/>
      <c r="X1772" s="225"/>
      <c r="Y1772" s="225"/>
      <c r="Z1772" s="225"/>
    </row>
    <row r="1773">
      <c r="A1773" s="212"/>
      <c r="B1773" s="21"/>
      <c r="C1773" s="21"/>
      <c r="D1773" s="213"/>
      <c r="E1773" s="214"/>
      <c r="F1773" s="215"/>
      <c r="G1773" s="21"/>
      <c r="H1773" s="225"/>
      <c r="I1773" s="225"/>
      <c r="J1773" s="225"/>
      <c r="K1773" s="225"/>
      <c r="L1773" s="225"/>
      <c r="M1773" s="225"/>
      <c r="N1773" s="225"/>
      <c r="O1773" s="225"/>
      <c r="P1773" s="225"/>
      <c r="Q1773" s="225"/>
      <c r="R1773" s="225"/>
      <c r="S1773" s="225"/>
      <c r="T1773" s="225"/>
      <c r="U1773" s="225"/>
      <c r="V1773" s="225"/>
      <c r="W1773" s="225"/>
      <c r="X1773" s="225"/>
      <c r="Y1773" s="225"/>
      <c r="Z1773" s="225"/>
    </row>
    <row r="1774">
      <c r="A1774" s="212"/>
      <c r="B1774" s="21"/>
      <c r="C1774" s="21"/>
      <c r="D1774" s="213"/>
      <c r="E1774" s="214"/>
      <c r="F1774" s="215"/>
      <c r="G1774" s="21"/>
      <c r="H1774" s="225"/>
      <c r="I1774" s="225"/>
      <c r="J1774" s="225"/>
      <c r="K1774" s="225"/>
      <c r="L1774" s="225"/>
      <c r="M1774" s="225"/>
      <c r="N1774" s="225"/>
      <c r="O1774" s="225"/>
      <c r="P1774" s="225"/>
      <c r="Q1774" s="225"/>
      <c r="R1774" s="225"/>
      <c r="S1774" s="225"/>
      <c r="T1774" s="225"/>
      <c r="U1774" s="225"/>
      <c r="V1774" s="225"/>
      <c r="W1774" s="225"/>
      <c r="X1774" s="225"/>
      <c r="Y1774" s="225"/>
      <c r="Z1774" s="225"/>
    </row>
    <row r="1775">
      <c r="A1775" s="212"/>
      <c r="B1775" s="21"/>
      <c r="C1775" s="21"/>
      <c r="D1775" s="213"/>
      <c r="E1775" s="214"/>
      <c r="F1775" s="215"/>
      <c r="G1775" s="21"/>
      <c r="H1775" s="225"/>
      <c r="I1775" s="225"/>
      <c r="J1775" s="225"/>
      <c r="K1775" s="225"/>
      <c r="L1775" s="225"/>
      <c r="M1775" s="225"/>
      <c r="N1775" s="225"/>
      <c r="O1775" s="225"/>
      <c r="P1775" s="225"/>
      <c r="Q1775" s="225"/>
      <c r="R1775" s="225"/>
      <c r="S1775" s="225"/>
      <c r="T1775" s="225"/>
      <c r="U1775" s="225"/>
      <c r="V1775" s="225"/>
      <c r="W1775" s="225"/>
      <c r="X1775" s="225"/>
      <c r="Y1775" s="225"/>
      <c r="Z1775" s="225"/>
    </row>
    <row r="1776">
      <c r="A1776" s="212"/>
      <c r="B1776" s="21"/>
      <c r="C1776" s="21"/>
      <c r="D1776" s="213"/>
      <c r="E1776" s="214"/>
      <c r="F1776" s="215"/>
      <c r="G1776" s="21"/>
      <c r="H1776" s="110"/>
      <c r="I1776" s="110"/>
      <c r="J1776" s="110"/>
      <c r="K1776" s="110"/>
      <c r="L1776" s="110"/>
      <c r="M1776" s="110"/>
      <c r="N1776" s="110"/>
      <c r="O1776" s="110"/>
      <c r="P1776" s="110"/>
      <c r="Q1776" s="110"/>
      <c r="R1776" s="110"/>
      <c r="S1776" s="110"/>
      <c r="T1776" s="110"/>
      <c r="U1776" s="110"/>
      <c r="V1776" s="110"/>
      <c r="W1776" s="110"/>
      <c r="X1776" s="110"/>
      <c r="Y1776" s="110"/>
      <c r="Z1776" s="110"/>
    </row>
    <row r="1777">
      <c r="A1777" s="212"/>
      <c r="B1777" s="21"/>
      <c r="C1777" s="21"/>
      <c r="D1777" s="213"/>
      <c r="E1777" s="214"/>
      <c r="F1777" s="215"/>
      <c r="G1777" s="24"/>
      <c r="H1777" s="225"/>
      <c r="I1777" s="225"/>
      <c r="J1777" s="225"/>
      <c r="K1777" s="225"/>
      <c r="L1777" s="225"/>
      <c r="M1777" s="225"/>
      <c r="N1777" s="225"/>
      <c r="O1777" s="225"/>
      <c r="P1777" s="225"/>
      <c r="Q1777" s="225"/>
      <c r="R1777" s="225"/>
      <c r="S1777" s="225"/>
      <c r="T1777" s="225"/>
      <c r="U1777" s="225"/>
      <c r="V1777" s="225"/>
      <c r="W1777" s="225"/>
      <c r="X1777" s="225"/>
      <c r="Y1777" s="225"/>
      <c r="Z1777" s="225"/>
    </row>
    <row r="1778">
      <c r="A1778" s="212"/>
      <c r="B1778" s="21"/>
      <c r="C1778" s="21"/>
      <c r="D1778" s="213"/>
      <c r="E1778" s="214"/>
      <c r="F1778" s="215"/>
      <c r="G1778" s="24"/>
      <c r="H1778" s="225"/>
      <c r="I1778" s="225"/>
      <c r="J1778" s="225"/>
      <c r="K1778" s="225"/>
      <c r="L1778" s="225"/>
      <c r="M1778" s="225"/>
      <c r="N1778" s="225"/>
      <c r="O1778" s="225"/>
      <c r="P1778" s="225"/>
      <c r="Q1778" s="225"/>
      <c r="R1778" s="225"/>
      <c r="S1778" s="225"/>
      <c r="T1778" s="225"/>
      <c r="U1778" s="225"/>
      <c r="V1778" s="225"/>
      <c r="W1778" s="225"/>
      <c r="X1778" s="225"/>
      <c r="Y1778" s="225"/>
      <c r="Z1778" s="225"/>
    </row>
    <row r="1779">
      <c r="A1779" s="212"/>
      <c r="B1779" s="21"/>
      <c r="C1779" s="21"/>
      <c r="D1779" s="213"/>
      <c r="E1779" s="214"/>
      <c r="F1779" s="215"/>
      <c r="G1779" s="24"/>
      <c r="H1779" s="225"/>
      <c r="I1779" s="225"/>
      <c r="J1779" s="225"/>
      <c r="K1779" s="225"/>
      <c r="L1779" s="225"/>
      <c r="M1779" s="225"/>
      <c r="N1779" s="225"/>
      <c r="O1779" s="225"/>
      <c r="P1779" s="225"/>
      <c r="Q1779" s="225"/>
      <c r="R1779" s="225"/>
      <c r="S1779" s="225"/>
      <c r="T1779" s="225"/>
      <c r="U1779" s="225"/>
      <c r="V1779" s="225"/>
      <c r="W1779" s="225"/>
      <c r="X1779" s="225"/>
      <c r="Y1779" s="225"/>
      <c r="Z1779" s="225"/>
    </row>
    <row r="1780">
      <c r="A1780" s="212"/>
      <c r="B1780" s="21"/>
      <c r="C1780" s="21"/>
      <c r="D1780" s="213"/>
      <c r="E1780" s="214"/>
      <c r="F1780" s="215"/>
      <c r="G1780" s="24"/>
      <c r="H1780" s="225"/>
      <c r="I1780" s="225"/>
      <c r="J1780" s="225"/>
      <c r="K1780" s="225"/>
      <c r="L1780" s="225"/>
      <c r="M1780" s="225"/>
      <c r="N1780" s="225"/>
      <c r="O1780" s="225"/>
      <c r="P1780" s="225"/>
      <c r="Q1780" s="225"/>
      <c r="R1780" s="225"/>
      <c r="S1780" s="225"/>
      <c r="T1780" s="225"/>
      <c r="U1780" s="225"/>
      <c r="V1780" s="225"/>
      <c r="W1780" s="225"/>
      <c r="X1780" s="225"/>
      <c r="Y1780" s="225"/>
      <c r="Z1780" s="225"/>
    </row>
    <row r="1781">
      <c r="A1781" s="212"/>
      <c r="B1781" s="21"/>
      <c r="C1781" s="21"/>
      <c r="D1781" s="213"/>
      <c r="E1781" s="214"/>
      <c r="F1781" s="215"/>
      <c r="G1781" s="24"/>
      <c r="H1781" s="225"/>
      <c r="I1781" s="225"/>
      <c r="J1781" s="225"/>
      <c r="K1781" s="225"/>
      <c r="L1781" s="225"/>
      <c r="M1781" s="225"/>
      <c r="N1781" s="225"/>
      <c r="O1781" s="225"/>
      <c r="P1781" s="225"/>
      <c r="Q1781" s="225"/>
      <c r="R1781" s="225"/>
      <c r="S1781" s="225"/>
      <c r="T1781" s="225"/>
      <c r="U1781" s="225"/>
      <c r="V1781" s="225"/>
      <c r="W1781" s="225"/>
      <c r="X1781" s="225"/>
      <c r="Y1781" s="225"/>
      <c r="Z1781" s="225"/>
    </row>
    <row r="1782">
      <c r="A1782" s="212"/>
      <c r="B1782" s="21"/>
      <c r="C1782" s="21"/>
      <c r="D1782" s="213"/>
      <c r="E1782" s="214"/>
      <c r="F1782" s="215"/>
      <c r="G1782" s="24"/>
      <c r="H1782" s="225"/>
      <c r="I1782" s="225"/>
      <c r="J1782" s="225"/>
      <c r="K1782" s="225"/>
      <c r="L1782" s="225"/>
      <c r="M1782" s="225"/>
      <c r="N1782" s="225"/>
      <c r="O1782" s="225"/>
      <c r="P1782" s="225"/>
      <c r="Q1782" s="225"/>
      <c r="R1782" s="225"/>
      <c r="S1782" s="225"/>
      <c r="T1782" s="225"/>
      <c r="U1782" s="225"/>
      <c r="V1782" s="225"/>
      <c r="W1782" s="225"/>
      <c r="X1782" s="225"/>
      <c r="Y1782" s="225"/>
      <c r="Z1782" s="225"/>
    </row>
    <row r="1783">
      <c r="A1783" s="212"/>
      <c r="B1783" s="21"/>
      <c r="C1783" s="21"/>
      <c r="D1783" s="213"/>
      <c r="E1783" s="214"/>
      <c r="F1783" s="215"/>
      <c r="G1783" s="24"/>
      <c r="H1783" s="225"/>
      <c r="I1783" s="225"/>
      <c r="J1783" s="225"/>
      <c r="K1783" s="225"/>
      <c r="L1783" s="225"/>
      <c r="M1783" s="225"/>
      <c r="N1783" s="225"/>
      <c r="O1783" s="225"/>
      <c r="P1783" s="225"/>
      <c r="Q1783" s="225"/>
      <c r="R1783" s="225"/>
      <c r="S1783" s="225"/>
      <c r="T1783" s="225"/>
      <c r="U1783" s="225"/>
      <c r="V1783" s="225"/>
      <c r="W1783" s="225"/>
      <c r="X1783" s="225"/>
      <c r="Y1783" s="225"/>
      <c r="Z1783" s="225"/>
    </row>
    <row r="1784">
      <c r="A1784" s="212"/>
      <c r="B1784" s="21"/>
      <c r="C1784" s="21"/>
      <c r="D1784" s="213"/>
      <c r="E1784" s="214"/>
      <c r="F1784" s="215"/>
      <c r="G1784" s="24"/>
      <c r="H1784" s="225"/>
      <c r="I1784" s="225"/>
      <c r="J1784" s="225"/>
      <c r="K1784" s="225"/>
      <c r="L1784" s="225"/>
      <c r="M1784" s="225"/>
      <c r="N1784" s="225"/>
      <c r="O1784" s="225"/>
      <c r="P1784" s="225"/>
      <c r="Q1784" s="225"/>
      <c r="R1784" s="225"/>
      <c r="S1784" s="225"/>
      <c r="T1784" s="225"/>
      <c r="U1784" s="225"/>
      <c r="V1784" s="225"/>
      <c r="W1784" s="225"/>
      <c r="X1784" s="225"/>
      <c r="Y1784" s="225"/>
      <c r="Z1784" s="225"/>
    </row>
    <row r="1785">
      <c r="A1785" s="212"/>
      <c r="B1785" s="21"/>
      <c r="C1785" s="21"/>
      <c r="D1785" s="213"/>
      <c r="E1785" s="214"/>
      <c r="F1785" s="215"/>
      <c r="G1785" s="24"/>
      <c r="H1785" s="225"/>
      <c r="I1785" s="225"/>
      <c r="J1785" s="225"/>
      <c r="K1785" s="225"/>
      <c r="L1785" s="225"/>
      <c r="M1785" s="225"/>
      <c r="N1785" s="225"/>
      <c r="O1785" s="225"/>
      <c r="P1785" s="225"/>
      <c r="Q1785" s="225"/>
      <c r="R1785" s="225"/>
      <c r="S1785" s="225"/>
      <c r="T1785" s="225"/>
      <c r="U1785" s="225"/>
      <c r="V1785" s="225"/>
      <c r="W1785" s="225"/>
      <c r="X1785" s="225"/>
      <c r="Y1785" s="225"/>
      <c r="Z1785" s="225"/>
    </row>
    <row r="1786">
      <c r="A1786" s="212"/>
      <c r="B1786" s="21"/>
      <c r="C1786" s="21"/>
      <c r="D1786" s="213"/>
      <c r="E1786" s="214"/>
      <c r="F1786" s="215"/>
      <c r="G1786" s="24"/>
      <c r="H1786" s="225"/>
      <c r="I1786" s="225"/>
      <c r="J1786" s="225"/>
      <c r="K1786" s="225"/>
      <c r="L1786" s="225"/>
      <c r="M1786" s="225"/>
      <c r="N1786" s="225"/>
      <c r="O1786" s="225"/>
      <c r="P1786" s="225"/>
      <c r="Q1786" s="225"/>
      <c r="R1786" s="225"/>
      <c r="S1786" s="225"/>
      <c r="T1786" s="225"/>
      <c r="U1786" s="225"/>
      <c r="V1786" s="225"/>
      <c r="W1786" s="225"/>
      <c r="X1786" s="225"/>
      <c r="Y1786" s="225"/>
      <c r="Z1786" s="225"/>
    </row>
    <row r="1787">
      <c r="A1787" s="212"/>
      <c r="B1787" s="21"/>
      <c r="C1787" s="21"/>
      <c r="D1787" s="213"/>
      <c r="E1787" s="214"/>
      <c r="F1787" s="215"/>
      <c r="G1787" s="24"/>
      <c r="H1787" s="225"/>
      <c r="I1787" s="225"/>
      <c r="J1787" s="225"/>
      <c r="K1787" s="225"/>
      <c r="L1787" s="225"/>
      <c r="M1787" s="225"/>
      <c r="N1787" s="225"/>
      <c r="O1787" s="225"/>
      <c r="P1787" s="225"/>
      <c r="Q1787" s="225"/>
      <c r="R1787" s="225"/>
      <c r="S1787" s="225"/>
      <c r="T1787" s="225"/>
      <c r="U1787" s="225"/>
      <c r="V1787" s="225"/>
      <c r="W1787" s="225"/>
      <c r="X1787" s="225"/>
      <c r="Y1787" s="225"/>
      <c r="Z1787" s="225"/>
    </row>
    <row r="1788">
      <c r="A1788" s="212"/>
      <c r="B1788" s="21"/>
      <c r="C1788" s="21"/>
      <c r="D1788" s="213"/>
      <c r="E1788" s="214"/>
      <c r="F1788" s="215"/>
      <c r="G1788" s="24"/>
      <c r="H1788" s="225"/>
      <c r="I1788" s="225"/>
      <c r="J1788" s="225"/>
      <c r="K1788" s="225"/>
      <c r="L1788" s="225"/>
      <c r="M1788" s="225"/>
      <c r="N1788" s="225"/>
      <c r="O1788" s="225"/>
      <c r="P1788" s="225"/>
      <c r="Q1788" s="225"/>
      <c r="R1788" s="225"/>
      <c r="S1788" s="225"/>
      <c r="T1788" s="225"/>
      <c r="U1788" s="225"/>
      <c r="V1788" s="225"/>
      <c r="W1788" s="225"/>
      <c r="X1788" s="225"/>
      <c r="Y1788" s="225"/>
      <c r="Z1788" s="225"/>
    </row>
    <row r="1789">
      <c r="A1789" s="212"/>
      <c r="B1789" s="21"/>
      <c r="C1789" s="21"/>
      <c r="D1789" s="213"/>
      <c r="E1789" s="214"/>
      <c r="F1789" s="215"/>
      <c r="G1789" s="24"/>
      <c r="H1789" s="225"/>
      <c r="I1789" s="225"/>
      <c r="J1789" s="225"/>
      <c r="K1789" s="225"/>
      <c r="L1789" s="225"/>
      <c r="M1789" s="225"/>
      <c r="N1789" s="225"/>
      <c r="O1789" s="225"/>
      <c r="P1789" s="225"/>
      <c r="Q1789" s="225"/>
      <c r="R1789" s="225"/>
      <c r="S1789" s="225"/>
      <c r="T1789" s="225"/>
      <c r="U1789" s="225"/>
      <c r="V1789" s="225"/>
      <c r="W1789" s="225"/>
      <c r="X1789" s="225"/>
      <c r="Y1789" s="225"/>
      <c r="Z1789" s="225"/>
    </row>
    <row r="1790">
      <c r="A1790" s="212"/>
      <c r="B1790" s="21"/>
      <c r="C1790" s="21"/>
      <c r="D1790" s="213"/>
      <c r="E1790" s="214"/>
      <c r="F1790" s="215"/>
      <c r="G1790" s="24"/>
      <c r="H1790" s="225"/>
      <c r="I1790" s="225"/>
      <c r="J1790" s="225"/>
      <c r="K1790" s="225"/>
      <c r="L1790" s="225"/>
      <c r="M1790" s="225"/>
      <c r="N1790" s="225"/>
      <c r="O1790" s="225"/>
      <c r="P1790" s="225"/>
      <c r="Q1790" s="225"/>
      <c r="R1790" s="225"/>
      <c r="S1790" s="225"/>
      <c r="T1790" s="225"/>
      <c r="U1790" s="225"/>
      <c r="V1790" s="225"/>
      <c r="W1790" s="225"/>
      <c r="X1790" s="225"/>
      <c r="Y1790" s="225"/>
      <c r="Z1790" s="225"/>
    </row>
    <row r="1791">
      <c r="A1791" s="212"/>
      <c r="B1791" s="21"/>
      <c r="C1791" s="21"/>
      <c r="D1791" s="213"/>
      <c r="E1791" s="214"/>
      <c r="F1791" s="215"/>
      <c r="G1791" s="24"/>
      <c r="H1791" s="225"/>
      <c r="I1791" s="225"/>
      <c r="J1791" s="225"/>
      <c r="K1791" s="225"/>
      <c r="L1791" s="225"/>
      <c r="M1791" s="225"/>
      <c r="N1791" s="225"/>
      <c r="O1791" s="225"/>
      <c r="P1791" s="225"/>
      <c r="Q1791" s="225"/>
      <c r="R1791" s="225"/>
      <c r="S1791" s="225"/>
      <c r="T1791" s="225"/>
      <c r="U1791" s="225"/>
      <c r="V1791" s="225"/>
      <c r="W1791" s="225"/>
      <c r="X1791" s="225"/>
      <c r="Y1791" s="225"/>
      <c r="Z1791" s="225"/>
    </row>
    <row r="1792">
      <c r="A1792" s="212"/>
      <c r="B1792" s="21"/>
      <c r="C1792" s="21"/>
      <c r="D1792" s="213"/>
      <c r="E1792" s="214"/>
      <c r="F1792" s="215"/>
      <c r="G1792" s="24"/>
      <c r="H1792" s="225"/>
      <c r="I1792" s="225"/>
      <c r="J1792" s="225"/>
      <c r="K1792" s="225"/>
      <c r="L1792" s="225"/>
      <c r="M1792" s="225"/>
      <c r="N1792" s="225"/>
      <c r="O1792" s="225"/>
      <c r="P1792" s="225"/>
      <c r="Q1792" s="225"/>
      <c r="R1792" s="225"/>
      <c r="S1792" s="225"/>
      <c r="T1792" s="225"/>
      <c r="U1792" s="225"/>
      <c r="V1792" s="225"/>
      <c r="W1792" s="225"/>
      <c r="X1792" s="225"/>
      <c r="Y1792" s="225"/>
      <c r="Z1792" s="225"/>
    </row>
    <row r="1793">
      <c r="A1793" s="212"/>
      <c r="B1793" s="21"/>
      <c r="C1793" s="21"/>
      <c r="D1793" s="213"/>
      <c r="E1793" s="214"/>
      <c r="F1793" s="215"/>
      <c r="G1793" s="24"/>
      <c r="H1793" s="225"/>
      <c r="I1793" s="225"/>
      <c r="J1793" s="225"/>
      <c r="K1793" s="225"/>
      <c r="L1793" s="225"/>
      <c r="M1793" s="225"/>
      <c r="N1793" s="225"/>
      <c r="O1793" s="225"/>
      <c r="P1793" s="225"/>
      <c r="Q1793" s="225"/>
      <c r="R1793" s="225"/>
      <c r="S1793" s="225"/>
      <c r="T1793" s="225"/>
      <c r="U1793" s="225"/>
      <c r="V1793" s="225"/>
      <c r="W1793" s="225"/>
      <c r="X1793" s="225"/>
      <c r="Y1793" s="225"/>
      <c r="Z1793" s="225"/>
    </row>
    <row r="1794">
      <c r="A1794" s="212"/>
      <c r="B1794" s="21"/>
      <c r="C1794" s="21"/>
      <c r="D1794" s="213"/>
      <c r="E1794" s="214"/>
      <c r="F1794" s="215"/>
      <c r="G1794" s="24"/>
      <c r="H1794" s="225"/>
      <c r="I1794" s="225"/>
      <c r="J1794" s="225"/>
      <c r="K1794" s="225"/>
      <c r="L1794" s="225"/>
      <c r="M1794" s="225"/>
      <c r="N1794" s="225"/>
      <c r="O1794" s="225"/>
      <c r="P1794" s="225"/>
      <c r="Q1794" s="225"/>
      <c r="R1794" s="225"/>
      <c r="S1794" s="225"/>
      <c r="T1794" s="225"/>
      <c r="U1794" s="225"/>
      <c r="V1794" s="225"/>
      <c r="W1794" s="225"/>
      <c r="X1794" s="225"/>
      <c r="Y1794" s="225"/>
      <c r="Z1794" s="225"/>
    </row>
    <row r="1795">
      <c r="A1795" s="212"/>
      <c r="B1795" s="21"/>
      <c r="C1795" s="21"/>
      <c r="D1795" s="213"/>
      <c r="E1795" s="214"/>
      <c r="F1795" s="215"/>
      <c r="G1795" s="24"/>
      <c r="H1795" s="225"/>
      <c r="I1795" s="225"/>
      <c r="J1795" s="225"/>
      <c r="K1795" s="225"/>
      <c r="L1795" s="225"/>
      <c r="M1795" s="225"/>
      <c r="N1795" s="225"/>
      <c r="O1795" s="225"/>
      <c r="P1795" s="225"/>
      <c r="Q1795" s="225"/>
      <c r="R1795" s="225"/>
      <c r="S1795" s="225"/>
      <c r="T1795" s="225"/>
      <c r="U1795" s="225"/>
      <c r="V1795" s="225"/>
      <c r="W1795" s="225"/>
      <c r="X1795" s="225"/>
      <c r="Y1795" s="225"/>
      <c r="Z1795" s="225"/>
    </row>
    <row r="1796">
      <c r="A1796" s="212"/>
      <c r="B1796" s="21"/>
      <c r="C1796" s="21"/>
      <c r="D1796" s="213"/>
      <c r="E1796" s="214"/>
      <c r="F1796" s="215"/>
      <c r="G1796" s="24"/>
      <c r="H1796" s="225"/>
      <c r="I1796" s="225"/>
      <c r="J1796" s="225"/>
      <c r="K1796" s="225"/>
      <c r="L1796" s="225"/>
      <c r="M1796" s="225"/>
      <c r="N1796" s="225"/>
      <c r="O1796" s="225"/>
      <c r="P1796" s="225"/>
      <c r="Q1796" s="225"/>
      <c r="R1796" s="225"/>
      <c r="S1796" s="225"/>
      <c r="T1796" s="225"/>
      <c r="U1796" s="225"/>
      <c r="V1796" s="225"/>
      <c r="W1796" s="225"/>
      <c r="X1796" s="225"/>
      <c r="Y1796" s="225"/>
      <c r="Z1796" s="225"/>
    </row>
    <row r="1797">
      <c r="A1797" s="212"/>
      <c r="B1797" s="21"/>
      <c r="C1797" s="21"/>
      <c r="D1797" s="213"/>
      <c r="E1797" s="214"/>
      <c r="F1797" s="215"/>
      <c r="G1797" s="24"/>
      <c r="H1797" s="225"/>
      <c r="I1797" s="225"/>
      <c r="J1797" s="225"/>
      <c r="K1797" s="225"/>
      <c r="L1797" s="225"/>
      <c r="M1797" s="225"/>
      <c r="N1797" s="225"/>
      <c r="O1797" s="225"/>
      <c r="P1797" s="225"/>
      <c r="Q1797" s="225"/>
      <c r="R1797" s="225"/>
      <c r="S1797" s="225"/>
      <c r="T1797" s="225"/>
      <c r="U1797" s="225"/>
      <c r="V1797" s="225"/>
      <c r="W1797" s="225"/>
      <c r="X1797" s="225"/>
      <c r="Y1797" s="225"/>
      <c r="Z1797" s="225"/>
    </row>
    <row r="1798">
      <c r="A1798" s="212"/>
      <c r="B1798" s="21"/>
      <c r="C1798" s="21"/>
      <c r="D1798" s="213"/>
      <c r="E1798" s="214"/>
      <c r="F1798" s="215"/>
      <c r="G1798" s="24"/>
      <c r="H1798" s="225"/>
      <c r="I1798" s="225"/>
      <c r="J1798" s="225"/>
      <c r="K1798" s="225"/>
      <c r="L1798" s="225"/>
      <c r="M1798" s="225"/>
      <c r="N1798" s="225"/>
      <c r="O1798" s="225"/>
      <c r="P1798" s="225"/>
      <c r="Q1798" s="225"/>
      <c r="R1798" s="225"/>
      <c r="S1798" s="225"/>
      <c r="T1798" s="225"/>
      <c r="U1798" s="225"/>
      <c r="V1798" s="225"/>
      <c r="W1798" s="225"/>
      <c r="X1798" s="225"/>
      <c r="Y1798" s="225"/>
      <c r="Z1798" s="225"/>
    </row>
    <row r="1799">
      <c r="A1799" s="212"/>
      <c r="B1799" s="21"/>
      <c r="C1799" s="21"/>
      <c r="D1799" s="213"/>
      <c r="E1799" s="214"/>
      <c r="F1799" s="215"/>
      <c r="G1799" s="24"/>
      <c r="H1799" s="225"/>
      <c r="I1799" s="225"/>
      <c r="J1799" s="225"/>
      <c r="K1799" s="225"/>
      <c r="L1799" s="225"/>
      <c r="M1799" s="225"/>
      <c r="N1799" s="225"/>
      <c r="O1799" s="225"/>
      <c r="P1799" s="225"/>
      <c r="Q1799" s="225"/>
      <c r="R1799" s="225"/>
      <c r="S1799" s="225"/>
      <c r="T1799" s="225"/>
      <c r="U1799" s="225"/>
      <c r="V1799" s="225"/>
      <c r="W1799" s="225"/>
      <c r="X1799" s="225"/>
      <c r="Y1799" s="225"/>
      <c r="Z1799" s="225"/>
    </row>
    <row r="1800">
      <c r="A1800" s="212"/>
      <c r="B1800" s="21"/>
      <c r="C1800" s="21"/>
      <c r="D1800" s="213"/>
      <c r="E1800" s="214"/>
      <c r="F1800" s="215"/>
      <c r="G1800" s="24"/>
      <c r="H1800" s="225"/>
      <c r="I1800" s="225"/>
      <c r="J1800" s="225"/>
      <c r="K1800" s="225"/>
      <c r="L1800" s="225"/>
      <c r="M1800" s="225"/>
      <c r="N1800" s="225"/>
      <c r="O1800" s="225"/>
      <c r="P1800" s="225"/>
      <c r="Q1800" s="225"/>
      <c r="R1800" s="225"/>
      <c r="S1800" s="225"/>
      <c r="T1800" s="225"/>
      <c r="U1800" s="225"/>
      <c r="V1800" s="225"/>
      <c r="W1800" s="225"/>
      <c r="X1800" s="225"/>
      <c r="Y1800" s="225"/>
      <c r="Z1800" s="225"/>
    </row>
    <row r="1801">
      <c r="A1801" s="212"/>
      <c r="B1801" s="21"/>
      <c r="C1801" s="21"/>
      <c r="D1801" s="213"/>
      <c r="E1801" s="214"/>
      <c r="F1801" s="215"/>
      <c r="G1801" s="24"/>
      <c r="H1801" s="225"/>
      <c r="I1801" s="225"/>
      <c r="J1801" s="225"/>
      <c r="K1801" s="225"/>
      <c r="L1801" s="225"/>
      <c r="M1801" s="225"/>
      <c r="N1801" s="225"/>
      <c r="O1801" s="225"/>
      <c r="P1801" s="225"/>
      <c r="Q1801" s="225"/>
      <c r="R1801" s="225"/>
      <c r="S1801" s="225"/>
      <c r="T1801" s="225"/>
      <c r="U1801" s="225"/>
      <c r="V1801" s="225"/>
      <c r="W1801" s="225"/>
      <c r="X1801" s="225"/>
      <c r="Y1801" s="225"/>
      <c r="Z1801" s="225"/>
    </row>
    <row r="1802">
      <c r="A1802" s="212"/>
      <c r="B1802" s="21"/>
      <c r="C1802" s="21"/>
      <c r="D1802" s="213"/>
      <c r="E1802" s="214"/>
      <c r="F1802" s="215"/>
      <c r="G1802" s="24"/>
      <c r="H1802" s="225"/>
      <c r="I1802" s="225"/>
      <c r="J1802" s="225"/>
      <c r="K1802" s="225"/>
      <c r="L1802" s="225"/>
      <c r="M1802" s="225"/>
      <c r="N1802" s="225"/>
      <c r="O1802" s="225"/>
      <c r="P1802" s="225"/>
      <c r="Q1802" s="225"/>
      <c r="R1802" s="225"/>
      <c r="S1802" s="225"/>
      <c r="T1802" s="225"/>
      <c r="U1802" s="225"/>
      <c r="V1802" s="225"/>
      <c r="W1802" s="225"/>
      <c r="X1802" s="225"/>
      <c r="Y1802" s="225"/>
      <c r="Z1802" s="225"/>
    </row>
    <row r="1803">
      <c r="A1803" s="212"/>
      <c r="B1803" s="21"/>
      <c r="C1803" s="21"/>
      <c r="D1803" s="213"/>
      <c r="E1803" s="214"/>
      <c r="F1803" s="215"/>
      <c r="G1803" s="24"/>
      <c r="H1803" s="225"/>
      <c r="I1803" s="225"/>
      <c r="J1803" s="225"/>
      <c r="K1803" s="225"/>
      <c r="L1803" s="225"/>
      <c r="M1803" s="225"/>
      <c r="N1803" s="225"/>
      <c r="O1803" s="225"/>
      <c r="P1803" s="225"/>
      <c r="Q1803" s="225"/>
      <c r="R1803" s="225"/>
      <c r="S1803" s="225"/>
      <c r="T1803" s="225"/>
      <c r="U1803" s="225"/>
      <c r="V1803" s="225"/>
      <c r="W1803" s="225"/>
      <c r="X1803" s="225"/>
      <c r="Y1803" s="225"/>
      <c r="Z1803" s="225"/>
    </row>
    <row r="1804">
      <c r="A1804" s="212"/>
      <c r="B1804" s="21"/>
      <c r="C1804" s="21"/>
      <c r="D1804" s="213"/>
      <c r="E1804" s="214"/>
      <c r="F1804" s="215"/>
      <c r="G1804" s="24"/>
      <c r="H1804" s="225"/>
      <c r="I1804" s="225"/>
      <c r="J1804" s="225"/>
      <c r="K1804" s="225"/>
      <c r="L1804" s="225"/>
      <c r="M1804" s="225"/>
      <c r="N1804" s="225"/>
      <c r="O1804" s="225"/>
      <c r="P1804" s="225"/>
      <c r="Q1804" s="225"/>
      <c r="R1804" s="225"/>
      <c r="S1804" s="225"/>
      <c r="T1804" s="225"/>
      <c r="U1804" s="225"/>
      <c r="V1804" s="225"/>
      <c r="W1804" s="225"/>
      <c r="X1804" s="225"/>
      <c r="Y1804" s="225"/>
      <c r="Z1804" s="225"/>
    </row>
    <row r="1805">
      <c r="A1805" s="212"/>
      <c r="B1805" s="21"/>
      <c r="C1805" s="21"/>
      <c r="D1805" s="213"/>
      <c r="E1805" s="214"/>
      <c r="F1805" s="215"/>
      <c r="G1805" s="124"/>
      <c r="H1805" s="110"/>
      <c r="I1805" s="110"/>
      <c r="J1805" s="110"/>
      <c r="K1805" s="110"/>
      <c r="L1805" s="110"/>
      <c r="M1805" s="110"/>
      <c r="N1805" s="110"/>
      <c r="O1805" s="110"/>
      <c r="P1805" s="110"/>
      <c r="Q1805" s="110"/>
      <c r="R1805" s="110"/>
      <c r="S1805" s="110"/>
      <c r="T1805" s="110"/>
      <c r="U1805" s="110"/>
      <c r="V1805" s="110"/>
      <c r="W1805" s="110"/>
      <c r="X1805" s="110"/>
      <c r="Y1805" s="110"/>
      <c r="Z1805" s="110"/>
    </row>
    <row r="1806" ht="15.75" customHeight="1">
      <c r="A1806" s="212"/>
      <c r="B1806" s="21"/>
      <c r="C1806" s="21"/>
      <c r="D1806" s="213"/>
      <c r="E1806" s="214"/>
      <c r="F1806" s="215"/>
      <c r="G1806" s="124"/>
      <c r="H1806" s="110"/>
      <c r="I1806" s="110"/>
      <c r="J1806" s="110"/>
      <c r="K1806" s="110"/>
      <c r="L1806" s="110"/>
      <c r="M1806" s="110"/>
      <c r="N1806" s="110"/>
      <c r="O1806" s="110"/>
      <c r="P1806" s="110"/>
      <c r="Q1806" s="110"/>
      <c r="R1806" s="110"/>
      <c r="S1806" s="110"/>
      <c r="T1806" s="110"/>
      <c r="U1806" s="110"/>
      <c r="V1806" s="110"/>
      <c r="W1806" s="110"/>
      <c r="X1806" s="110"/>
      <c r="Y1806" s="110"/>
      <c r="Z1806" s="110"/>
    </row>
    <row r="1807">
      <c r="A1807" s="212"/>
      <c r="B1807" s="21"/>
      <c r="C1807" s="21"/>
      <c r="D1807" s="213"/>
      <c r="E1807" s="214"/>
      <c r="F1807" s="215"/>
      <c r="G1807" s="124"/>
      <c r="H1807" s="110"/>
      <c r="I1807" s="110"/>
      <c r="J1807" s="110"/>
      <c r="K1807" s="110"/>
      <c r="L1807" s="110"/>
      <c r="M1807" s="110"/>
      <c r="N1807" s="110"/>
      <c r="O1807" s="110"/>
      <c r="P1807" s="110"/>
      <c r="Q1807" s="110"/>
      <c r="R1807" s="110"/>
      <c r="S1807" s="110"/>
      <c r="T1807" s="110"/>
      <c r="U1807" s="110"/>
      <c r="V1807" s="110"/>
      <c r="W1807" s="110"/>
      <c r="X1807" s="110"/>
      <c r="Y1807" s="110"/>
      <c r="Z1807" s="110"/>
    </row>
    <row r="1808">
      <c r="A1808" s="212"/>
      <c r="B1808" s="21"/>
      <c r="C1808" s="21"/>
      <c r="D1808" s="213"/>
      <c r="E1808" s="214"/>
      <c r="F1808" s="215"/>
      <c r="G1808" s="21"/>
      <c r="H1808" s="110"/>
      <c r="I1808" s="110"/>
      <c r="J1808" s="110"/>
      <c r="K1808" s="110"/>
      <c r="L1808" s="110"/>
      <c r="M1808" s="110"/>
      <c r="N1808" s="110"/>
      <c r="O1808" s="110"/>
      <c r="P1808" s="110"/>
      <c r="Q1808" s="110"/>
      <c r="R1808" s="110"/>
      <c r="S1808" s="110"/>
      <c r="T1808" s="110"/>
      <c r="U1808" s="110"/>
      <c r="V1808" s="110"/>
      <c r="W1808" s="110"/>
      <c r="X1808" s="110"/>
      <c r="Y1808" s="110"/>
      <c r="Z1808" s="110"/>
    </row>
    <row r="1809">
      <c r="A1809" s="212"/>
      <c r="B1809" s="21"/>
      <c r="C1809" s="21"/>
      <c r="D1809" s="213"/>
      <c r="E1809" s="214"/>
      <c r="F1809" s="215"/>
      <c r="G1809" s="21"/>
      <c r="H1809" s="110"/>
      <c r="I1809" s="110"/>
      <c r="J1809" s="110"/>
      <c r="K1809" s="110"/>
      <c r="L1809" s="110"/>
      <c r="M1809" s="110"/>
      <c r="N1809" s="110"/>
      <c r="O1809" s="110"/>
      <c r="P1809" s="110"/>
      <c r="Q1809" s="110"/>
      <c r="R1809" s="110"/>
      <c r="S1809" s="110"/>
      <c r="T1809" s="110"/>
      <c r="U1809" s="110"/>
      <c r="V1809" s="110"/>
      <c r="W1809" s="110"/>
      <c r="X1809" s="110"/>
      <c r="Y1809" s="110"/>
      <c r="Z1809" s="110"/>
    </row>
    <row r="1810">
      <c r="A1810" s="212"/>
      <c r="B1810" s="21"/>
      <c r="C1810" s="21"/>
      <c r="D1810" s="213"/>
      <c r="E1810" s="214"/>
      <c r="F1810" s="215"/>
      <c r="G1810" s="21"/>
      <c r="H1810" s="110"/>
      <c r="I1810" s="110"/>
      <c r="J1810" s="110"/>
      <c r="K1810" s="110"/>
      <c r="L1810" s="110"/>
      <c r="M1810" s="110"/>
      <c r="N1810" s="110"/>
      <c r="O1810" s="110"/>
      <c r="P1810" s="110"/>
      <c r="Q1810" s="110"/>
      <c r="R1810" s="110"/>
      <c r="S1810" s="110"/>
      <c r="T1810" s="110"/>
      <c r="U1810" s="110"/>
      <c r="V1810" s="110"/>
      <c r="W1810" s="110"/>
      <c r="X1810" s="110"/>
      <c r="Y1810" s="110"/>
      <c r="Z1810" s="110"/>
    </row>
    <row r="1811">
      <c r="A1811" s="212"/>
      <c r="B1811" s="21"/>
      <c r="C1811" s="21"/>
      <c r="D1811" s="213"/>
      <c r="E1811" s="214"/>
      <c r="F1811" s="215"/>
      <c r="G1811" s="21"/>
      <c r="H1811" s="110"/>
      <c r="I1811" s="110"/>
      <c r="J1811" s="110"/>
      <c r="K1811" s="110"/>
      <c r="L1811" s="110"/>
      <c r="M1811" s="110"/>
      <c r="N1811" s="110"/>
      <c r="O1811" s="110"/>
      <c r="P1811" s="110"/>
      <c r="Q1811" s="110"/>
      <c r="R1811" s="110"/>
      <c r="S1811" s="110"/>
      <c r="T1811" s="110"/>
      <c r="U1811" s="110"/>
      <c r="V1811" s="110"/>
      <c r="W1811" s="110"/>
      <c r="X1811" s="110"/>
      <c r="Y1811" s="110"/>
      <c r="Z1811" s="110"/>
    </row>
    <row r="1812">
      <c r="A1812" s="212"/>
      <c r="B1812" s="21"/>
      <c r="C1812" s="21"/>
      <c r="D1812" s="213"/>
      <c r="E1812" s="214"/>
      <c r="F1812" s="215"/>
      <c r="G1812" s="21"/>
      <c r="H1812" s="110"/>
      <c r="I1812" s="110"/>
      <c r="J1812" s="110"/>
      <c r="K1812" s="110"/>
      <c r="L1812" s="110"/>
      <c r="M1812" s="110"/>
      <c r="N1812" s="110"/>
      <c r="O1812" s="110"/>
      <c r="P1812" s="110"/>
      <c r="Q1812" s="110"/>
      <c r="R1812" s="110"/>
      <c r="S1812" s="110"/>
      <c r="T1812" s="110"/>
      <c r="U1812" s="110"/>
      <c r="V1812" s="110"/>
      <c r="W1812" s="110"/>
      <c r="X1812" s="110"/>
      <c r="Y1812" s="110"/>
      <c r="Z1812" s="110"/>
    </row>
    <row r="1813">
      <c r="A1813" s="212"/>
      <c r="B1813" s="21"/>
      <c r="C1813" s="21"/>
      <c r="D1813" s="213"/>
      <c r="E1813" s="214"/>
      <c r="F1813" s="215"/>
      <c r="G1813" s="21"/>
      <c r="H1813" s="110"/>
      <c r="I1813" s="110"/>
      <c r="J1813" s="110"/>
      <c r="K1813" s="110"/>
      <c r="L1813" s="110"/>
      <c r="M1813" s="110"/>
      <c r="N1813" s="110"/>
      <c r="O1813" s="110"/>
      <c r="P1813" s="110"/>
      <c r="Q1813" s="110"/>
      <c r="R1813" s="110"/>
      <c r="S1813" s="110"/>
      <c r="T1813" s="110"/>
      <c r="U1813" s="110"/>
      <c r="V1813" s="110"/>
      <c r="W1813" s="110"/>
      <c r="X1813" s="110"/>
      <c r="Y1813" s="110"/>
      <c r="Z1813" s="110"/>
    </row>
    <row r="1814">
      <c r="A1814" s="212"/>
      <c r="B1814" s="21"/>
      <c r="C1814" s="21"/>
      <c r="D1814" s="213"/>
      <c r="E1814" s="214"/>
      <c r="F1814" s="215"/>
      <c r="G1814" s="24"/>
      <c r="H1814" s="110"/>
      <c r="I1814" s="110"/>
      <c r="J1814" s="110"/>
      <c r="K1814" s="110"/>
      <c r="L1814" s="110"/>
      <c r="M1814" s="110"/>
      <c r="N1814" s="110"/>
      <c r="O1814" s="110"/>
      <c r="P1814" s="110"/>
      <c r="Q1814" s="110"/>
      <c r="R1814" s="110"/>
      <c r="S1814" s="110"/>
      <c r="T1814" s="110"/>
      <c r="U1814" s="110"/>
      <c r="V1814" s="110"/>
      <c r="W1814" s="110"/>
      <c r="X1814" s="110"/>
      <c r="Y1814" s="110"/>
      <c r="Z1814" s="110"/>
    </row>
    <row r="1815">
      <c r="A1815" s="212"/>
      <c r="B1815" s="21"/>
      <c r="C1815" s="21"/>
      <c r="D1815" s="213"/>
      <c r="E1815" s="214"/>
      <c r="F1815" s="215"/>
      <c r="G1815" s="24"/>
      <c r="H1815" s="110"/>
      <c r="I1815" s="110"/>
      <c r="J1815" s="110"/>
      <c r="K1815" s="110"/>
      <c r="L1815" s="110"/>
      <c r="M1815" s="110"/>
      <c r="N1815" s="110"/>
      <c r="O1815" s="110"/>
      <c r="P1815" s="110"/>
      <c r="Q1815" s="110"/>
      <c r="R1815" s="110"/>
      <c r="S1815" s="110"/>
      <c r="T1815" s="110"/>
      <c r="U1815" s="110"/>
      <c r="V1815" s="110"/>
      <c r="W1815" s="110"/>
      <c r="X1815" s="110"/>
      <c r="Y1815" s="110"/>
      <c r="Z1815" s="110"/>
    </row>
    <row r="1816" ht="15.75" customHeight="1">
      <c r="A1816" s="212"/>
      <c r="B1816" s="21"/>
      <c r="C1816" s="21"/>
      <c r="D1816" s="213"/>
      <c r="E1816" s="214"/>
      <c r="F1816" s="215"/>
      <c r="G1816" s="24"/>
      <c r="H1816" s="110"/>
      <c r="I1816" s="110"/>
      <c r="J1816" s="110"/>
      <c r="K1816" s="110"/>
      <c r="L1816" s="110"/>
      <c r="M1816" s="110"/>
      <c r="N1816" s="110"/>
      <c r="O1816" s="110"/>
      <c r="P1816" s="110"/>
      <c r="Q1816" s="110"/>
      <c r="R1816" s="110"/>
      <c r="S1816" s="110"/>
      <c r="T1816" s="110"/>
      <c r="U1816" s="110"/>
      <c r="V1816" s="110"/>
      <c r="W1816" s="110"/>
      <c r="X1816" s="110"/>
      <c r="Y1816" s="110"/>
      <c r="Z1816" s="110"/>
    </row>
    <row r="1817">
      <c r="A1817" s="212"/>
      <c r="B1817" s="21"/>
      <c r="C1817" s="21"/>
      <c r="D1817" s="213"/>
      <c r="E1817" s="214"/>
      <c r="F1817" s="215"/>
      <c r="G1817" s="24"/>
      <c r="H1817" s="110"/>
      <c r="I1817" s="110"/>
      <c r="J1817" s="110"/>
      <c r="K1817" s="110"/>
      <c r="L1817" s="110"/>
      <c r="M1817" s="110"/>
      <c r="N1817" s="110"/>
      <c r="O1817" s="110"/>
      <c r="P1817" s="110"/>
      <c r="Q1817" s="110"/>
      <c r="R1817" s="110"/>
      <c r="S1817" s="110"/>
      <c r="T1817" s="110"/>
      <c r="U1817" s="110"/>
      <c r="V1817" s="110"/>
      <c r="W1817" s="110"/>
      <c r="X1817" s="110"/>
      <c r="Y1817" s="110"/>
      <c r="Z1817" s="110"/>
    </row>
    <row r="1818">
      <c r="A1818" s="212"/>
      <c r="B1818" s="21"/>
      <c r="C1818" s="21"/>
      <c r="D1818" s="213"/>
      <c r="E1818" s="214"/>
      <c r="F1818" s="215"/>
      <c r="G1818" s="24"/>
      <c r="H1818" s="110"/>
      <c r="I1818" s="110"/>
      <c r="J1818" s="110"/>
      <c r="K1818" s="110"/>
      <c r="L1818" s="110"/>
      <c r="M1818" s="110"/>
      <c r="N1818" s="110"/>
      <c r="O1818" s="110"/>
      <c r="P1818" s="110"/>
      <c r="Q1818" s="110"/>
      <c r="R1818" s="110"/>
      <c r="S1818" s="110"/>
      <c r="T1818" s="110"/>
      <c r="U1818" s="110"/>
      <c r="V1818" s="110"/>
      <c r="W1818" s="110"/>
      <c r="X1818" s="110"/>
      <c r="Y1818" s="110"/>
      <c r="Z1818" s="110"/>
    </row>
    <row r="1819">
      <c r="A1819" s="212"/>
      <c r="B1819" s="21"/>
      <c r="C1819" s="21"/>
      <c r="D1819" s="213"/>
      <c r="E1819" s="214"/>
      <c r="F1819" s="215"/>
      <c r="G1819" s="24"/>
      <c r="H1819" s="110"/>
      <c r="I1819" s="110"/>
      <c r="J1819" s="110"/>
      <c r="K1819" s="110"/>
      <c r="L1819" s="110"/>
      <c r="M1819" s="110"/>
      <c r="N1819" s="110"/>
      <c r="O1819" s="110"/>
      <c r="P1819" s="110"/>
      <c r="Q1819" s="110"/>
      <c r="R1819" s="110"/>
      <c r="S1819" s="110"/>
      <c r="T1819" s="110"/>
      <c r="U1819" s="110"/>
      <c r="V1819" s="110"/>
      <c r="W1819" s="110"/>
      <c r="X1819" s="110"/>
      <c r="Y1819" s="110"/>
      <c r="Z1819" s="110"/>
    </row>
    <row r="1820">
      <c r="A1820" s="212"/>
      <c r="B1820" s="21"/>
      <c r="C1820" s="21"/>
      <c r="D1820" s="213"/>
      <c r="E1820" s="214"/>
      <c r="F1820" s="215"/>
      <c r="G1820" s="24"/>
      <c r="H1820" s="225"/>
      <c r="I1820" s="225"/>
      <c r="J1820" s="225"/>
      <c r="K1820" s="225"/>
      <c r="L1820" s="225"/>
      <c r="M1820" s="225"/>
      <c r="N1820" s="225"/>
      <c r="O1820" s="225"/>
      <c r="P1820" s="225"/>
      <c r="Q1820" s="225"/>
      <c r="R1820" s="225"/>
      <c r="S1820" s="225"/>
      <c r="T1820" s="225"/>
      <c r="U1820" s="225"/>
      <c r="V1820" s="225"/>
      <c r="W1820" s="225"/>
      <c r="X1820" s="225"/>
      <c r="Y1820" s="225"/>
      <c r="Z1820" s="225"/>
    </row>
    <row r="1821">
      <c r="A1821" s="212"/>
      <c r="B1821" s="21"/>
      <c r="C1821" s="21"/>
      <c r="D1821" s="213"/>
      <c r="E1821" s="214"/>
      <c r="F1821" s="215"/>
      <c r="G1821" s="24"/>
      <c r="H1821" s="110"/>
      <c r="I1821" s="110"/>
      <c r="J1821" s="110"/>
      <c r="K1821" s="110"/>
      <c r="L1821" s="110"/>
      <c r="M1821" s="110"/>
      <c r="N1821" s="110"/>
      <c r="O1821" s="110"/>
      <c r="P1821" s="110"/>
      <c r="Q1821" s="110"/>
      <c r="R1821" s="110"/>
      <c r="S1821" s="110"/>
      <c r="T1821" s="110"/>
      <c r="U1821" s="110"/>
      <c r="V1821" s="110"/>
      <c r="W1821" s="110"/>
      <c r="X1821" s="110"/>
      <c r="Y1821" s="110"/>
      <c r="Z1821" s="110"/>
    </row>
    <row r="1822">
      <c r="A1822" s="212"/>
      <c r="B1822" s="21"/>
      <c r="C1822" s="21"/>
      <c r="D1822" s="213"/>
      <c r="E1822" s="214"/>
      <c r="F1822" s="215"/>
      <c r="G1822" s="24"/>
      <c r="H1822" s="110"/>
      <c r="I1822" s="110"/>
      <c r="J1822" s="110"/>
      <c r="K1822" s="110"/>
      <c r="L1822" s="110"/>
      <c r="M1822" s="110"/>
      <c r="N1822" s="110"/>
      <c r="O1822" s="110"/>
      <c r="P1822" s="110"/>
      <c r="Q1822" s="110"/>
      <c r="R1822" s="110"/>
      <c r="S1822" s="110"/>
      <c r="T1822" s="110"/>
      <c r="U1822" s="110"/>
      <c r="V1822" s="110"/>
      <c r="W1822" s="110"/>
      <c r="X1822" s="110"/>
      <c r="Y1822" s="110"/>
      <c r="Z1822" s="110"/>
    </row>
    <row r="1823">
      <c r="A1823" s="212"/>
      <c r="B1823" s="21"/>
      <c r="C1823" s="21"/>
      <c r="D1823" s="213"/>
      <c r="E1823" s="214"/>
      <c r="F1823" s="215"/>
      <c r="G1823" s="24"/>
      <c r="H1823" s="110"/>
      <c r="I1823" s="110"/>
      <c r="J1823" s="110"/>
      <c r="K1823" s="110"/>
      <c r="L1823" s="110"/>
      <c r="M1823" s="110"/>
      <c r="N1823" s="110"/>
      <c r="O1823" s="110"/>
      <c r="P1823" s="110"/>
      <c r="Q1823" s="110"/>
      <c r="R1823" s="110"/>
      <c r="S1823" s="110"/>
      <c r="T1823" s="110"/>
      <c r="U1823" s="110"/>
      <c r="V1823" s="110"/>
      <c r="W1823" s="110"/>
      <c r="X1823" s="110"/>
      <c r="Y1823" s="110"/>
      <c r="Z1823" s="110"/>
    </row>
    <row r="1824">
      <c r="A1824" s="212"/>
      <c r="B1824" s="21"/>
      <c r="C1824" s="21"/>
      <c r="D1824" s="213"/>
      <c r="E1824" s="214"/>
      <c r="F1824" s="215"/>
      <c r="G1824" s="24"/>
      <c r="H1824" s="110"/>
      <c r="I1824" s="110"/>
      <c r="J1824" s="110"/>
      <c r="K1824" s="110"/>
      <c r="L1824" s="110"/>
      <c r="M1824" s="110"/>
      <c r="N1824" s="110"/>
      <c r="O1824" s="110"/>
      <c r="P1824" s="110"/>
      <c r="Q1824" s="110"/>
      <c r="R1824" s="110"/>
      <c r="S1824" s="110"/>
      <c r="T1824" s="110"/>
      <c r="U1824" s="110"/>
      <c r="V1824" s="110"/>
      <c r="W1824" s="110"/>
      <c r="X1824" s="110"/>
      <c r="Y1824" s="110"/>
      <c r="Z1824" s="110"/>
    </row>
    <row r="1825">
      <c r="A1825" s="212"/>
      <c r="B1825" s="21"/>
      <c r="C1825" s="21"/>
      <c r="D1825" s="213"/>
      <c r="E1825" s="214"/>
      <c r="F1825" s="215"/>
      <c r="G1825" s="24"/>
      <c r="H1825" s="110"/>
      <c r="I1825" s="110"/>
      <c r="J1825" s="110"/>
      <c r="K1825" s="110"/>
      <c r="L1825" s="110"/>
      <c r="M1825" s="110"/>
      <c r="N1825" s="110"/>
      <c r="O1825" s="110"/>
      <c r="P1825" s="110"/>
      <c r="Q1825" s="110"/>
      <c r="R1825" s="110"/>
      <c r="S1825" s="110"/>
      <c r="T1825" s="110"/>
      <c r="U1825" s="110"/>
      <c r="V1825" s="110"/>
      <c r="W1825" s="110"/>
      <c r="X1825" s="110"/>
      <c r="Y1825" s="110"/>
      <c r="Z1825" s="110"/>
    </row>
    <row r="1826">
      <c r="A1826" s="212"/>
      <c r="B1826" s="21"/>
      <c r="C1826" s="21"/>
      <c r="D1826" s="213"/>
      <c r="E1826" s="214"/>
      <c r="F1826" s="215"/>
      <c r="G1826" s="24"/>
      <c r="H1826" s="110"/>
      <c r="I1826" s="110"/>
      <c r="J1826" s="110"/>
      <c r="K1826" s="110"/>
      <c r="L1826" s="110"/>
      <c r="M1826" s="110"/>
      <c r="N1826" s="110"/>
      <c r="O1826" s="110"/>
      <c r="P1826" s="110"/>
      <c r="Q1826" s="110"/>
      <c r="R1826" s="110"/>
      <c r="S1826" s="110"/>
      <c r="T1826" s="110"/>
      <c r="U1826" s="110"/>
      <c r="V1826" s="110"/>
      <c r="W1826" s="110"/>
      <c r="X1826" s="110"/>
      <c r="Y1826" s="110"/>
      <c r="Z1826" s="110"/>
    </row>
    <row r="1827">
      <c r="A1827" s="212"/>
      <c r="B1827" s="21"/>
      <c r="C1827" s="21"/>
      <c r="D1827" s="213"/>
      <c r="E1827" s="214"/>
      <c r="F1827" s="215"/>
      <c r="G1827" s="24"/>
      <c r="H1827" s="110"/>
      <c r="I1827" s="110"/>
      <c r="J1827" s="110"/>
      <c r="K1827" s="110"/>
      <c r="L1827" s="110"/>
      <c r="M1827" s="110"/>
      <c r="N1827" s="110"/>
      <c r="O1827" s="110"/>
      <c r="P1827" s="110"/>
      <c r="Q1827" s="110"/>
      <c r="R1827" s="110"/>
      <c r="S1827" s="110"/>
      <c r="T1827" s="110"/>
      <c r="U1827" s="110"/>
      <c r="V1827" s="110"/>
      <c r="W1827" s="110"/>
      <c r="X1827" s="110"/>
      <c r="Y1827" s="110"/>
      <c r="Z1827" s="110"/>
    </row>
    <row r="1828">
      <c r="A1828" s="212"/>
      <c r="B1828" s="21"/>
      <c r="C1828" s="21"/>
      <c r="D1828" s="213"/>
      <c r="E1828" s="214"/>
      <c r="F1828" s="215"/>
      <c r="G1828" s="24"/>
      <c r="H1828" s="110"/>
      <c r="I1828" s="110"/>
      <c r="J1828" s="110"/>
      <c r="K1828" s="110"/>
      <c r="L1828" s="110"/>
      <c r="M1828" s="110"/>
      <c r="N1828" s="110"/>
      <c r="O1828" s="110"/>
      <c r="P1828" s="110"/>
      <c r="Q1828" s="110"/>
      <c r="R1828" s="110"/>
      <c r="S1828" s="110"/>
      <c r="T1828" s="110"/>
      <c r="U1828" s="110"/>
      <c r="V1828" s="110"/>
      <c r="W1828" s="110"/>
      <c r="X1828" s="110"/>
      <c r="Y1828" s="110"/>
      <c r="Z1828" s="110"/>
    </row>
    <row r="1829">
      <c r="A1829" s="212"/>
      <c r="B1829" s="21"/>
      <c r="C1829" s="21"/>
      <c r="D1829" s="213"/>
      <c r="E1829" s="214"/>
      <c r="F1829" s="215"/>
      <c r="G1829" s="24"/>
      <c r="H1829" s="110"/>
      <c r="I1829" s="110"/>
      <c r="J1829" s="110"/>
      <c r="K1829" s="110"/>
      <c r="L1829" s="110"/>
      <c r="M1829" s="110"/>
      <c r="N1829" s="110"/>
      <c r="O1829" s="110"/>
      <c r="P1829" s="110"/>
      <c r="Q1829" s="110"/>
      <c r="R1829" s="110"/>
      <c r="S1829" s="110"/>
      <c r="T1829" s="110"/>
      <c r="U1829" s="110"/>
      <c r="V1829" s="110"/>
      <c r="W1829" s="110"/>
      <c r="X1829" s="110"/>
      <c r="Y1829" s="110"/>
      <c r="Z1829" s="110"/>
    </row>
    <row r="1830">
      <c r="A1830" s="212"/>
      <c r="B1830" s="21"/>
      <c r="C1830" s="21"/>
      <c r="D1830" s="213"/>
      <c r="E1830" s="214"/>
      <c r="F1830" s="215"/>
      <c r="G1830" s="24"/>
      <c r="H1830" s="110"/>
      <c r="I1830" s="110"/>
      <c r="J1830" s="110"/>
      <c r="K1830" s="110"/>
      <c r="L1830" s="110"/>
      <c r="M1830" s="110"/>
      <c r="N1830" s="110"/>
      <c r="O1830" s="110"/>
      <c r="P1830" s="110"/>
      <c r="Q1830" s="110"/>
      <c r="R1830" s="110"/>
      <c r="S1830" s="110"/>
      <c r="T1830" s="110"/>
      <c r="U1830" s="110"/>
      <c r="V1830" s="110"/>
      <c r="W1830" s="110"/>
      <c r="X1830" s="110"/>
      <c r="Y1830" s="110"/>
      <c r="Z1830" s="110"/>
    </row>
    <row r="1831">
      <c r="A1831" s="212"/>
      <c r="B1831" s="21"/>
      <c r="C1831" s="21"/>
      <c r="D1831" s="213"/>
      <c r="E1831" s="214"/>
      <c r="F1831" s="215"/>
      <c r="G1831" s="124"/>
      <c r="H1831" s="110"/>
      <c r="I1831" s="110"/>
      <c r="J1831" s="110"/>
      <c r="K1831" s="110"/>
      <c r="L1831" s="110"/>
      <c r="M1831" s="110"/>
      <c r="N1831" s="110"/>
      <c r="O1831" s="110"/>
      <c r="P1831" s="110"/>
      <c r="Q1831" s="110"/>
      <c r="R1831" s="110"/>
      <c r="S1831" s="110"/>
      <c r="T1831" s="110"/>
      <c r="U1831" s="110"/>
      <c r="V1831" s="110"/>
      <c r="W1831" s="110"/>
      <c r="X1831" s="110"/>
      <c r="Y1831" s="110"/>
      <c r="Z1831" s="110"/>
    </row>
    <row r="1832">
      <c r="A1832" s="212"/>
      <c r="B1832" s="21"/>
      <c r="C1832" s="21"/>
      <c r="D1832" s="213"/>
      <c r="E1832" s="214"/>
      <c r="F1832" s="215"/>
      <c r="G1832" s="124"/>
      <c r="H1832" s="110"/>
      <c r="I1832" s="110"/>
      <c r="J1832" s="110"/>
      <c r="K1832" s="110"/>
      <c r="L1832" s="110"/>
      <c r="M1832" s="110"/>
      <c r="N1832" s="110"/>
      <c r="O1832" s="110"/>
      <c r="P1832" s="110"/>
      <c r="Q1832" s="110"/>
      <c r="R1832" s="110"/>
      <c r="S1832" s="110"/>
      <c r="T1832" s="110"/>
      <c r="U1832" s="110"/>
      <c r="V1832" s="110"/>
      <c r="W1832" s="110"/>
      <c r="X1832" s="110"/>
      <c r="Y1832" s="110"/>
      <c r="Z1832" s="110"/>
    </row>
    <row r="1833">
      <c r="A1833" s="212"/>
      <c r="B1833" s="21"/>
      <c r="C1833" s="21"/>
      <c r="D1833" s="213"/>
      <c r="E1833" s="214"/>
      <c r="F1833" s="215"/>
      <c r="G1833" s="110"/>
      <c r="H1833" s="110"/>
      <c r="I1833" s="110"/>
      <c r="J1833" s="110"/>
      <c r="K1833" s="110"/>
      <c r="L1833" s="110"/>
      <c r="M1833" s="110"/>
      <c r="N1833" s="110"/>
      <c r="O1833" s="110"/>
      <c r="P1833" s="110"/>
      <c r="Q1833" s="110"/>
      <c r="R1833" s="110"/>
      <c r="S1833" s="110"/>
      <c r="T1833" s="110"/>
      <c r="U1833" s="110"/>
      <c r="V1833" s="110"/>
      <c r="W1833" s="110"/>
      <c r="X1833" s="110"/>
      <c r="Y1833" s="110"/>
      <c r="Z1833" s="110"/>
    </row>
    <row r="1834">
      <c r="A1834" s="212"/>
      <c r="B1834" s="21"/>
      <c r="C1834" s="21"/>
      <c r="D1834" s="213"/>
      <c r="E1834" s="214"/>
      <c r="F1834" s="215"/>
      <c r="G1834" s="110"/>
      <c r="H1834" s="110"/>
      <c r="I1834" s="110"/>
      <c r="J1834" s="110"/>
      <c r="K1834" s="110"/>
      <c r="L1834" s="110"/>
      <c r="M1834" s="110"/>
      <c r="N1834" s="110"/>
      <c r="O1834" s="110"/>
      <c r="P1834" s="110"/>
      <c r="Q1834" s="110"/>
      <c r="R1834" s="110"/>
      <c r="S1834" s="110"/>
      <c r="T1834" s="110"/>
      <c r="U1834" s="110"/>
      <c r="V1834" s="110"/>
      <c r="W1834" s="110"/>
      <c r="X1834" s="110"/>
      <c r="Y1834" s="110"/>
      <c r="Z1834" s="110"/>
    </row>
    <row r="1835">
      <c r="A1835" s="212"/>
      <c r="B1835" s="21"/>
      <c r="C1835" s="21"/>
      <c r="D1835" s="213"/>
      <c r="E1835" s="214"/>
      <c r="F1835" s="215"/>
      <c r="G1835" s="110"/>
      <c r="H1835" s="225"/>
      <c r="I1835" s="225"/>
      <c r="J1835" s="225"/>
      <c r="K1835" s="225"/>
      <c r="L1835" s="225"/>
      <c r="M1835" s="225"/>
      <c r="N1835" s="225"/>
      <c r="O1835" s="225"/>
      <c r="P1835" s="225"/>
      <c r="Q1835" s="225"/>
      <c r="R1835" s="225"/>
      <c r="S1835" s="225"/>
      <c r="T1835" s="225"/>
      <c r="U1835" s="225"/>
      <c r="V1835" s="225"/>
      <c r="W1835" s="225"/>
      <c r="X1835" s="225"/>
      <c r="Y1835" s="225"/>
      <c r="Z1835" s="225"/>
    </row>
    <row r="1836">
      <c r="A1836" s="212"/>
      <c r="B1836" s="21"/>
      <c r="C1836" s="21"/>
      <c r="D1836" s="213"/>
      <c r="E1836" s="214"/>
      <c r="F1836" s="215"/>
      <c r="G1836" s="24"/>
      <c r="H1836" s="225"/>
      <c r="I1836" s="225"/>
      <c r="J1836" s="225"/>
      <c r="K1836" s="225"/>
      <c r="L1836" s="225"/>
      <c r="M1836" s="225"/>
      <c r="N1836" s="225"/>
      <c r="O1836" s="225"/>
      <c r="P1836" s="225"/>
      <c r="Q1836" s="225"/>
      <c r="R1836" s="225"/>
      <c r="S1836" s="225"/>
      <c r="T1836" s="225"/>
      <c r="U1836" s="225"/>
      <c r="V1836" s="225"/>
      <c r="W1836" s="225"/>
      <c r="X1836" s="225"/>
      <c r="Y1836" s="225"/>
      <c r="Z1836" s="225"/>
    </row>
    <row r="1837">
      <c r="A1837" s="212"/>
      <c r="B1837" s="21"/>
      <c r="C1837" s="21"/>
      <c r="D1837" s="213"/>
      <c r="E1837" s="214"/>
      <c r="F1837" s="215"/>
      <c r="G1837" s="24"/>
      <c r="H1837" s="225"/>
      <c r="I1837" s="225"/>
      <c r="J1837" s="225"/>
      <c r="K1837" s="225"/>
      <c r="L1837" s="225"/>
      <c r="M1837" s="225"/>
      <c r="N1837" s="225"/>
      <c r="O1837" s="225"/>
      <c r="P1837" s="225"/>
      <c r="Q1837" s="225"/>
      <c r="R1837" s="225"/>
      <c r="S1837" s="225"/>
      <c r="T1837" s="225"/>
      <c r="U1837" s="225"/>
      <c r="V1837" s="225"/>
      <c r="W1837" s="225"/>
      <c r="X1837" s="225"/>
      <c r="Y1837" s="225"/>
      <c r="Z1837" s="225"/>
    </row>
    <row r="1838">
      <c r="A1838" s="212"/>
      <c r="B1838" s="21"/>
      <c r="C1838" s="21"/>
      <c r="D1838" s="213"/>
      <c r="E1838" s="214"/>
      <c r="F1838" s="215"/>
      <c r="G1838" s="24"/>
      <c r="H1838" s="225"/>
      <c r="I1838" s="225"/>
      <c r="J1838" s="225"/>
      <c r="K1838" s="225"/>
      <c r="L1838" s="225"/>
      <c r="M1838" s="225"/>
      <c r="N1838" s="225"/>
      <c r="O1838" s="225"/>
      <c r="P1838" s="225"/>
      <c r="Q1838" s="225"/>
      <c r="R1838" s="225"/>
      <c r="S1838" s="225"/>
      <c r="T1838" s="225"/>
      <c r="U1838" s="225"/>
      <c r="V1838" s="225"/>
      <c r="W1838" s="225"/>
      <c r="X1838" s="225"/>
      <c r="Y1838" s="225"/>
      <c r="Z1838" s="225"/>
    </row>
    <row r="1839">
      <c r="A1839" s="212"/>
      <c r="B1839" s="21"/>
      <c r="C1839" s="21"/>
      <c r="D1839" s="213"/>
      <c r="E1839" s="214"/>
      <c r="F1839" s="215"/>
      <c r="G1839" s="24"/>
      <c r="H1839" s="225"/>
      <c r="I1839" s="225"/>
      <c r="J1839" s="225"/>
      <c r="K1839" s="225"/>
      <c r="L1839" s="225"/>
      <c r="M1839" s="225"/>
      <c r="N1839" s="225"/>
      <c r="O1839" s="225"/>
      <c r="P1839" s="225"/>
      <c r="Q1839" s="225"/>
      <c r="R1839" s="225"/>
      <c r="S1839" s="225"/>
      <c r="T1839" s="225"/>
      <c r="U1839" s="225"/>
      <c r="V1839" s="225"/>
      <c r="W1839" s="225"/>
      <c r="X1839" s="225"/>
      <c r="Y1839" s="225"/>
      <c r="Z1839" s="225"/>
    </row>
    <row r="1840">
      <c r="A1840" s="212"/>
      <c r="B1840" s="21"/>
      <c r="C1840" s="21"/>
      <c r="D1840" s="213"/>
      <c r="E1840" s="214"/>
      <c r="F1840" s="215"/>
      <c r="G1840" s="24"/>
      <c r="H1840" s="225"/>
      <c r="I1840" s="225"/>
      <c r="J1840" s="225"/>
      <c r="K1840" s="225"/>
      <c r="L1840" s="225"/>
      <c r="M1840" s="225"/>
      <c r="N1840" s="225"/>
      <c r="O1840" s="225"/>
      <c r="P1840" s="225"/>
      <c r="Q1840" s="225"/>
      <c r="R1840" s="225"/>
      <c r="S1840" s="225"/>
      <c r="T1840" s="225"/>
      <c r="U1840" s="225"/>
      <c r="V1840" s="225"/>
      <c r="W1840" s="225"/>
      <c r="X1840" s="225"/>
      <c r="Y1840" s="225"/>
      <c r="Z1840" s="225"/>
    </row>
    <row r="1841">
      <c r="A1841" s="212"/>
      <c r="B1841" s="21"/>
      <c r="C1841" s="21"/>
      <c r="D1841" s="213"/>
      <c r="E1841" s="214"/>
      <c r="F1841" s="215"/>
      <c r="G1841" s="24"/>
      <c r="H1841" s="225"/>
      <c r="I1841" s="225"/>
      <c r="J1841" s="225"/>
      <c r="K1841" s="225"/>
      <c r="L1841" s="225"/>
      <c r="M1841" s="225"/>
      <c r="N1841" s="225"/>
      <c r="O1841" s="225"/>
      <c r="P1841" s="225"/>
      <c r="Q1841" s="225"/>
      <c r="R1841" s="225"/>
      <c r="S1841" s="225"/>
      <c r="T1841" s="225"/>
      <c r="U1841" s="225"/>
      <c r="V1841" s="225"/>
      <c r="W1841" s="225"/>
      <c r="X1841" s="225"/>
      <c r="Y1841" s="225"/>
      <c r="Z1841" s="225"/>
    </row>
    <row r="1842">
      <c r="A1842" s="212"/>
      <c r="B1842" s="21"/>
      <c r="C1842" s="21"/>
      <c r="D1842" s="213"/>
      <c r="E1842" s="214"/>
      <c r="F1842" s="215"/>
      <c r="G1842" s="24"/>
      <c r="H1842" s="225"/>
      <c r="I1842" s="225"/>
      <c r="J1842" s="225"/>
      <c r="K1842" s="225"/>
      <c r="L1842" s="225"/>
      <c r="M1842" s="225"/>
      <c r="N1842" s="225"/>
      <c r="O1842" s="225"/>
      <c r="P1842" s="225"/>
      <c r="Q1842" s="225"/>
      <c r="R1842" s="225"/>
      <c r="S1842" s="225"/>
      <c r="T1842" s="225"/>
      <c r="U1842" s="225"/>
      <c r="V1842" s="225"/>
      <c r="W1842" s="225"/>
      <c r="X1842" s="225"/>
      <c r="Y1842" s="225"/>
      <c r="Z1842" s="225"/>
    </row>
    <row r="1843">
      <c r="A1843" s="212"/>
      <c r="B1843" s="21"/>
      <c r="C1843" s="21"/>
      <c r="D1843" s="213"/>
      <c r="E1843" s="214"/>
      <c r="F1843" s="215"/>
      <c r="G1843" s="24"/>
      <c r="H1843" s="225"/>
      <c r="I1843" s="225"/>
      <c r="J1843" s="225"/>
      <c r="K1843" s="225"/>
      <c r="L1843" s="225"/>
      <c r="M1843" s="225"/>
      <c r="N1843" s="225"/>
      <c r="O1843" s="225"/>
      <c r="P1843" s="225"/>
      <c r="Q1843" s="225"/>
      <c r="R1843" s="225"/>
      <c r="S1843" s="225"/>
      <c r="T1843" s="225"/>
      <c r="U1843" s="225"/>
      <c r="V1843" s="225"/>
      <c r="W1843" s="225"/>
      <c r="X1843" s="225"/>
      <c r="Y1843" s="225"/>
      <c r="Z1843" s="225"/>
    </row>
    <row r="1844">
      <c r="A1844" s="212"/>
      <c r="B1844" s="21"/>
      <c r="C1844" s="21"/>
      <c r="D1844" s="213"/>
      <c r="E1844" s="214"/>
      <c r="F1844" s="215"/>
      <c r="G1844" s="24"/>
      <c r="H1844" s="110"/>
      <c r="I1844" s="110"/>
      <c r="J1844" s="110"/>
      <c r="K1844" s="110"/>
      <c r="L1844" s="110"/>
      <c r="M1844" s="110"/>
      <c r="N1844" s="110"/>
      <c r="O1844" s="110"/>
      <c r="P1844" s="110"/>
      <c r="Q1844" s="110"/>
      <c r="R1844" s="110"/>
      <c r="S1844" s="110"/>
      <c r="T1844" s="110"/>
      <c r="U1844" s="110"/>
      <c r="V1844" s="110"/>
      <c r="W1844" s="110"/>
      <c r="X1844" s="110"/>
      <c r="Y1844" s="110"/>
      <c r="Z1844" s="110"/>
    </row>
    <row r="1845">
      <c r="A1845" s="212"/>
      <c r="B1845" s="21"/>
      <c r="C1845" s="21"/>
      <c r="D1845" s="213"/>
      <c r="E1845" s="214"/>
      <c r="F1845" s="215"/>
      <c r="G1845" s="24"/>
      <c r="H1845" s="225"/>
      <c r="I1845" s="225"/>
      <c r="J1845" s="225"/>
      <c r="K1845" s="225"/>
      <c r="L1845" s="225"/>
      <c r="M1845" s="225"/>
      <c r="N1845" s="225"/>
      <c r="O1845" s="225"/>
      <c r="P1845" s="225"/>
      <c r="Q1845" s="225"/>
      <c r="R1845" s="225"/>
      <c r="S1845" s="225"/>
      <c r="T1845" s="225"/>
      <c r="U1845" s="225"/>
      <c r="V1845" s="225"/>
      <c r="W1845" s="225"/>
      <c r="X1845" s="225"/>
      <c r="Y1845" s="225"/>
      <c r="Z1845" s="225"/>
    </row>
    <row r="1846">
      <c r="A1846" s="212"/>
      <c r="B1846" s="21"/>
      <c r="C1846" s="21"/>
      <c r="D1846" s="213"/>
      <c r="E1846" s="214"/>
      <c r="F1846" s="215"/>
      <c r="G1846" s="24"/>
      <c r="H1846" s="225"/>
      <c r="I1846" s="225"/>
      <c r="J1846" s="225"/>
      <c r="K1846" s="225"/>
      <c r="L1846" s="225"/>
      <c r="M1846" s="225"/>
      <c r="N1846" s="225"/>
      <c r="O1846" s="225"/>
      <c r="P1846" s="225"/>
      <c r="Q1846" s="225"/>
      <c r="R1846" s="225"/>
      <c r="S1846" s="225"/>
      <c r="T1846" s="225"/>
      <c r="U1846" s="225"/>
      <c r="V1846" s="225"/>
      <c r="W1846" s="225"/>
      <c r="X1846" s="225"/>
      <c r="Y1846" s="225"/>
      <c r="Z1846" s="225"/>
    </row>
    <row r="1847">
      <c r="A1847" s="212"/>
      <c r="B1847" s="21"/>
      <c r="C1847" s="21"/>
      <c r="D1847" s="213"/>
      <c r="E1847" s="214"/>
      <c r="F1847" s="215"/>
      <c r="G1847" s="24"/>
      <c r="H1847" s="225"/>
      <c r="I1847" s="225"/>
      <c r="J1847" s="225"/>
      <c r="K1847" s="225"/>
      <c r="L1847" s="225"/>
      <c r="M1847" s="225"/>
      <c r="N1847" s="225"/>
      <c r="O1847" s="225"/>
      <c r="P1847" s="225"/>
      <c r="Q1847" s="225"/>
      <c r="R1847" s="225"/>
      <c r="S1847" s="225"/>
      <c r="T1847" s="225"/>
      <c r="U1847" s="225"/>
      <c r="V1847" s="225"/>
      <c r="W1847" s="225"/>
      <c r="X1847" s="225"/>
      <c r="Y1847" s="225"/>
      <c r="Z1847" s="225"/>
    </row>
    <row r="1848">
      <c r="A1848" s="212"/>
      <c r="B1848" s="21"/>
      <c r="C1848" s="21"/>
      <c r="D1848" s="213"/>
      <c r="E1848" s="214"/>
      <c r="F1848" s="215"/>
      <c r="G1848" s="24"/>
      <c r="H1848" s="225"/>
      <c r="I1848" s="225"/>
      <c r="J1848" s="225"/>
      <c r="K1848" s="225"/>
      <c r="L1848" s="225"/>
      <c r="M1848" s="225"/>
      <c r="N1848" s="225"/>
      <c r="O1848" s="225"/>
      <c r="P1848" s="225"/>
      <c r="Q1848" s="225"/>
      <c r="R1848" s="225"/>
      <c r="S1848" s="225"/>
      <c r="T1848" s="225"/>
      <c r="U1848" s="225"/>
      <c r="V1848" s="225"/>
      <c r="W1848" s="225"/>
      <c r="X1848" s="225"/>
      <c r="Y1848" s="225"/>
      <c r="Z1848" s="225"/>
    </row>
    <row r="1849">
      <c r="A1849" s="212"/>
      <c r="B1849" s="21"/>
      <c r="C1849" s="21"/>
      <c r="D1849" s="213"/>
      <c r="E1849" s="214"/>
      <c r="F1849" s="215"/>
      <c r="G1849" s="24"/>
      <c r="H1849" s="225"/>
      <c r="I1849" s="225"/>
      <c r="J1849" s="225"/>
      <c r="K1849" s="225"/>
      <c r="L1849" s="225"/>
      <c r="M1849" s="225"/>
      <c r="N1849" s="225"/>
      <c r="O1849" s="225"/>
      <c r="P1849" s="225"/>
      <c r="Q1849" s="225"/>
      <c r="R1849" s="225"/>
      <c r="S1849" s="225"/>
      <c r="T1849" s="225"/>
      <c r="U1849" s="225"/>
      <c r="V1849" s="225"/>
      <c r="W1849" s="225"/>
      <c r="X1849" s="225"/>
      <c r="Y1849" s="225"/>
      <c r="Z1849" s="225"/>
    </row>
    <row r="1850">
      <c r="A1850" s="212"/>
      <c r="B1850" s="21"/>
      <c r="C1850" s="21"/>
      <c r="D1850" s="213"/>
      <c r="E1850" s="214"/>
      <c r="F1850" s="215"/>
      <c r="G1850" s="24"/>
      <c r="H1850" s="225"/>
      <c r="I1850" s="225"/>
      <c r="J1850" s="225"/>
      <c r="K1850" s="225"/>
      <c r="L1850" s="225"/>
      <c r="M1850" s="225"/>
      <c r="N1850" s="225"/>
      <c r="O1850" s="225"/>
      <c r="P1850" s="225"/>
      <c r="Q1850" s="225"/>
      <c r="R1850" s="225"/>
      <c r="S1850" s="225"/>
      <c r="T1850" s="225"/>
      <c r="U1850" s="225"/>
      <c r="V1850" s="225"/>
      <c r="W1850" s="225"/>
      <c r="X1850" s="225"/>
      <c r="Y1850" s="225"/>
      <c r="Z1850" s="225"/>
    </row>
    <row r="1851">
      <c r="A1851" s="212"/>
      <c r="B1851" s="21"/>
      <c r="C1851" s="21"/>
      <c r="D1851" s="213"/>
      <c r="E1851" s="214"/>
      <c r="F1851" s="215"/>
      <c r="G1851" s="24"/>
      <c r="H1851" s="225"/>
      <c r="I1851" s="225"/>
      <c r="J1851" s="225"/>
      <c r="K1851" s="225"/>
      <c r="L1851" s="225"/>
      <c r="M1851" s="225"/>
      <c r="N1851" s="225"/>
      <c r="O1851" s="225"/>
      <c r="P1851" s="225"/>
      <c r="Q1851" s="225"/>
      <c r="R1851" s="225"/>
      <c r="S1851" s="225"/>
      <c r="T1851" s="225"/>
      <c r="U1851" s="225"/>
      <c r="V1851" s="225"/>
      <c r="W1851" s="225"/>
      <c r="X1851" s="225"/>
      <c r="Y1851" s="225"/>
      <c r="Z1851" s="225"/>
    </row>
    <row r="1852">
      <c r="A1852" s="212"/>
      <c r="B1852" s="21"/>
      <c r="C1852" s="21"/>
      <c r="D1852" s="213"/>
      <c r="E1852" s="214"/>
      <c r="F1852" s="215"/>
      <c r="G1852" s="24"/>
      <c r="H1852" s="225"/>
      <c r="I1852" s="225"/>
      <c r="J1852" s="225"/>
      <c r="K1852" s="225"/>
      <c r="L1852" s="225"/>
      <c r="M1852" s="225"/>
      <c r="N1852" s="225"/>
      <c r="O1852" s="225"/>
      <c r="P1852" s="225"/>
      <c r="Q1852" s="225"/>
      <c r="R1852" s="225"/>
      <c r="S1852" s="225"/>
      <c r="T1852" s="225"/>
      <c r="U1852" s="225"/>
      <c r="V1852" s="225"/>
      <c r="W1852" s="225"/>
      <c r="X1852" s="225"/>
      <c r="Y1852" s="225"/>
      <c r="Z1852" s="225"/>
    </row>
    <row r="1853">
      <c r="A1853" s="212"/>
      <c r="B1853" s="21"/>
      <c r="C1853" s="21"/>
      <c r="D1853" s="213"/>
      <c r="E1853" s="214"/>
      <c r="F1853" s="215"/>
      <c r="G1853" s="24"/>
      <c r="H1853" s="225"/>
      <c r="I1853" s="225"/>
      <c r="J1853" s="225"/>
      <c r="K1853" s="225"/>
      <c r="L1853" s="225"/>
      <c r="M1853" s="225"/>
      <c r="N1853" s="225"/>
      <c r="O1853" s="225"/>
      <c r="P1853" s="225"/>
      <c r="Q1853" s="225"/>
      <c r="R1853" s="225"/>
      <c r="S1853" s="225"/>
      <c r="T1853" s="225"/>
      <c r="U1853" s="225"/>
      <c r="V1853" s="225"/>
      <c r="W1853" s="225"/>
      <c r="X1853" s="225"/>
      <c r="Y1853" s="225"/>
      <c r="Z1853" s="225"/>
    </row>
    <row r="1854">
      <c r="A1854" s="212"/>
      <c r="B1854" s="21"/>
      <c r="C1854" s="21"/>
      <c r="D1854" s="213"/>
      <c r="E1854" s="214"/>
      <c r="F1854" s="215"/>
      <c r="G1854" s="24"/>
      <c r="H1854" s="225"/>
      <c r="I1854" s="225"/>
      <c r="J1854" s="225"/>
      <c r="K1854" s="225"/>
      <c r="L1854" s="225"/>
      <c r="M1854" s="225"/>
      <c r="N1854" s="225"/>
      <c r="O1854" s="225"/>
      <c r="P1854" s="225"/>
      <c r="Q1854" s="225"/>
      <c r="R1854" s="225"/>
      <c r="S1854" s="225"/>
      <c r="T1854" s="225"/>
      <c r="U1854" s="225"/>
      <c r="V1854" s="225"/>
      <c r="W1854" s="225"/>
      <c r="X1854" s="225"/>
      <c r="Y1854" s="225"/>
      <c r="Z1854" s="225"/>
    </row>
    <row r="1855">
      <c r="A1855" s="212"/>
      <c r="B1855" s="21"/>
      <c r="C1855" s="21"/>
      <c r="D1855" s="213"/>
      <c r="E1855" s="214"/>
      <c r="F1855" s="215"/>
      <c r="G1855" s="24"/>
      <c r="H1855" s="225"/>
      <c r="I1855" s="225"/>
      <c r="J1855" s="225"/>
      <c r="K1855" s="225"/>
      <c r="L1855" s="225"/>
      <c r="M1855" s="225"/>
      <c r="N1855" s="225"/>
      <c r="O1855" s="225"/>
      <c r="P1855" s="225"/>
      <c r="Q1855" s="225"/>
      <c r="R1855" s="225"/>
      <c r="S1855" s="225"/>
      <c r="T1855" s="225"/>
      <c r="U1855" s="225"/>
      <c r="V1855" s="225"/>
      <c r="W1855" s="225"/>
      <c r="X1855" s="225"/>
      <c r="Y1855" s="225"/>
      <c r="Z1855" s="225"/>
    </row>
    <row r="1856">
      <c r="A1856" s="212"/>
      <c r="B1856" s="21"/>
      <c r="C1856" s="21"/>
      <c r="D1856" s="213"/>
      <c r="E1856" s="214"/>
      <c r="F1856" s="215"/>
      <c r="G1856" s="24"/>
      <c r="H1856" s="225"/>
      <c r="I1856" s="225"/>
      <c r="J1856" s="225"/>
      <c r="K1856" s="225"/>
      <c r="L1856" s="225"/>
      <c r="M1856" s="225"/>
      <c r="N1856" s="225"/>
      <c r="O1856" s="225"/>
      <c r="P1856" s="225"/>
      <c r="Q1856" s="225"/>
      <c r="R1856" s="225"/>
      <c r="S1856" s="225"/>
      <c r="T1856" s="225"/>
      <c r="U1856" s="225"/>
      <c r="V1856" s="225"/>
      <c r="W1856" s="225"/>
      <c r="X1856" s="225"/>
      <c r="Y1856" s="225"/>
      <c r="Z1856" s="225"/>
    </row>
    <row r="1857">
      <c r="A1857" s="212"/>
      <c r="B1857" s="21"/>
      <c r="C1857" s="21"/>
      <c r="D1857" s="213"/>
      <c r="E1857" s="214"/>
      <c r="F1857" s="215"/>
      <c r="G1857" s="24"/>
      <c r="H1857" s="225"/>
      <c r="I1857" s="225"/>
      <c r="J1857" s="225"/>
      <c r="K1857" s="225"/>
      <c r="L1857" s="225"/>
      <c r="M1857" s="225"/>
      <c r="N1857" s="225"/>
      <c r="O1857" s="225"/>
      <c r="P1857" s="225"/>
      <c r="Q1857" s="225"/>
      <c r="R1857" s="225"/>
      <c r="S1857" s="225"/>
      <c r="T1857" s="225"/>
      <c r="U1857" s="225"/>
      <c r="V1857" s="225"/>
      <c r="W1857" s="225"/>
      <c r="X1857" s="225"/>
      <c r="Y1857" s="225"/>
      <c r="Z1857" s="225"/>
    </row>
    <row r="1858">
      <c r="A1858" s="212"/>
      <c r="B1858" s="21"/>
      <c r="C1858" s="21"/>
      <c r="D1858" s="213"/>
      <c r="E1858" s="214"/>
      <c r="F1858" s="215"/>
      <c r="G1858" s="24"/>
      <c r="H1858" s="225"/>
      <c r="I1858" s="225"/>
      <c r="J1858" s="225"/>
      <c r="K1858" s="225"/>
      <c r="L1858" s="225"/>
      <c r="M1858" s="225"/>
      <c r="N1858" s="225"/>
      <c r="O1858" s="225"/>
      <c r="P1858" s="225"/>
      <c r="Q1858" s="225"/>
      <c r="R1858" s="225"/>
      <c r="S1858" s="225"/>
      <c r="T1858" s="225"/>
      <c r="U1858" s="225"/>
      <c r="V1858" s="225"/>
      <c r="W1858" s="225"/>
      <c r="X1858" s="225"/>
      <c r="Y1858" s="225"/>
      <c r="Z1858" s="225"/>
    </row>
    <row r="1859">
      <c r="A1859" s="212"/>
      <c r="B1859" s="21"/>
      <c r="C1859" s="21"/>
      <c r="D1859" s="213"/>
      <c r="E1859" s="214"/>
      <c r="F1859" s="215"/>
      <c r="G1859" s="24"/>
      <c r="H1859" s="225"/>
      <c r="I1859" s="225"/>
      <c r="J1859" s="225"/>
      <c r="K1859" s="225"/>
      <c r="L1859" s="225"/>
      <c r="M1859" s="225"/>
      <c r="N1859" s="225"/>
      <c r="O1859" s="225"/>
      <c r="P1859" s="225"/>
      <c r="Q1859" s="225"/>
      <c r="R1859" s="225"/>
      <c r="S1859" s="225"/>
      <c r="T1859" s="225"/>
      <c r="U1859" s="225"/>
      <c r="V1859" s="225"/>
      <c r="W1859" s="225"/>
      <c r="X1859" s="225"/>
      <c r="Y1859" s="225"/>
      <c r="Z1859" s="225"/>
    </row>
    <row r="1860">
      <c r="A1860" s="212"/>
      <c r="B1860" s="21"/>
      <c r="C1860" s="21"/>
      <c r="D1860" s="213"/>
      <c r="E1860" s="214"/>
      <c r="F1860" s="215"/>
      <c r="G1860" s="24"/>
      <c r="H1860" s="110"/>
      <c r="I1860" s="110"/>
      <c r="J1860" s="110"/>
      <c r="K1860" s="110"/>
      <c r="L1860" s="110"/>
      <c r="M1860" s="110"/>
      <c r="N1860" s="110"/>
      <c r="O1860" s="110"/>
      <c r="P1860" s="110"/>
      <c r="Q1860" s="110"/>
      <c r="R1860" s="110"/>
      <c r="S1860" s="110"/>
      <c r="T1860" s="110"/>
      <c r="U1860" s="110"/>
      <c r="V1860" s="110"/>
      <c r="W1860" s="110"/>
      <c r="X1860" s="110"/>
      <c r="Y1860" s="110"/>
      <c r="Z1860" s="110"/>
    </row>
    <row r="1861">
      <c r="A1861" s="212"/>
      <c r="B1861" s="21"/>
      <c r="C1861" s="21"/>
      <c r="D1861" s="213"/>
      <c r="E1861" s="214"/>
      <c r="F1861" s="215"/>
      <c r="G1861" s="24"/>
      <c r="H1861" s="225"/>
      <c r="I1861" s="225"/>
      <c r="J1861" s="225"/>
      <c r="K1861" s="225"/>
      <c r="L1861" s="225"/>
      <c r="M1861" s="225"/>
      <c r="N1861" s="225"/>
      <c r="O1861" s="225"/>
      <c r="P1861" s="225"/>
      <c r="Q1861" s="225"/>
      <c r="R1861" s="225"/>
      <c r="S1861" s="225"/>
      <c r="T1861" s="225"/>
      <c r="U1861" s="225"/>
      <c r="V1861" s="225"/>
      <c r="W1861" s="225"/>
      <c r="X1861" s="225"/>
      <c r="Y1861" s="225"/>
      <c r="Z1861" s="225"/>
    </row>
    <row r="1862">
      <c r="A1862" s="212"/>
      <c r="B1862" s="21"/>
      <c r="C1862" s="21"/>
      <c r="D1862" s="213"/>
      <c r="E1862" s="214"/>
      <c r="F1862" s="215"/>
      <c r="G1862" s="24"/>
      <c r="H1862" s="225"/>
      <c r="I1862" s="225"/>
      <c r="J1862" s="225"/>
      <c r="K1862" s="225"/>
      <c r="L1862" s="225"/>
      <c r="M1862" s="225"/>
      <c r="N1862" s="225"/>
      <c r="O1862" s="225"/>
      <c r="P1862" s="225"/>
      <c r="Q1862" s="225"/>
      <c r="R1862" s="225"/>
      <c r="S1862" s="225"/>
      <c r="T1862" s="225"/>
      <c r="U1862" s="225"/>
      <c r="V1862" s="225"/>
      <c r="W1862" s="225"/>
      <c r="X1862" s="225"/>
      <c r="Y1862" s="225"/>
      <c r="Z1862" s="225"/>
    </row>
    <row r="1863">
      <c r="A1863" s="212"/>
      <c r="B1863" s="21"/>
      <c r="C1863" s="21"/>
      <c r="D1863" s="213"/>
      <c r="E1863" s="214"/>
      <c r="F1863" s="215"/>
      <c r="G1863" s="24"/>
      <c r="H1863" s="225"/>
      <c r="I1863" s="225"/>
      <c r="J1863" s="225"/>
      <c r="K1863" s="225"/>
      <c r="L1863" s="225"/>
      <c r="M1863" s="225"/>
      <c r="N1863" s="225"/>
      <c r="O1863" s="225"/>
      <c r="P1863" s="225"/>
      <c r="Q1863" s="225"/>
      <c r="R1863" s="225"/>
      <c r="S1863" s="225"/>
      <c r="T1863" s="225"/>
      <c r="U1863" s="225"/>
      <c r="V1863" s="225"/>
      <c r="W1863" s="225"/>
      <c r="X1863" s="225"/>
      <c r="Y1863" s="225"/>
      <c r="Z1863" s="225"/>
    </row>
    <row r="1864">
      <c r="A1864" s="212"/>
      <c r="B1864" s="21"/>
      <c r="C1864" s="21"/>
      <c r="D1864" s="213"/>
      <c r="E1864" s="214"/>
      <c r="F1864" s="215"/>
      <c r="G1864" s="24"/>
      <c r="H1864" s="225"/>
      <c r="I1864" s="225"/>
      <c r="J1864" s="225"/>
      <c r="K1864" s="225"/>
      <c r="L1864" s="225"/>
      <c r="M1864" s="225"/>
      <c r="N1864" s="225"/>
      <c r="O1864" s="225"/>
      <c r="P1864" s="225"/>
      <c r="Q1864" s="225"/>
      <c r="R1864" s="225"/>
      <c r="S1864" s="225"/>
      <c r="T1864" s="225"/>
      <c r="U1864" s="225"/>
      <c r="V1864" s="225"/>
      <c r="W1864" s="225"/>
      <c r="X1864" s="225"/>
      <c r="Y1864" s="225"/>
      <c r="Z1864" s="225"/>
    </row>
    <row r="1865">
      <c r="A1865" s="212"/>
      <c r="B1865" s="21"/>
      <c r="C1865" s="21"/>
      <c r="D1865" s="213"/>
      <c r="E1865" s="214"/>
      <c r="F1865" s="215"/>
      <c r="G1865" s="24"/>
      <c r="H1865" s="225"/>
      <c r="I1865" s="225"/>
      <c r="J1865" s="225"/>
      <c r="K1865" s="225"/>
      <c r="L1865" s="225"/>
      <c r="M1865" s="225"/>
      <c r="N1865" s="225"/>
      <c r="O1865" s="225"/>
      <c r="P1865" s="225"/>
      <c r="Q1865" s="225"/>
      <c r="R1865" s="225"/>
      <c r="S1865" s="225"/>
      <c r="T1865" s="225"/>
      <c r="U1865" s="225"/>
      <c r="V1865" s="225"/>
      <c r="W1865" s="225"/>
      <c r="X1865" s="225"/>
      <c r="Y1865" s="225"/>
      <c r="Z1865" s="225"/>
    </row>
    <row r="1866">
      <c r="A1866" s="212"/>
      <c r="B1866" s="21"/>
      <c r="C1866" s="21"/>
      <c r="D1866" s="213"/>
      <c r="E1866" s="214"/>
      <c r="F1866" s="215"/>
      <c r="G1866" s="24"/>
      <c r="H1866" s="225"/>
      <c r="I1866" s="225"/>
      <c r="J1866" s="225"/>
      <c r="K1866" s="225"/>
      <c r="L1866" s="225"/>
      <c r="M1866" s="225"/>
      <c r="N1866" s="225"/>
      <c r="O1866" s="225"/>
      <c r="P1866" s="225"/>
      <c r="Q1866" s="225"/>
      <c r="R1866" s="225"/>
      <c r="S1866" s="225"/>
      <c r="T1866" s="225"/>
      <c r="U1866" s="225"/>
      <c r="V1866" s="225"/>
      <c r="W1866" s="225"/>
      <c r="X1866" s="225"/>
      <c r="Y1866" s="225"/>
      <c r="Z1866" s="225"/>
    </row>
    <row r="1867">
      <c r="A1867" s="212"/>
      <c r="B1867" s="21"/>
      <c r="C1867" s="21"/>
      <c r="D1867" s="213"/>
      <c r="E1867" s="214"/>
      <c r="F1867" s="215"/>
      <c r="G1867" s="24"/>
      <c r="H1867" s="225"/>
      <c r="I1867" s="225"/>
      <c r="J1867" s="225"/>
      <c r="K1867" s="225"/>
      <c r="L1867" s="225"/>
      <c r="M1867" s="225"/>
      <c r="N1867" s="225"/>
      <c r="O1867" s="225"/>
      <c r="P1867" s="225"/>
      <c r="Q1867" s="225"/>
      <c r="R1867" s="225"/>
      <c r="S1867" s="225"/>
      <c r="T1867" s="225"/>
      <c r="U1867" s="225"/>
      <c r="V1867" s="225"/>
      <c r="W1867" s="225"/>
      <c r="X1867" s="225"/>
      <c r="Y1867" s="225"/>
      <c r="Z1867" s="225"/>
    </row>
    <row r="1868">
      <c r="A1868" s="212"/>
      <c r="B1868" s="21"/>
      <c r="C1868" s="21"/>
      <c r="D1868" s="213"/>
      <c r="E1868" s="214"/>
      <c r="F1868" s="215"/>
      <c r="G1868" s="24"/>
      <c r="H1868" s="225"/>
      <c r="I1868" s="225"/>
      <c r="J1868" s="225"/>
      <c r="K1868" s="225"/>
      <c r="L1868" s="225"/>
      <c r="M1868" s="225"/>
      <c r="N1868" s="225"/>
      <c r="O1868" s="225"/>
      <c r="P1868" s="225"/>
      <c r="Q1868" s="225"/>
      <c r="R1868" s="225"/>
      <c r="S1868" s="225"/>
      <c r="T1868" s="225"/>
      <c r="U1868" s="225"/>
      <c r="V1868" s="225"/>
      <c r="W1868" s="225"/>
      <c r="X1868" s="225"/>
      <c r="Y1868" s="225"/>
      <c r="Z1868" s="225"/>
    </row>
    <row r="1869">
      <c r="A1869" s="212"/>
      <c r="B1869" s="21"/>
      <c r="C1869" s="21"/>
      <c r="D1869" s="213"/>
      <c r="E1869" s="214"/>
      <c r="F1869" s="215"/>
      <c r="G1869" s="24"/>
      <c r="H1869" s="225"/>
      <c r="I1869" s="225"/>
      <c r="J1869" s="225"/>
      <c r="K1869" s="225"/>
      <c r="L1869" s="225"/>
      <c r="M1869" s="225"/>
      <c r="N1869" s="225"/>
      <c r="O1869" s="225"/>
      <c r="P1869" s="225"/>
      <c r="Q1869" s="225"/>
      <c r="R1869" s="225"/>
      <c r="S1869" s="225"/>
      <c r="T1869" s="225"/>
      <c r="U1869" s="225"/>
      <c r="V1869" s="225"/>
      <c r="W1869" s="225"/>
      <c r="X1869" s="225"/>
      <c r="Y1869" s="225"/>
      <c r="Z1869" s="225"/>
    </row>
    <row r="1870">
      <c r="A1870" s="212"/>
      <c r="B1870" s="21"/>
      <c r="C1870" s="21"/>
      <c r="D1870" s="213"/>
      <c r="E1870" s="214"/>
      <c r="F1870" s="215"/>
      <c r="G1870" s="24"/>
      <c r="H1870" s="225"/>
      <c r="I1870" s="225"/>
      <c r="J1870" s="225"/>
      <c r="K1870" s="225"/>
      <c r="L1870" s="225"/>
      <c r="M1870" s="225"/>
      <c r="N1870" s="225"/>
      <c r="O1870" s="225"/>
      <c r="P1870" s="225"/>
      <c r="Q1870" s="225"/>
      <c r="R1870" s="225"/>
      <c r="S1870" s="225"/>
      <c r="T1870" s="225"/>
      <c r="U1870" s="225"/>
      <c r="V1870" s="225"/>
      <c r="W1870" s="225"/>
      <c r="X1870" s="225"/>
      <c r="Y1870" s="225"/>
      <c r="Z1870" s="225"/>
    </row>
    <row r="1871">
      <c r="A1871" s="212"/>
      <c r="B1871" s="21"/>
      <c r="C1871" s="21"/>
      <c r="D1871" s="213"/>
      <c r="E1871" s="214"/>
      <c r="F1871" s="215"/>
      <c r="G1871" s="24"/>
      <c r="H1871" s="225"/>
      <c r="I1871" s="225"/>
      <c r="J1871" s="225"/>
      <c r="K1871" s="225"/>
      <c r="L1871" s="225"/>
      <c r="M1871" s="225"/>
      <c r="N1871" s="225"/>
      <c r="O1871" s="225"/>
      <c r="P1871" s="225"/>
      <c r="Q1871" s="225"/>
      <c r="R1871" s="225"/>
      <c r="S1871" s="225"/>
      <c r="T1871" s="225"/>
      <c r="U1871" s="225"/>
      <c r="V1871" s="225"/>
      <c r="W1871" s="225"/>
      <c r="X1871" s="225"/>
      <c r="Y1871" s="225"/>
      <c r="Z1871" s="225"/>
    </row>
    <row r="1872">
      <c r="A1872" s="212"/>
      <c r="B1872" s="21"/>
      <c r="C1872" s="21"/>
      <c r="D1872" s="213"/>
      <c r="E1872" s="214"/>
      <c r="F1872" s="215"/>
      <c r="G1872" s="24"/>
      <c r="H1872" s="225"/>
      <c r="I1872" s="225"/>
      <c r="J1872" s="225"/>
      <c r="K1872" s="225"/>
      <c r="L1872" s="225"/>
      <c r="M1872" s="225"/>
      <c r="N1872" s="225"/>
      <c r="O1872" s="225"/>
      <c r="P1872" s="225"/>
      <c r="Q1872" s="225"/>
      <c r="R1872" s="225"/>
      <c r="S1872" s="225"/>
      <c r="T1872" s="225"/>
      <c r="U1872" s="225"/>
      <c r="V1872" s="225"/>
      <c r="W1872" s="225"/>
      <c r="X1872" s="225"/>
      <c r="Y1872" s="225"/>
      <c r="Z1872" s="225"/>
    </row>
    <row r="1873">
      <c r="A1873" s="212"/>
      <c r="B1873" s="21"/>
      <c r="C1873" s="21"/>
      <c r="D1873" s="213"/>
      <c r="E1873" s="214"/>
      <c r="F1873" s="215"/>
      <c r="G1873" s="24"/>
      <c r="H1873" s="225"/>
      <c r="I1873" s="225"/>
      <c r="J1873" s="225"/>
      <c r="K1873" s="225"/>
      <c r="L1873" s="225"/>
      <c r="M1873" s="225"/>
      <c r="N1873" s="225"/>
      <c r="O1873" s="225"/>
      <c r="P1873" s="225"/>
      <c r="Q1873" s="225"/>
      <c r="R1873" s="225"/>
      <c r="S1873" s="225"/>
      <c r="T1873" s="225"/>
      <c r="U1873" s="225"/>
      <c r="V1873" s="225"/>
      <c r="W1873" s="225"/>
      <c r="X1873" s="225"/>
      <c r="Y1873" s="225"/>
      <c r="Z1873" s="225"/>
    </row>
    <row r="1874">
      <c r="A1874" s="212"/>
      <c r="B1874" s="21"/>
      <c r="C1874" s="21"/>
      <c r="D1874" s="213"/>
      <c r="E1874" s="214"/>
      <c r="F1874" s="215"/>
      <c r="G1874" s="24"/>
      <c r="H1874" s="225"/>
      <c r="I1874" s="225"/>
      <c r="J1874" s="225"/>
      <c r="K1874" s="225"/>
      <c r="L1874" s="225"/>
      <c r="M1874" s="225"/>
      <c r="N1874" s="225"/>
      <c r="O1874" s="225"/>
      <c r="P1874" s="225"/>
      <c r="Q1874" s="225"/>
      <c r="R1874" s="225"/>
      <c r="S1874" s="225"/>
      <c r="T1874" s="225"/>
      <c r="U1874" s="225"/>
      <c r="V1874" s="225"/>
      <c r="W1874" s="225"/>
      <c r="X1874" s="225"/>
      <c r="Y1874" s="225"/>
      <c r="Z1874" s="225"/>
    </row>
    <row r="1875">
      <c r="A1875" s="212"/>
      <c r="B1875" s="21"/>
      <c r="C1875" s="21"/>
      <c r="D1875" s="213"/>
      <c r="E1875" s="214"/>
      <c r="F1875" s="215"/>
      <c r="G1875" s="24"/>
      <c r="H1875" s="225"/>
      <c r="I1875" s="225"/>
      <c r="J1875" s="225"/>
      <c r="K1875" s="225"/>
      <c r="L1875" s="225"/>
      <c r="M1875" s="225"/>
      <c r="N1875" s="225"/>
      <c r="O1875" s="225"/>
      <c r="P1875" s="225"/>
      <c r="Q1875" s="225"/>
      <c r="R1875" s="225"/>
      <c r="S1875" s="225"/>
      <c r="T1875" s="225"/>
      <c r="U1875" s="225"/>
      <c r="V1875" s="225"/>
      <c r="W1875" s="225"/>
      <c r="X1875" s="225"/>
      <c r="Y1875" s="225"/>
      <c r="Z1875" s="225"/>
    </row>
    <row r="1876">
      <c r="A1876" s="212"/>
      <c r="B1876" s="21"/>
      <c r="C1876" s="21"/>
      <c r="D1876" s="213"/>
      <c r="E1876" s="214"/>
      <c r="F1876" s="215"/>
      <c r="G1876" s="24"/>
      <c r="H1876" s="225"/>
      <c r="I1876" s="225"/>
      <c r="J1876" s="225"/>
      <c r="K1876" s="225"/>
      <c r="L1876" s="225"/>
      <c r="M1876" s="225"/>
      <c r="N1876" s="225"/>
      <c r="O1876" s="225"/>
      <c r="P1876" s="225"/>
      <c r="Q1876" s="225"/>
      <c r="R1876" s="225"/>
      <c r="S1876" s="225"/>
      <c r="T1876" s="225"/>
      <c r="U1876" s="225"/>
      <c r="V1876" s="225"/>
      <c r="W1876" s="225"/>
      <c r="X1876" s="225"/>
      <c r="Y1876" s="225"/>
      <c r="Z1876" s="225"/>
    </row>
    <row r="1877">
      <c r="A1877" s="212"/>
      <c r="B1877" s="21"/>
      <c r="C1877" s="21"/>
      <c r="D1877" s="213"/>
      <c r="E1877" s="214"/>
      <c r="F1877" s="215"/>
      <c r="G1877" s="24"/>
      <c r="H1877" s="225"/>
      <c r="I1877" s="225"/>
      <c r="J1877" s="225"/>
      <c r="K1877" s="225"/>
      <c r="L1877" s="225"/>
      <c r="M1877" s="225"/>
      <c r="N1877" s="225"/>
      <c r="O1877" s="225"/>
      <c r="P1877" s="225"/>
      <c r="Q1877" s="225"/>
      <c r="R1877" s="225"/>
      <c r="S1877" s="225"/>
      <c r="T1877" s="225"/>
      <c r="U1877" s="225"/>
      <c r="V1877" s="225"/>
      <c r="W1877" s="225"/>
      <c r="X1877" s="225"/>
      <c r="Y1877" s="225"/>
      <c r="Z1877" s="225"/>
    </row>
    <row r="1878">
      <c r="A1878" s="212"/>
      <c r="B1878" s="21"/>
      <c r="C1878" s="21"/>
      <c r="D1878" s="213"/>
      <c r="E1878" s="214"/>
      <c r="F1878" s="215"/>
      <c r="G1878" s="24"/>
      <c r="H1878" s="225"/>
      <c r="I1878" s="225"/>
      <c r="J1878" s="225"/>
      <c r="K1878" s="225"/>
      <c r="L1878" s="225"/>
      <c r="M1878" s="225"/>
      <c r="N1878" s="225"/>
      <c r="O1878" s="225"/>
      <c r="P1878" s="225"/>
      <c r="Q1878" s="225"/>
      <c r="R1878" s="225"/>
      <c r="S1878" s="225"/>
      <c r="T1878" s="225"/>
      <c r="U1878" s="225"/>
      <c r="V1878" s="225"/>
      <c r="W1878" s="225"/>
      <c r="X1878" s="225"/>
      <c r="Y1878" s="225"/>
      <c r="Z1878" s="225"/>
    </row>
    <row r="1879">
      <c r="A1879" s="212"/>
      <c r="B1879" s="21"/>
      <c r="C1879" s="21"/>
      <c r="D1879" s="213"/>
      <c r="E1879" s="214"/>
      <c r="F1879" s="215"/>
      <c r="G1879" s="24"/>
      <c r="H1879" s="225"/>
      <c r="I1879" s="225"/>
      <c r="J1879" s="225"/>
      <c r="K1879" s="225"/>
      <c r="L1879" s="225"/>
      <c r="M1879" s="225"/>
      <c r="N1879" s="225"/>
      <c r="O1879" s="225"/>
      <c r="P1879" s="225"/>
      <c r="Q1879" s="225"/>
      <c r="R1879" s="225"/>
      <c r="S1879" s="225"/>
      <c r="T1879" s="225"/>
      <c r="U1879" s="225"/>
      <c r="V1879" s="225"/>
      <c r="W1879" s="225"/>
      <c r="X1879" s="225"/>
      <c r="Y1879" s="225"/>
      <c r="Z1879" s="225"/>
    </row>
    <row r="1880">
      <c r="A1880" s="212"/>
      <c r="B1880" s="21"/>
      <c r="C1880" s="21"/>
      <c r="D1880" s="213"/>
      <c r="E1880" s="214"/>
      <c r="F1880" s="215"/>
      <c r="G1880" s="24"/>
      <c r="H1880" s="225"/>
      <c r="I1880" s="225"/>
      <c r="J1880" s="225"/>
      <c r="K1880" s="225"/>
      <c r="L1880" s="225"/>
      <c r="M1880" s="225"/>
      <c r="N1880" s="225"/>
      <c r="O1880" s="225"/>
      <c r="P1880" s="225"/>
      <c r="Q1880" s="225"/>
      <c r="R1880" s="225"/>
      <c r="S1880" s="225"/>
      <c r="T1880" s="225"/>
      <c r="U1880" s="225"/>
      <c r="V1880" s="225"/>
      <c r="W1880" s="225"/>
      <c r="X1880" s="225"/>
      <c r="Y1880" s="225"/>
      <c r="Z1880" s="225"/>
    </row>
    <row r="1881">
      <c r="A1881" s="212"/>
      <c r="B1881" s="21"/>
      <c r="C1881" s="21"/>
      <c r="D1881" s="213"/>
      <c r="E1881" s="214"/>
      <c r="F1881" s="215"/>
      <c r="G1881" s="124"/>
      <c r="H1881" s="124"/>
      <c r="I1881" s="124"/>
      <c r="J1881" s="124"/>
      <c r="K1881" s="124"/>
      <c r="L1881" s="124"/>
      <c r="M1881" s="124"/>
      <c r="N1881" s="124"/>
      <c r="O1881" s="124"/>
      <c r="P1881" s="124"/>
      <c r="Q1881" s="124"/>
      <c r="R1881" s="124"/>
      <c r="S1881" s="124"/>
      <c r="T1881" s="124"/>
      <c r="U1881" s="124"/>
      <c r="V1881" s="124"/>
      <c r="W1881" s="124"/>
      <c r="X1881" s="124"/>
      <c r="Y1881" s="124"/>
      <c r="Z1881" s="124"/>
    </row>
    <row r="1882">
      <c r="A1882" s="212"/>
      <c r="B1882" s="21"/>
      <c r="C1882" s="21"/>
      <c r="D1882" s="213"/>
      <c r="E1882" s="214"/>
      <c r="F1882" s="215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</row>
    <row r="1883">
      <c r="A1883" s="212"/>
      <c r="B1883" s="21"/>
      <c r="C1883" s="21"/>
      <c r="D1883" s="213"/>
      <c r="E1883" s="214"/>
      <c r="F1883" s="215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</row>
    <row r="1884">
      <c r="A1884" s="212"/>
      <c r="B1884" s="21"/>
      <c r="C1884" s="21"/>
      <c r="D1884" s="213"/>
      <c r="E1884" s="214"/>
      <c r="F1884" s="215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</row>
    <row r="1885">
      <c r="A1885" s="212"/>
      <c r="B1885" s="21"/>
      <c r="C1885" s="21"/>
      <c r="D1885" s="213"/>
      <c r="E1885" s="214"/>
      <c r="F1885" s="215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</row>
    <row r="1886">
      <c r="A1886" s="212"/>
      <c r="B1886" s="21"/>
      <c r="C1886" s="21"/>
      <c r="D1886" s="213"/>
      <c r="E1886" s="214"/>
      <c r="F1886" s="215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</row>
    <row r="1887">
      <c r="A1887" s="212"/>
      <c r="B1887" s="21"/>
      <c r="C1887" s="21"/>
      <c r="D1887" s="213"/>
      <c r="E1887" s="214"/>
      <c r="F1887" s="215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</row>
    <row r="1888">
      <c r="A1888" s="212"/>
      <c r="B1888" s="21"/>
      <c r="C1888" s="21"/>
      <c r="D1888" s="213"/>
      <c r="E1888" s="214"/>
      <c r="F1888" s="215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</row>
    <row r="1889">
      <c r="A1889" s="212"/>
      <c r="B1889" s="21"/>
      <c r="C1889" s="21"/>
      <c r="D1889" s="213"/>
      <c r="E1889" s="214"/>
      <c r="F1889" s="215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</row>
    <row r="1890">
      <c r="A1890" s="212"/>
      <c r="B1890" s="21"/>
      <c r="C1890" s="21"/>
      <c r="D1890" s="213"/>
      <c r="E1890" s="214"/>
      <c r="F1890" s="215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</row>
    <row r="1891">
      <c r="A1891" s="212"/>
      <c r="B1891" s="21"/>
      <c r="C1891" s="21"/>
      <c r="D1891" s="213"/>
      <c r="E1891" s="214"/>
      <c r="F1891" s="215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</row>
    <row r="1892">
      <c r="A1892" s="212"/>
      <c r="B1892" s="21"/>
      <c r="C1892" s="21"/>
      <c r="D1892" s="213"/>
      <c r="E1892" s="214"/>
      <c r="F1892" s="215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</row>
    <row r="1893">
      <c r="A1893" s="212"/>
      <c r="B1893" s="21"/>
      <c r="C1893" s="21"/>
      <c r="D1893" s="213"/>
      <c r="E1893" s="214"/>
      <c r="F1893" s="215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</row>
    <row r="1894">
      <c r="A1894" s="212"/>
      <c r="B1894" s="21"/>
      <c r="C1894" s="21"/>
      <c r="D1894" s="213"/>
      <c r="E1894" s="214"/>
      <c r="F1894" s="215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</row>
    <row r="1895">
      <c r="A1895" s="212"/>
      <c r="B1895" s="21"/>
      <c r="C1895" s="21"/>
      <c r="D1895" s="213"/>
      <c r="E1895" s="214"/>
      <c r="F1895" s="215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</row>
    <row r="1896">
      <c r="A1896" s="212"/>
      <c r="B1896" s="21"/>
      <c r="C1896" s="21"/>
      <c r="D1896" s="213"/>
      <c r="E1896" s="214"/>
      <c r="F1896" s="215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</row>
    <row r="1897">
      <c r="A1897" s="212"/>
      <c r="B1897" s="21"/>
      <c r="C1897" s="21"/>
      <c r="D1897" s="213"/>
      <c r="E1897" s="214"/>
      <c r="F1897" s="215"/>
      <c r="G1897" s="24"/>
      <c r="H1897" s="225"/>
      <c r="I1897" s="225"/>
      <c r="J1897" s="225"/>
      <c r="K1897" s="225"/>
      <c r="L1897" s="225"/>
      <c r="M1897" s="225"/>
      <c r="N1897" s="225"/>
      <c r="O1897" s="225"/>
      <c r="P1897" s="225"/>
      <c r="Q1897" s="225"/>
      <c r="R1897" s="225"/>
      <c r="S1897" s="225"/>
      <c r="T1897" s="225"/>
      <c r="U1897" s="225"/>
      <c r="V1897" s="225"/>
      <c r="W1897" s="225"/>
      <c r="X1897" s="225"/>
      <c r="Y1897" s="225"/>
      <c r="Z1897" s="225"/>
    </row>
    <row r="1898">
      <c r="A1898" s="212"/>
      <c r="B1898" s="21"/>
      <c r="C1898" s="21"/>
      <c r="D1898" s="213"/>
      <c r="E1898" s="214"/>
      <c r="F1898" s="215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</row>
    <row r="1899">
      <c r="A1899" s="212"/>
      <c r="B1899" s="21"/>
      <c r="C1899" s="21"/>
      <c r="D1899" s="213"/>
      <c r="E1899" s="214"/>
      <c r="F1899" s="215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</row>
    <row r="1900">
      <c r="A1900" s="212"/>
      <c r="B1900" s="21"/>
      <c r="C1900" s="21"/>
      <c r="D1900" s="213"/>
      <c r="E1900" s="214"/>
      <c r="F1900" s="215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</row>
    <row r="1901">
      <c r="A1901" s="212"/>
      <c r="B1901" s="21"/>
      <c r="C1901" s="21"/>
      <c r="D1901" s="213"/>
      <c r="E1901" s="214"/>
      <c r="F1901" s="215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</row>
    <row r="1902">
      <c r="A1902" s="212"/>
      <c r="B1902" s="21"/>
      <c r="C1902" s="21"/>
      <c r="D1902" s="213"/>
      <c r="E1902" s="214"/>
      <c r="F1902" s="215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</row>
    <row r="1903">
      <c r="A1903" s="212"/>
      <c r="B1903" s="21"/>
      <c r="C1903" s="21"/>
      <c r="D1903" s="213"/>
      <c r="E1903" s="214"/>
      <c r="F1903" s="215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</row>
    <row r="1904">
      <c r="A1904" s="212"/>
      <c r="B1904" s="21"/>
      <c r="C1904" s="21"/>
      <c r="D1904" s="213"/>
      <c r="E1904" s="214"/>
      <c r="F1904" s="215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</row>
    <row r="1905">
      <c r="A1905" s="212"/>
      <c r="B1905" s="21"/>
      <c r="C1905" s="21"/>
      <c r="D1905" s="213"/>
      <c r="E1905" s="214"/>
      <c r="F1905" s="215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</row>
    <row r="1906">
      <c r="A1906" s="212"/>
      <c r="B1906" s="21"/>
      <c r="C1906" s="21"/>
      <c r="D1906" s="213"/>
      <c r="E1906" s="214"/>
      <c r="F1906" s="215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</row>
    <row r="1907">
      <c r="A1907" s="212"/>
      <c r="B1907" s="21"/>
      <c r="C1907" s="21"/>
      <c r="D1907" s="213"/>
      <c r="E1907" s="214"/>
      <c r="F1907" s="215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</row>
    <row r="1908">
      <c r="A1908" s="212"/>
      <c r="B1908" s="21"/>
      <c r="C1908" s="21"/>
      <c r="D1908" s="213"/>
      <c r="E1908" s="214"/>
      <c r="F1908" s="215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</row>
    <row r="1909">
      <c r="A1909" s="140"/>
      <c r="B1909" s="26"/>
      <c r="C1909" s="24"/>
      <c r="D1909" s="213"/>
      <c r="E1909" s="20"/>
      <c r="F1909" s="192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</row>
    <row r="1910">
      <c r="A1910" s="140"/>
      <c r="B1910" s="26"/>
      <c r="C1910" s="24"/>
      <c r="D1910" s="213"/>
      <c r="E1910" s="20"/>
      <c r="F1910" s="192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</row>
    <row r="1911">
      <c r="A1911" s="140"/>
      <c r="B1911" s="26"/>
      <c r="C1911" s="24"/>
      <c r="D1911" s="213"/>
      <c r="E1911" s="20"/>
      <c r="F1911" s="192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</row>
    <row r="1912">
      <c r="A1912" s="140"/>
      <c r="B1912" s="26"/>
      <c r="C1912" s="24"/>
      <c r="D1912" s="213"/>
      <c r="E1912" s="20"/>
      <c r="F1912" s="192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</row>
    <row r="1913">
      <c r="A1913" s="140"/>
      <c r="B1913" s="26"/>
      <c r="C1913" s="24"/>
      <c r="D1913" s="213"/>
      <c r="E1913" s="20"/>
      <c r="F1913" s="192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</row>
    <row r="1914">
      <c r="A1914" s="140"/>
      <c r="B1914" s="26"/>
      <c r="C1914" s="24"/>
      <c r="D1914" s="213"/>
      <c r="E1914" s="20"/>
      <c r="F1914" s="192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</row>
    <row r="1915">
      <c r="A1915" s="140"/>
      <c r="B1915" s="26"/>
      <c r="C1915" s="24"/>
      <c r="D1915" s="213"/>
      <c r="E1915" s="20"/>
      <c r="F1915" s="192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</row>
    <row r="1916">
      <c r="A1916" s="140"/>
      <c r="B1916" s="26"/>
      <c r="C1916" s="24"/>
      <c r="D1916" s="213"/>
      <c r="E1916" s="20"/>
      <c r="F1916" s="192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</row>
    <row r="1917">
      <c r="A1917" s="140"/>
      <c r="B1917" s="26"/>
      <c r="C1917" s="24"/>
      <c r="D1917" s="213"/>
      <c r="E1917" s="20"/>
      <c r="F1917" s="192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</row>
    <row r="1918">
      <c r="A1918" s="140"/>
      <c r="B1918" s="26"/>
      <c r="C1918" s="24"/>
      <c r="D1918" s="213"/>
      <c r="E1918" s="20"/>
      <c r="F1918" s="192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</row>
    <row r="1919">
      <c r="A1919" s="140"/>
      <c r="B1919" s="26"/>
      <c r="C1919" s="24"/>
      <c r="D1919" s="213"/>
      <c r="E1919" s="20"/>
      <c r="F1919" s="192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</row>
    <row r="1920">
      <c r="A1920" s="140"/>
      <c r="B1920" s="26"/>
      <c r="C1920" s="24"/>
      <c r="D1920" s="213"/>
      <c r="E1920" s="20"/>
      <c r="F1920" s="192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</row>
    <row r="1921">
      <c r="A1921" s="140"/>
      <c r="B1921" s="26"/>
      <c r="C1921" s="24"/>
      <c r="D1921" s="213"/>
      <c r="E1921" s="20"/>
      <c r="F1921" s="192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</row>
    <row r="1922">
      <c r="A1922" s="140"/>
      <c r="B1922" s="26"/>
      <c r="C1922" s="24"/>
      <c r="D1922" s="213"/>
      <c r="E1922" s="20"/>
      <c r="F1922" s="192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</row>
    <row r="1923">
      <c r="A1923" s="140"/>
      <c r="B1923" s="26"/>
      <c r="C1923" s="24"/>
      <c r="D1923" s="213"/>
      <c r="E1923" s="20"/>
      <c r="F1923" s="192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</row>
    <row r="1924">
      <c r="A1924" s="140"/>
      <c r="B1924" s="26"/>
      <c r="C1924" s="24"/>
      <c r="D1924" s="213"/>
      <c r="E1924" s="20"/>
      <c r="F1924" s="192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</row>
    <row r="1925">
      <c r="A1925" s="140"/>
      <c r="B1925" s="26"/>
      <c r="C1925" s="24"/>
      <c r="D1925" s="213"/>
      <c r="E1925" s="20"/>
      <c r="F1925" s="192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</row>
    <row r="1926">
      <c r="A1926" s="140"/>
      <c r="B1926" s="26"/>
      <c r="C1926" s="24"/>
      <c r="D1926" s="213"/>
      <c r="E1926" s="20"/>
      <c r="F1926" s="192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</row>
    <row r="1927">
      <c r="A1927" s="140"/>
      <c r="B1927" s="26"/>
      <c r="C1927" s="24"/>
      <c r="D1927" s="213"/>
      <c r="E1927" s="20"/>
      <c r="F1927" s="192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</row>
    <row r="1928">
      <c r="A1928" s="140"/>
      <c r="B1928" s="26"/>
      <c r="C1928" s="24"/>
      <c r="D1928" s="213"/>
      <c r="E1928" s="20"/>
      <c r="F1928" s="192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</row>
    <row r="1929">
      <c r="A1929" s="140"/>
      <c r="B1929" s="26"/>
      <c r="C1929" s="24"/>
      <c r="D1929" s="213"/>
      <c r="E1929" s="20"/>
      <c r="F1929" s="192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</row>
    <row r="1930">
      <c r="A1930" s="140"/>
      <c r="B1930" s="26"/>
      <c r="C1930" s="24"/>
      <c r="D1930" s="213"/>
      <c r="E1930" s="20"/>
      <c r="F1930" s="192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</row>
    <row r="1931">
      <c r="A1931" s="140"/>
      <c r="B1931" s="26"/>
      <c r="C1931" s="24"/>
      <c r="D1931" s="213"/>
      <c r="E1931" s="20"/>
      <c r="F1931" s="192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</row>
    <row r="1932">
      <c r="A1932" s="140"/>
      <c r="B1932" s="26"/>
      <c r="C1932" s="24"/>
      <c r="D1932" s="213"/>
      <c r="E1932" s="20"/>
      <c r="F1932" s="192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</row>
    <row r="1933">
      <c r="A1933" s="140"/>
      <c r="B1933" s="26"/>
      <c r="C1933" s="24"/>
      <c r="D1933" s="213"/>
      <c r="E1933" s="20"/>
      <c r="F1933" s="192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</row>
    <row r="1934">
      <c r="A1934" s="140"/>
      <c r="B1934" s="26"/>
      <c r="C1934" s="24"/>
      <c r="D1934" s="213"/>
      <c r="E1934" s="20"/>
      <c r="F1934" s="192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</row>
    <row r="1935">
      <c r="A1935" s="140"/>
      <c r="B1935" s="26"/>
      <c r="C1935" s="24"/>
      <c r="D1935" s="213"/>
      <c r="E1935" s="20"/>
      <c r="F1935" s="192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</row>
    <row r="1936">
      <c r="A1936" s="140"/>
      <c r="B1936" s="26"/>
      <c r="C1936" s="24"/>
      <c r="D1936" s="213"/>
      <c r="E1936" s="20"/>
      <c r="F1936" s="192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</row>
    <row r="1937">
      <c r="A1937" s="140"/>
      <c r="B1937" s="26"/>
      <c r="C1937" s="24"/>
      <c r="D1937" s="213"/>
      <c r="E1937" s="20"/>
      <c r="F1937" s="192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</row>
    <row r="1938">
      <c r="A1938" s="140"/>
      <c r="B1938" s="26"/>
      <c r="C1938" s="24"/>
      <c r="D1938" s="213"/>
      <c r="E1938" s="20"/>
      <c r="F1938" s="192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</row>
    <row r="1939">
      <c r="A1939" s="124"/>
      <c r="B1939" s="125"/>
      <c r="C1939" s="124"/>
      <c r="D1939" s="126"/>
      <c r="E1939" s="124"/>
      <c r="F1939" s="127"/>
      <c r="G1939" s="124"/>
      <c r="H1939" s="124"/>
      <c r="I1939" s="124"/>
      <c r="J1939" s="124"/>
      <c r="K1939" s="124"/>
      <c r="L1939" s="124"/>
      <c r="M1939" s="124"/>
      <c r="N1939" s="124"/>
      <c r="O1939" s="124"/>
      <c r="P1939" s="124"/>
      <c r="Q1939" s="124"/>
      <c r="R1939" s="124"/>
      <c r="S1939" s="124"/>
      <c r="T1939" s="124"/>
      <c r="U1939" s="124"/>
      <c r="V1939" s="124"/>
      <c r="W1939" s="124"/>
      <c r="X1939" s="124"/>
      <c r="Y1939" s="124"/>
      <c r="Z1939" s="124"/>
    </row>
    <row r="1940">
      <c r="A1940" s="140"/>
      <c r="B1940" s="26"/>
      <c r="C1940" s="24"/>
      <c r="D1940" s="126"/>
      <c r="E1940" s="124"/>
      <c r="F1940" s="127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</row>
    <row r="1941">
      <c r="A1941" s="140"/>
      <c r="B1941" s="26"/>
      <c r="C1941" s="24"/>
      <c r="D1941" s="213"/>
      <c r="E1941" s="20"/>
      <c r="F1941" s="192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</row>
    <row r="1942">
      <c r="A1942" s="140"/>
      <c r="B1942" s="26"/>
      <c r="C1942" s="24"/>
      <c r="D1942" s="213"/>
      <c r="E1942" s="20"/>
      <c r="F1942" s="192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</row>
    <row r="1943">
      <c r="A1943" s="162"/>
      <c r="B1943" s="162"/>
      <c r="C1943" s="162"/>
      <c r="D1943" s="163"/>
      <c r="E1943" s="164"/>
      <c r="F1943" s="165"/>
      <c r="G1943" s="162"/>
      <c r="H1943" s="225"/>
      <c r="I1943" s="225"/>
      <c r="J1943" s="225"/>
      <c r="K1943" s="225"/>
      <c r="L1943" s="225"/>
      <c r="M1943" s="225"/>
      <c r="N1943" s="225"/>
      <c r="O1943" s="225"/>
      <c r="P1943" s="225"/>
      <c r="Q1943" s="225"/>
      <c r="R1943" s="225"/>
      <c r="S1943" s="225"/>
      <c r="T1943" s="225"/>
      <c r="U1943" s="225"/>
      <c r="V1943" s="225"/>
      <c r="W1943" s="225"/>
      <c r="X1943" s="225"/>
      <c r="Y1943" s="225"/>
      <c r="Z1943" s="225"/>
    </row>
    <row r="1944">
      <c r="A1944" s="140"/>
      <c r="B1944" s="26"/>
      <c r="C1944" s="24"/>
      <c r="D1944" s="213"/>
      <c r="E1944" s="20"/>
      <c r="F1944" s="192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6"/>
    </row>
    <row r="1945">
      <c r="A1945" s="140"/>
      <c r="B1945" s="26"/>
      <c r="C1945" s="24"/>
      <c r="D1945" s="213"/>
      <c r="E1945" s="20"/>
      <c r="F1945" s="192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6"/>
    </row>
    <row r="1946">
      <c r="A1946" s="140"/>
      <c r="B1946" s="26"/>
      <c r="C1946" s="24"/>
      <c r="D1946" s="213"/>
      <c r="E1946" s="20"/>
      <c r="F1946" s="192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</row>
    <row r="1947">
      <c r="A1947" s="140"/>
      <c r="B1947" s="26"/>
      <c r="C1947" s="24"/>
      <c r="D1947" s="213"/>
      <c r="E1947" s="20"/>
      <c r="F1947" s="192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6"/>
    </row>
    <row r="1948">
      <c r="A1948" s="140"/>
      <c r="B1948" s="26"/>
      <c r="C1948" s="24"/>
      <c r="D1948" s="213"/>
      <c r="E1948" s="20"/>
      <c r="F1948" s="192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</row>
    <row r="1949">
      <c r="A1949" s="140"/>
      <c r="B1949" s="26"/>
      <c r="C1949" s="24"/>
      <c r="D1949" s="213"/>
      <c r="E1949" s="20"/>
      <c r="F1949" s="192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6"/>
    </row>
    <row r="1950">
      <c r="A1950" s="140"/>
      <c r="B1950" s="26"/>
      <c r="C1950" s="24"/>
      <c r="D1950" s="213"/>
      <c r="E1950" s="20"/>
      <c r="F1950" s="192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6"/>
    </row>
    <row r="1951">
      <c r="A1951" s="140"/>
      <c r="B1951" s="26"/>
      <c r="C1951" s="26"/>
      <c r="D1951" s="141"/>
      <c r="E1951" s="20"/>
      <c r="F1951" s="192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6"/>
    </row>
    <row r="1952">
      <c r="A1952" s="140"/>
      <c r="B1952" s="26"/>
      <c r="C1952" s="24"/>
      <c r="D1952" s="213"/>
      <c r="E1952" s="20"/>
      <c r="F1952" s="192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6"/>
    </row>
    <row r="1953">
      <c r="A1953" s="140"/>
      <c r="B1953" s="26"/>
      <c r="C1953" s="24"/>
      <c r="D1953" s="213"/>
      <c r="E1953" s="20"/>
      <c r="F1953" s="192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6"/>
    </row>
    <row r="1954">
      <c r="A1954" s="140"/>
      <c r="B1954" s="26"/>
      <c r="C1954" s="24"/>
      <c r="D1954" s="213"/>
      <c r="E1954" s="20"/>
      <c r="F1954" s="192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</row>
    <row r="1955">
      <c r="A1955" s="140"/>
      <c r="B1955" s="26"/>
      <c r="C1955" s="24"/>
      <c r="D1955" s="213"/>
      <c r="E1955" s="20"/>
      <c r="F1955" s="192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6"/>
    </row>
    <row r="1956">
      <c r="A1956" s="140"/>
      <c r="B1956" s="26"/>
      <c r="C1956" s="24"/>
      <c r="D1956" s="213"/>
      <c r="E1956" s="20"/>
      <c r="F1956" s="192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6"/>
    </row>
    <row r="1957">
      <c r="A1957" s="140"/>
      <c r="B1957" s="26"/>
      <c r="C1957" s="24"/>
      <c r="D1957" s="213"/>
      <c r="E1957" s="20"/>
      <c r="F1957" s="192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</row>
    <row r="1958">
      <c r="A1958" s="140"/>
      <c r="B1958" s="26"/>
      <c r="C1958" s="24"/>
      <c r="D1958" s="213"/>
      <c r="E1958" s="20"/>
      <c r="F1958" s="192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6"/>
    </row>
    <row r="1959">
      <c r="A1959" s="140"/>
      <c r="B1959" s="26"/>
      <c r="C1959" s="24"/>
      <c r="D1959" s="213"/>
      <c r="E1959" s="20"/>
      <c r="F1959" s="192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</row>
    <row r="1960">
      <c r="A1960" s="140"/>
      <c r="B1960" s="26"/>
      <c r="C1960" s="24"/>
      <c r="D1960" s="213"/>
      <c r="E1960" s="20"/>
      <c r="F1960" s="192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6"/>
    </row>
    <row r="1961">
      <c r="A1961" s="140"/>
      <c r="B1961" s="26"/>
      <c r="C1961" s="24"/>
      <c r="D1961" s="213"/>
      <c r="E1961" s="20"/>
      <c r="F1961" s="192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6"/>
    </row>
    <row r="1962">
      <c r="A1962" s="140"/>
      <c r="B1962" s="26"/>
      <c r="C1962" s="24"/>
      <c r="D1962" s="213"/>
      <c r="E1962" s="20"/>
      <c r="F1962" s="192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6"/>
    </row>
    <row r="1963">
      <c r="A1963" s="140"/>
      <c r="B1963" s="26"/>
      <c r="C1963" s="24"/>
      <c r="D1963" s="213"/>
      <c r="E1963" s="20"/>
      <c r="F1963" s="192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6"/>
    </row>
    <row r="1964">
      <c r="A1964" s="140"/>
      <c r="B1964" s="26"/>
      <c r="C1964" s="24"/>
      <c r="D1964" s="213"/>
      <c r="E1964" s="20"/>
      <c r="F1964" s="192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6"/>
    </row>
    <row r="1965">
      <c r="A1965" s="140"/>
      <c r="B1965" s="26"/>
      <c r="C1965" s="24"/>
      <c r="D1965" s="213"/>
      <c r="E1965" s="20"/>
      <c r="F1965" s="192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</row>
    <row r="1966">
      <c r="A1966" s="140"/>
      <c r="B1966" s="26"/>
      <c r="C1966" s="24"/>
      <c r="D1966" s="213"/>
      <c r="E1966" s="20"/>
      <c r="F1966" s="192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6"/>
    </row>
    <row r="1967">
      <c r="A1967" s="140"/>
      <c r="B1967" s="26"/>
      <c r="C1967" s="24"/>
      <c r="D1967" s="213"/>
      <c r="E1967" s="20"/>
      <c r="F1967" s="192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6"/>
    </row>
    <row r="1968">
      <c r="A1968" s="140"/>
      <c r="B1968" s="26"/>
      <c r="C1968" s="24"/>
      <c r="D1968" s="213"/>
      <c r="E1968" s="20"/>
      <c r="F1968" s="192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</row>
    <row r="1969">
      <c r="A1969" s="140"/>
      <c r="B1969" s="26"/>
      <c r="C1969" s="24"/>
      <c r="D1969" s="213"/>
      <c r="E1969" s="20"/>
      <c r="F1969" s="192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6"/>
    </row>
    <row r="1970">
      <c r="A1970" s="140"/>
      <c r="B1970" s="26"/>
      <c r="C1970" s="24"/>
      <c r="D1970" s="213"/>
      <c r="E1970" s="20"/>
      <c r="F1970" s="192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</row>
    <row r="1971">
      <c r="A1971" s="140"/>
      <c r="B1971" s="26"/>
      <c r="C1971" s="24"/>
      <c r="D1971" s="213"/>
      <c r="E1971" s="20"/>
      <c r="F1971" s="192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6"/>
    </row>
    <row r="1972">
      <c r="A1972" s="140"/>
      <c r="B1972" s="26"/>
      <c r="C1972" s="24"/>
      <c r="D1972" s="213"/>
      <c r="E1972" s="20"/>
      <c r="F1972" s="192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6"/>
    </row>
    <row r="1973">
      <c r="A1973" s="140"/>
      <c r="B1973" s="26"/>
      <c r="C1973" s="24"/>
      <c r="D1973" s="213"/>
      <c r="E1973" s="20"/>
      <c r="F1973" s="192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6"/>
    </row>
    <row r="1974">
      <c r="A1974" s="140"/>
      <c r="B1974" s="26"/>
      <c r="C1974" s="24"/>
      <c r="D1974" s="213"/>
      <c r="E1974" s="20"/>
      <c r="F1974" s="192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6"/>
    </row>
    <row r="1975">
      <c r="A1975" s="140"/>
      <c r="B1975" s="26"/>
      <c r="C1975" s="24"/>
      <c r="D1975" s="213"/>
      <c r="E1975" s="20"/>
      <c r="F1975" s="192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6"/>
    </row>
    <row r="1976">
      <c r="A1976" s="140"/>
      <c r="B1976" s="26"/>
      <c r="C1976" s="24"/>
      <c r="D1976" s="213"/>
      <c r="E1976" s="20"/>
      <c r="F1976" s="192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</row>
    <row r="1977">
      <c r="A1977" s="140"/>
      <c r="B1977" s="26"/>
      <c r="C1977" s="24"/>
      <c r="D1977" s="213"/>
      <c r="E1977" s="20"/>
      <c r="F1977" s="192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6"/>
    </row>
    <row r="1978">
      <c r="A1978" s="140"/>
      <c r="B1978" s="26"/>
      <c r="C1978" s="24"/>
      <c r="D1978" s="213"/>
      <c r="E1978" s="20"/>
      <c r="F1978" s="192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6"/>
    </row>
    <row r="1979">
      <c r="A1979" s="140"/>
      <c r="B1979" s="26"/>
      <c r="C1979" s="24"/>
      <c r="D1979" s="213"/>
      <c r="E1979" s="20"/>
      <c r="F1979" s="192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</row>
    <row r="1980">
      <c r="A1980" s="140"/>
      <c r="B1980" s="26"/>
      <c r="C1980" s="24"/>
      <c r="D1980" s="213"/>
      <c r="E1980" s="20"/>
      <c r="F1980" s="192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6"/>
    </row>
    <row r="1981">
      <c r="A1981" s="140"/>
      <c r="B1981" s="26"/>
      <c r="C1981" s="24"/>
      <c r="D1981" s="213"/>
      <c r="E1981" s="20"/>
      <c r="F1981" s="192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6"/>
    </row>
    <row r="1982">
      <c r="A1982" s="140"/>
      <c r="B1982" s="26"/>
      <c r="C1982" s="24"/>
      <c r="D1982" s="213"/>
      <c r="E1982" s="20"/>
      <c r="F1982" s="192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6"/>
    </row>
    <row r="1983">
      <c r="A1983" s="140"/>
      <c r="B1983" s="26"/>
      <c r="C1983" s="24"/>
      <c r="D1983" s="213"/>
      <c r="E1983" s="20"/>
      <c r="F1983" s="192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6"/>
    </row>
    <row r="1984">
      <c r="A1984" s="124"/>
      <c r="B1984" s="125"/>
      <c r="C1984" s="124"/>
      <c r="D1984" s="126"/>
      <c r="E1984" s="124"/>
      <c r="F1984" s="127"/>
      <c r="G1984" s="124"/>
      <c r="H1984" s="124"/>
      <c r="I1984" s="124"/>
      <c r="J1984" s="124"/>
      <c r="K1984" s="124"/>
      <c r="L1984" s="124"/>
      <c r="M1984" s="124"/>
      <c r="N1984" s="124"/>
      <c r="O1984" s="124"/>
      <c r="P1984" s="124"/>
      <c r="Q1984" s="124"/>
      <c r="R1984" s="124"/>
      <c r="S1984" s="124"/>
      <c r="T1984" s="124"/>
      <c r="U1984" s="124"/>
      <c r="V1984" s="124"/>
      <c r="W1984" s="124"/>
      <c r="X1984" s="124"/>
      <c r="Y1984" s="124"/>
      <c r="Z1984" s="124"/>
    </row>
    <row r="1985">
      <c r="A1985" s="140"/>
      <c r="B1985" s="26"/>
      <c r="C1985" s="24"/>
      <c r="D1985" s="213"/>
      <c r="E1985" s="20"/>
      <c r="F1985" s="192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</row>
    <row r="1986">
      <c r="A1986" s="140"/>
      <c r="B1986" s="26"/>
      <c r="C1986" s="24"/>
      <c r="D1986" s="213"/>
      <c r="E1986" s="20"/>
      <c r="F1986" s="192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</row>
    <row r="1987">
      <c r="A1987" s="140"/>
      <c r="B1987" s="26"/>
      <c r="C1987" s="24"/>
      <c r="D1987" s="213"/>
      <c r="E1987" s="20"/>
      <c r="F1987" s="192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</row>
    <row r="1988">
      <c r="A1988" s="140"/>
      <c r="B1988" s="26"/>
      <c r="C1988" s="24"/>
      <c r="D1988" s="213"/>
      <c r="E1988" s="20"/>
      <c r="F1988" s="192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</row>
    <row r="1989">
      <c r="A1989" s="140"/>
      <c r="B1989" s="26"/>
      <c r="C1989" s="24"/>
      <c r="D1989" s="213"/>
      <c r="E1989" s="20"/>
      <c r="F1989" s="192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6"/>
    </row>
    <row r="1990">
      <c r="A1990" s="140"/>
      <c r="B1990" s="26"/>
      <c r="C1990" s="24"/>
      <c r="D1990" s="213"/>
      <c r="E1990" s="20"/>
      <c r="F1990" s="192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</row>
    <row r="1991">
      <c r="A1991" s="140"/>
      <c r="B1991" s="26"/>
      <c r="C1991" s="24"/>
      <c r="D1991" s="213"/>
      <c r="E1991" s="20"/>
      <c r="F1991" s="192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6"/>
    </row>
    <row r="1992">
      <c r="A1992" s="140"/>
      <c r="B1992" s="26"/>
      <c r="C1992" s="24"/>
      <c r="D1992" s="213"/>
      <c r="E1992" s="20"/>
      <c r="F1992" s="192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6"/>
    </row>
    <row r="1993">
      <c r="A1993" s="140"/>
      <c r="B1993" s="26"/>
      <c r="C1993" s="24"/>
      <c r="D1993" s="213"/>
      <c r="E1993" s="20"/>
      <c r="F1993" s="192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6"/>
    </row>
    <row r="1994">
      <c r="A1994" s="140"/>
      <c r="B1994" s="26"/>
      <c r="C1994" s="24"/>
      <c r="D1994" s="213"/>
      <c r="E1994" s="20"/>
      <c r="F1994" s="192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6"/>
    </row>
    <row r="1995">
      <c r="A1995" s="140"/>
      <c r="B1995" s="26"/>
      <c r="C1995" s="24"/>
      <c r="D1995" s="213"/>
      <c r="E1995" s="20"/>
      <c r="F1995" s="192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6"/>
    </row>
    <row r="1996">
      <c r="A1996" s="140"/>
      <c r="B1996" s="26"/>
      <c r="C1996" s="24"/>
      <c r="D1996" s="213"/>
      <c r="E1996" s="20"/>
      <c r="F1996" s="192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</row>
    <row r="1997">
      <c r="A1997" s="140"/>
      <c r="B1997" s="26"/>
      <c r="C1997" s="24"/>
      <c r="D1997" s="213"/>
      <c r="E1997" s="20"/>
      <c r="F1997" s="192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</row>
    <row r="1998">
      <c r="A1998" s="140"/>
      <c r="B1998" s="26"/>
      <c r="C1998" s="24"/>
      <c r="D1998" s="213"/>
      <c r="E1998" s="20"/>
      <c r="F1998" s="192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</row>
    <row r="1999">
      <c r="A1999" s="140"/>
      <c r="B1999" s="26"/>
      <c r="C1999" s="24"/>
      <c r="D1999" s="213"/>
      <c r="E1999" s="20"/>
      <c r="F1999" s="192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</row>
    <row r="2000">
      <c r="A2000" s="140"/>
      <c r="B2000" s="26"/>
      <c r="C2000" s="24"/>
      <c r="D2000" s="213"/>
      <c r="E2000" s="20"/>
      <c r="F2000" s="192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</row>
    <row r="2001">
      <c r="A2001" s="140"/>
      <c r="B2001" s="26"/>
      <c r="C2001" s="24"/>
      <c r="D2001" s="213"/>
      <c r="E2001" s="20"/>
      <c r="F2001" s="192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</row>
    <row r="2002">
      <c r="A2002" s="140"/>
      <c r="B2002" s="26"/>
      <c r="C2002" s="24"/>
      <c r="D2002" s="213"/>
      <c r="E2002" s="20"/>
      <c r="F2002" s="192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</row>
    <row r="2003">
      <c r="A2003" s="140"/>
      <c r="B2003" s="26"/>
      <c r="C2003" s="24"/>
      <c r="D2003" s="213"/>
      <c r="E2003" s="20"/>
      <c r="F2003" s="192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6"/>
    </row>
    <row r="2004">
      <c r="A2004" s="140"/>
      <c r="B2004" s="26"/>
      <c r="C2004" s="24"/>
      <c r="D2004" s="213"/>
      <c r="E2004" s="20"/>
      <c r="F2004" s="192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6"/>
    </row>
    <row r="2005">
      <c r="A2005" s="140"/>
      <c r="B2005" s="26"/>
      <c r="C2005" s="24"/>
      <c r="D2005" s="213"/>
      <c r="E2005" s="20"/>
      <c r="F2005" s="192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6"/>
    </row>
    <row r="2006">
      <c r="A2006" s="140"/>
      <c r="B2006" s="26"/>
      <c r="C2006" s="24"/>
      <c r="D2006" s="213"/>
      <c r="E2006" s="20"/>
      <c r="F2006" s="192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6"/>
    </row>
    <row r="2007">
      <c r="A2007" s="140"/>
      <c r="B2007" s="26"/>
      <c r="C2007" s="24"/>
      <c r="D2007" s="213"/>
      <c r="E2007" s="20"/>
      <c r="F2007" s="192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6"/>
    </row>
    <row r="2008">
      <c r="A2008" s="140"/>
      <c r="B2008" s="26"/>
      <c r="C2008" s="24"/>
      <c r="D2008" s="213"/>
      <c r="E2008" s="20"/>
      <c r="F2008" s="192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</row>
    <row r="2009">
      <c r="A2009" s="140"/>
      <c r="B2009" s="26"/>
      <c r="C2009" s="24"/>
      <c r="D2009" s="213"/>
      <c r="E2009" s="20"/>
      <c r="F2009" s="192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</row>
    <row r="2010">
      <c r="A2010" s="140"/>
      <c r="B2010" s="26"/>
      <c r="C2010" s="24"/>
      <c r="D2010" s="213"/>
      <c r="E2010" s="20"/>
      <c r="F2010" s="192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6"/>
    </row>
    <row r="2011">
      <c r="A2011" s="140"/>
      <c r="B2011" s="26"/>
      <c r="C2011" s="24"/>
      <c r="D2011" s="213"/>
      <c r="E2011" s="20"/>
      <c r="F2011" s="192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</row>
    <row r="2012">
      <c r="A2012" s="140"/>
      <c r="B2012" s="26"/>
      <c r="C2012" s="24"/>
      <c r="D2012" s="213"/>
      <c r="E2012" s="20"/>
      <c r="F2012" s="192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</row>
    <row r="2013">
      <c r="A2013" s="140"/>
      <c r="B2013" s="26"/>
      <c r="C2013" s="24"/>
      <c r="D2013" s="213"/>
      <c r="E2013" s="20"/>
      <c r="F2013" s="192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</row>
    <row r="2014">
      <c r="A2014" s="140"/>
      <c r="B2014" s="26"/>
      <c r="C2014" s="24"/>
      <c r="D2014" s="213"/>
      <c r="E2014" s="20"/>
      <c r="F2014" s="192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6"/>
    </row>
    <row r="2015">
      <c r="A2015" s="140"/>
      <c r="B2015" s="26"/>
      <c r="C2015" s="24"/>
      <c r="D2015" s="213"/>
      <c r="E2015" s="20"/>
      <c r="F2015" s="192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6"/>
    </row>
    <row r="2016">
      <c r="A2016" s="140"/>
      <c r="B2016" s="26"/>
      <c r="C2016" s="24"/>
      <c r="D2016" s="213"/>
      <c r="E2016" s="20"/>
      <c r="F2016" s="192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6"/>
    </row>
    <row r="2017">
      <c r="A2017" s="140"/>
      <c r="B2017" s="26"/>
      <c r="C2017" s="24"/>
      <c r="D2017" s="213"/>
      <c r="E2017" s="20"/>
      <c r="F2017" s="192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6"/>
    </row>
    <row r="2018">
      <c r="A2018" s="140"/>
      <c r="B2018" s="26"/>
      <c r="C2018" s="24"/>
      <c r="D2018" s="213"/>
      <c r="E2018" s="20"/>
      <c r="F2018" s="192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6"/>
    </row>
    <row r="2019">
      <c r="A2019" s="140"/>
      <c r="B2019" s="26"/>
      <c r="C2019" s="24"/>
      <c r="D2019" s="213"/>
      <c r="E2019" s="20"/>
      <c r="F2019" s="192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</row>
    <row r="2020">
      <c r="A2020" s="140"/>
      <c r="B2020" s="26"/>
      <c r="C2020" s="24"/>
      <c r="D2020" s="213"/>
      <c r="E2020" s="20"/>
      <c r="F2020" s="192"/>
      <c r="G2020" s="26"/>
      <c r="H2020" s="26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</row>
    <row r="2021">
      <c r="A2021" s="140"/>
      <c r="B2021" s="26"/>
      <c r="C2021" s="24"/>
      <c r="D2021" s="213"/>
      <c r="E2021" s="20"/>
      <c r="F2021" s="192"/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</row>
    <row r="2022">
      <c r="A2022" s="140"/>
      <c r="B2022" s="26"/>
      <c r="C2022" s="24"/>
      <c r="D2022" s="213"/>
      <c r="E2022" s="20"/>
      <c r="F2022" s="192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</row>
    <row r="2023">
      <c r="A2023" s="124"/>
      <c r="B2023" s="125"/>
      <c r="C2023" s="124"/>
      <c r="D2023" s="126"/>
      <c r="E2023" s="124"/>
      <c r="F2023" s="127"/>
      <c r="G2023" s="124"/>
      <c r="H2023" s="124"/>
      <c r="I2023" s="124"/>
      <c r="J2023" s="124"/>
      <c r="K2023" s="124"/>
      <c r="L2023" s="124"/>
      <c r="M2023" s="124"/>
      <c r="N2023" s="124"/>
      <c r="O2023" s="124"/>
      <c r="P2023" s="124"/>
      <c r="Q2023" s="124"/>
      <c r="R2023" s="124"/>
      <c r="S2023" s="124"/>
      <c r="T2023" s="124"/>
      <c r="U2023" s="124"/>
      <c r="V2023" s="124"/>
      <c r="W2023" s="124"/>
      <c r="X2023" s="124"/>
      <c r="Y2023" s="124"/>
      <c r="Z2023" s="124"/>
    </row>
    <row r="2024">
      <c r="A2024" s="140"/>
      <c r="B2024" s="26"/>
      <c r="C2024" s="24"/>
      <c r="D2024" s="126"/>
      <c r="E2024" s="20"/>
      <c r="F2024" s="127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</row>
    <row r="2025">
      <c r="A2025" s="140"/>
      <c r="B2025" s="26"/>
      <c r="C2025" s="24"/>
      <c r="D2025" s="213"/>
      <c r="E2025" s="20"/>
      <c r="F2025" s="192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</row>
    <row r="2026">
      <c r="A2026" s="140"/>
      <c r="B2026" s="26"/>
      <c r="C2026" s="24"/>
      <c r="D2026" s="213"/>
      <c r="E2026" s="20"/>
      <c r="F2026" s="192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</row>
    <row r="2027">
      <c r="A2027" s="162"/>
      <c r="B2027" s="162"/>
      <c r="C2027" s="162"/>
      <c r="D2027" s="163"/>
      <c r="E2027" s="164"/>
      <c r="F2027" s="165"/>
      <c r="G2027" s="162"/>
      <c r="H2027" s="225"/>
      <c r="I2027" s="225"/>
      <c r="J2027" s="225"/>
      <c r="K2027" s="225"/>
      <c r="L2027" s="225"/>
      <c r="M2027" s="225"/>
      <c r="N2027" s="225"/>
      <c r="O2027" s="225"/>
      <c r="P2027" s="225"/>
      <c r="Q2027" s="225"/>
      <c r="R2027" s="225"/>
      <c r="S2027" s="225"/>
      <c r="T2027" s="225"/>
      <c r="U2027" s="225"/>
      <c r="V2027" s="225"/>
      <c r="W2027" s="225"/>
      <c r="X2027" s="225"/>
      <c r="Y2027" s="225"/>
      <c r="Z2027" s="225"/>
    </row>
    <row r="2028">
      <c r="A2028" s="140"/>
      <c r="B2028" s="26"/>
      <c r="C2028" s="24"/>
      <c r="D2028" s="213"/>
      <c r="E2028" s="20"/>
      <c r="F2028" s="192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</row>
    <row r="2029" ht="15.75" customHeight="1">
      <c r="A2029" s="140"/>
      <c r="B2029" s="26"/>
      <c r="C2029" s="26"/>
      <c r="D2029" s="141"/>
      <c r="E2029" s="20"/>
      <c r="F2029" s="192"/>
      <c r="G2029" s="24"/>
      <c r="H2029" s="223"/>
      <c r="I2029" s="223"/>
      <c r="J2029" s="223"/>
      <c r="K2029" s="223"/>
      <c r="L2029" s="223"/>
      <c r="M2029" s="223"/>
      <c r="N2029" s="223"/>
      <c r="O2029" s="223"/>
      <c r="P2029" s="223"/>
      <c r="Q2029" s="223"/>
      <c r="R2029" s="223"/>
      <c r="S2029" s="223"/>
      <c r="T2029" s="223"/>
      <c r="U2029" s="223"/>
      <c r="V2029" s="223"/>
      <c r="W2029" s="223"/>
      <c r="X2029" s="223"/>
      <c r="Y2029" s="223"/>
      <c r="Z2029" s="223"/>
    </row>
    <row r="2030">
      <c r="A2030" s="140"/>
      <c r="B2030" s="26"/>
      <c r="C2030" s="24"/>
      <c r="D2030" s="213"/>
      <c r="E2030" s="20"/>
      <c r="F2030" s="192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</row>
    <row r="2031">
      <c r="A2031" s="140"/>
      <c r="B2031" s="26"/>
      <c r="C2031" s="24"/>
      <c r="D2031" s="213"/>
      <c r="E2031" s="20"/>
      <c r="F2031" s="192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</row>
    <row r="2032">
      <c r="A2032" s="140"/>
      <c r="B2032" s="26"/>
      <c r="C2032" s="24"/>
      <c r="D2032" s="213"/>
      <c r="E2032" s="20"/>
      <c r="F2032" s="192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</row>
    <row r="2033">
      <c r="A2033" s="140"/>
      <c r="B2033" s="26"/>
      <c r="C2033" s="24"/>
      <c r="D2033" s="213"/>
      <c r="E2033" s="20"/>
      <c r="F2033" s="192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</row>
    <row r="2034">
      <c r="A2034" s="140"/>
      <c r="B2034" s="26"/>
      <c r="C2034" s="24"/>
      <c r="D2034" s="213"/>
      <c r="E2034" s="20"/>
      <c r="F2034" s="192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</row>
    <row r="2035">
      <c r="A2035" s="140"/>
      <c r="B2035" s="26"/>
      <c r="C2035" s="24"/>
      <c r="D2035" s="213"/>
      <c r="E2035" s="20"/>
      <c r="F2035" s="192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</row>
    <row r="2036">
      <c r="A2036" s="140"/>
      <c r="B2036" s="26"/>
      <c r="C2036" s="24"/>
      <c r="D2036" s="213"/>
      <c r="E2036" s="20"/>
      <c r="F2036" s="192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</row>
    <row r="2037">
      <c r="A2037" s="140"/>
      <c r="B2037" s="26"/>
      <c r="C2037" s="24"/>
      <c r="D2037" s="213"/>
      <c r="E2037" s="20"/>
      <c r="F2037" s="192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</row>
    <row r="2038">
      <c r="A2038" s="140"/>
      <c r="B2038" s="26"/>
      <c r="C2038" s="26"/>
      <c r="D2038" s="141"/>
      <c r="E2038" s="20"/>
      <c r="F2038" s="192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</row>
    <row r="2039">
      <c r="A2039" s="140"/>
      <c r="B2039" s="26"/>
      <c r="C2039" s="24"/>
      <c r="D2039" s="213"/>
      <c r="E2039" s="20"/>
      <c r="F2039" s="192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</row>
    <row r="2040">
      <c r="A2040" s="140"/>
      <c r="B2040" s="26"/>
      <c r="C2040" s="24"/>
      <c r="D2040" s="213"/>
      <c r="E2040" s="20"/>
      <c r="F2040" s="192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</row>
    <row r="2041">
      <c r="A2041" s="140"/>
      <c r="B2041" s="26"/>
      <c r="C2041" s="24"/>
      <c r="D2041" s="213"/>
      <c r="E2041" s="20"/>
      <c r="F2041" s="192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</row>
    <row r="2042">
      <c r="A2042" s="140"/>
      <c r="B2042" s="26"/>
      <c r="C2042" s="24"/>
      <c r="D2042" s="213"/>
      <c r="E2042" s="20"/>
      <c r="F2042" s="192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</row>
    <row r="2043">
      <c r="A2043" s="140"/>
      <c r="B2043" s="26"/>
      <c r="C2043" s="24"/>
      <c r="D2043" s="213"/>
      <c r="E2043" s="20"/>
      <c r="F2043" s="192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</row>
    <row r="2044">
      <c r="A2044" s="140"/>
      <c r="B2044" s="26"/>
      <c r="C2044" s="24"/>
      <c r="D2044" s="213"/>
      <c r="E2044" s="20"/>
      <c r="F2044" s="192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</row>
    <row r="2045">
      <c r="A2045" s="140"/>
      <c r="B2045" s="26"/>
      <c r="C2045" s="24"/>
      <c r="D2045" s="213"/>
      <c r="E2045" s="20"/>
      <c r="F2045" s="192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</row>
    <row r="2046">
      <c r="A2046" s="140"/>
      <c r="B2046" s="26"/>
      <c r="C2046" s="26"/>
      <c r="D2046" s="141"/>
      <c r="E2046" s="20"/>
      <c r="F2046" s="192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</row>
    <row r="2047">
      <c r="A2047" s="140"/>
      <c r="B2047" s="26"/>
      <c r="C2047" s="24"/>
      <c r="D2047" s="213"/>
      <c r="E2047" s="20"/>
      <c r="F2047" s="192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</row>
    <row r="2048">
      <c r="A2048" s="140"/>
      <c r="B2048" s="26"/>
      <c r="C2048" s="26"/>
      <c r="D2048" s="141"/>
      <c r="E2048" s="20"/>
      <c r="F2048" s="192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</row>
    <row r="2049">
      <c r="A2049" s="140"/>
      <c r="B2049" s="26"/>
      <c r="C2049" s="24"/>
      <c r="D2049" s="213"/>
      <c r="E2049" s="20"/>
      <c r="F2049" s="192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</row>
    <row r="2050">
      <c r="A2050" s="140"/>
      <c r="B2050" s="26"/>
      <c r="C2050" s="24"/>
      <c r="D2050" s="213"/>
      <c r="E2050" s="20"/>
      <c r="F2050" s="192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</row>
    <row r="2051">
      <c r="A2051" s="140"/>
      <c r="B2051" s="26"/>
      <c r="C2051" s="26"/>
      <c r="D2051" s="141"/>
      <c r="E2051" s="20"/>
      <c r="F2051" s="192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</row>
    <row r="2052">
      <c r="A2052" s="140"/>
      <c r="B2052" s="26"/>
      <c r="C2052" s="24"/>
      <c r="D2052" s="213"/>
      <c r="E2052" s="20"/>
      <c r="F2052" s="192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</row>
    <row r="2053">
      <c r="A2053" s="140"/>
      <c r="B2053" s="26"/>
      <c r="C2053" s="24"/>
      <c r="D2053" s="213"/>
      <c r="E2053" s="20"/>
      <c r="F2053" s="192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</row>
    <row r="2054">
      <c r="A2054" s="140"/>
      <c r="B2054" s="26"/>
      <c r="C2054" s="24"/>
      <c r="D2054" s="213"/>
      <c r="E2054" s="20"/>
      <c r="F2054" s="192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</row>
    <row r="2055">
      <c r="A2055" s="140"/>
      <c r="B2055" s="26"/>
      <c r="C2055" s="24"/>
      <c r="D2055" s="213"/>
      <c r="E2055" s="20"/>
      <c r="F2055" s="192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</row>
    <row r="2056">
      <c r="A2056" s="140"/>
      <c r="B2056" s="26"/>
      <c r="C2056" s="24"/>
      <c r="D2056" s="213"/>
      <c r="E2056" s="20"/>
      <c r="F2056" s="192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</row>
    <row r="2057">
      <c r="A2057" s="140"/>
      <c r="B2057" s="26"/>
      <c r="C2057" s="24"/>
      <c r="D2057" s="213"/>
      <c r="E2057" s="20"/>
      <c r="F2057" s="192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</row>
    <row r="2058">
      <c r="A2058" s="140"/>
      <c r="B2058" s="26"/>
      <c r="C2058" s="24"/>
      <c r="D2058" s="213"/>
      <c r="E2058" s="20"/>
      <c r="F2058" s="192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</row>
    <row r="2059">
      <c r="A2059" s="140"/>
      <c r="B2059" s="26"/>
      <c r="C2059" s="24"/>
      <c r="D2059" s="213"/>
      <c r="E2059" s="20"/>
      <c r="F2059" s="192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</row>
    <row r="2060">
      <c r="A2060" s="140"/>
      <c r="B2060" s="26"/>
      <c r="C2060" s="24"/>
      <c r="D2060" s="213"/>
      <c r="E2060" s="20"/>
      <c r="F2060" s="192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</row>
    <row r="2061">
      <c r="A2061" s="140"/>
      <c r="B2061" s="26"/>
      <c r="C2061" s="24"/>
      <c r="D2061" s="213"/>
      <c r="E2061" s="20"/>
      <c r="F2061" s="192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</row>
    <row r="2062">
      <c r="A2062" s="140"/>
      <c r="B2062" s="26"/>
      <c r="C2062" s="24"/>
      <c r="D2062" s="213"/>
      <c r="E2062" s="20"/>
      <c r="F2062" s="192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</row>
    <row r="2063">
      <c r="A2063" s="140"/>
      <c r="B2063" s="26"/>
      <c r="C2063" s="24"/>
      <c r="D2063" s="213"/>
      <c r="E2063" s="20"/>
      <c r="F2063" s="192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</row>
    <row r="2064">
      <c r="A2064" s="140"/>
      <c r="B2064" s="26"/>
      <c r="C2064" s="24"/>
      <c r="D2064" s="213"/>
      <c r="E2064" s="20"/>
      <c r="F2064" s="192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</row>
    <row r="2065">
      <c r="A2065" s="140"/>
      <c r="B2065" s="26"/>
      <c r="C2065" s="24"/>
      <c r="D2065" s="213"/>
      <c r="E2065" s="20"/>
      <c r="F2065" s="192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</row>
    <row r="2066">
      <c r="A2066" s="140"/>
      <c r="B2066" s="26"/>
      <c r="C2066" s="24"/>
      <c r="D2066" s="213"/>
      <c r="E2066" s="20"/>
      <c r="F2066" s="192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</row>
    <row r="2067">
      <c r="A2067" s="140"/>
      <c r="B2067" s="26"/>
      <c r="C2067" s="24"/>
      <c r="D2067" s="213"/>
      <c r="E2067" s="20"/>
      <c r="F2067" s="192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</row>
    <row r="2068">
      <c r="A2068" s="140"/>
      <c r="B2068" s="26"/>
      <c r="C2068" s="24"/>
      <c r="D2068" s="213"/>
      <c r="E2068" s="20"/>
      <c r="F2068" s="192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</row>
    <row r="2069">
      <c r="A2069" s="140"/>
      <c r="B2069" s="26"/>
      <c r="C2069" s="24"/>
      <c r="D2069" s="213"/>
      <c r="E2069" s="20"/>
      <c r="F2069" s="192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</row>
    <row r="2070">
      <c r="A2070" s="140"/>
      <c r="B2070" s="26"/>
      <c r="C2070" s="24"/>
      <c r="D2070" s="213"/>
      <c r="E2070" s="20"/>
      <c r="F2070" s="192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</row>
    <row r="2071">
      <c r="A2071" s="140"/>
      <c r="B2071" s="26"/>
      <c r="C2071" s="24"/>
      <c r="D2071" s="213"/>
      <c r="E2071" s="20"/>
      <c r="F2071" s="192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</row>
    <row r="2072">
      <c r="A2072" s="140"/>
      <c r="B2072" s="26"/>
      <c r="C2072" s="24"/>
      <c r="D2072" s="213"/>
      <c r="E2072" s="20"/>
      <c r="F2072" s="192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</row>
    <row r="2073">
      <c r="A2073" s="140"/>
      <c r="B2073" s="26"/>
      <c r="C2073" s="24"/>
      <c r="D2073" s="213"/>
      <c r="E2073" s="20"/>
      <c r="F2073" s="192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</row>
    <row r="2074">
      <c r="A2074" s="124"/>
      <c r="B2074" s="125"/>
      <c r="C2074" s="124"/>
      <c r="D2074" s="126"/>
      <c r="E2074" s="124"/>
      <c r="F2074" s="127"/>
      <c r="G2074" s="124"/>
      <c r="H2074" s="124"/>
      <c r="I2074" s="124"/>
      <c r="J2074" s="124"/>
      <c r="K2074" s="124"/>
      <c r="L2074" s="124"/>
      <c r="M2074" s="124"/>
      <c r="N2074" s="124"/>
      <c r="O2074" s="124"/>
      <c r="P2074" s="124"/>
      <c r="Q2074" s="124"/>
      <c r="R2074" s="124"/>
      <c r="S2074" s="124"/>
      <c r="T2074" s="124"/>
      <c r="U2074" s="124"/>
      <c r="V2074" s="124"/>
      <c r="W2074" s="124"/>
      <c r="X2074" s="124"/>
      <c r="Y2074" s="124"/>
      <c r="Z2074" s="124"/>
    </row>
    <row r="2075">
      <c r="A2075" s="140"/>
      <c r="B2075" s="26"/>
      <c r="C2075" s="24"/>
      <c r="D2075" s="213"/>
      <c r="E2075" s="20"/>
      <c r="F2075" s="192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</row>
    <row r="2076">
      <c r="A2076" s="140"/>
      <c r="B2076" s="26"/>
      <c r="C2076" s="24"/>
      <c r="D2076" s="213"/>
      <c r="E2076" s="20"/>
      <c r="F2076" s="192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</row>
    <row r="2077">
      <c r="A2077" s="140"/>
      <c r="B2077" s="26"/>
      <c r="C2077" s="24"/>
      <c r="D2077" s="213"/>
      <c r="E2077" s="20"/>
      <c r="F2077" s="192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</row>
    <row r="2078">
      <c r="A2078" s="140"/>
      <c r="B2078" s="26"/>
      <c r="C2078" s="24"/>
      <c r="D2078" s="213"/>
      <c r="E2078" s="20"/>
      <c r="F2078" s="192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</row>
    <row r="2079">
      <c r="A2079" s="140"/>
      <c r="B2079" s="26"/>
      <c r="C2079" s="24"/>
      <c r="D2079" s="213"/>
      <c r="E2079" s="20"/>
      <c r="F2079" s="192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</row>
    <row r="2080">
      <c r="A2080" s="140"/>
      <c r="B2080" s="26"/>
      <c r="C2080" s="24"/>
      <c r="D2080" s="213"/>
      <c r="E2080" s="20"/>
      <c r="F2080" s="192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</row>
    <row r="2081">
      <c r="A2081" s="140"/>
      <c r="B2081" s="26"/>
      <c r="C2081" s="24"/>
      <c r="D2081" s="213"/>
      <c r="E2081" s="20"/>
      <c r="F2081" s="192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</row>
    <row r="2082">
      <c r="A2082" s="140"/>
      <c r="B2082" s="26"/>
      <c r="C2082" s="24"/>
      <c r="D2082" s="213"/>
      <c r="E2082" s="20"/>
      <c r="F2082" s="192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</row>
    <row r="2083">
      <c r="A2083" s="140"/>
      <c r="B2083" s="26"/>
      <c r="C2083" s="24"/>
      <c r="D2083" s="213"/>
      <c r="E2083" s="20"/>
      <c r="F2083" s="192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</row>
    <row r="2084">
      <c r="A2084" s="124"/>
      <c r="B2084" s="125"/>
      <c r="C2084" s="124"/>
      <c r="D2084" s="218"/>
      <c r="E2084" s="219"/>
      <c r="F2084" s="127"/>
      <c r="G2084" s="133"/>
      <c r="H2084" s="133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</row>
    <row r="2085">
      <c r="A2085" s="110"/>
      <c r="B2085" s="110"/>
      <c r="C2085" s="110"/>
      <c r="D2085" s="139"/>
      <c r="E2085" s="110"/>
      <c r="F2085" s="199"/>
      <c r="G2085" s="110"/>
      <c r="H2085" s="110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</row>
    <row r="2086">
      <c r="A2086" s="162"/>
      <c r="B2086" s="162"/>
      <c r="C2086" s="162"/>
      <c r="D2086" s="163"/>
      <c r="E2086" s="164"/>
      <c r="F2086" s="165"/>
      <c r="G2086" s="110"/>
      <c r="H2086" s="110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</row>
    <row r="2087">
      <c r="A2087" s="212"/>
      <c r="B2087" s="21"/>
      <c r="C2087" s="21"/>
      <c r="D2087" s="233"/>
      <c r="E2087" s="214"/>
      <c r="F2087" s="234"/>
      <c r="G2087" s="110"/>
      <c r="H2087" s="110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</row>
    <row r="2088">
      <c r="A2088" s="212"/>
      <c r="B2088" s="21"/>
      <c r="C2088" s="21"/>
      <c r="D2088" s="233"/>
      <c r="E2088" s="214"/>
      <c r="F2088" s="234"/>
      <c r="G2088" s="110"/>
      <c r="H2088" s="110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</row>
    <row r="2089">
      <c r="A2089" s="212"/>
      <c r="B2089" s="21"/>
      <c r="C2089" s="21"/>
      <c r="D2089" s="233"/>
      <c r="E2089" s="214"/>
      <c r="F2089" s="234"/>
      <c r="G2089" s="110"/>
      <c r="H2089" s="110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</row>
    <row r="2090">
      <c r="A2090" s="212"/>
      <c r="B2090" s="21"/>
      <c r="C2090" s="21"/>
      <c r="D2090" s="233"/>
      <c r="E2090" s="214"/>
      <c r="F2090" s="234"/>
      <c r="G2090" s="110"/>
      <c r="H2090" s="110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</row>
    <row r="2091">
      <c r="A2091" s="124"/>
      <c r="B2091" s="125"/>
      <c r="C2091" s="124"/>
      <c r="D2091" s="218"/>
      <c r="E2091" s="219"/>
      <c r="F2091" s="127"/>
      <c r="G2091" s="110"/>
      <c r="H2091" s="110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</row>
    <row r="2092">
      <c r="A2092" s="110"/>
      <c r="B2092" s="110"/>
      <c r="C2092" s="110"/>
      <c r="D2092" s="139"/>
      <c r="E2092" s="110"/>
      <c r="F2092" s="199"/>
      <c r="G2092" s="110"/>
      <c r="H2092" s="110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</row>
    <row r="2093">
      <c r="A2093" s="110"/>
      <c r="B2093" s="110"/>
      <c r="C2093" s="110"/>
      <c r="D2093" s="139"/>
      <c r="E2093" s="110"/>
      <c r="F2093" s="199"/>
      <c r="G2093" s="110"/>
      <c r="H2093" s="110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</row>
    <row r="2094">
      <c r="A2094" s="162"/>
      <c r="B2094" s="162"/>
      <c r="C2094" s="162"/>
      <c r="D2094" s="163"/>
      <c r="E2094" s="164"/>
      <c r="F2094" s="165"/>
      <c r="G2094" s="110"/>
      <c r="H2094" s="110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</row>
    <row r="2095">
      <c r="A2095" s="212"/>
      <c r="B2095" s="21"/>
      <c r="C2095" s="21"/>
      <c r="D2095" s="233"/>
      <c r="E2095" s="214"/>
      <c r="F2095" s="234"/>
      <c r="G2095" s="110"/>
      <c r="H2095" s="110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</row>
    <row r="2096">
      <c r="A2096" s="212"/>
      <c r="B2096" s="21"/>
      <c r="C2096" s="21"/>
      <c r="D2096" s="233"/>
      <c r="E2096" s="214"/>
      <c r="F2096" s="234"/>
      <c r="G2096" s="110"/>
      <c r="H2096" s="110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</row>
    <row r="2097">
      <c r="A2097" s="212"/>
      <c r="B2097" s="21"/>
      <c r="C2097" s="21"/>
      <c r="D2097" s="233"/>
      <c r="E2097" s="214"/>
      <c r="F2097" s="234"/>
      <c r="G2097" s="110"/>
      <c r="H2097" s="110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</row>
    <row r="2098">
      <c r="A2098" s="212"/>
      <c r="B2098" s="21"/>
      <c r="C2098" s="21"/>
      <c r="D2098" s="233"/>
      <c r="E2098" s="214"/>
      <c r="F2098" s="234"/>
      <c r="G2098" s="110"/>
      <c r="H2098" s="110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</row>
    <row r="2099">
      <c r="A2099" s="212"/>
      <c r="B2099" s="21"/>
      <c r="C2099" s="21"/>
      <c r="D2099" s="233"/>
      <c r="E2099" s="214"/>
      <c r="F2099" s="234"/>
      <c r="G2099" s="110"/>
      <c r="H2099" s="110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</row>
    <row r="2100">
      <c r="A2100" s="212"/>
      <c r="B2100" s="21"/>
      <c r="C2100" s="21"/>
      <c r="D2100" s="233"/>
      <c r="E2100" s="214"/>
      <c r="F2100" s="234"/>
      <c r="G2100" s="110"/>
      <c r="H2100" s="110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</row>
    <row r="2101">
      <c r="A2101" s="212"/>
      <c r="B2101" s="21"/>
      <c r="C2101" s="21"/>
      <c r="D2101" s="233"/>
      <c r="E2101" s="214"/>
      <c r="F2101" s="234"/>
      <c r="G2101" s="110"/>
      <c r="H2101" s="110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</row>
    <row r="2102">
      <c r="A2102" s="212"/>
      <c r="B2102" s="21"/>
      <c r="C2102" s="21"/>
      <c r="D2102" s="233"/>
      <c r="E2102" s="214"/>
      <c r="F2102" s="234"/>
      <c r="G2102" s="110"/>
      <c r="H2102" s="110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</row>
    <row r="2103">
      <c r="A2103" s="212"/>
      <c r="B2103" s="21"/>
      <c r="C2103" s="21"/>
      <c r="D2103" s="233"/>
      <c r="E2103" s="214"/>
      <c r="F2103" s="234"/>
      <c r="G2103" s="110"/>
      <c r="H2103" s="110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</row>
    <row r="2104">
      <c r="A2104" s="212"/>
      <c r="B2104" s="21"/>
      <c r="C2104" s="21"/>
      <c r="D2104" s="233"/>
      <c r="E2104" s="214"/>
      <c r="F2104" s="234"/>
      <c r="G2104" s="110"/>
      <c r="H2104" s="110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</row>
    <row r="2105">
      <c r="A2105" s="212"/>
      <c r="B2105" s="21"/>
      <c r="C2105" s="21"/>
      <c r="D2105" s="233"/>
      <c r="E2105" s="214"/>
      <c r="F2105" s="234"/>
      <c r="G2105" s="110"/>
      <c r="H2105" s="110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</row>
    <row r="2106">
      <c r="A2106" s="212"/>
      <c r="B2106" s="21"/>
      <c r="C2106" s="21"/>
      <c r="D2106" s="233"/>
      <c r="E2106" s="214"/>
      <c r="F2106" s="234"/>
      <c r="G2106" s="110"/>
      <c r="H2106" s="110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</row>
    <row r="2107">
      <c r="A2107" s="212"/>
      <c r="B2107" s="21"/>
      <c r="C2107" s="21"/>
      <c r="D2107" s="233"/>
      <c r="E2107" s="214"/>
      <c r="F2107" s="234"/>
      <c r="G2107" s="110"/>
      <c r="H2107" s="110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</row>
    <row r="2108">
      <c r="A2108" s="212"/>
      <c r="B2108" s="21"/>
      <c r="C2108" s="21"/>
      <c r="D2108" s="233"/>
      <c r="E2108" s="214"/>
      <c r="F2108" s="234"/>
      <c r="G2108" s="110"/>
      <c r="H2108" s="110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</row>
    <row r="2109">
      <c r="A2109" s="212"/>
      <c r="B2109" s="21"/>
      <c r="C2109" s="21"/>
      <c r="D2109" s="233"/>
      <c r="E2109" s="214"/>
      <c r="F2109" s="234"/>
      <c r="G2109" s="110"/>
      <c r="H2109" s="110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</row>
    <row r="2110">
      <c r="A2110" s="212"/>
      <c r="B2110" s="21"/>
      <c r="C2110" s="21"/>
      <c r="D2110" s="233"/>
      <c r="E2110" s="214"/>
      <c r="F2110" s="234"/>
      <c r="G2110" s="110"/>
      <c r="H2110" s="110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</row>
    <row r="2111">
      <c r="A2111" s="212"/>
      <c r="B2111" s="21"/>
      <c r="C2111" s="21"/>
      <c r="D2111" s="233"/>
      <c r="E2111" s="214"/>
      <c r="F2111" s="234"/>
      <c r="G2111" s="110"/>
      <c r="H2111" s="110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</row>
    <row r="2112">
      <c r="A2112" s="212"/>
      <c r="B2112" s="21"/>
      <c r="C2112" s="21"/>
      <c r="D2112" s="233"/>
      <c r="E2112" s="214"/>
      <c r="F2112" s="234"/>
      <c r="G2112" s="110"/>
      <c r="H2112" s="110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</row>
    <row r="2113">
      <c r="A2113" s="212"/>
      <c r="B2113" s="21"/>
      <c r="C2113" s="21"/>
      <c r="D2113" s="233"/>
      <c r="E2113" s="214"/>
      <c r="F2113" s="234"/>
      <c r="G2113" s="110"/>
      <c r="H2113" s="110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</row>
    <row r="2114">
      <c r="A2114" s="212"/>
      <c r="B2114" s="21"/>
      <c r="C2114" s="21"/>
      <c r="D2114" s="233"/>
      <c r="E2114" s="214"/>
      <c r="F2114" s="234"/>
      <c r="G2114" s="110"/>
      <c r="H2114" s="110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</row>
    <row r="2115">
      <c r="A2115" s="212"/>
      <c r="B2115" s="21"/>
      <c r="C2115" s="21"/>
      <c r="D2115" s="233"/>
      <c r="E2115" s="214"/>
      <c r="F2115" s="234"/>
      <c r="G2115" s="110"/>
      <c r="H2115" s="110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</row>
    <row r="2116">
      <c r="A2116" s="212"/>
      <c r="B2116" s="21"/>
      <c r="C2116" s="21"/>
      <c r="D2116" s="233"/>
      <c r="E2116" s="214"/>
      <c r="F2116" s="234"/>
      <c r="G2116" s="110"/>
      <c r="H2116" s="110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</row>
    <row r="2117">
      <c r="A2117" s="212"/>
      <c r="B2117" s="21"/>
      <c r="C2117" s="21"/>
      <c r="D2117" s="233"/>
      <c r="E2117" s="214"/>
      <c r="F2117" s="234"/>
      <c r="G2117" s="110"/>
      <c r="H2117" s="110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</row>
    <row r="2118">
      <c r="A2118" s="212"/>
      <c r="B2118" s="21"/>
      <c r="C2118" s="21"/>
      <c r="D2118" s="233"/>
      <c r="E2118" s="214"/>
      <c r="F2118" s="234"/>
      <c r="G2118" s="110"/>
      <c r="H2118" s="110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</row>
    <row r="2119">
      <c r="A2119" s="212"/>
      <c r="B2119" s="21"/>
      <c r="C2119" s="21"/>
      <c r="D2119" s="233"/>
      <c r="E2119" s="214"/>
      <c r="F2119" s="234"/>
      <c r="G2119" s="110"/>
      <c r="H2119" s="110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</row>
    <row r="2120">
      <c r="A2120" s="231"/>
      <c r="B2120" s="21"/>
      <c r="C2120" s="21"/>
      <c r="D2120" s="213"/>
      <c r="E2120" s="214"/>
      <c r="F2120" s="215"/>
      <c r="G2120" s="110"/>
      <c r="H2120" s="110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</row>
    <row r="2121">
      <c r="A2121" s="231"/>
      <c r="B2121" s="21"/>
      <c r="C2121" s="21"/>
      <c r="D2121" s="213"/>
      <c r="E2121" s="214"/>
      <c r="F2121" s="215"/>
      <c r="G2121" s="110"/>
      <c r="H2121" s="110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</row>
    <row r="2122">
      <c r="A2122" s="231"/>
      <c r="B2122" s="21"/>
      <c r="C2122" s="21"/>
      <c r="D2122" s="213"/>
      <c r="E2122" s="214"/>
      <c r="F2122" s="215"/>
      <c r="G2122" s="110"/>
      <c r="H2122" s="110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</row>
    <row r="2123">
      <c r="A2123" s="231"/>
      <c r="B2123" s="21"/>
      <c r="C2123" s="21"/>
      <c r="D2123" s="213"/>
      <c r="E2123" s="214"/>
      <c r="F2123" s="215"/>
      <c r="G2123" s="110"/>
      <c r="H2123" s="110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</row>
    <row r="2124">
      <c r="A2124" s="231"/>
      <c r="B2124" s="21"/>
      <c r="C2124" s="21"/>
      <c r="D2124" s="213"/>
      <c r="E2124" s="214"/>
      <c r="F2124" s="215"/>
      <c r="G2124" s="110"/>
      <c r="H2124" s="110"/>
      <c r="I2124" s="124"/>
      <c r="J2124" s="124"/>
      <c r="K2124" s="124"/>
      <c r="L2124" s="124"/>
      <c r="M2124" s="124"/>
      <c r="N2124" s="124"/>
      <c r="O2124" s="124"/>
      <c r="P2124" s="124"/>
      <c r="Q2124" s="124"/>
      <c r="R2124" s="124"/>
      <c r="S2124" s="124"/>
      <c r="T2124" s="124"/>
      <c r="U2124" s="124"/>
      <c r="V2124" s="124"/>
      <c r="W2124" s="124"/>
      <c r="X2124" s="124"/>
      <c r="Y2124" s="124"/>
      <c r="Z2124" s="124"/>
    </row>
    <row r="2125">
      <c r="A2125" s="231"/>
      <c r="B2125" s="21"/>
      <c r="C2125" s="21"/>
      <c r="D2125" s="213"/>
      <c r="E2125" s="214"/>
      <c r="F2125" s="215"/>
      <c r="G2125" s="110"/>
      <c r="H2125" s="110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</row>
    <row r="2126">
      <c r="A2126" s="231"/>
      <c r="B2126" s="21"/>
      <c r="C2126" s="21"/>
      <c r="D2126" s="213"/>
      <c r="E2126" s="214"/>
      <c r="F2126" s="215"/>
      <c r="G2126" s="110"/>
      <c r="H2126" s="110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</row>
    <row r="2127">
      <c r="A2127" s="231"/>
      <c r="B2127" s="21"/>
      <c r="C2127" s="21"/>
      <c r="D2127" s="213"/>
      <c r="E2127" s="214"/>
      <c r="F2127" s="215"/>
      <c r="G2127" s="110"/>
      <c r="H2127" s="110"/>
      <c r="I2127" s="225"/>
      <c r="J2127" s="225"/>
      <c r="K2127" s="225"/>
      <c r="L2127" s="225"/>
      <c r="M2127" s="225"/>
      <c r="N2127" s="225"/>
      <c r="O2127" s="225"/>
      <c r="P2127" s="225"/>
      <c r="Q2127" s="225"/>
      <c r="R2127" s="225"/>
      <c r="S2127" s="225"/>
      <c r="T2127" s="225"/>
      <c r="U2127" s="225"/>
      <c r="V2127" s="225"/>
      <c r="W2127" s="225"/>
      <c r="X2127" s="225"/>
      <c r="Y2127" s="225"/>
      <c r="Z2127" s="225"/>
    </row>
    <row r="2128">
      <c r="A2128" s="231"/>
      <c r="B2128" s="21"/>
      <c r="C2128" s="21"/>
      <c r="D2128" s="213"/>
      <c r="E2128" s="214"/>
      <c r="F2128" s="215"/>
      <c r="G2128" s="110"/>
      <c r="H2128" s="110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</row>
    <row r="2129">
      <c r="A2129" s="231"/>
      <c r="B2129" s="21"/>
      <c r="C2129" s="21"/>
      <c r="D2129" s="213"/>
      <c r="E2129" s="214"/>
      <c r="F2129" s="215"/>
      <c r="G2129" s="110"/>
      <c r="H2129" s="110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</row>
    <row r="2130">
      <c r="A2130" s="231"/>
      <c r="B2130" s="21"/>
      <c r="C2130" s="21"/>
      <c r="D2130" s="213"/>
      <c r="E2130" s="214"/>
      <c r="F2130" s="215"/>
      <c r="G2130" s="110"/>
      <c r="H2130" s="110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</row>
    <row r="2131">
      <c r="A2131" s="231"/>
      <c r="B2131" s="21"/>
      <c r="C2131" s="21"/>
      <c r="D2131" s="213"/>
      <c r="E2131" s="214"/>
      <c r="F2131" s="215"/>
      <c r="G2131" s="110"/>
      <c r="H2131" s="110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</row>
    <row r="2132">
      <c r="A2132" s="231"/>
      <c r="B2132" s="21"/>
      <c r="C2132" s="21"/>
      <c r="D2132" s="213"/>
      <c r="E2132" s="214"/>
      <c r="F2132" s="215"/>
      <c r="G2132" s="110"/>
      <c r="H2132" s="110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</row>
    <row r="2133">
      <c r="A2133" s="231"/>
      <c r="B2133" s="21"/>
      <c r="C2133" s="21"/>
      <c r="D2133" s="213"/>
      <c r="E2133" s="214"/>
      <c r="F2133" s="215"/>
      <c r="G2133" s="110"/>
      <c r="H2133" s="110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</row>
    <row r="2134">
      <c r="A2134" s="231"/>
      <c r="B2134" s="21"/>
      <c r="C2134" s="21"/>
      <c r="D2134" s="213"/>
      <c r="E2134" s="214"/>
      <c r="F2134" s="215"/>
      <c r="G2134" s="110"/>
      <c r="H2134" s="110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</row>
    <row r="2135">
      <c r="A2135" s="231"/>
      <c r="B2135" s="21"/>
      <c r="C2135" s="21"/>
      <c r="D2135" s="213"/>
      <c r="E2135" s="214"/>
      <c r="F2135" s="215"/>
      <c r="G2135" s="110"/>
      <c r="H2135" s="110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</row>
    <row r="2136" ht="15.75" customHeight="1">
      <c r="A2136" s="231"/>
      <c r="B2136" s="21"/>
      <c r="C2136" s="21"/>
      <c r="D2136" s="213"/>
      <c r="E2136" s="214"/>
      <c r="F2136" s="215"/>
      <c r="G2136" s="110"/>
      <c r="H2136" s="110"/>
      <c r="I2136" s="110"/>
      <c r="J2136" s="110"/>
      <c r="K2136" s="110"/>
      <c r="L2136" s="110"/>
      <c r="M2136" s="110"/>
      <c r="N2136" s="110"/>
      <c r="O2136" s="110"/>
      <c r="P2136" s="110"/>
      <c r="Q2136" s="110"/>
      <c r="R2136" s="110"/>
      <c r="S2136" s="110"/>
      <c r="T2136" s="110"/>
      <c r="U2136" s="110"/>
      <c r="V2136" s="110"/>
      <c r="W2136" s="110"/>
      <c r="X2136" s="110"/>
      <c r="Y2136" s="110"/>
      <c r="Z2136" s="110"/>
    </row>
    <row r="2137">
      <c r="A2137" s="231"/>
      <c r="B2137" s="21"/>
      <c r="C2137" s="21"/>
      <c r="D2137" s="213"/>
      <c r="E2137" s="214"/>
      <c r="F2137" s="215"/>
      <c r="G2137" s="110"/>
      <c r="H2137" s="110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</row>
    <row r="2138">
      <c r="A2138" s="231"/>
      <c r="B2138" s="21"/>
      <c r="C2138" s="21"/>
      <c r="D2138" s="213"/>
      <c r="E2138" s="214"/>
      <c r="F2138" s="215"/>
      <c r="G2138" s="110"/>
      <c r="H2138" s="110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</row>
    <row r="2139">
      <c r="A2139" s="231"/>
      <c r="B2139" s="21"/>
      <c r="C2139" s="21"/>
      <c r="D2139" s="213"/>
      <c r="E2139" s="214"/>
      <c r="F2139" s="215"/>
      <c r="G2139" s="110"/>
      <c r="H2139" s="110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</row>
    <row r="2140">
      <c r="A2140" s="231"/>
      <c r="B2140" s="21"/>
      <c r="C2140" s="21"/>
      <c r="D2140" s="213"/>
      <c r="E2140" s="214"/>
      <c r="F2140" s="215"/>
      <c r="G2140" s="110"/>
      <c r="H2140" s="110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</row>
    <row r="2141">
      <c r="A2141" s="231"/>
      <c r="B2141" s="21"/>
      <c r="C2141" s="21"/>
      <c r="D2141" s="213"/>
      <c r="E2141" s="214"/>
      <c r="F2141" s="215"/>
      <c r="G2141" s="110"/>
      <c r="H2141" s="110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</row>
    <row r="2142">
      <c r="A2142" s="231"/>
      <c r="B2142" s="21"/>
      <c r="C2142" s="21"/>
      <c r="D2142" s="213"/>
      <c r="E2142" s="214"/>
      <c r="F2142" s="215"/>
      <c r="G2142" s="110"/>
      <c r="H2142" s="110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</row>
    <row r="2143">
      <c r="A2143" s="231"/>
      <c r="B2143" s="21"/>
      <c r="C2143" s="21"/>
      <c r="D2143" s="213"/>
      <c r="E2143" s="214"/>
      <c r="F2143" s="215"/>
      <c r="G2143" s="110"/>
      <c r="H2143" s="110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</row>
    <row r="2144">
      <c r="A2144" s="231"/>
      <c r="B2144" s="21"/>
      <c r="C2144" s="21"/>
      <c r="D2144" s="213"/>
      <c r="E2144" s="214"/>
      <c r="F2144" s="215"/>
      <c r="G2144" s="110"/>
      <c r="H2144" s="110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</row>
    <row r="2145">
      <c r="A2145" s="231"/>
      <c r="B2145" s="21"/>
      <c r="C2145" s="21"/>
      <c r="D2145" s="213"/>
      <c r="E2145" s="214"/>
      <c r="F2145" s="215"/>
      <c r="G2145" s="110"/>
      <c r="H2145" s="110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</row>
    <row r="2146">
      <c r="A2146" s="231"/>
      <c r="B2146" s="21"/>
      <c r="C2146" s="21"/>
      <c r="D2146" s="213"/>
      <c r="E2146" s="214"/>
      <c r="F2146" s="215"/>
      <c r="G2146" s="110"/>
      <c r="H2146" s="110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</row>
    <row r="2147">
      <c r="A2147" s="231"/>
      <c r="B2147" s="21"/>
      <c r="C2147" s="21"/>
      <c r="D2147" s="213"/>
      <c r="E2147" s="214"/>
      <c r="F2147" s="215"/>
      <c r="G2147" s="110"/>
      <c r="H2147" s="110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</row>
    <row r="2148">
      <c r="A2148" s="231"/>
      <c r="B2148" s="21"/>
      <c r="C2148" s="21"/>
      <c r="D2148" s="213"/>
      <c r="E2148" s="214"/>
      <c r="F2148" s="215"/>
      <c r="G2148" s="110"/>
      <c r="H2148" s="110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</row>
    <row r="2149">
      <c r="A2149" s="231"/>
      <c r="B2149" s="21"/>
      <c r="C2149" s="21"/>
      <c r="D2149" s="213"/>
      <c r="E2149" s="214"/>
      <c r="F2149" s="215"/>
      <c r="G2149" s="110"/>
      <c r="H2149" s="110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</row>
    <row r="2150">
      <c r="A2150" s="231"/>
      <c r="B2150" s="21"/>
      <c r="C2150" s="21"/>
      <c r="D2150" s="213"/>
      <c r="E2150" s="214"/>
      <c r="F2150" s="215"/>
      <c r="G2150" s="110"/>
      <c r="H2150" s="110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</row>
    <row r="2151">
      <c r="A2151" s="231"/>
      <c r="B2151" s="21"/>
      <c r="C2151" s="21"/>
      <c r="D2151" s="213"/>
      <c r="E2151" s="214"/>
      <c r="F2151" s="215"/>
      <c r="G2151" s="110"/>
      <c r="H2151" s="110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</row>
    <row r="2152">
      <c r="A2152" s="231"/>
      <c r="B2152" s="21"/>
      <c r="C2152" s="21"/>
      <c r="D2152" s="213"/>
      <c r="E2152" s="214"/>
      <c r="F2152" s="215"/>
      <c r="G2152" s="110"/>
      <c r="H2152" s="110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</row>
    <row r="2153" ht="15.75" customHeight="1">
      <c r="A2153" s="231"/>
      <c r="B2153" s="21"/>
      <c r="C2153" s="21"/>
      <c r="D2153" s="213"/>
      <c r="E2153" s="214"/>
      <c r="F2153" s="215"/>
      <c r="G2153" s="110"/>
      <c r="H2153" s="110"/>
      <c r="I2153" s="110"/>
      <c r="J2153" s="110"/>
      <c r="K2153" s="110"/>
      <c r="L2153" s="110"/>
      <c r="M2153" s="110"/>
      <c r="N2153" s="110"/>
      <c r="O2153" s="110"/>
      <c r="P2153" s="110"/>
      <c r="Q2153" s="110"/>
      <c r="R2153" s="110"/>
      <c r="S2153" s="110"/>
      <c r="T2153" s="110"/>
      <c r="U2153" s="110"/>
      <c r="V2153" s="110"/>
      <c r="W2153" s="110"/>
      <c r="X2153" s="110"/>
      <c r="Y2153" s="110"/>
      <c r="Z2153" s="110"/>
    </row>
    <row r="2154" ht="15.75" customHeight="1">
      <c r="A2154" s="231"/>
      <c r="B2154" s="21"/>
      <c r="C2154" s="21"/>
      <c r="D2154" s="213"/>
      <c r="E2154" s="214"/>
      <c r="F2154" s="215"/>
      <c r="G2154" s="110"/>
      <c r="H2154" s="110"/>
      <c r="I2154" s="110"/>
      <c r="J2154" s="110"/>
      <c r="K2154" s="110"/>
      <c r="L2154" s="110"/>
      <c r="M2154" s="110"/>
      <c r="N2154" s="110"/>
      <c r="O2154" s="110"/>
      <c r="P2154" s="110"/>
      <c r="Q2154" s="110"/>
      <c r="R2154" s="110"/>
      <c r="S2154" s="110"/>
      <c r="T2154" s="110"/>
      <c r="U2154" s="110"/>
      <c r="V2154" s="110"/>
      <c r="W2154" s="110"/>
      <c r="X2154" s="110"/>
      <c r="Y2154" s="110"/>
      <c r="Z2154" s="110"/>
    </row>
    <row r="2155">
      <c r="A2155" s="231"/>
      <c r="B2155" s="21"/>
      <c r="C2155" s="21"/>
      <c r="D2155" s="213"/>
      <c r="E2155" s="214"/>
      <c r="F2155" s="215"/>
      <c r="G2155" s="110"/>
      <c r="H2155" s="110"/>
      <c r="I2155" s="124"/>
      <c r="J2155" s="124"/>
      <c r="K2155" s="124"/>
      <c r="L2155" s="124"/>
      <c r="M2155" s="124"/>
      <c r="N2155" s="124"/>
      <c r="O2155" s="124"/>
      <c r="P2155" s="124"/>
      <c r="Q2155" s="124"/>
      <c r="R2155" s="124"/>
      <c r="S2155" s="124"/>
      <c r="T2155" s="124"/>
      <c r="U2155" s="124"/>
      <c r="V2155" s="124"/>
      <c r="W2155" s="124"/>
      <c r="X2155" s="124"/>
      <c r="Y2155" s="124"/>
      <c r="Z2155" s="124"/>
    </row>
    <row r="2156">
      <c r="A2156" s="231"/>
      <c r="B2156" s="21"/>
      <c r="C2156" s="21"/>
      <c r="D2156" s="213"/>
      <c r="E2156" s="214"/>
      <c r="F2156" s="215"/>
      <c r="G2156" s="110"/>
      <c r="H2156" s="110"/>
      <c r="I2156" s="124"/>
      <c r="J2156" s="124"/>
      <c r="K2156" s="124"/>
      <c r="L2156" s="124"/>
      <c r="M2156" s="124"/>
      <c r="N2156" s="124"/>
      <c r="O2156" s="124"/>
      <c r="P2156" s="124"/>
      <c r="Q2156" s="124"/>
      <c r="R2156" s="124"/>
      <c r="S2156" s="124"/>
      <c r="T2156" s="124"/>
      <c r="U2156" s="124"/>
      <c r="V2156" s="124"/>
      <c r="W2156" s="124"/>
      <c r="X2156" s="124"/>
      <c r="Y2156" s="124"/>
      <c r="Z2156" s="124"/>
    </row>
    <row r="2157" ht="15.75" customHeight="1">
      <c r="A2157" s="231"/>
      <c r="B2157" s="21"/>
      <c r="C2157" s="21"/>
      <c r="D2157" s="213"/>
      <c r="E2157" s="214"/>
      <c r="F2157" s="215"/>
      <c r="G2157" s="110"/>
      <c r="H2157" s="110"/>
      <c r="I2157" s="110"/>
      <c r="J2157" s="110"/>
      <c r="K2157" s="110"/>
      <c r="L2157" s="110"/>
      <c r="M2157" s="110"/>
      <c r="N2157" s="110"/>
      <c r="O2157" s="110"/>
      <c r="P2157" s="110"/>
      <c r="Q2157" s="110"/>
      <c r="R2157" s="110"/>
      <c r="S2157" s="110"/>
      <c r="T2157" s="110"/>
      <c r="U2157" s="110"/>
      <c r="V2157" s="110"/>
      <c r="W2157" s="110"/>
      <c r="X2157" s="110"/>
      <c r="Y2157" s="110"/>
      <c r="Z2157" s="110"/>
    </row>
    <row r="2158">
      <c r="A2158" s="231"/>
      <c r="B2158" s="21"/>
      <c r="C2158" s="21"/>
      <c r="D2158" s="213"/>
      <c r="E2158" s="214"/>
      <c r="F2158" s="215"/>
      <c r="G2158" s="110"/>
      <c r="H2158" s="110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</row>
    <row r="2159">
      <c r="A2159" s="231"/>
      <c r="B2159" s="21"/>
      <c r="C2159" s="21"/>
      <c r="D2159" s="213"/>
      <c r="E2159" s="214"/>
      <c r="F2159" s="215"/>
      <c r="G2159" s="110"/>
      <c r="H2159" s="110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</row>
    <row r="2160">
      <c r="A2160" s="231"/>
      <c r="B2160" s="21"/>
      <c r="C2160" s="21"/>
      <c r="D2160" s="213"/>
      <c r="E2160" s="214"/>
      <c r="F2160" s="215"/>
      <c r="G2160" s="110"/>
      <c r="H2160" s="110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</row>
    <row r="2161">
      <c r="A2161" s="231"/>
      <c r="B2161" s="21"/>
      <c r="C2161" s="21"/>
      <c r="D2161" s="213"/>
      <c r="E2161" s="214"/>
      <c r="F2161" s="215"/>
      <c r="G2161" s="110"/>
      <c r="H2161" s="110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</row>
    <row r="2162">
      <c r="A2162" s="231"/>
      <c r="B2162" s="21"/>
      <c r="C2162" s="21"/>
      <c r="D2162" s="213"/>
      <c r="E2162" s="214"/>
      <c r="F2162" s="215"/>
      <c r="G2162" s="110"/>
      <c r="H2162" s="110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</row>
    <row r="2163">
      <c r="A2163" s="124"/>
      <c r="B2163" s="125"/>
      <c r="C2163" s="124"/>
      <c r="D2163" s="218"/>
      <c r="E2163" s="219"/>
      <c r="F2163" s="127"/>
      <c r="G2163" s="110"/>
      <c r="H2163" s="110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</row>
    <row r="2164">
      <c r="A2164" s="110"/>
      <c r="B2164" s="110"/>
      <c r="C2164" s="110"/>
      <c r="D2164" s="139"/>
      <c r="E2164" s="110"/>
      <c r="F2164" s="199"/>
      <c r="G2164" s="110"/>
      <c r="H2164" s="110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</row>
    <row r="2165">
      <c r="A2165" s="110"/>
      <c r="B2165" s="110"/>
      <c r="C2165" s="110"/>
      <c r="D2165" s="139"/>
      <c r="E2165" s="110"/>
      <c r="F2165" s="199"/>
      <c r="G2165" s="110"/>
      <c r="H2165" s="110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</row>
    <row r="2166">
      <c r="A2166" s="110"/>
      <c r="B2166" s="110"/>
      <c r="C2166" s="110"/>
      <c r="D2166" s="139"/>
      <c r="E2166" s="110"/>
      <c r="F2166" s="199"/>
      <c r="G2166" s="110"/>
      <c r="H2166" s="110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</row>
    <row r="2167">
      <c r="A2167" s="110"/>
      <c r="B2167" s="110"/>
      <c r="C2167" s="110"/>
      <c r="D2167" s="139"/>
      <c r="E2167" s="110"/>
      <c r="F2167" s="199"/>
      <c r="G2167" s="110"/>
      <c r="H2167" s="110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</row>
    <row r="2168">
      <c r="A2168" s="162"/>
      <c r="B2168" s="162"/>
      <c r="C2168" s="162"/>
      <c r="D2168" s="163"/>
      <c r="E2168" s="164"/>
      <c r="F2168" s="165"/>
      <c r="G2168" s="110"/>
      <c r="H2168" s="110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</row>
    <row r="2169">
      <c r="A2169" s="231"/>
      <c r="B2169" s="24"/>
      <c r="C2169" s="24"/>
      <c r="D2169" s="213"/>
      <c r="E2169" s="180"/>
      <c r="F2169" s="215"/>
      <c r="G2169" s="110"/>
      <c r="H2169" s="110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</row>
    <row r="2170">
      <c r="A2170" s="231"/>
      <c r="B2170" s="21"/>
      <c r="C2170" s="21"/>
      <c r="D2170" s="213"/>
      <c r="E2170" s="214"/>
      <c r="F2170" s="215"/>
      <c r="G2170" s="110"/>
      <c r="H2170" s="110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</row>
    <row r="2171">
      <c r="A2171" s="231"/>
      <c r="B2171" s="21"/>
      <c r="C2171" s="21"/>
      <c r="D2171" s="213"/>
      <c r="E2171" s="214"/>
      <c r="F2171" s="215"/>
      <c r="G2171" s="110"/>
      <c r="H2171" s="110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</row>
    <row r="2172">
      <c r="A2172" s="124"/>
      <c r="B2172" s="125"/>
      <c r="C2172" s="124"/>
      <c r="D2172" s="218"/>
      <c r="E2172" s="219"/>
      <c r="F2172" s="127"/>
      <c r="G2172" s="110"/>
      <c r="H2172" s="110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</row>
    <row r="2173">
      <c r="A2173" s="110"/>
      <c r="B2173" s="110"/>
      <c r="C2173" s="110"/>
      <c r="D2173" s="139"/>
      <c r="E2173" s="110"/>
      <c r="F2173" s="199"/>
      <c r="G2173" s="110"/>
      <c r="H2173" s="110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</row>
    <row r="2174">
      <c r="A2174" s="110"/>
      <c r="B2174" s="110"/>
      <c r="C2174" s="110"/>
      <c r="D2174" s="139"/>
      <c r="E2174" s="110"/>
      <c r="F2174" s="199"/>
      <c r="G2174" s="110"/>
      <c r="H2174" s="110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</row>
    <row r="2175">
      <c r="A2175" s="110"/>
      <c r="B2175" s="110"/>
      <c r="C2175" s="110"/>
      <c r="D2175" s="139"/>
      <c r="E2175" s="110"/>
      <c r="F2175" s="199"/>
      <c r="G2175" s="110"/>
      <c r="H2175" s="110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</row>
    <row r="2176">
      <c r="A2176" s="162"/>
      <c r="B2176" s="162"/>
      <c r="C2176" s="162"/>
      <c r="D2176" s="163"/>
      <c r="E2176" s="164"/>
      <c r="F2176" s="165"/>
      <c r="G2176" s="110"/>
      <c r="H2176" s="110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</row>
    <row r="2177">
      <c r="A2177" s="231"/>
      <c r="B2177" s="21"/>
      <c r="C2177" s="21"/>
      <c r="D2177" s="213"/>
      <c r="E2177" s="214"/>
      <c r="F2177" s="215"/>
      <c r="G2177" s="110"/>
      <c r="H2177" s="110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</row>
    <row r="2178">
      <c r="A2178" s="231"/>
      <c r="B2178" s="21"/>
      <c r="C2178" s="21"/>
      <c r="D2178" s="213"/>
      <c r="E2178" s="214"/>
      <c r="F2178" s="215"/>
      <c r="G2178" s="110"/>
      <c r="H2178" s="110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</row>
    <row r="2179">
      <c r="A2179" s="231"/>
      <c r="B2179" s="21"/>
      <c r="C2179" s="21"/>
      <c r="D2179" s="213"/>
      <c r="E2179" s="214"/>
      <c r="F2179" s="215"/>
      <c r="G2179" s="110"/>
      <c r="H2179" s="110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</row>
    <row r="2180">
      <c r="A2180" s="231"/>
      <c r="B2180" s="21"/>
      <c r="C2180" s="21"/>
      <c r="D2180" s="213"/>
      <c r="E2180" s="214"/>
      <c r="F2180" s="215"/>
      <c r="G2180" s="110"/>
      <c r="H2180" s="110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</row>
    <row r="2181">
      <c r="A2181" s="212"/>
      <c r="B2181" s="21"/>
      <c r="C2181" s="21"/>
      <c r="D2181" s="213"/>
      <c r="E2181" s="214"/>
      <c r="F2181" s="215"/>
      <c r="G2181" s="110"/>
      <c r="H2181" s="110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</row>
    <row r="2182">
      <c r="A2182" s="212"/>
      <c r="B2182" s="21"/>
      <c r="C2182" s="21"/>
      <c r="D2182" s="213"/>
      <c r="E2182" s="214"/>
      <c r="F2182" s="215"/>
      <c r="G2182" s="110"/>
      <c r="H2182" s="110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</row>
    <row r="2183">
      <c r="A2183" s="212"/>
      <c r="B2183" s="21"/>
      <c r="C2183" s="21"/>
      <c r="D2183" s="213"/>
      <c r="E2183" s="214"/>
      <c r="F2183" s="215"/>
      <c r="G2183" s="110"/>
      <c r="H2183" s="110"/>
      <c r="I2183" s="124"/>
      <c r="J2183" s="124"/>
      <c r="K2183" s="124"/>
      <c r="L2183" s="124"/>
      <c r="M2183" s="124"/>
      <c r="N2183" s="124"/>
      <c r="O2183" s="124"/>
      <c r="P2183" s="124"/>
      <c r="Q2183" s="124"/>
      <c r="R2183" s="124"/>
      <c r="S2183" s="124"/>
      <c r="T2183" s="124"/>
      <c r="U2183" s="124"/>
      <c r="V2183" s="124"/>
      <c r="W2183" s="124"/>
      <c r="X2183" s="124"/>
      <c r="Y2183" s="124"/>
      <c r="Z2183" s="124"/>
    </row>
    <row r="2184">
      <c r="A2184" s="212"/>
      <c r="B2184" s="21"/>
      <c r="C2184" s="21"/>
      <c r="D2184" s="213"/>
      <c r="E2184" s="214"/>
      <c r="F2184" s="215"/>
      <c r="G2184" s="110"/>
      <c r="H2184" s="110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</row>
    <row r="2185">
      <c r="A2185" s="212"/>
      <c r="B2185" s="21"/>
      <c r="C2185" s="21"/>
      <c r="D2185" s="213"/>
      <c r="E2185" s="214"/>
      <c r="F2185" s="215"/>
      <c r="G2185" s="110"/>
      <c r="H2185" s="110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</row>
    <row r="2186">
      <c r="A2186" s="212"/>
      <c r="B2186" s="21"/>
      <c r="C2186" s="21"/>
      <c r="D2186" s="213"/>
      <c r="E2186" s="214"/>
      <c r="F2186" s="215"/>
      <c r="G2186" s="110"/>
      <c r="H2186" s="110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</row>
    <row r="2187">
      <c r="A2187" s="212"/>
      <c r="B2187" s="21"/>
      <c r="C2187" s="21"/>
      <c r="D2187" s="213"/>
      <c r="E2187" s="214"/>
      <c r="F2187" s="215"/>
      <c r="G2187" s="110"/>
      <c r="H2187" s="110"/>
      <c r="I2187" s="225"/>
      <c r="J2187" s="225"/>
      <c r="K2187" s="225"/>
      <c r="L2187" s="225"/>
      <c r="M2187" s="225"/>
      <c r="N2187" s="225"/>
      <c r="O2187" s="225"/>
      <c r="P2187" s="225"/>
      <c r="Q2187" s="225"/>
      <c r="R2187" s="225"/>
      <c r="S2187" s="225"/>
      <c r="T2187" s="225"/>
      <c r="U2187" s="225"/>
      <c r="V2187" s="225"/>
      <c r="W2187" s="225"/>
      <c r="X2187" s="225"/>
      <c r="Y2187" s="225"/>
      <c r="Z2187" s="225"/>
    </row>
    <row r="2188">
      <c r="A2188" s="212"/>
      <c r="B2188" s="21"/>
      <c r="C2188" s="21"/>
      <c r="D2188" s="213"/>
      <c r="E2188" s="214"/>
      <c r="F2188" s="215"/>
      <c r="G2188" s="110"/>
      <c r="H2188" s="110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</row>
    <row r="2189">
      <c r="A2189" s="212"/>
      <c r="B2189" s="21"/>
      <c r="C2189" s="21"/>
      <c r="D2189" s="213"/>
      <c r="E2189" s="214"/>
      <c r="F2189" s="215"/>
      <c r="G2189" s="110"/>
      <c r="H2189" s="110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</row>
    <row r="2190" ht="15.75" customHeight="1">
      <c r="A2190" s="212"/>
      <c r="B2190" s="21"/>
      <c r="C2190" s="21"/>
      <c r="D2190" s="213"/>
      <c r="E2190" s="214"/>
      <c r="F2190" s="215"/>
      <c r="G2190" s="110"/>
      <c r="H2190" s="110"/>
      <c r="I2190" s="110"/>
      <c r="J2190" s="110"/>
      <c r="K2190" s="110"/>
      <c r="L2190" s="110"/>
      <c r="M2190" s="110"/>
      <c r="N2190" s="110"/>
      <c r="O2190" s="110"/>
      <c r="P2190" s="110"/>
      <c r="Q2190" s="110"/>
      <c r="R2190" s="110"/>
      <c r="S2190" s="110"/>
      <c r="T2190" s="110"/>
      <c r="U2190" s="110"/>
      <c r="V2190" s="110"/>
      <c r="W2190" s="110"/>
      <c r="X2190" s="110"/>
      <c r="Y2190" s="110"/>
      <c r="Z2190" s="110"/>
    </row>
    <row r="2191" ht="15.75" customHeight="1">
      <c r="A2191" s="212"/>
      <c r="B2191" s="21"/>
      <c r="C2191" s="21"/>
      <c r="D2191" s="213"/>
      <c r="E2191" s="214"/>
      <c r="F2191" s="215"/>
      <c r="G2191" s="110"/>
      <c r="H2191" s="110"/>
      <c r="I2191" s="110"/>
      <c r="J2191" s="110"/>
      <c r="K2191" s="110"/>
      <c r="L2191" s="110"/>
      <c r="M2191" s="110"/>
      <c r="N2191" s="110"/>
      <c r="O2191" s="110"/>
      <c r="P2191" s="110"/>
      <c r="Q2191" s="110"/>
      <c r="R2191" s="110"/>
      <c r="S2191" s="110"/>
      <c r="T2191" s="110"/>
      <c r="U2191" s="110"/>
      <c r="V2191" s="110"/>
      <c r="W2191" s="110"/>
      <c r="X2191" s="110"/>
      <c r="Y2191" s="110"/>
      <c r="Z2191" s="110"/>
    </row>
    <row r="2192">
      <c r="A2192" s="212"/>
      <c r="B2192" s="21"/>
      <c r="C2192" s="21"/>
      <c r="D2192" s="213"/>
      <c r="E2192" s="214"/>
      <c r="F2192" s="215"/>
      <c r="G2192" s="110"/>
      <c r="H2192" s="110"/>
      <c r="I2192" s="124"/>
      <c r="J2192" s="124"/>
      <c r="K2192" s="124"/>
      <c r="L2192" s="124"/>
      <c r="M2192" s="124"/>
      <c r="N2192" s="124"/>
      <c r="O2192" s="124"/>
      <c r="P2192" s="124"/>
      <c r="Q2192" s="124"/>
      <c r="R2192" s="124"/>
      <c r="S2192" s="124"/>
      <c r="T2192" s="124"/>
      <c r="U2192" s="124"/>
      <c r="V2192" s="124"/>
      <c r="W2192" s="124"/>
      <c r="X2192" s="124"/>
      <c r="Y2192" s="124"/>
      <c r="Z2192" s="124"/>
    </row>
    <row r="2193">
      <c r="A2193" s="212"/>
      <c r="B2193" s="21"/>
      <c r="C2193" s="21"/>
      <c r="D2193" s="213"/>
      <c r="E2193" s="214"/>
      <c r="F2193" s="215"/>
      <c r="G2193" s="110"/>
      <c r="H2193" s="110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</row>
    <row r="2194">
      <c r="A2194" s="212"/>
      <c r="B2194" s="21"/>
      <c r="C2194" s="21"/>
      <c r="D2194" s="213"/>
      <c r="E2194" s="214"/>
      <c r="F2194" s="215"/>
      <c r="G2194" s="110"/>
      <c r="H2194" s="110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</row>
    <row r="2195">
      <c r="A2195" s="212"/>
      <c r="B2195" s="21"/>
      <c r="C2195" s="21"/>
      <c r="D2195" s="213"/>
      <c r="E2195" s="214"/>
      <c r="F2195" s="215"/>
      <c r="G2195" s="110"/>
      <c r="H2195" s="110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</row>
    <row r="2196">
      <c r="A2196" s="212"/>
      <c r="B2196" s="21"/>
      <c r="C2196" s="21"/>
      <c r="D2196" s="213"/>
      <c r="E2196" s="214"/>
      <c r="F2196" s="215"/>
      <c r="G2196" s="110"/>
      <c r="H2196" s="110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</row>
    <row r="2197">
      <c r="A2197" s="212"/>
      <c r="B2197" s="21"/>
      <c r="C2197" s="21"/>
      <c r="D2197" s="213"/>
      <c r="E2197" s="214"/>
      <c r="F2197" s="215"/>
      <c r="G2197" s="110"/>
      <c r="H2197" s="110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</row>
    <row r="2198">
      <c r="A2198" s="212"/>
      <c r="B2198" s="21"/>
      <c r="C2198" s="21"/>
      <c r="D2198" s="213"/>
      <c r="E2198" s="214"/>
      <c r="F2198" s="215"/>
      <c r="G2198" s="110"/>
      <c r="H2198" s="110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</row>
    <row r="2199">
      <c r="A2199" s="212"/>
      <c r="B2199" s="21"/>
      <c r="C2199" s="21"/>
      <c r="D2199" s="213"/>
      <c r="E2199" s="214"/>
      <c r="F2199" s="215"/>
      <c r="G2199" s="110"/>
      <c r="H2199" s="110"/>
      <c r="I2199" s="124"/>
      <c r="J2199" s="124"/>
      <c r="K2199" s="124"/>
      <c r="L2199" s="124"/>
      <c r="M2199" s="124"/>
      <c r="N2199" s="124"/>
      <c r="O2199" s="124"/>
      <c r="P2199" s="124"/>
      <c r="Q2199" s="124"/>
      <c r="R2199" s="124"/>
      <c r="S2199" s="124"/>
      <c r="T2199" s="124"/>
      <c r="U2199" s="124"/>
      <c r="V2199" s="124"/>
      <c r="W2199" s="124"/>
      <c r="X2199" s="124"/>
      <c r="Y2199" s="124"/>
      <c r="Z2199" s="124"/>
    </row>
    <row r="2200">
      <c r="A2200" s="212"/>
      <c r="B2200" s="21"/>
      <c r="C2200" s="21"/>
      <c r="D2200" s="213"/>
      <c r="E2200" s="214"/>
      <c r="F2200" s="215"/>
      <c r="G2200" s="110"/>
      <c r="H2200" s="110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</row>
    <row r="2201">
      <c r="A2201" s="212"/>
      <c r="B2201" s="21"/>
      <c r="C2201" s="21"/>
      <c r="D2201" s="213"/>
      <c r="E2201" s="214"/>
      <c r="F2201" s="215"/>
      <c r="G2201" s="110"/>
      <c r="H2201" s="110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</row>
    <row r="2202">
      <c r="A2202" s="212"/>
      <c r="B2202" s="21"/>
      <c r="C2202" s="21"/>
      <c r="D2202" s="213"/>
      <c r="E2202" s="214"/>
      <c r="F2202" s="215"/>
      <c r="G2202" s="110"/>
      <c r="H2202" s="110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</row>
    <row r="2203">
      <c r="A2203" s="212"/>
      <c r="B2203" s="21"/>
      <c r="C2203" s="21"/>
      <c r="D2203" s="213"/>
      <c r="E2203" s="214"/>
      <c r="F2203" s="215"/>
      <c r="G2203" s="110"/>
      <c r="H2203" s="110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</row>
    <row r="2204">
      <c r="A2204" s="212"/>
      <c r="B2204" s="21"/>
      <c r="C2204" s="21"/>
      <c r="D2204" s="213"/>
      <c r="E2204" s="214"/>
      <c r="F2204" s="215"/>
      <c r="G2204" s="110"/>
      <c r="H2204" s="110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</row>
    <row r="2205">
      <c r="A2205" s="212"/>
      <c r="B2205" s="21"/>
      <c r="C2205" s="21"/>
      <c r="D2205" s="213"/>
      <c r="E2205" s="214"/>
      <c r="F2205" s="215"/>
      <c r="G2205" s="110"/>
      <c r="H2205" s="110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</row>
    <row r="2206">
      <c r="A2206" s="212"/>
      <c r="B2206" s="21"/>
      <c r="C2206" s="21"/>
      <c r="D2206" s="213"/>
      <c r="E2206" s="214"/>
      <c r="F2206" s="215"/>
      <c r="G2206" s="110"/>
      <c r="H2206" s="110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</row>
    <row r="2207">
      <c r="A2207" s="212"/>
      <c r="B2207" s="21"/>
      <c r="C2207" s="21"/>
      <c r="D2207" s="213"/>
      <c r="E2207" s="214"/>
      <c r="F2207" s="215"/>
      <c r="G2207" s="110"/>
      <c r="H2207" s="110"/>
      <c r="I2207" s="124"/>
      <c r="J2207" s="124"/>
      <c r="K2207" s="124"/>
      <c r="L2207" s="124"/>
      <c r="M2207" s="124"/>
      <c r="N2207" s="124"/>
      <c r="O2207" s="124"/>
      <c r="P2207" s="124"/>
      <c r="Q2207" s="124"/>
      <c r="R2207" s="124"/>
      <c r="S2207" s="124"/>
      <c r="T2207" s="124"/>
      <c r="U2207" s="124"/>
      <c r="V2207" s="124"/>
      <c r="W2207" s="124"/>
      <c r="X2207" s="124"/>
      <c r="Y2207" s="124"/>
      <c r="Z2207" s="124"/>
    </row>
    <row r="2208">
      <c r="A2208" s="212"/>
      <c r="B2208" s="21"/>
      <c r="C2208" s="21"/>
      <c r="D2208" s="213"/>
      <c r="E2208" s="214"/>
      <c r="F2208" s="215"/>
      <c r="G2208" s="110"/>
      <c r="H2208" s="110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</row>
    <row r="2209">
      <c r="A2209" s="212"/>
      <c r="B2209" s="21"/>
      <c r="C2209" s="21"/>
      <c r="D2209" s="213"/>
      <c r="E2209" s="214"/>
      <c r="F2209" s="215"/>
      <c r="G2209" s="110"/>
      <c r="H2209" s="110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</row>
    <row r="2210">
      <c r="A2210" s="212"/>
      <c r="B2210" s="21"/>
      <c r="C2210" s="21"/>
      <c r="D2210" s="213"/>
      <c r="E2210" s="214"/>
      <c r="F2210" s="215"/>
      <c r="G2210" s="110"/>
      <c r="H2210" s="110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</row>
    <row r="2211">
      <c r="A2211" s="212"/>
      <c r="B2211" s="21"/>
      <c r="C2211" s="21"/>
      <c r="D2211" s="213"/>
      <c r="E2211" s="214"/>
      <c r="F2211" s="215"/>
      <c r="G2211" s="110"/>
      <c r="H2211" s="110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</row>
    <row r="2212">
      <c r="A2212" s="212"/>
      <c r="B2212" s="21"/>
      <c r="C2212" s="21"/>
      <c r="D2212" s="213"/>
      <c r="E2212" s="214"/>
      <c r="F2212" s="215"/>
      <c r="G2212" s="110"/>
      <c r="H2212" s="110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</row>
    <row r="2213">
      <c r="A2213" s="212"/>
      <c r="B2213" s="21"/>
      <c r="C2213" s="21"/>
      <c r="D2213" s="213"/>
      <c r="E2213" s="214"/>
      <c r="F2213" s="215"/>
      <c r="G2213" s="110"/>
      <c r="H2213" s="110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</row>
    <row r="2214">
      <c r="A2214" s="212"/>
      <c r="B2214" s="21"/>
      <c r="C2214" s="21"/>
      <c r="D2214" s="213"/>
      <c r="E2214" s="214"/>
      <c r="F2214" s="215"/>
      <c r="G2214" s="110"/>
      <c r="H2214" s="110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</row>
    <row r="2215">
      <c r="A2215" s="212"/>
      <c r="B2215" s="21"/>
      <c r="C2215" s="21"/>
      <c r="D2215" s="213"/>
      <c r="E2215" s="214"/>
      <c r="F2215" s="215"/>
      <c r="G2215" s="110"/>
      <c r="H2215" s="110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</row>
    <row r="2216">
      <c r="A2216" s="212"/>
      <c r="B2216" s="21"/>
      <c r="C2216" s="21"/>
      <c r="D2216" s="213"/>
      <c r="E2216" s="214"/>
      <c r="F2216" s="215"/>
      <c r="G2216" s="110"/>
      <c r="H2216" s="110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</row>
    <row r="2217">
      <c r="A2217" s="212"/>
      <c r="B2217" s="21"/>
      <c r="C2217" s="21"/>
      <c r="D2217" s="213"/>
      <c r="E2217" s="214"/>
      <c r="F2217" s="215"/>
      <c r="G2217" s="110"/>
      <c r="H2217" s="110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</row>
    <row r="2218">
      <c r="A2218" s="212"/>
      <c r="B2218" s="21"/>
      <c r="C2218" s="21"/>
      <c r="D2218" s="213"/>
      <c r="E2218" s="214"/>
      <c r="F2218" s="215"/>
      <c r="G2218" s="110"/>
      <c r="H2218" s="110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</row>
    <row r="2219">
      <c r="A2219" s="212"/>
      <c r="B2219" s="21"/>
      <c r="C2219" s="21"/>
      <c r="D2219" s="213"/>
      <c r="E2219" s="214"/>
      <c r="F2219" s="215"/>
      <c r="G2219" s="110"/>
      <c r="H2219" s="110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</row>
    <row r="2220">
      <c r="A2220" s="212"/>
      <c r="B2220" s="21"/>
      <c r="C2220" s="21"/>
      <c r="D2220" s="213"/>
      <c r="E2220" s="214"/>
      <c r="F2220" s="215"/>
      <c r="G2220" s="110"/>
      <c r="H2220" s="110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</row>
    <row r="2221">
      <c r="A2221" s="124"/>
      <c r="B2221" s="125"/>
      <c r="C2221" s="124"/>
      <c r="D2221" s="218"/>
      <c r="E2221" s="219"/>
      <c r="F2221" s="127"/>
      <c r="G2221" s="110"/>
      <c r="H2221" s="110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</row>
    <row r="2222">
      <c r="A2222" s="110"/>
      <c r="B2222" s="110"/>
      <c r="C2222" s="110"/>
      <c r="D2222" s="139"/>
      <c r="E2222" s="110"/>
      <c r="F2222" s="199"/>
      <c r="G2222" s="110"/>
      <c r="H2222" s="110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</row>
    <row r="2223">
      <c r="A2223" s="212"/>
      <c r="B2223" s="21"/>
      <c r="C2223" s="21"/>
      <c r="D2223" s="213"/>
      <c r="E2223" s="214"/>
      <c r="F2223" s="215"/>
      <c r="G2223" s="110"/>
      <c r="H2223" s="110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</row>
    <row r="2224">
      <c r="A2224" s="110"/>
      <c r="B2224" s="110"/>
      <c r="C2224" s="110"/>
      <c r="D2224" s="139"/>
      <c r="E2224" s="110"/>
      <c r="F2224" s="199"/>
      <c r="G2224" s="110"/>
      <c r="H2224" s="110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</row>
    <row r="2225">
      <c r="A2225" s="162"/>
      <c r="B2225" s="162"/>
      <c r="C2225" s="162"/>
      <c r="D2225" s="163"/>
      <c r="E2225" s="164"/>
      <c r="F2225" s="165"/>
      <c r="G2225" s="110"/>
      <c r="H2225" s="110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</row>
    <row r="2226">
      <c r="A2226" s="231"/>
      <c r="B2226" s="24"/>
      <c r="C2226" s="24"/>
      <c r="D2226" s="141"/>
      <c r="E2226" s="180"/>
      <c r="F2226" s="192"/>
      <c r="G2226" s="110"/>
      <c r="H2226" s="110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</row>
    <row r="2227">
      <c r="A2227" s="110"/>
      <c r="B2227" s="110"/>
      <c r="C2227" s="110"/>
      <c r="D2227" s="139"/>
      <c r="E2227" s="110"/>
      <c r="F2227" s="199"/>
      <c r="G2227" s="110"/>
      <c r="H2227" s="110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</row>
    <row r="2228">
      <c r="A2228" s="110"/>
      <c r="B2228" s="110"/>
      <c r="C2228" s="110"/>
      <c r="D2228" s="139"/>
      <c r="E2228" s="110"/>
      <c r="F2228" s="199"/>
      <c r="G2228" s="110"/>
      <c r="H2228" s="110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</row>
    <row r="2229">
      <c r="A2229" s="110"/>
      <c r="B2229" s="110"/>
      <c r="C2229" s="110"/>
      <c r="D2229" s="139"/>
      <c r="E2229" s="110"/>
      <c r="F2229" s="199"/>
      <c r="G2229" s="110"/>
      <c r="H2229" s="110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</row>
    <row r="2230">
      <c r="A2230" s="162"/>
      <c r="B2230" s="162"/>
      <c r="C2230" s="162"/>
      <c r="D2230" s="163"/>
      <c r="E2230" s="164"/>
      <c r="F2230" s="165"/>
      <c r="G2230" s="110"/>
      <c r="H2230" s="110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</row>
    <row r="2231">
      <c r="A2231" s="212"/>
      <c r="B2231" s="21"/>
      <c r="C2231" s="21"/>
      <c r="D2231" s="213"/>
      <c r="E2231" s="214"/>
      <c r="F2231" s="215"/>
      <c r="G2231" s="110"/>
      <c r="H2231" s="110"/>
      <c r="I2231" s="124"/>
      <c r="J2231" s="124"/>
      <c r="K2231" s="124"/>
      <c r="L2231" s="124"/>
      <c r="M2231" s="124"/>
      <c r="N2231" s="124"/>
      <c r="O2231" s="124"/>
      <c r="P2231" s="124"/>
      <c r="Q2231" s="124"/>
      <c r="R2231" s="124"/>
      <c r="S2231" s="124"/>
      <c r="T2231" s="124"/>
      <c r="U2231" s="124"/>
      <c r="V2231" s="124"/>
      <c r="W2231" s="124"/>
      <c r="X2231" s="124"/>
      <c r="Y2231" s="124"/>
      <c r="Z2231" s="124"/>
    </row>
    <row r="2232">
      <c r="A2232" s="212"/>
      <c r="B2232" s="21"/>
      <c r="C2232" s="21"/>
      <c r="D2232" s="213"/>
      <c r="E2232" s="214"/>
      <c r="F2232" s="215"/>
      <c r="G2232" s="110"/>
      <c r="H2232" s="110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</row>
    <row r="2233">
      <c r="A2233" s="212"/>
      <c r="B2233" s="21"/>
      <c r="C2233" s="21"/>
      <c r="D2233" s="213"/>
      <c r="E2233" s="214"/>
      <c r="F2233" s="215"/>
      <c r="G2233" s="110"/>
      <c r="H2233" s="110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</row>
    <row r="2234">
      <c r="A2234" s="212"/>
      <c r="B2234" s="21"/>
      <c r="C2234" s="21"/>
      <c r="D2234" s="213"/>
      <c r="E2234" s="214"/>
      <c r="F2234" s="215"/>
      <c r="G2234" s="110"/>
      <c r="H2234" s="110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</row>
    <row r="2235">
      <c r="A2235" s="212"/>
      <c r="B2235" s="21"/>
      <c r="C2235" s="21"/>
      <c r="D2235" s="213"/>
      <c r="E2235" s="214"/>
      <c r="F2235" s="215"/>
      <c r="G2235" s="110"/>
      <c r="H2235" s="110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</row>
    <row r="2236">
      <c r="A2236" s="212"/>
      <c r="B2236" s="21"/>
      <c r="C2236" s="21"/>
      <c r="D2236" s="213"/>
      <c r="E2236" s="214"/>
      <c r="F2236" s="215"/>
      <c r="G2236" s="110"/>
      <c r="H2236" s="110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</row>
    <row r="2237">
      <c r="A2237" s="212"/>
      <c r="B2237" s="21"/>
      <c r="C2237" s="21"/>
      <c r="D2237" s="213"/>
      <c r="E2237" s="214"/>
      <c r="F2237" s="215"/>
      <c r="G2237" s="110"/>
      <c r="H2237" s="110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</row>
    <row r="2238">
      <c r="A2238" s="212"/>
      <c r="B2238" s="21"/>
      <c r="C2238" s="21"/>
      <c r="D2238" s="213"/>
      <c r="E2238" s="214"/>
      <c r="F2238" s="215"/>
      <c r="G2238" s="110"/>
      <c r="H2238" s="110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</row>
    <row r="2239">
      <c r="A2239" s="212"/>
      <c r="B2239" s="21"/>
      <c r="C2239" s="21"/>
      <c r="D2239" s="213"/>
      <c r="E2239" s="214"/>
      <c r="F2239" s="215"/>
      <c r="G2239" s="110"/>
      <c r="H2239" s="110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</row>
    <row r="2240">
      <c r="A2240" s="212"/>
      <c r="B2240" s="21"/>
      <c r="C2240" s="21"/>
      <c r="D2240" s="213"/>
      <c r="E2240" s="214"/>
      <c r="F2240" s="215"/>
      <c r="G2240" s="110"/>
      <c r="H2240" s="110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</row>
    <row r="2241">
      <c r="A2241" s="212"/>
      <c r="B2241" s="21"/>
      <c r="C2241" s="21"/>
      <c r="D2241" s="213"/>
      <c r="E2241" s="214"/>
      <c r="F2241" s="215"/>
      <c r="G2241" s="110"/>
      <c r="H2241" s="110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</row>
    <row r="2242">
      <c r="A2242" s="212"/>
      <c r="B2242" s="21"/>
      <c r="C2242" s="21"/>
      <c r="D2242" s="213"/>
      <c r="E2242" s="214"/>
      <c r="F2242" s="215"/>
      <c r="G2242" s="110"/>
      <c r="H2242" s="110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</row>
    <row r="2243">
      <c r="A2243" s="212"/>
      <c r="B2243" s="21"/>
      <c r="C2243" s="21"/>
      <c r="D2243" s="213"/>
      <c r="E2243" s="214"/>
      <c r="F2243" s="215"/>
      <c r="G2243" s="110"/>
      <c r="H2243" s="110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</row>
    <row r="2244">
      <c r="A2244" s="212"/>
      <c r="B2244" s="21"/>
      <c r="C2244" s="21"/>
      <c r="D2244" s="213"/>
      <c r="E2244" s="214"/>
      <c r="F2244" s="215"/>
      <c r="G2244" s="110"/>
      <c r="H2244" s="110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</row>
    <row r="2245">
      <c r="A2245" s="124"/>
      <c r="B2245" s="125"/>
      <c r="C2245" s="124"/>
      <c r="D2245" s="218"/>
      <c r="E2245" s="219"/>
      <c r="F2245" s="127"/>
      <c r="G2245" s="110"/>
      <c r="H2245" s="110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</row>
    <row r="2246">
      <c r="A2246" s="124"/>
      <c r="B2246" s="125"/>
      <c r="C2246" s="124"/>
      <c r="D2246" s="218"/>
      <c r="E2246" s="219"/>
      <c r="F2246" s="127"/>
      <c r="G2246" s="133"/>
      <c r="H2246" s="133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</row>
    <row r="2247">
      <c r="A2247" s="110"/>
      <c r="B2247" s="110"/>
      <c r="C2247" s="110"/>
      <c r="D2247" s="139"/>
      <c r="E2247" s="110"/>
      <c r="F2247" s="199"/>
      <c r="G2247" s="110"/>
      <c r="H2247" s="110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</row>
    <row r="2248">
      <c r="A2248" s="162"/>
      <c r="B2248" s="162"/>
      <c r="C2248" s="162"/>
      <c r="D2248" s="163"/>
      <c r="E2248" s="164"/>
      <c r="F2248" s="165"/>
      <c r="G2248" s="110"/>
      <c r="H2248" s="110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</row>
    <row r="2249">
      <c r="A2249" s="212"/>
      <c r="B2249" s="21"/>
      <c r="C2249" s="21"/>
      <c r="D2249" s="233"/>
      <c r="E2249" s="214"/>
      <c r="F2249" s="234"/>
      <c r="G2249" s="110"/>
      <c r="H2249" s="110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</row>
    <row r="2250">
      <c r="A2250" s="212"/>
      <c r="B2250" s="21"/>
      <c r="C2250" s="21"/>
      <c r="D2250" s="233"/>
      <c r="E2250" s="214"/>
      <c r="F2250" s="234"/>
      <c r="G2250" s="110"/>
      <c r="H2250" s="110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</row>
    <row r="2251">
      <c r="A2251" s="212"/>
      <c r="B2251" s="21"/>
      <c r="C2251" s="21"/>
      <c r="D2251" s="233"/>
      <c r="E2251" s="214"/>
      <c r="F2251" s="234"/>
      <c r="G2251" s="110"/>
      <c r="H2251" s="110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</row>
    <row r="2252">
      <c r="A2252" s="212"/>
      <c r="B2252" s="21"/>
      <c r="C2252" s="21"/>
      <c r="D2252" s="233"/>
      <c r="E2252" s="214"/>
      <c r="F2252" s="234"/>
      <c r="G2252" s="110"/>
      <c r="H2252" s="110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</row>
    <row r="2253">
      <c r="A2253" s="124"/>
      <c r="B2253" s="125"/>
      <c r="C2253" s="124"/>
      <c r="D2253" s="218"/>
      <c r="E2253" s="219"/>
      <c r="F2253" s="127"/>
      <c r="G2253" s="110"/>
      <c r="H2253" s="110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</row>
    <row r="2254">
      <c r="A2254" s="110"/>
      <c r="B2254" s="110"/>
      <c r="C2254" s="110"/>
      <c r="D2254" s="139"/>
      <c r="E2254" s="110"/>
      <c r="F2254" s="199"/>
      <c r="G2254" s="110"/>
      <c r="H2254" s="110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</row>
    <row r="2255">
      <c r="A2255" s="110"/>
      <c r="B2255" s="110"/>
      <c r="C2255" s="110"/>
      <c r="D2255" s="139"/>
      <c r="E2255" s="110"/>
      <c r="F2255" s="199"/>
      <c r="G2255" s="110"/>
      <c r="H2255" s="110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</row>
    <row r="2256">
      <c r="A2256" s="162"/>
      <c r="B2256" s="162"/>
      <c r="C2256" s="162"/>
      <c r="D2256" s="163"/>
      <c r="E2256" s="164"/>
      <c r="F2256" s="165"/>
      <c r="G2256" s="110"/>
      <c r="H2256" s="110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</row>
    <row r="2257">
      <c r="A2257" s="212"/>
      <c r="B2257" s="21"/>
      <c r="C2257" s="21"/>
      <c r="D2257" s="233"/>
      <c r="E2257" s="214"/>
      <c r="F2257" s="234"/>
      <c r="G2257" s="110"/>
      <c r="H2257" s="110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</row>
    <row r="2258">
      <c r="A2258" s="212"/>
      <c r="B2258" s="21"/>
      <c r="C2258" s="21"/>
      <c r="D2258" s="233"/>
      <c r="E2258" s="214"/>
      <c r="F2258" s="234"/>
      <c r="G2258" s="110"/>
      <c r="H2258" s="110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</row>
    <row r="2259">
      <c r="A2259" s="212"/>
      <c r="B2259" s="21"/>
      <c r="C2259" s="21"/>
      <c r="D2259" s="233"/>
      <c r="E2259" s="214"/>
      <c r="F2259" s="234"/>
      <c r="G2259" s="110"/>
      <c r="H2259" s="110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</row>
    <row r="2260">
      <c r="A2260" s="212"/>
      <c r="B2260" s="21"/>
      <c r="C2260" s="21"/>
      <c r="D2260" s="233"/>
      <c r="E2260" s="214"/>
      <c r="F2260" s="234"/>
      <c r="G2260" s="110"/>
      <c r="H2260" s="110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</row>
    <row r="2261">
      <c r="A2261" s="212"/>
      <c r="B2261" s="21"/>
      <c r="C2261" s="21"/>
      <c r="D2261" s="233"/>
      <c r="E2261" s="214"/>
      <c r="F2261" s="234"/>
      <c r="G2261" s="110"/>
      <c r="H2261" s="110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</row>
    <row r="2262">
      <c r="A2262" s="212"/>
      <c r="B2262" s="21"/>
      <c r="C2262" s="21"/>
      <c r="D2262" s="233"/>
      <c r="E2262" s="214"/>
      <c r="F2262" s="234"/>
      <c r="G2262" s="110"/>
      <c r="H2262" s="110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</row>
    <row r="2263">
      <c r="A2263" s="212"/>
      <c r="B2263" s="21"/>
      <c r="C2263" s="21"/>
      <c r="D2263" s="233"/>
      <c r="E2263" s="214"/>
      <c r="F2263" s="234"/>
      <c r="G2263" s="110"/>
      <c r="H2263" s="110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</row>
    <row r="2264">
      <c r="A2264" s="212"/>
      <c r="B2264" s="21"/>
      <c r="C2264" s="21"/>
      <c r="D2264" s="233"/>
      <c r="E2264" s="214"/>
      <c r="F2264" s="234"/>
      <c r="G2264" s="110"/>
      <c r="H2264" s="110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</row>
    <row r="2265">
      <c r="A2265" s="212"/>
      <c r="B2265" s="21"/>
      <c r="C2265" s="21"/>
      <c r="D2265" s="233"/>
      <c r="E2265" s="214"/>
      <c r="F2265" s="234"/>
      <c r="G2265" s="110"/>
      <c r="H2265" s="110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</row>
    <row r="2266">
      <c r="A2266" s="212"/>
      <c r="B2266" s="21"/>
      <c r="C2266" s="21"/>
      <c r="D2266" s="233"/>
      <c r="E2266" s="214"/>
      <c r="F2266" s="234"/>
      <c r="G2266" s="110"/>
      <c r="H2266" s="110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</row>
    <row r="2267">
      <c r="A2267" s="212"/>
      <c r="B2267" s="21"/>
      <c r="C2267" s="21"/>
      <c r="D2267" s="233"/>
      <c r="E2267" s="214"/>
      <c r="F2267" s="234"/>
      <c r="G2267" s="110"/>
      <c r="H2267" s="110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</row>
    <row r="2268">
      <c r="A2268" s="212"/>
      <c r="B2268" s="21"/>
      <c r="C2268" s="21"/>
      <c r="D2268" s="233"/>
      <c r="E2268" s="214"/>
      <c r="F2268" s="234"/>
      <c r="G2268" s="110"/>
      <c r="H2268" s="110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</row>
    <row r="2269">
      <c r="A2269" s="212"/>
      <c r="B2269" s="21"/>
      <c r="C2269" s="21"/>
      <c r="D2269" s="233"/>
      <c r="E2269" s="214"/>
      <c r="F2269" s="234"/>
      <c r="G2269" s="110"/>
      <c r="H2269" s="110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</row>
    <row r="2270">
      <c r="A2270" s="212"/>
      <c r="B2270" s="21"/>
      <c r="C2270" s="21"/>
      <c r="D2270" s="233"/>
      <c r="E2270" s="214"/>
      <c r="F2270" s="234"/>
      <c r="G2270" s="110"/>
      <c r="H2270" s="110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</row>
    <row r="2271">
      <c r="A2271" s="212"/>
      <c r="B2271" s="21"/>
      <c r="C2271" s="21"/>
      <c r="D2271" s="233"/>
      <c r="E2271" s="214"/>
      <c r="F2271" s="234"/>
      <c r="G2271" s="110"/>
      <c r="H2271" s="110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</row>
    <row r="2272">
      <c r="A2272" s="212"/>
      <c r="B2272" s="21"/>
      <c r="C2272" s="21"/>
      <c r="D2272" s="233"/>
      <c r="E2272" s="214"/>
      <c r="F2272" s="234"/>
      <c r="G2272" s="110"/>
      <c r="H2272" s="110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</row>
    <row r="2273">
      <c r="A2273" s="212"/>
      <c r="B2273" s="21"/>
      <c r="C2273" s="21"/>
      <c r="D2273" s="233"/>
      <c r="E2273" s="214"/>
      <c r="F2273" s="234"/>
      <c r="G2273" s="110"/>
      <c r="H2273" s="110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</row>
    <row r="2274">
      <c r="A2274" s="212"/>
      <c r="B2274" s="21"/>
      <c r="C2274" s="21"/>
      <c r="D2274" s="233"/>
      <c r="E2274" s="214"/>
      <c r="F2274" s="234"/>
      <c r="G2274" s="110"/>
      <c r="H2274" s="110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</row>
    <row r="2275">
      <c r="A2275" s="212"/>
      <c r="B2275" s="21"/>
      <c r="C2275" s="21"/>
      <c r="D2275" s="233"/>
      <c r="E2275" s="214"/>
      <c r="F2275" s="234"/>
      <c r="G2275" s="110"/>
      <c r="H2275" s="110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</row>
    <row r="2276">
      <c r="A2276" s="212"/>
      <c r="B2276" s="21"/>
      <c r="C2276" s="21"/>
      <c r="D2276" s="233"/>
      <c r="E2276" s="214"/>
      <c r="F2276" s="234"/>
      <c r="G2276" s="110"/>
      <c r="H2276" s="110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</row>
    <row r="2277">
      <c r="A2277" s="212"/>
      <c r="B2277" s="21"/>
      <c r="C2277" s="21"/>
      <c r="D2277" s="233"/>
      <c r="E2277" s="214"/>
      <c r="F2277" s="234"/>
      <c r="G2277" s="110"/>
      <c r="H2277" s="110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</row>
    <row r="2278">
      <c r="A2278" s="212"/>
      <c r="B2278" s="21"/>
      <c r="C2278" s="21"/>
      <c r="D2278" s="233"/>
      <c r="E2278" s="214"/>
      <c r="F2278" s="234"/>
      <c r="G2278" s="110"/>
      <c r="H2278" s="110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</row>
    <row r="2279">
      <c r="A2279" s="212"/>
      <c r="B2279" s="21"/>
      <c r="C2279" s="21"/>
      <c r="D2279" s="233"/>
      <c r="E2279" s="214"/>
      <c r="F2279" s="234"/>
      <c r="G2279" s="110"/>
      <c r="H2279" s="110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</row>
    <row r="2280">
      <c r="A2280" s="212"/>
      <c r="B2280" s="21"/>
      <c r="C2280" s="21"/>
      <c r="D2280" s="233"/>
      <c r="E2280" s="214"/>
      <c r="F2280" s="234"/>
      <c r="G2280" s="110"/>
      <c r="H2280" s="110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</row>
    <row r="2281">
      <c r="A2281" s="212"/>
      <c r="B2281" s="21"/>
      <c r="C2281" s="21"/>
      <c r="D2281" s="233"/>
      <c r="E2281" s="214"/>
      <c r="F2281" s="234"/>
      <c r="G2281" s="110"/>
      <c r="H2281" s="110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</row>
    <row r="2282">
      <c r="A2282" s="231"/>
      <c r="B2282" s="21"/>
      <c r="C2282" s="21"/>
      <c r="D2282" s="213"/>
      <c r="E2282" s="214"/>
      <c r="F2282" s="215"/>
      <c r="G2282" s="110"/>
      <c r="H2282" s="110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</row>
    <row r="2283">
      <c r="A2283" s="231"/>
      <c r="B2283" s="21"/>
      <c r="C2283" s="21"/>
      <c r="D2283" s="213"/>
      <c r="E2283" s="214"/>
      <c r="F2283" s="215"/>
      <c r="G2283" s="110"/>
      <c r="H2283" s="110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</row>
    <row r="2284">
      <c r="A2284" s="231"/>
      <c r="B2284" s="21"/>
      <c r="C2284" s="21"/>
      <c r="D2284" s="213"/>
      <c r="E2284" s="214"/>
      <c r="F2284" s="215"/>
      <c r="G2284" s="110"/>
      <c r="H2284" s="110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</row>
    <row r="2285">
      <c r="A2285" s="231"/>
      <c r="B2285" s="21"/>
      <c r="C2285" s="21"/>
      <c r="D2285" s="213"/>
      <c r="E2285" s="214"/>
      <c r="F2285" s="215"/>
      <c r="G2285" s="110"/>
      <c r="H2285" s="110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</row>
    <row r="2286">
      <c r="A2286" s="231"/>
      <c r="B2286" s="21"/>
      <c r="C2286" s="21"/>
      <c r="D2286" s="213"/>
      <c r="E2286" s="214"/>
      <c r="F2286" s="215"/>
      <c r="G2286" s="110"/>
      <c r="H2286" s="110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</row>
    <row r="2287">
      <c r="A2287" s="231"/>
      <c r="B2287" s="21"/>
      <c r="C2287" s="21"/>
      <c r="D2287" s="213"/>
      <c r="E2287" s="214"/>
      <c r="F2287" s="215"/>
      <c r="G2287" s="110"/>
      <c r="H2287" s="110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</row>
    <row r="2288">
      <c r="A2288" s="231"/>
      <c r="B2288" s="21"/>
      <c r="C2288" s="21"/>
      <c r="D2288" s="213"/>
      <c r="E2288" s="214"/>
      <c r="F2288" s="215"/>
      <c r="G2288" s="110"/>
      <c r="H2288" s="110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</row>
    <row r="2289">
      <c r="A2289" s="231"/>
      <c r="B2289" s="21"/>
      <c r="C2289" s="21"/>
      <c r="D2289" s="213"/>
      <c r="E2289" s="214"/>
      <c r="F2289" s="215"/>
      <c r="G2289" s="110"/>
      <c r="H2289" s="110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</row>
    <row r="2290">
      <c r="A2290" s="231"/>
      <c r="B2290" s="21"/>
      <c r="C2290" s="21"/>
      <c r="D2290" s="213"/>
      <c r="E2290" s="214"/>
      <c r="F2290" s="215"/>
      <c r="G2290" s="110"/>
      <c r="H2290" s="110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</row>
    <row r="2291">
      <c r="A2291" s="231"/>
      <c r="B2291" s="21"/>
      <c r="C2291" s="21"/>
      <c r="D2291" s="213"/>
      <c r="E2291" s="214"/>
      <c r="F2291" s="215"/>
      <c r="G2291" s="110"/>
      <c r="H2291" s="110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</row>
    <row r="2292">
      <c r="A2292" s="231"/>
      <c r="B2292" s="21"/>
      <c r="C2292" s="21"/>
      <c r="D2292" s="213"/>
      <c r="E2292" s="214"/>
      <c r="F2292" s="215"/>
      <c r="G2292" s="110"/>
      <c r="H2292" s="110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</row>
    <row r="2293">
      <c r="A2293" s="231"/>
      <c r="B2293" s="21"/>
      <c r="C2293" s="21"/>
      <c r="D2293" s="213"/>
      <c r="E2293" s="214"/>
      <c r="F2293" s="215"/>
      <c r="G2293" s="110"/>
      <c r="H2293" s="110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</row>
    <row r="2294">
      <c r="A2294" s="231"/>
      <c r="B2294" s="21"/>
      <c r="C2294" s="21"/>
      <c r="D2294" s="213"/>
      <c r="E2294" s="214"/>
      <c r="F2294" s="215"/>
      <c r="G2294" s="110"/>
      <c r="H2294" s="110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</row>
    <row r="2295">
      <c r="A2295" s="231"/>
      <c r="B2295" s="21"/>
      <c r="C2295" s="21"/>
      <c r="D2295" s="213"/>
      <c r="E2295" s="214"/>
      <c r="F2295" s="215"/>
      <c r="G2295" s="110"/>
      <c r="H2295" s="110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</row>
    <row r="2296">
      <c r="A2296" s="231"/>
      <c r="B2296" s="21"/>
      <c r="C2296" s="21"/>
      <c r="D2296" s="213"/>
      <c r="E2296" s="214"/>
      <c r="F2296" s="215"/>
      <c r="G2296" s="110"/>
      <c r="H2296" s="110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</row>
    <row r="2297">
      <c r="A2297" s="231"/>
      <c r="B2297" s="21"/>
      <c r="C2297" s="21"/>
      <c r="D2297" s="213"/>
      <c r="E2297" s="214"/>
      <c r="F2297" s="215"/>
      <c r="G2297" s="110"/>
      <c r="H2297" s="110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</row>
    <row r="2298">
      <c r="A2298" s="231"/>
      <c r="B2298" s="21"/>
      <c r="C2298" s="21"/>
      <c r="D2298" s="213"/>
      <c r="E2298" s="214"/>
      <c r="F2298" s="215"/>
      <c r="G2298" s="110"/>
      <c r="H2298" s="110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</row>
    <row r="2299">
      <c r="A2299" s="231"/>
      <c r="B2299" s="21"/>
      <c r="C2299" s="21"/>
      <c r="D2299" s="213"/>
      <c r="E2299" s="214"/>
      <c r="F2299" s="215"/>
      <c r="G2299" s="110"/>
      <c r="H2299" s="110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</row>
    <row r="2300">
      <c r="A2300" s="231"/>
      <c r="B2300" s="21"/>
      <c r="C2300" s="21"/>
      <c r="D2300" s="213"/>
      <c r="E2300" s="214"/>
      <c r="F2300" s="215"/>
      <c r="G2300" s="110"/>
      <c r="H2300" s="110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</row>
    <row r="2301">
      <c r="A2301" s="231"/>
      <c r="B2301" s="21"/>
      <c r="C2301" s="21"/>
      <c r="D2301" s="213"/>
      <c r="E2301" s="214"/>
      <c r="F2301" s="215"/>
      <c r="G2301" s="110"/>
      <c r="H2301" s="110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</row>
    <row r="2302">
      <c r="A2302" s="231"/>
      <c r="B2302" s="21"/>
      <c r="C2302" s="21"/>
      <c r="D2302" s="213"/>
      <c r="E2302" s="214"/>
      <c r="F2302" s="215"/>
      <c r="G2302" s="110"/>
      <c r="H2302" s="110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</row>
    <row r="2303">
      <c r="A2303" s="231"/>
      <c r="B2303" s="21"/>
      <c r="C2303" s="21"/>
      <c r="D2303" s="213"/>
      <c r="E2303" s="214"/>
      <c r="F2303" s="215"/>
      <c r="G2303" s="110"/>
      <c r="H2303" s="110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</row>
    <row r="2304">
      <c r="A2304" s="231"/>
      <c r="B2304" s="21"/>
      <c r="C2304" s="21"/>
      <c r="D2304" s="213"/>
      <c r="E2304" s="214"/>
      <c r="F2304" s="215"/>
      <c r="G2304" s="110"/>
      <c r="H2304" s="110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</row>
    <row r="2305">
      <c r="A2305" s="231"/>
      <c r="B2305" s="21"/>
      <c r="C2305" s="21"/>
      <c r="D2305" s="213"/>
      <c r="E2305" s="214"/>
      <c r="F2305" s="215"/>
      <c r="G2305" s="110"/>
      <c r="H2305" s="110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</row>
    <row r="2306">
      <c r="A2306" s="231"/>
      <c r="B2306" s="21"/>
      <c r="C2306" s="21"/>
      <c r="D2306" s="213"/>
      <c r="E2306" s="214"/>
      <c r="F2306" s="215"/>
      <c r="G2306" s="110"/>
      <c r="H2306" s="110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</row>
    <row r="2307">
      <c r="A2307" s="231"/>
      <c r="B2307" s="21"/>
      <c r="C2307" s="21"/>
      <c r="D2307" s="213"/>
      <c r="E2307" s="214"/>
      <c r="F2307" s="215"/>
      <c r="G2307" s="110"/>
      <c r="H2307" s="110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</row>
    <row r="2308">
      <c r="A2308" s="231"/>
      <c r="B2308" s="21"/>
      <c r="C2308" s="21"/>
      <c r="D2308" s="213"/>
      <c r="E2308" s="214"/>
      <c r="F2308" s="215"/>
      <c r="G2308" s="110"/>
      <c r="H2308" s="110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</row>
    <row r="2309">
      <c r="A2309" s="231"/>
      <c r="B2309" s="21"/>
      <c r="C2309" s="21"/>
      <c r="D2309" s="213"/>
      <c r="E2309" s="214"/>
      <c r="F2309" s="215"/>
      <c r="G2309" s="110"/>
      <c r="H2309" s="110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</row>
    <row r="2310">
      <c r="A2310" s="231"/>
      <c r="B2310" s="21"/>
      <c r="C2310" s="21"/>
      <c r="D2310" s="213"/>
      <c r="E2310" s="214"/>
      <c r="F2310" s="215"/>
      <c r="G2310" s="110"/>
      <c r="H2310" s="110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</row>
    <row r="2311">
      <c r="A2311" s="231"/>
      <c r="B2311" s="21"/>
      <c r="C2311" s="21"/>
      <c r="D2311" s="213"/>
      <c r="E2311" s="214"/>
      <c r="F2311" s="215"/>
      <c r="G2311" s="110"/>
      <c r="H2311" s="110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</row>
    <row r="2312">
      <c r="A2312" s="231"/>
      <c r="B2312" s="21"/>
      <c r="C2312" s="21"/>
      <c r="D2312" s="213"/>
      <c r="E2312" s="214"/>
      <c r="F2312" s="215"/>
      <c r="G2312" s="110"/>
      <c r="H2312" s="110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</row>
    <row r="2313">
      <c r="A2313" s="231"/>
      <c r="B2313" s="21"/>
      <c r="C2313" s="21"/>
      <c r="D2313" s="213"/>
      <c r="E2313" s="214"/>
      <c r="F2313" s="215"/>
      <c r="G2313" s="110"/>
      <c r="H2313" s="110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</row>
    <row r="2314">
      <c r="A2314" s="231"/>
      <c r="B2314" s="21"/>
      <c r="C2314" s="21"/>
      <c r="D2314" s="213"/>
      <c r="E2314" s="214"/>
      <c r="F2314" s="215"/>
      <c r="G2314" s="110"/>
      <c r="H2314" s="110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</row>
    <row r="2315">
      <c r="A2315" s="231"/>
      <c r="B2315" s="21"/>
      <c r="C2315" s="21"/>
      <c r="D2315" s="213"/>
      <c r="E2315" s="214"/>
      <c r="F2315" s="215"/>
      <c r="G2315" s="110"/>
      <c r="H2315" s="110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</row>
    <row r="2316">
      <c r="A2316" s="231"/>
      <c r="B2316" s="21"/>
      <c r="C2316" s="21"/>
      <c r="D2316" s="213"/>
      <c r="E2316" s="214"/>
      <c r="F2316" s="215"/>
      <c r="G2316" s="110"/>
      <c r="H2316" s="110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</row>
    <row r="2317">
      <c r="A2317" s="231"/>
      <c r="B2317" s="21"/>
      <c r="C2317" s="21"/>
      <c r="D2317" s="213"/>
      <c r="E2317" s="214"/>
      <c r="F2317" s="215"/>
      <c r="G2317" s="110"/>
      <c r="H2317" s="110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</row>
    <row r="2318">
      <c r="A2318" s="231"/>
      <c r="B2318" s="21"/>
      <c r="C2318" s="21"/>
      <c r="D2318" s="213"/>
      <c r="E2318" s="214"/>
      <c r="F2318" s="215"/>
      <c r="G2318" s="110"/>
      <c r="H2318" s="110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</row>
    <row r="2319">
      <c r="A2319" s="231"/>
      <c r="B2319" s="21"/>
      <c r="C2319" s="21"/>
      <c r="D2319" s="213"/>
      <c r="E2319" s="214"/>
      <c r="F2319" s="215"/>
      <c r="G2319" s="110"/>
      <c r="H2319" s="110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</row>
    <row r="2320">
      <c r="A2320" s="231"/>
      <c r="B2320" s="21"/>
      <c r="C2320" s="21"/>
      <c r="D2320" s="213"/>
      <c r="E2320" s="214"/>
      <c r="F2320" s="215"/>
      <c r="G2320" s="110"/>
      <c r="H2320" s="110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</row>
    <row r="2321">
      <c r="A2321" s="231"/>
      <c r="B2321" s="21"/>
      <c r="C2321" s="21"/>
      <c r="D2321" s="213"/>
      <c r="E2321" s="214"/>
      <c r="F2321" s="215"/>
      <c r="G2321" s="110"/>
      <c r="H2321" s="110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</row>
    <row r="2322">
      <c r="A2322" s="231"/>
      <c r="B2322" s="21"/>
      <c r="C2322" s="21"/>
      <c r="D2322" s="213"/>
      <c r="E2322" s="214"/>
      <c r="F2322" s="215"/>
      <c r="G2322" s="110"/>
      <c r="H2322" s="110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</row>
    <row r="2323">
      <c r="A2323" s="231"/>
      <c r="B2323" s="21"/>
      <c r="C2323" s="21"/>
      <c r="D2323" s="213"/>
      <c r="E2323" s="214"/>
      <c r="F2323" s="215"/>
      <c r="G2323" s="110"/>
      <c r="H2323" s="110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</row>
    <row r="2324">
      <c r="A2324" s="231"/>
      <c r="B2324" s="21"/>
      <c r="C2324" s="21"/>
      <c r="D2324" s="213"/>
      <c r="E2324" s="214"/>
      <c r="F2324" s="215"/>
      <c r="G2324" s="110"/>
      <c r="H2324" s="110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</row>
    <row r="2325">
      <c r="A2325" s="124"/>
      <c r="B2325" s="125"/>
      <c r="C2325" s="124"/>
      <c r="D2325" s="218"/>
      <c r="E2325" s="219"/>
      <c r="F2325" s="127"/>
      <c r="G2325" s="110"/>
      <c r="H2325" s="110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</row>
    <row r="2326">
      <c r="A2326" s="110"/>
      <c r="B2326" s="110"/>
      <c r="C2326" s="110"/>
      <c r="D2326" s="139"/>
      <c r="E2326" s="110"/>
      <c r="F2326" s="199"/>
      <c r="G2326" s="110"/>
      <c r="H2326" s="110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</row>
    <row r="2327">
      <c r="A2327" s="110"/>
      <c r="B2327" s="110"/>
      <c r="C2327" s="110"/>
      <c r="D2327" s="139"/>
      <c r="E2327" s="110"/>
      <c r="F2327" s="199"/>
      <c r="G2327" s="110"/>
      <c r="H2327" s="110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</row>
    <row r="2328">
      <c r="A2328" s="110"/>
      <c r="B2328" s="110"/>
      <c r="C2328" s="110"/>
      <c r="D2328" s="139"/>
      <c r="E2328" s="110"/>
      <c r="F2328" s="199"/>
      <c r="G2328" s="110"/>
      <c r="H2328" s="110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</row>
    <row r="2329">
      <c r="A2329" s="110"/>
      <c r="B2329" s="110"/>
      <c r="C2329" s="110"/>
      <c r="D2329" s="139"/>
      <c r="E2329" s="110"/>
      <c r="F2329" s="199"/>
      <c r="G2329" s="110"/>
      <c r="H2329" s="110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</row>
    <row r="2330">
      <c r="A2330" s="162"/>
      <c r="B2330" s="162"/>
      <c r="C2330" s="162"/>
      <c r="D2330" s="163"/>
      <c r="E2330" s="164"/>
      <c r="F2330" s="165"/>
      <c r="G2330" s="110"/>
      <c r="H2330" s="110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</row>
    <row r="2331">
      <c r="A2331" s="231"/>
      <c r="B2331" s="24"/>
      <c r="C2331" s="24"/>
      <c r="D2331" s="213"/>
      <c r="E2331" s="180"/>
      <c r="F2331" s="215"/>
      <c r="G2331" s="110"/>
      <c r="H2331" s="110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</row>
    <row r="2332">
      <c r="A2332" s="231"/>
      <c r="B2332" s="21"/>
      <c r="C2332" s="21"/>
      <c r="D2332" s="213"/>
      <c r="E2332" s="214"/>
      <c r="F2332" s="215"/>
      <c r="G2332" s="110"/>
      <c r="H2332" s="110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</row>
    <row r="2333">
      <c r="A2333" s="231"/>
      <c r="B2333" s="21"/>
      <c r="C2333" s="21"/>
      <c r="D2333" s="213"/>
      <c r="E2333" s="214"/>
      <c r="F2333" s="215"/>
      <c r="G2333" s="110"/>
      <c r="H2333" s="110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</row>
    <row r="2334">
      <c r="A2334" s="124"/>
      <c r="B2334" s="125"/>
      <c r="C2334" s="124"/>
      <c r="D2334" s="218"/>
      <c r="E2334" s="219"/>
      <c r="F2334" s="127"/>
      <c r="G2334" s="110"/>
      <c r="H2334" s="110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</row>
    <row r="2335">
      <c r="A2335" s="110"/>
      <c r="B2335" s="110"/>
      <c r="C2335" s="110"/>
      <c r="D2335" s="139"/>
      <c r="E2335" s="110"/>
      <c r="F2335" s="199"/>
      <c r="G2335" s="110"/>
      <c r="H2335" s="110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</row>
    <row r="2336">
      <c r="A2336" s="110"/>
      <c r="B2336" s="110"/>
      <c r="C2336" s="110"/>
      <c r="D2336" s="139"/>
      <c r="E2336" s="110"/>
      <c r="F2336" s="199"/>
      <c r="G2336" s="110"/>
      <c r="H2336" s="110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</row>
    <row r="2337">
      <c r="A2337" s="110"/>
      <c r="B2337" s="110"/>
      <c r="C2337" s="110"/>
      <c r="D2337" s="139"/>
      <c r="E2337" s="110"/>
      <c r="F2337" s="199"/>
      <c r="G2337" s="110"/>
      <c r="H2337" s="110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</row>
    <row r="2338">
      <c r="A2338" s="162"/>
      <c r="B2338" s="162"/>
      <c r="C2338" s="162"/>
      <c r="D2338" s="163"/>
      <c r="E2338" s="164"/>
      <c r="F2338" s="165"/>
      <c r="G2338" s="110"/>
      <c r="H2338" s="110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</row>
    <row r="2339">
      <c r="A2339" s="231"/>
      <c r="B2339" s="21"/>
      <c r="C2339" s="21"/>
      <c r="D2339" s="213"/>
      <c r="E2339" s="214"/>
      <c r="F2339" s="215"/>
      <c r="G2339" s="110"/>
      <c r="H2339" s="110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</row>
    <row r="2340">
      <c r="A2340" s="231"/>
      <c r="B2340" s="21"/>
      <c r="C2340" s="21"/>
      <c r="D2340" s="213"/>
      <c r="E2340" s="214"/>
      <c r="F2340" s="215"/>
      <c r="G2340" s="110"/>
      <c r="H2340" s="110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</row>
    <row r="2341">
      <c r="A2341" s="231"/>
      <c r="B2341" s="21"/>
      <c r="C2341" s="21"/>
      <c r="D2341" s="213"/>
      <c r="E2341" s="214"/>
      <c r="F2341" s="215"/>
      <c r="G2341" s="110"/>
      <c r="H2341" s="110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</row>
    <row r="2342">
      <c r="A2342" s="231"/>
      <c r="B2342" s="21"/>
      <c r="C2342" s="21"/>
      <c r="D2342" s="213"/>
      <c r="E2342" s="214"/>
      <c r="F2342" s="215"/>
      <c r="G2342" s="110"/>
      <c r="H2342" s="110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</row>
    <row r="2343">
      <c r="A2343" s="212"/>
      <c r="B2343" s="21"/>
      <c r="C2343" s="21"/>
      <c r="D2343" s="213"/>
      <c r="E2343" s="214"/>
      <c r="F2343" s="215"/>
      <c r="G2343" s="110"/>
      <c r="H2343" s="110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</row>
    <row r="2344">
      <c r="A2344" s="212"/>
      <c r="B2344" s="21"/>
      <c r="C2344" s="21"/>
      <c r="D2344" s="213"/>
      <c r="E2344" s="214"/>
      <c r="F2344" s="215"/>
      <c r="G2344" s="110"/>
      <c r="H2344" s="110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</row>
    <row r="2345">
      <c r="A2345" s="212"/>
      <c r="B2345" s="21"/>
      <c r="C2345" s="21"/>
      <c r="D2345" s="213"/>
      <c r="E2345" s="214"/>
      <c r="F2345" s="215"/>
      <c r="G2345" s="110"/>
      <c r="H2345" s="110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</row>
    <row r="2346">
      <c r="A2346" s="212"/>
      <c r="B2346" s="21"/>
      <c r="C2346" s="21"/>
      <c r="D2346" s="213"/>
      <c r="E2346" s="214"/>
      <c r="F2346" s="215"/>
      <c r="G2346" s="110"/>
      <c r="H2346" s="110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</row>
    <row r="2347">
      <c r="A2347" s="212"/>
      <c r="B2347" s="21"/>
      <c r="C2347" s="21"/>
      <c r="D2347" s="213"/>
      <c r="E2347" s="214"/>
      <c r="F2347" s="215"/>
      <c r="G2347" s="110"/>
      <c r="H2347" s="110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</row>
    <row r="2348">
      <c r="A2348" s="212"/>
      <c r="B2348" s="21"/>
      <c r="C2348" s="21"/>
      <c r="D2348" s="213"/>
      <c r="E2348" s="214"/>
      <c r="F2348" s="215"/>
      <c r="G2348" s="110"/>
      <c r="H2348" s="110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</row>
    <row r="2349">
      <c r="A2349" s="212"/>
      <c r="B2349" s="21"/>
      <c r="C2349" s="21"/>
      <c r="D2349" s="213"/>
      <c r="E2349" s="214"/>
      <c r="F2349" s="215"/>
      <c r="G2349" s="110"/>
      <c r="H2349" s="110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</row>
    <row r="2350">
      <c r="A2350" s="212"/>
      <c r="B2350" s="21"/>
      <c r="C2350" s="21"/>
      <c r="D2350" s="213"/>
      <c r="E2350" s="214"/>
      <c r="F2350" s="215"/>
      <c r="G2350" s="110"/>
      <c r="H2350" s="110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</row>
    <row r="2351">
      <c r="A2351" s="212"/>
      <c r="B2351" s="21"/>
      <c r="C2351" s="21"/>
      <c r="D2351" s="213"/>
      <c r="E2351" s="214"/>
      <c r="F2351" s="215"/>
      <c r="G2351" s="110"/>
      <c r="H2351" s="110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</row>
    <row r="2352">
      <c r="A2352" s="212"/>
      <c r="B2352" s="21"/>
      <c r="C2352" s="21"/>
      <c r="D2352" s="213"/>
      <c r="E2352" s="214"/>
      <c r="F2352" s="215"/>
      <c r="G2352" s="110"/>
      <c r="H2352" s="110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</row>
    <row r="2353">
      <c r="A2353" s="212"/>
      <c r="B2353" s="21"/>
      <c r="C2353" s="21"/>
      <c r="D2353" s="213"/>
      <c r="E2353" s="214"/>
      <c r="F2353" s="215"/>
      <c r="G2353" s="110"/>
      <c r="H2353" s="110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</row>
    <row r="2354">
      <c r="A2354" s="212"/>
      <c r="B2354" s="21"/>
      <c r="C2354" s="21"/>
      <c r="D2354" s="213"/>
      <c r="E2354" s="214"/>
      <c r="F2354" s="215"/>
      <c r="G2354" s="110"/>
      <c r="H2354" s="110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</row>
    <row r="2355">
      <c r="A2355" s="212"/>
      <c r="B2355" s="21"/>
      <c r="C2355" s="21"/>
      <c r="D2355" s="213"/>
      <c r="E2355" s="214"/>
      <c r="F2355" s="215"/>
      <c r="G2355" s="110"/>
      <c r="H2355" s="110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</row>
    <row r="2356">
      <c r="A2356" s="212"/>
      <c r="B2356" s="21"/>
      <c r="C2356" s="21"/>
      <c r="D2356" s="213"/>
      <c r="E2356" s="214"/>
      <c r="F2356" s="215"/>
      <c r="G2356" s="110"/>
      <c r="H2356" s="110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</row>
    <row r="2357">
      <c r="A2357" s="212"/>
      <c r="B2357" s="21"/>
      <c r="C2357" s="21"/>
      <c r="D2357" s="213"/>
      <c r="E2357" s="214"/>
      <c r="F2357" s="215"/>
      <c r="G2357" s="110"/>
      <c r="H2357" s="110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</row>
    <row r="2358">
      <c r="A2358" s="212"/>
      <c r="B2358" s="21"/>
      <c r="C2358" s="21"/>
      <c r="D2358" s="213"/>
      <c r="E2358" s="214"/>
      <c r="F2358" s="215"/>
      <c r="G2358" s="110"/>
      <c r="H2358" s="110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</row>
    <row r="2359">
      <c r="A2359" s="212"/>
      <c r="B2359" s="21"/>
      <c r="C2359" s="21"/>
      <c r="D2359" s="213"/>
      <c r="E2359" s="214"/>
      <c r="F2359" s="215"/>
      <c r="G2359" s="110"/>
      <c r="H2359" s="110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</row>
    <row r="2360">
      <c r="A2360" s="212"/>
      <c r="B2360" s="21"/>
      <c r="C2360" s="21"/>
      <c r="D2360" s="213"/>
      <c r="E2360" s="214"/>
      <c r="F2360" s="215"/>
      <c r="G2360" s="110"/>
      <c r="H2360" s="110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</row>
    <row r="2361">
      <c r="A2361" s="212"/>
      <c r="B2361" s="21"/>
      <c r="C2361" s="21"/>
      <c r="D2361" s="213"/>
      <c r="E2361" s="214"/>
      <c r="F2361" s="215"/>
      <c r="G2361" s="110"/>
      <c r="H2361" s="110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</row>
    <row r="2362">
      <c r="A2362" s="212"/>
      <c r="B2362" s="21"/>
      <c r="C2362" s="21"/>
      <c r="D2362" s="213"/>
      <c r="E2362" s="214"/>
      <c r="F2362" s="215"/>
      <c r="G2362" s="110"/>
      <c r="H2362" s="110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</row>
    <row r="2363">
      <c r="A2363" s="212"/>
      <c r="B2363" s="21"/>
      <c r="C2363" s="21"/>
      <c r="D2363" s="213"/>
      <c r="E2363" s="214"/>
      <c r="F2363" s="215"/>
      <c r="G2363" s="110"/>
      <c r="H2363" s="110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</row>
    <row r="2364">
      <c r="A2364" s="212"/>
      <c r="B2364" s="21"/>
      <c r="C2364" s="21"/>
      <c r="D2364" s="213"/>
      <c r="E2364" s="214"/>
      <c r="F2364" s="215"/>
      <c r="G2364" s="110"/>
      <c r="H2364" s="110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</row>
    <row r="2365">
      <c r="A2365" s="212"/>
      <c r="B2365" s="21"/>
      <c r="C2365" s="21"/>
      <c r="D2365" s="213"/>
      <c r="E2365" s="214"/>
      <c r="F2365" s="215"/>
      <c r="G2365" s="110"/>
      <c r="H2365" s="110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</row>
    <row r="2366">
      <c r="A2366" s="212"/>
      <c r="B2366" s="21"/>
      <c r="C2366" s="21"/>
      <c r="D2366" s="213"/>
      <c r="E2366" s="214"/>
      <c r="F2366" s="215"/>
      <c r="G2366" s="110"/>
      <c r="H2366" s="110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</row>
    <row r="2367">
      <c r="A2367" s="212"/>
      <c r="B2367" s="21"/>
      <c r="C2367" s="21"/>
      <c r="D2367" s="213"/>
      <c r="E2367" s="214"/>
      <c r="F2367" s="215"/>
      <c r="G2367" s="110"/>
      <c r="H2367" s="110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</row>
    <row r="2368">
      <c r="A2368" s="212"/>
      <c r="B2368" s="21"/>
      <c r="C2368" s="21"/>
      <c r="D2368" s="213"/>
      <c r="E2368" s="214"/>
      <c r="F2368" s="215"/>
      <c r="G2368" s="110"/>
      <c r="H2368" s="110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</row>
    <row r="2369">
      <c r="A2369" s="212"/>
      <c r="B2369" s="21"/>
      <c r="C2369" s="21"/>
      <c r="D2369" s="213"/>
      <c r="E2369" s="214"/>
      <c r="F2369" s="215"/>
      <c r="G2369" s="110"/>
      <c r="H2369" s="110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</row>
    <row r="2370">
      <c r="A2370" s="212"/>
      <c r="B2370" s="21"/>
      <c r="C2370" s="21"/>
      <c r="D2370" s="213"/>
      <c r="E2370" s="214"/>
      <c r="F2370" s="215"/>
      <c r="G2370" s="110"/>
      <c r="H2370" s="110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</row>
    <row r="2371">
      <c r="A2371" s="212"/>
      <c r="B2371" s="21"/>
      <c r="C2371" s="21"/>
      <c r="D2371" s="213"/>
      <c r="E2371" s="214"/>
      <c r="F2371" s="215"/>
      <c r="G2371" s="110"/>
      <c r="H2371" s="110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</row>
    <row r="2372">
      <c r="A2372" s="212"/>
      <c r="B2372" s="21"/>
      <c r="C2372" s="21"/>
      <c r="D2372" s="213"/>
      <c r="E2372" s="214"/>
      <c r="F2372" s="215"/>
      <c r="G2372" s="110"/>
      <c r="H2372" s="110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</row>
    <row r="2373">
      <c r="A2373" s="212"/>
      <c r="B2373" s="21"/>
      <c r="C2373" s="21"/>
      <c r="D2373" s="213"/>
      <c r="E2373" s="214"/>
      <c r="F2373" s="215"/>
      <c r="G2373" s="110"/>
      <c r="H2373" s="110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</row>
    <row r="2374">
      <c r="A2374" s="212"/>
      <c r="B2374" s="21"/>
      <c r="C2374" s="21"/>
      <c r="D2374" s="213"/>
      <c r="E2374" s="214"/>
      <c r="F2374" s="215"/>
      <c r="G2374" s="110"/>
      <c r="H2374" s="110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</row>
    <row r="2375">
      <c r="A2375" s="212"/>
      <c r="B2375" s="21"/>
      <c r="C2375" s="21"/>
      <c r="D2375" s="213"/>
      <c r="E2375" s="214"/>
      <c r="F2375" s="215"/>
      <c r="G2375" s="110"/>
      <c r="H2375" s="110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</row>
    <row r="2376">
      <c r="A2376" s="212"/>
      <c r="B2376" s="21"/>
      <c r="C2376" s="21"/>
      <c r="D2376" s="213"/>
      <c r="E2376" s="214"/>
      <c r="F2376" s="215"/>
      <c r="G2376" s="110"/>
      <c r="H2376" s="110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</row>
    <row r="2377">
      <c r="A2377" s="212"/>
      <c r="B2377" s="21"/>
      <c r="C2377" s="21"/>
      <c r="D2377" s="213"/>
      <c r="E2377" s="214"/>
      <c r="F2377" s="215"/>
      <c r="G2377" s="110"/>
      <c r="H2377" s="110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</row>
    <row r="2378">
      <c r="A2378" s="212"/>
      <c r="B2378" s="21"/>
      <c r="C2378" s="21"/>
      <c r="D2378" s="213"/>
      <c r="E2378" s="214"/>
      <c r="F2378" s="215"/>
      <c r="G2378" s="110"/>
      <c r="H2378" s="110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</row>
    <row r="2379">
      <c r="A2379" s="212"/>
      <c r="B2379" s="21"/>
      <c r="C2379" s="21"/>
      <c r="D2379" s="213"/>
      <c r="E2379" s="214"/>
      <c r="F2379" s="215"/>
      <c r="G2379" s="110"/>
      <c r="H2379" s="110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</row>
    <row r="2380">
      <c r="A2380" s="212"/>
      <c r="B2380" s="21"/>
      <c r="C2380" s="21"/>
      <c r="D2380" s="213"/>
      <c r="E2380" s="214"/>
      <c r="F2380" s="215"/>
      <c r="G2380" s="110"/>
      <c r="H2380" s="110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</row>
    <row r="2381">
      <c r="A2381" s="212"/>
      <c r="B2381" s="21"/>
      <c r="C2381" s="21"/>
      <c r="D2381" s="213"/>
      <c r="E2381" s="214"/>
      <c r="F2381" s="215"/>
      <c r="G2381" s="110"/>
      <c r="H2381" s="110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</row>
    <row r="2382">
      <c r="A2382" s="212"/>
      <c r="B2382" s="21"/>
      <c r="C2382" s="21"/>
      <c r="D2382" s="213"/>
      <c r="E2382" s="214"/>
      <c r="F2382" s="215"/>
      <c r="G2382" s="110"/>
      <c r="H2382" s="110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</row>
    <row r="2383">
      <c r="A2383" s="124"/>
      <c r="B2383" s="125"/>
      <c r="C2383" s="124"/>
      <c r="D2383" s="218"/>
      <c r="E2383" s="219"/>
      <c r="F2383" s="127"/>
      <c r="G2383" s="110"/>
      <c r="H2383" s="110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</row>
    <row r="2384">
      <c r="A2384" s="110"/>
      <c r="B2384" s="110"/>
      <c r="C2384" s="110"/>
      <c r="D2384" s="139"/>
      <c r="E2384" s="110"/>
      <c r="F2384" s="199"/>
      <c r="G2384" s="110"/>
      <c r="H2384" s="110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</row>
    <row r="2385">
      <c r="A2385" s="212"/>
      <c r="B2385" s="21"/>
      <c r="C2385" s="21"/>
      <c r="D2385" s="213"/>
      <c r="E2385" s="214"/>
      <c r="F2385" s="215"/>
      <c r="G2385" s="110"/>
      <c r="H2385" s="110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</row>
    <row r="2386">
      <c r="A2386" s="110"/>
      <c r="B2386" s="110"/>
      <c r="C2386" s="110"/>
      <c r="D2386" s="139"/>
      <c r="E2386" s="110"/>
      <c r="F2386" s="199"/>
      <c r="G2386" s="110"/>
      <c r="H2386" s="110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</row>
    <row r="2387">
      <c r="A2387" s="162"/>
      <c r="B2387" s="162"/>
      <c r="C2387" s="162"/>
      <c r="D2387" s="163"/>
      <c r="E2387" s="164"/>
      <c r="F2387" s="165"/>
      <c r="G2387" s="110"/>
      <c r="H2387" s="110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</row>
    <row r="2388">
      <c r="A2388" s="231"/>
      <c r="B2388" s="24"/>
      <c r="C2388" s="24"/>
      <c r="D2388" s="141"/>
      <c r="E2388" s="180"/>
      <c r="F2388" s="192"/>
      <c r="G2388" s="110"/>
      <c r="H2388" s="110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</row>
    <row r="2389">
      <c r="A2389" s="110"/>
      <c r="B2389" s="110"/>
      <c r="C2389" s="110"/>
      <c r="D2389" s="139"/>
      <c r="E2389" s="110"/>
      <c r="F2389" s="199"/>
      <c r="G2389" s="110"/>
      <c r="H2389" s="110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</row>
    <row r="2390">
      <c r="A2390" s="110"/>
      <c r="B2390" s="110"/>
      <c r="C2390" s="110"/>
      <c r="D2390" s="139"/>
      <c r="E2390" s="110"/>
      <c r="F2390" s="199"/>
      <c r="G2390" s="110"/>
      <c r="H2390" s="110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</row>
    <row r="2391">
      <c r="A2391" s="110"/>
      <c r="B2391" s="110"/>
      <c r="C2391" s="110"/>
      <c r="D2391" s="139"/>
      <c r="E2391" s="110"/>
      <c r="F2391" s="199"/>
      <c r="G2391" s="110"/>
      <c r="H2391" s="110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</row>
    <row r="2392">
      <c r="A2392" s="162"/>
      <c r="B2392" s="162"/>
      <c r="C2392" s="162"/>
      <c r="D2392" s="163"/>
      <c r="E2392" s="164"/>
      <c r="F2392" s="165"/>
      <c r="G2392" s="110"/>
      <c r="H2392" s="110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</row>
    <row r="2393">
      <c r="A2393" s="212"/>
      <c r="B2393" s="21"/>
      <c r="C2393" s="21"/>
      <c r="D2393" s="213"/>
      <c r="E2393" s="214"/>
      <c r="F2393" s="215"/>
      <c r="G2393" s="110"/>
      <c r="H2393" s="110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</row>
    <row r="2394">
      <c r="A2394" s="212"/>
      <c r="B2394" s="21"/>
      <c r="C2394" s="21"/>
      <c r="D2394" s="213"/>
      <c r="E2394" s="214"/>
      <c r="F2394" s="215"/>
      <c r="G2394" s="110"/>
      <c r="H2394" s="110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</row>
    <row r="2395">
      <c r="A2395" s="212"/>
      <c r="B2395" s="21"/>
      <c r="C2395" s="21"/>
      <c r="D2395" s="213"/>
      <c r="E2395" s="214"/>
      <c r="F2395" s="215"/>
      <c r="G2395" s="110"/>
      <c r="H2395" s="110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</row>
    <row r="2396">
      <c r="A2396" s="212"/>
      <c r="B2396" s="21"/>
      <c r="C2396" s="21"/>
      <c r="D2396" s="213"/>
      <c r="E2396" s="214"/>
      <c r="F2396" s="215"/>
      <c r="G2396" s="110"/>
      <c r="H2396" s="110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</row>
    <row r="2397">
      <c r="A2397" s="212"/>
      <c r="B2397" s="21"/>
      <c r="C2397" s="21"/>
      <c r="D2397" s="213"/>
      <c r="E2397" s="214"/>
      <c r="F2397" s="215"/>
      <c r="G2397" s="110"/>
      <c r="H2397" s="110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</row>
    <row r="2398">
      <c r="A2398" s="212"/>
      <c r="B2398" s="21"/>
      <c r="C2398" s="21"/>
      <c r="D2398" s="213"/>
      <c r="E2398" s="214"/>
      <c r="F2398" s="215"/>
      <c r="G2398" s="110"/>
      <c r="H2398" s="110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</row>
    <row r="2399">
      <c r="A2399" s="212"/>
      <c r="B2399" s="21"/>
      <c r="C2399" s="21"/>
      <c r="D2399" s="213"/>
      <c r="E2399" s="214"/>
      <c r="F2399" s="215"/>
      <c r="G2399" s="110"/>
      <c r="H2399" s="110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</row>
    <row r="2400">
      <c r="A2400" s="212"/>
      <c r="B2400" s="21"/>
      <c r="C2400" s="21"/>
      <c r="D2400" s="213"/>
      <c r="E2400" s="214"/>
      <c r="F2400" s="215"/>
      <c r="G2400" s="110"/>
      <c r="H2400" s="110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</row>
    <row r="2401">
      <c r="A2401" s="212"/>
      <c r="B2401" s="21"/>
      <c r="C2401" s="21"/>
      <c r="D2401" s="213"/>
      <c r="E2401" s="214"/>
      <c r="F2401" s="215"/>
      <c r="G2401" s="110"/>
      <c r="H2401" s="110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</row>
    <row r="2402">
      <c r="A2402" s="212"/>
      <c r="B2402" s="21"/>
      <c r="C2402" s="21"/>
      <c r="D2402" s="213"/>
      <c r="E2402" s="214"/>
      <c r="F2402" s="215"/>
      <c r="G2402" s="110"/>
      <c r="H2402" s="110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</row>
    <row r="2403">
      <c r="A2403" s="212"/>
      <c r="B2403" s="21"/>
      <c r="C2403" s="21"/>
      <c r="D2403" s="213"/>
      <c r="E2403" s="214"/>
      <c r="F2403" s="215"/>
      <c r="G2403" s="110"/>
      <c r="H2403" s="110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</row>
    <row r="2404">
      <c r="A2404" s="212"/>
      <c r="B2404" s="21"/>
      <c r="C2404" s="21"/>
      <c r="D2404" s="213"/>
      <c r="E2404" s="214"/>
      <c r="F2404" s="215"/>
      <c r="G2404" s="110"/>
      <c r="H2404" s="110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</row>
    <row r="2405">
      <c r="A2405" s="212"/>
      <c r="B2405" s="21"/>
      <c r="C2405" s="21"/>
      <c r="D2405" s="213"/>
      <c r="E2405" s="214"/>
      <c r="F2405" s="215"/>
      <c r="G2405" s="110"/>
      <c r="H2405" s="110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</row>
    <row r="2406">
      <c r="A2406" s="212"/>
      <c r="B2406" s="21"/>
      <c r="C2406" s="21"/>
      <c r="D2406" s="213"/>
      <c r="E2406" s="214"/>
      <c r="F2406" s="215"/>
      <c r="G2406" s="110"/>
      <c r="H2406" s="110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</row>
    <row r="2407">
      <c r="A2407" s="124"/>
      <c r="B2407" s="125"/>
      <c r="C2407" s="124"/>
      <c r="D2407" s="218"/>
      <c r="E2407" s="219"/>
      <c r="F2407" s="127"/>
      <c r="G2407" s="110"/>
      <c r="H2407" s="110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</row>
    <row r="2408">
      <c r="A2408" s="212"/>
      <c r="B2408" s="21"/>
      <c r="C2408" s="21"/>
      <c r="D2408" s="213"/>
      <c r="E2408" s="214"/>
      <c r="F2408" s="215"/>
      <c r="G2408" s="110"/>
      <c r="H2408" s="110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</row>
    <row r="2409">
      <c r="A2409" s="212"/>
      <c r="B2409" s="21"/>
      <c r="C2409" s="21"/>
      <c r="D2409" s="213"/>
      <c r="E2409" s="214"/>
      <c r="F2409" s="215"/>
      <c r="G2409" s="110"/>
      <c r="H2409" s="110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</row>
    <row r="2410">
      <c r="A2410" s="162"/>
      <c r="B2410" s="162"/>
      <c r="C2410" s="162"/>
      <c r="D2410" s="163"/>
      <c r="E2410" s="164"/>
      <c r="F2410" s="165"/>
      <c r="G2410" s="110"/>
      <c r="H2410" s="110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</row>
    <row r="2411">
      <c r="A2411" s="212"/>
      <c r="B2411" s="21"/>
      <c r="C2411" s="21"/>
      <c r="D2411" s="213"/>
      <c r="E2411" s="214"/>
      <c r="F2411" s="215"/>
      <c r="G2411" s="24"/>
      <c r="H2411" s="110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</row>
    <row r="2412">
      <c r="A2412" s="212"/>
      <c r="B2412" s="21"/>
      <c r="C2412" s="21"/>
      <c r="D2412" s="213"/>
      <c r="E2412" s="214"/>
      <c r="F2412" s="215"/>
      <c r="G2412" s="24"/>
      <c r="H2412" s="110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</row>
    <row r="2413">
      <c r="A2413" s="212"/>
      <c r="B2413" s="21"/>
      <c r="C2413" s="21"/>
      <c r="D2413" s="213"/>
      <c r="E2413" s="214"/>
      <c r="F2413" s="215"/>
      <c r="G2413" s="24"/>
      <c r="H2413" s="110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</row>
    <row r="2414">
      <c r="A2414" s="124"/>
      <c r="B2414" s="125"/>
      <c r="C2414" s="124"/>
      <c r="D2414" s="218"/>
      <c r="E2414" s="219"/>
      <c r="F2414" s="127"/>
      <c r="G2414" s="124"/>
      <c r="H2414" s="110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</row>
    <row r="2415">
      <c r="A2415" s="110"/>
      <c r="B2415" s="110"/>
      <c r="C2415" s="110"/>
      <c r="D2415" s="139"/>
      <c r="E2415" s="110"/>
      <c r="F2415" s="199"/>
      <c r="G2415" s="221"/>
      <c r="H2415" s="110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</row>
    <row r="2416">
      <c r="A2416" s="110"/>
      <c r="B2416" s="110"/>
      <c r="C2416" s="110"/>
      <c r="D2416" s="139"/>
      <c r="E2416" s="110"/>
      <c r="F2416" s="199"/>
      <c r="G2416" s="221"/>
      <c r="H2416" s="110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</row>
    <row r="2417">
      <c r="A2417" s="162"/>
      <c r="B2417" s="162"/>
      <c r="C2417" s="162"/>
      <c r="D2417" s="163"/>
      <c r="E2417" s="164"/>
      <c r="F2417" s="165"/>
      <c r="G2417" s="162"/>
      <c r="H2417" s="110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</row>
    <row r="2418">
      <c r="A2418" s="235"/>
      <c r="B2418" s="21"/>
      <c r="C2418" s="21"/>
      <c r="D2418" s="233"/>
      <c r="E2418" s="214"/>
      <c r="F2418" s="234"/>
      <c r="G2418" s="21"/>
      <c r="H2418" s="110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</row>
    <row r="2419">
      <c r="A2419" s="235"/>
      <c r="B2419" s="21"/>
      <c r="C2419" s="21"/>
      <c r="D2419" s="233"/>
      <c r="E2419" s="214"/>
      <c r="F2419" s="234"/>
      <c r="G2419" s="21"/>
      <c r="H2419" s="110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</row>
    <row r="2420">
      <c r="A2420" s="235"/>
      <c r="B2420" s="21"/>
      <c r="C2420" s="21"/>
      <c r="D2420" s="233"/>
      <c r="E2420" s="214"/>
      <c r="F2420" s="234"/>
      <c r="G2420" s="21"/>
      <c r="H2420" s="110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</row>
    <row r="2421">
      <c r="A2421" s="235"/>
      <c r="B2421" s="21"/>
      <c r="C2421" s="21"/>
      <c r="D2421" s="233"/>
      <c r="E2421" s="214"/>
      <c r="F2421" s="234"/>
      <c r="G2421" s="21"/>
      <c r="H2421" s="110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</row>
    <row r="2422">
      <c r="A2422" s="235"/>
      <c r="B2422" s="21"/>
      <c r="C2422" s="21"/>
      <c r="D2422" s="233"/>
      <c r="E2422" s="214"/>
      <c r="F2422" s="234"/>
      <c r="G2422" s="21"/>
      <c r="H2422" s="110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</row>
    <row r="2423">
      <c r="A2423" s="235"/>
      <c r="B2423" s="21"/>
      <c r="C2423" s="21"/>
      <c r="D2423" s="233"/>
      <c r="E2423" s="214"/>
      <c r="F2423" s="234"/>
      <c r="G2423" s="21"/>
      <c r="H2423" s="110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</row>
    <row r="2424">
      <c r="A2424" s="235"/>
      <c r="B2424" s="21"/>
      <c r="C2424" s="21"/>
      <c r="D2424" s="233"/>
      <c r="E2424" s="214"/>
      <c r="F2424" s="234"/>
      <c r="G2424" s="21"/>
      <c r="H2424" s="110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</row>
    <row r="2425">
      <c r="A2425" s="235"/>
      <c r="B2425" s="21"/>
      <c r="C2425" s="21"/>
      <c r="D2425" s="233"/>
      <c r="E2425" s="214"/>
      <c r="F2425" s="234"/>
      <c r="G2425" s="21"/>
      <c r="H2425" s="110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</row>
    <row r="2426">
      <c r="A2426" s="235"/>
      <c r="B2426" s="21"/>
      <c r="C2426" s="21"/>
      <c r="D2426" s="233"/>
      <c r="E2426" s="214"/>
      <c r="F2426" s="234"/>
      <c r="G2426" s="21"/>
      <c r="H2426" s="110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</row>
    <row r="2427">
      <c r="A2427" s="235"/>
      <c r="B2427" s="21"/>
      <c r="C2427" s="21"/>
      <c r="D2427" s="233"/>
      <c r="E2427" s="214"/>
      <c r="F2427" s="234"/>
      <c r="G2427" s="21"/>
      <c r="H2427" s="110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</row>
    <row r="2428">
      <c r="A2428" s="235"/>
      <c r="B2428" s="21"/>
      <c r="C2428" s="21"/>
      <c r="D2428" s="233"/>
      <c r="E2428" s="214"/>
      <c r="F2428" s="234"/>
      <c r="G2428" s="21"/>
      <c r="H2428" s="110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</row>
    <row r="2429">
      <c r="A2429" s="235"/>
      <c r="B2429" s="21"/>
      <c r="C2429" s="21"/>
      <c r="D2429" s="233"/>
      <c r="E2429" s="214"/>
      <c r="F2429" s="234"/>
      <c r="G2429" s="21"/>
      <c r="H2429" s="110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</row>
    <row r="2430">
      <c r="A2430" s="235"/>
      <c r="B2430" s="21"/>
      <c r="C2430" s="21"/>
      <c r="D2430" s="233"/>
      <c r="E2430" s="214"/>
      <c r="F2430" s="234"/>
      <c r="G2430" s="21"/>
      <c r="H2430" s="110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</row>
    <row r="2431">
      <c r="A2431" s="235"/>
      <c r="B2431" s="21"/>
      <c r="C2431" s="21"/>
      <c r="D2431" s="233"/>
      <c r="E2431" s="214"/>
      <c r="F2431" s="234"/>
      <c r="G2431" s="21"/>
      <c r="H2431" s="110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</row>
    <row r="2432">
      <c r="A2432" s="235"/>
      <c r="B2432" s="21"/>
      <c r="C2432" s="21"/>
      <c r="D2432" s="233"/>
      <c r="E2432" s="214"/>
      <c r="F2432" s="234"/>
      <c r="G2432" s="21"/>
      <c r="H2432" s="110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</row>
    <row r="2433">
      <c r="A2433" s="235"/>
      <c r="B2433" s="21"/>
      <c r="C2433" s="21"/>
      <c r="D2433" s="233"/>
      <c r="E2433" s="214"/>
      <c r="F2433" s="234"/>
      <c r="G2433" s="21"/>
      <c r="H2433" s="110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</row>
    <row r="2434">
      <c r="A2434" s="235"/>
      <c r="B2434" s="21"/>
      <c r="C2434" s="21"/>
      <c r="D2434" s="233"/>
      <c r="E2434" s="214"/>
      <c r="F2434" s="234"/>
      <c r="G2434" s="21"/>
      <c r="H2434" s="110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</row>
    <row r="2435">
      <c r="A2435" s="235"/>
      <c r="B2435" s="21"/>
      <c r="C2435" s="21"/>
      <c r="D2435" s="233"/>
      <c r="E2435" s="214"/>
      <c r="F2435" s="234"/>
      <c r="G2435" s="21"/>
      <c r="H2435" s="110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</row>
    <row r="2436">
      <c r="A2436" s="235"/>
      <c r="B2436" s="21"/>
      <c r="C2436" s="21"/>
      <c r="D2436" s="233"/>
      <c r="E2436" s="214"/>
      <c r="F2436" s="234"/>
      <c r="G2436" s="21"/>
      <c r="H2436" s="110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</row>
    <row r="2437">
      <c r="A2437" s="235"/>
      <c r="B2437" s="21"/>
      <c r="C2437" s="21"/>
      <c r="D2437" s="233"/>
      <c r="E2437" s="214"/>
      <c r="F2437" s="234"/>
      <c r="G2437" s="21"/>
      <c r="H2437" s="110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</row>
    <row r="2438">
      <c r="A2438" s="235"/>
      <c r="B2438" s="24"/>
      <c r="C2438" s="21"/>
      <c r="D2438" s="233"/>
      <c r="E2438" s="214"/>
      <c r="F2438" s="234"/>
      <c r="G2438" s="21"/>
      <c r="H2438" s="110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</row>
    <row r="2439">
      <c r="A2439" s="235"/>
      <c r="B2439" s="24"/>
      <c r="C2439" s="21"/>
      <c r="D2439" s="233"/>
      <c r="E2439" s="214"/>
      <c r="F2439" s="234"/>
      <c r="G2439" s="21"/>
      <c r="H2439" s="110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</row>
    <row r="2440">
      <c r="A2440" s="235"/>
      <c r="B2440" s="24"/>
      <c r="C2440" s="21"/>
      <c r="D2440" s="233"/>
      <c r="E2440" s="214"/>
      <c r="F2440" s="234"/>
      <c r="G2440" s="21"/>
      <c r="H2440" s="110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</row>
    <row r="2441">
      <c r="A2441" s="235"/>
      <c r="B2441" s="24"/>
      <c r="C2441" s="21"/>
      <c r="D2441" s="233"/>
      <c r="E2441" s="214"/>
      <c r="F2441" s="234"/>
      <c r="G2441" s="21"/>
      <c r="H2441" s="110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</row>
    <row r="2442">
      <c r="A2442" s="235"/>
      <c r="B2442" s="24"/>
      <c r="C2442" s="21"/>
      <c r="D2442" s="233"/>
      <c r="E2442" s="214"/>
      <c r="F2442" s="234"/>
      <c r="G2442" s="21"/>
      <c r="H2442" s="110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</row>
    <row r="2443">
      <c r="A2443" s="235"/>
      <c r="B2443" s="24"/>
      <c r="C2443" s="21"/>
      <c r="D2443" s="233"/>
      <c r="E2443" s="214"/>
      <c r="F2443" s="234"/>
      <c r="G2443" s="21"/>
      <c r="H2443" s="110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</row>
    <row r="2444">
      <c r="A2444" s="235"/>
      <c r="B2444" s="24"/>
      <c r="C2444" s="21"/>
      <c r="D2444" s="233"/>
      <c r="E2444" s="214"/>
      <c r="F2444" s="234"/>
      <c r="G2444" s="21"/>
      <c r="H2444" s="110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</row>
    <row r="2445">
      <c r="A2445" s="235"/>
      <c r="B2445" s="24"/>
      <c r="C2445" s="21"/>
      <c r="D2445" s="233"/>
      <c r="E2445" s="214"/>
      <c r="F2445" s="234"/>
      <c r="G2445" s="21"/>
      <c r="H2445" s="110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</row>
    <row r="2446">
      <c r="A2446" s="235"/>
      <c r="B2446" s="24"/>
      <c r="C2446" s="21"/>
      <c r="D2446" s="233"/>
      <c r="E2446" s="214"/>
      <c r="F2446" s="234"/>
      <c r="G2446" s="21"/>
      <c r="H2446" s="110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</row>
    <row r="2447">
      <c r="A2447" s="235"/>
      <c r="B2447" s="24"/>
      <c r="C2447" s="21"/>
      <c r="D2447" s="233"/>
      <c r="E2447" s="214"/>
      <c r="F2447" s="234"/>
      <c r="G2447" s="21"/>
      <c r="H2447" s="110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</row>
    <row r="2448">
      <c r="A2448" s="235"/>
      <c r="B2448" s="24"/>
      <c r="C2448" s="21"/>
      <c r="D2448" s="233"/>
      <c r="E2448" s="214"/>
      <c r="F2448" s="234"/>
      <c r="G2448" s="21"/>
      <c r="H2448" s="110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</row>
    <row r="2449">
      <c r="A2449" s="235"/>
      <c r="B2449" s="24"/>
      <c r="C2449" s="21"/>
      <c r="D2449" s="233"/>
      <c r="E2449" s="214"/>
      <c r="F2449" s="234"/>
      <c r="G2449" s="21"/>
      <c r="H2449" s="110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</row>
    <row r="2450">
      <c r="A2450" s="235"/>
      <c r="B2450" s="26"/>
      <c r="C2450" s="21"/>
      <c r="D2450" s="233"/>
      <c r="E2450" s="214"/>
      <c r="F2450" s="234"/>
      <c r="G2450" s="21"/>
      <c r="H2450" s="110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</row>
    <row r="2451">
      <c r="A2451" s="235"/>
      <c r="B2451" s="26"/>
      <c r="C2451" s="21"/>
      <c r="D2451" s="233"/>
      <c r="E2451" s="214"/>
      <c r="F2451" s="234"/>
      <c r="G2451" s="21"/>
      <c r="H2451" s="110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</row>
    <row r="2452">
      <c r="A2452" s="235"/>
      <c r="B2452" s="26"/>
      <c r="C2452" s="21"/>
      <c r="D2452" s="233"/>
      <c r="E2452" s="214"/>
      <c r="F2452" s="234"/>
      <c r="G2452" s="21"/>
      <c r="H2452" s="110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</row>
    <row r="2453">
      <c r="A2453" s="235"/>
      <c r="B2453" s="24"/>
      <c r="C2453" s="21"/>
      <c r="D2453" s="233"/>
      <c r="E2453" s="214"/>
      <c r="F2453" s="234"/>
      <c r="G2453" s="21"/>
      <c r="H2453" s="110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</row>
    <row r="2454">
      <c r="A2454" s="235"/>
      <c r="B2454" s="24"/>
      <c r="C2454" s="21"/>
      <c r="D2454" s="233"/>
      <c r="E2454" s="214"/>
      <c r="F2454" s="234"/>
      <c r="G2454" s="21"/>
      <c r="H2454" s="110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</row>
    <row r="2455">
      <c r="A2455" s="235"/>
      <c r="B2455" s="24"/>
      <c r="C2455" s="21"/>
      <c r="D2455" s="233"/>
      <c r="E2455" s="214"/>
      <c r="F2455" s="234"/>
      <c r="G2455" s="21"/>
      <c r="H2455" s="110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</row>
    <row r="2456">
      <c r="A2456" s="235"/>
      <c r="B2456" s="24"/>
      <c r="C2456" s="21"/>
      <c r="D2456" s="233"/>
      <c r="E2456" s="214"/>
      <c r="F2456" s="234"/>
      <c r="G2456" s="21"/>
      <c r="H2456" s="110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</row>
    <row r="2457">
      <c r="A2457" s="235"/>
      <c r="B2457" s="24"/>
      <c r="C2457" s="21"/>
      <c r="D2457" s="233"/>
      <c r="E2457" s="214"/>
      <c r="F2457" s="234"/>
      <c r="G2457" s="21"/>
      <c r="H2457" s="110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</row>
    <row r="2458">
      <c r="A2458" s="235"/>
      <c r="B2458" s="24"/>
      <c r="C2458" s="21"/>
      <c r="D2458" s="233"/>
      <c r="E2458" s="214"/>
      <c r="F2458" s="234"/>
      <c r="G2458" s="21"/>
      <c r="H2458" s="110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</row>
    <row r="2459">
      <c r="A2459" s="235"/>
      <c r="B2459" s="24"/>
      <c r="C2459" s="21"/>
      <c r="D2459" s="233"/>
      <c r="E2459" s="214"/>
      <c r="F2459" s="234"/>
      <c r="G2459" s="21"/>
      <c r="H2459" s="110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</row>
    <row r="2460">
      <c r="A2460" s="235"/>
      <c r="B2460" s="24"/>
      <c r="C2460" s="21"/>
      <c r="D2460" s="233"/>
      <c r="E2460" s="214"/>
      <c r="F2460" s="234"/>
      <c r="G2460" s="21"/>
      <c r="H2460" s="110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</row>
    <row r="2461">
      <c r="A2461" s="235"/>
      <c r="B2461" s="24"/>
      <c r="C2461" s="21"/>
      <c r="D2461" s="233"/>
      <c r="E2461" s="214"/>
      <c r="F2461" s="234"/>
      <c r="G2461" s="21"/>
      <c r="H2461" s="110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</row>
    <row r="2462">
      <c r="A2462" s="235"/>
      <c r="B2462" s="24"/>
      <c r="C2462" s="21"/>
      <c r="D2462" s="233"/>
      <c r="E2462" s="214"/>
      <c r="F2462" s="234"/>
      <c r="G2462" s="21"/>
      <c r="H2462" s="110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</row>
    <row r="2463">
      <c r="A2463" s="124"/>
      <c r="B2463" s="125"/>
      <c r="C2463" s="124"/>
      <c r="D2463" s="126"/>
      <c r="E2463" s="124"/>
      <c r="F2463" s="127"/>
      <c r="G2463" s="124"/>
      <c r="H2463" s="110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</row>
    <row r="2464">
      <c r="A2464" s="162"/>
      <c r="B2464" s="162"/>
      <c r="C2464" s="162"/>
      <c r="D2464" s="163"/>
      <c r="E2464" s="164"/>
      <c r="F2464" s="165"/>
      <c r="G2464" s="162"/>
      <c r="H2464" s="110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</row>
    <row r="2465">
      <c r="A2465" s="235"/>
      <c r="B2465" s="21"/>
      <c r="C2465" s="21"/>
      <c r="D2465" s="233"/>
      <c r="E2465" s="214"/>
      <c r="F2465" s="234"/>
      <c r="G2465" s="21"/>
      <c r="H2465" s="110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</row>
    <row r="2466">
      <c r="A2466" s="235"/>
      <c r="B2466" s="21"/>
      <c r="C2466" s="21"/>
      <c r="D2466" s="233"/>
      <c r="E2466" s="214"/>
      <c r="F2466" s="234"/>
      <c r="G2466" s="21"/>
      <c r="H2466" s="110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</row>
    <row r="2467">
      <c r="A2467" s="235"/>
      <c r="B2467" s="24"/>
      <c r="C2467" s="21"/>
      <c r="D2467" s="233"/>
      <c r="E2467" s="214"/>
      <c r="F2467" s="234"/>
      <c r="G2467" s="21"/>
      <c r="H2467" s="110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</row>
    <row r="2468">
      <c r="A2468" s="235"/>
      <c r="B2468" s="26"/>
      <c r="C2468" s="21"/>
      <c r="D2468" s="233"/>
      <c r="E2468" s="214"/>
      <c r="F2468" s="234"/>
      <c r="G2468" s="21"/>
      <c r="H2468" s="110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</row>
    <row r="2469">
      <c r="A2469" s="124"/>
      <c r="B2469" s="125"/>
      <c r="C2469" s="124"/>
      <c r="D2469" s="126"/>
      <c r="E2469" s="124"/>
      <c r="F2469" s="127"/>
      <c r="G2469" s="124"/>
      <c r="H2469" s="110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</row>
    <row r="2470">
      <c r="A2470" s="110"/>
      <c r="B2470" s="110"/>
      <c r="C2470" s="110"/>
      <c r="D2470" s="139"/>
      <c r="E2470" s="110"/>
      <c r="F2470" s="199"/>
      <c r="G2470" s="110"/>
      <c r="H2470" s="110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</row>
    <row r="2471">
      <c r="A2471" s="162"/>
      <c r="B2471" s="162"/>
      <c r="C2471" s="162"/>
      <c r="D2471" s="163"/>
      <c r="E2471" s="164"/>
      <c r="F2471" s="165"/>
      <c r="G2471" s="162"/>
      <c r="H2471" s="110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</row>
    <row r="2472">
      <c r="A2472" s="235"/>
      <c r="B2472" s="24"/>
      <c r="C2472" s="21"/>
      <c r="D2472" s="233"/>
      <c r="E2472" s="214"/>
      <c r="F2472" s="234"/>
      <c r="G2472" s="21"/>
      <c r="H2472" s="110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</row>
    <row r="2473">
      <c r="A2473" s="235"/>
      <c r="B2473" s="24"/>
      <c r="C2473" s="21"/>
      <c r="D2473" s="233"/>
      <c r="E2473" s="214"/>
      <c r="F2473" s="234"/>
      <c r="G2473" s="21"/>
      <c r="H2473" s="110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</row>
    <row r="2474">
      <c r="A2474" s="235"/>
      <c r="B2474" s="24"/>
      <c r="C2474" s="21"/>
      <c r="D2474" s="233"/>
      <c r="E2474" s="214"/>
      <c r="F2474" s="234"/>
      <c r="G2474" s="21"/>
      <c r="H2474" s="110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</row>
    <row r="2475">
      <c r="A2475" s="235"/>
      <c r="B2475" s="24"/>
      <c r="C2475" s="21"/>
      <c r="D2475" s="233"/>
      <c r="E2475" s="214"/>
      <c r="F2475" s="234"/>
      <c r="G2475" s="21"/>
      <c r="H2475" s="110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</row>
    <row r="2476">
      <c r="A2476" s="235"/>
      <c r="B2476" s="24"/>
      <c r="C2476" s="21"/>
      <c r="D2476" s="233"/>
      <c r="E2476" s="214"/>
      <c r="F2476" s="234"/>
      <c r="G2476" s="21"/>
      <c r="H2476" s="110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</row>
    <row r="2477">
      <c r="A2477" s="235"/>
      <c r="B2477" s="24"/>
      <c r="C2477" s="21"/>
      <c r="D2477" s="233"/>
      <c r="E2477" s="214"/>
      <c r="F2477" s="234"/>
      <c r="G2477" s="21"/>
      <c r="H2477" s="110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</row>
    <row r="2478">
      <c r="A2478" s="235"/>
      <c r="B2478" s="24"/>
      <c r="C2478" s="21"/>
      <c r="D2478" s="233"/>
      <c r="E2478" s="214"/>
      <c r="F2478" s="234"/>
      <c r="G2478" s="21"/>
      <c r="H2478" s="110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</row>
    <row r="2479">
      <c r="A2479" s="235"/>
      <c r="B2479" s="24"/>
      <c r="C2479" s="21"/>
      <c r="D2479" s="233"/>
      <c r="E2479" s="214"/>
      <c r="F2479" s="234"/>
      <c r="G2479" s="21"/>
      <c r="H2479" s="110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</row>
    <row r="2480">
      <c r="A2480" s="235"/>
      <c r="B2480" s="24"/>
      <c r="C2480" s="21"/>
      <c r="D2480" s="233"/>
      <c r="E2480" s="214"/>
      <c r="F2480" s="234"/>
      <c r="G2480" s="21"/>
      <c r="H2480" s="110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</row>
    <row r="2481">
      <c r="A2481" s="235"/>
      <c r="B2481" s="24"/>
      <c r="C2481" s="21"/>
      <c r="D2481" s="233"/>
      <c r="E2481" s="214"/>
      <c r="F2481" s="234"/>
      <c r="G2481" s="21"/>
      <c r="H2481" s="110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</row>
    <row r="2482">
      <c r="A2482" s="235"/>
      <c r="B2482" s="24"/>
      <c r="C2482" s="21"/>
      <c r="D2482" s="233"/>
      <c r="E2482" s="214"/>
      <c r="F2482" s="234"/>
      <c r="G2482" s="21"/>
      <c r="H2482" s="110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</row>
    <row r="2483">
      <c r="A2483" s="235"/>
      <c r="B2483" s="24"/>
      <c r="C2483" s="21"/>
      <c r="D2483" s="233"/>
      <c r="E2483" s="214"/>
      <c r="F2483" s="234"/>
      <c r="G2483" s="21"/>
      <c r="H2483" s="110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</row>
    <row r="2484">
      <c r="A2484" s="235"/>
      <c r="B2484" s="24"/>
      <c r="C2484" s="21"/>
      <c r="D2484" s="233"/>
      <c r="E2484" s="214"/>
      <c r="F2484" s="234"/>
      <c r="G2484" s="21"/>
      <c r="H2484" s="110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</row>
    <row r="2485">
      <c r="A2485" s="235"/>
      <c r="B2485" s="24"/>
      <c r="C2485" s="21"/>
      <c r="D2485" s="233"/>
      <c r="E2485" s="214"/>
      <c r="F2485" s="234"/>
      <c r="G2485" s="21"/>
      <c r="H2485" s="110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</row>
    <row r="2486">
      <c r="A2486" s="235"/>
      <c r="B2486" s="24"/>
      <c r="C2486" s="21"/>
      <c r="D2486" s="233"/>
      <c r="E2486" s="214"/>
      <c r="F2486" s="234"/>
      <c r="G2486" s="21"/>
      <c r="H2486" s="110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</row>
    <row r="2487">
      <c r="A2487" s="235"/>
      <c r="B2487" s="24"/>
      <c r="C2487" s="21"/>
      <c r="D2487" s="233"/>
      <c r="E2487" s="214"/>
      <c r="F2487" s="234"/>
      <c r="G2487" s="21"/>
      <c r="H2487" s="110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</row>
    <row r="2488">
      <c r="A2488" s="235"/>
      <c r="B2488" s="24"/>
      <c r="C2488" s="21"/>
      <c r="D2488" s="233"/>
      <c r="E2488" s="214"/>
      <c r="F2488" s="234"/>
      <c r="G2488" s="21"/>
      <c r="H2488" s="110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</row>
    <row r="2489">
      <c r="A2489" s="235"/>
      <c r="B2489" s="24"/>
      <c r="C2489" s="21"/>
      <c r="D2489" s="233"/>
      <c r="E2489" s="214"/>
      <c r="F2489" s="234"/>
      <c r="G2489" s="21"/>
      <c r="H2489" s="110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</row>
    <row r="2490">
      <c r="A2490" s="235"/>
      <c r="B2490" s="24"/>
      <c r="C2490" s="21"/>
      <c r="D2490" s="233"/>
      <c r="E2490" s="214"/>
      <c r="F2490" s="234"/>
      <c r="G2490" s="21"/>
      <c r="H2490" s="110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</row>
    <row r="2491">
      <c r="A2491" s="235"/>
      <c r="B2491" s="24"/>
      <c r="C2491" s="21"/>
      <c r="D2491" s="233"/>
      <c r="E2491" s="214"/>
      <c r="F2491" s="234"/>
      <c r="G2491" s="21"/>
      <c r="H2491" s="110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</row>
    <row r="2492">
      <c r="A2492" s="235"/>
      <c r="B2492" s="24"/>
      <c r="C2492" s="21"/>
      <c r="D2492" s="233"/>
      <c r="E2492" s="214"/>
      <c r="F2492" s="234"/>
      <c r="G2492" s="21"/>
      <c r="H2492" s="110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</row>
    <row r="2493">
      <c r="A2493" s="235"/>
      <c r="B2493" s="24"/>
      <c r="C2493" s="21"/>
      <c r="D2493" s="233"/>
      <c r="E2493" s="214"/>
      <c r="F2493" s="234"/>
      <c r="G2493" s="21"/>
      <c r="H2493" s="110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</row>
    <row r="2494">
      <c r="A2494" s="235"/>
      <c r="B2494" s="24"/>
      <c r="C2494" s="21"/>
      <c r="D2494" s="233"/>
      <c r="E2494" s="214"/>
      <c r="F2494" s="234"/>
      <c r="G2494" s="21"/>
      <c r="H2494" s="110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</row>
    <row r="2495">
      <c r="A2495" s="235"/>
      <c r="B2495" s="24"/>
      <c r="C2495" s="21"/>
      <c r="D2495" s="233"/>
      <c r="E2495" s="214"/>
      <c r="F2495" s="234"/>
      <c r="G2495" s="21"/>
      <c r="H2495" s="110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</row>
    <row r="2496">
      <c r="A2496" s="235"/>
      <c r="B2496" s="24"/>
      <c r="C2496" s="21"/>
      <c r="D2496" s="233"/>
      <c r="E2496" s="214"/>
      <c r="F2496" s="234"/>
      <c r="G2496" s="21"/>
      <c r="H2496" s="110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</row>
    <row r="2497">
      <c r="A2497" s="235"/>
      <c r="B2497" s="24"/>
      <c r="C2497" s="21"/>
      <c r="D2497" s="233"/>
      <c r="E2497" s="214"/>
      <c r="F2497" s="234"/>
      <c r="G2497" s="21"/>
      <c r="H2497" s="110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</row>
    <row r="2498">
      <c r="A2498" s="235"/>
      <c r="B2498" s="24"/>
      <c r="C2498" s="21"/>
      <c r="D2498" s="233"/>
      <c r="E2498" s="214"/>
      <c r="F2498" s="234"/>
      <c r="G2498" s="21"/>
      <c r="H2498" s="110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</row>
    <row r="2499">
      <c r="A2499" s="235"/>
      <c r="B2499" s="24"/>
      <c r="C2499" s="21"/>
      <c r="D2499" s="233"/>
      <c r="E2499" s="214"/>
      <c r="F2499" s="234"/>
      <c r="G2499" s="21"/>
      <c r="H2499" s="110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</row>
    <row r="2500">
      <c r="A2500" s="235"/>
      <c r="B2500" s="24"/>
      <c r="C2500" s="21"/>
      <c r="D2500" s="233"/>
      <c r="E2500" s="214"/>
      <c r="F2500" s="234"/>
      <c r="G2500" s="21"/>
      <c r="H2500" s="110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</row>
    <row r="2501">
      <c r="A2501" s="235"/>
      <c r="B2501" s="24"/>
      <c r="C2501" s="21"/>
      <c r="D2501" s="233"/>
      <c r="E2501" s="214"/>
      <c r="F2501" s="234"/>
      <c r="G2501" s="21"/>
      <c r="H2501" s="110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X2501" s="24"/>
      <c r="Y2501" s="24"/>
      <c r="Z2501" s="24"/>
    </row>
    <row r="2502">
      <c r="A2502" s="235"/>
      <c r="B2502" s="24"/>
      <c r="C2502" s="21"/>
      <c r="D2502" s="233"/>
      <c r="E2502" s="214"/>
      <c r="F2502" s="234"/>
      <c r="G2502" s="21"/>
      <c r="H2502" s="110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</row>
    <row r="2503">
      <c r="A2503" s="235"/>
      <c r="B2503" s="24"/>
      <c r="C2503" s="21"/>
      <c r="D2503" s="233"/>
      <c r="E2503" s="214"/>
      <c r="F2503" s="234"/>
      <c r="G2503" s="21"/>
      <c r="H2503" s="110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</row>
    <row r="2504">
      <c r="A2504" s="235"/>
      <c r="B2504" s="24"/>
      <c r="C2504" s="21"/>
      <c r="D2504" s="233"/>
      <c r="E2504" s="214"/>
      <c r="F2504" s="234"/>
      <c r="G2504" s="21"/>
      <c r="H2504" s="110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</row>
    <row r="2505">
      <c r="A2505" s="235"/>
      <c r="B2505" s="24"/>
      <c r="C2505" s="21"/>
      <c r="D2505" s="233"/>
      <c r="E2505" s="214"/>
      <c r="F2505" s="234"/>
      <c r="G2505" s="21"/>
      <c r="H2505" s="110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/>
      <c r="Z2505" s="24"/>
    </row>
    <row r="2506">
      <c r="A2506" s="235"/>
      <c r="B2506" s="24"/>
      <c r="C2506" s="21"/>
      <c r="D2506" s="233"/>
      <c r="E2506" s="214"/>
      <c r="F2506" s="234"/>
      <c r="G2506" s="21"/>
      <c r="H2506" s="110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/>
      <c r="Z2506" s="24"/>
    </row>
    <row r="2507">
      <c r="A2507" s="235"/>
      <c r="B2507" s="24"/>
      <c r="C2507" s="21"/>
      <c r="D2507" s="233"/>
      <c r="E2507" s="214"/>
      <c r="F2507" s="234"/>
      <c r="G2507" s="21"/>
      <c r="H2507" s="110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</row>
    <row r="2508">
      <c r="A2508" s="235"/>
      <c r="B2508" s="24"/>
      <c r="C2508" s="21"/>
      <c r="D2508" s="233"/>
      <c r="E2508" s="214"/>
      <c r="F2508" s="234"/>
      <c r="G2508" s="21"/>
      <c r="H2508" s="110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</row>
    <row r="2509">
      <c r="A2509" s="235"/>
      <c r="B2509" s="24"/>
      <c r="C2509" s="21"/>
      <c r="D2509" s="233"/>
      <c r="E2509" s="214"/>
      <c r="F2509" s="234"/>
      <c r="G2509" s="21"/>
      <c r="H2509" s="110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</row>
    <row r="2510">
      <c r="A2510" s="235"/>
      <c r="B2510" s="24"/>
      <c r="C2510" s="21"/>
      <c r="D2510" s="233"/>
      <c r="E2510" s="214"/>
      <c r="F2510" s="234"/>
      <c r="G2510" s="21"/>
      <c r="H2510" s="110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</row>
    <row r="2511">
      <c r="A2511" s="235"/>
      <c r="B2511" s="24"/>
      <c r="C2511" s="21"/>
      <c r="D2511" s="233"/>
      <c r="E2511" s="214"/>
      <c r="F2511" s="234"/>
      <c r="G2511" s="21"/>
      <c r="H2511" s="110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</row>
    <row r="2512">
      <c r="A2512" s="235"/>
      <c r="B2512" s="24"/>
      <c r="C2512" s="21"/>
      <c r="D2512" s="233"/>
      <c r="E2512" s="214"/>
      <c r="F2512" s="234"/>
      <c r="G2512" s="21"/>
      <c r="H2512" s="110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</row>
    <row r="2513">
      <c r="A2513" s="124"/>
      <c r="B2513" s="125"/>
      <c r="C2513" s="124"/>
      <c r="D2513" s="126"/>
      <c r="E2513" s="124"/>
      <c r="F2513" s="127"/>
      <c r="G2513" s="124"/>
      <c r="H2513" s="110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</row>
    <row r="2514">
      <c r="A2514" s="110"/>
      <c r="B2514" s="110"/>
      <c r="C2514" s="110"/>
      <c r="D2514" s="139"/>
      <c r="E2514" s="110"/>
      <c r="F2514" s="199"/>
      <c r="G2514" s="110"/>
      <c r="H2514" s="110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</row>
    <row r="2515">
      <c r="A2515" s="110"/>
      <c r="B2515" s="110"/>
      <c r="C2515" s="110"/>
      <c r="D2515" s="139"/>
      <c r="E2515" s="110"/>
      <c r="F2515" s="199"/>
      <c r="G2515" s="110"/>
      <c r="H2515" s="110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/>
      <c r="Z2515" s="24"/>
    </row>
    <row r="2516">
      <c r="A2516" s="236"/>
      <c r="B2516" s="26"/>
      <c r="C2516" s="24"/>
      <c r="D2516" s="213"/>
      <c r="E2516" s="180"/>
      <c r="F2516" s="215"/>
      <c r="G2516" s="24"/>
      <c r="H2516" s="110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X2516" s="24"/>
      <c r="Y2516" s="24"/>
      <c r="Z2516" s="24"/>
    </row>
    <row r="2517">
      <c r="A2517" s="236"/>
      <c r="B2517" s="26"/>
      <c r="C2517" s="24"/>
      <c r="D2517" s="213"/>
      <c r="E2517" s="180"/>
      <c r="F2517" s="215"/>
      <c r="G2517" s="24"/>
      <c r="H2517" s="110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</row>
    <row r="2518">
      <c r="A2518" s="236"/>
      <c r="B2518" s="26"/>
      <c r="C2518" s="24"/>
      <c r="D2518" s="213"/>
      <c r="E2518" s="180"/>
      <c r="F2518" s="215"/>
      <c r="G2518" s="24"/>
      <c r="H2518" s="110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</row>
    <row r="2519">
      <c r="A2519" s="236"/>
      <c r="B2519" s="26"/>
      <c r="C2519" s="24"/>
      <c r="D2519" s="213"/>
      <c r="E2519" s="180"/>
      <c r="F2519" s="215"/>
      <c r="G2519" s="24"/>
      <c r="H2519" s="110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</row>
    <row r="2520">
      <c r="A2520" s="236"/>
      <c r="B2520" s="26"/>
      <c r="C2520" s="24"/>
      <c r="D2520" s="213"/>
      <c r="E2520" s="180"/>
      <c r="F2520" s="215"/>
      <c r="G2520" s="24"/>
      <c r="H2520" s="110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X2520" s="24"/>
      <c r="Y2520" s="24"/>
      <c r="Z2520" s="24"/>
    </row>
    <row r="2521">
      <c r="A2521" s="235"/>
      <c r="B2521" s="24"/>
      <c r="C2521" s="21"/>
      <c r="D2521" s="233"/>
      <c r="E2521" s="214"/>
      <c r="F2521" s="234"/>
      <c r="G2521" s="21"/>
      <c r="H2521" s="110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</row>
    <row r="2522">
      <c r="A2522" s="235"/>
      <c r="B2522" s="24"/>
      <c r="C2522" s="21"/>
      <c r="D2522" s="233"/>
      <c r="E2522" s="214"/>
      <c r="F2522" s="234"/>
      <c r="G2522" s="21"/>
      <c r="H2522" s="110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X2522" s="24"/>
      <c r="Y2522" s="24"/>
      <c r="Z2522" s="24"/>
    </row>
    <row r="2523">
      <c r="A2523" s="124"/>
      <c r="B2523" s="125"/>
      <c r="C2523" s="124"/>
      <c r="D2523" s="126"/>
      <c r="E2523" s="124"/>
      <c r="F2523" s="127"/>
      <c r="G2523" s="124"/>
      <c r="H2523" s="110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X2523" s="24"/>
      <c r="Y2523" s="24"/>
      <c r="Z2523" s="24"/>
    </row>
    <row r="2524">
      <c r="A2524" s="124"/>
      <c r="B2524" s="125"/>
      <c r="C2524" s="124"/>
      <c r="D2524" s="126"/>
      <c r="E2524" s="124"/>
      <c r="F2524" s="127"/>
      <c r="G2524" s="124"/>
      <c r="H2524" s="110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</row>
    <row r="2525">
      <c r="A2525" s="110"/>
      <c r="B2525" s="110"/>
      <c r="C2525" s="110"/>
      <c r="D2525" s="139"/>
      <c r="E2525" s="110"/>
      <c r="F2525" s="199"/>
      <c r="G2525" s="110"/>
      <c r="H2525" s="110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</row>
    <row r="2526">
      <c r="A2526" s="162"/>
      <c r="B2526" s="162"/>
      <c r="C2526" s="162"/>
      <c r="D2526" s="163"/>
      <c r="E2526" s="164"/>
      <c r="F2526" s="165"/>
      <c r="G2526" s="162"/>
      <c r="H2526" s="110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X2526" s="24"/>
      <c r="Y2526" s="24"/>
      <c r="Z2526" s="24"/>
    </row>
    <row r="2527">
      <c r="A2527" s="237"/>
      <c r="B2527" s="24"/>
      <c r="C2527" s="21"/>
      <c r="D2527" s="233"/>
      <c r="E2527" s="214"/>
      <c r="F2527" s="234"/>
      <c r="G2527" s="21"/>
      <c r="H2527" s="110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/>
      <c r="Z2527" s="24"/>
    </row>
    <row r="2528">
      <c r="A2528" s="212"/>
      <c r="B2528" s="24"/>
      <c r="C2528" s="21"/>
      <c r="D2528" s="233"/>
      <c r="E2528" s="214"/>
      <c r="F2528" s="234"/>
      <c r="G2528" s="21"/>
      <c r="H2528" s="110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</row>
    <row r="2529">
      <c r="A2529" s="212"/>
      <c r="B2529" s="24"/>
      <c r="C2529" s="21"/>
      <c r="D2529" s="213"/>
      <c r="E2529" s="214"/>
      <c r="F2529" s="234"/>
      <c r="G2529" s="21"/>
      <c r="H2529" s="110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/>
      <c r="Z2529" s="24"/>
    </row>
    <row r="2530">
      <c r="A2530" s="212"/>
      <c r="B2530" s="24"/>
      <c r="C2530" s="21"/>
      <c r="D2530" s="213"/>
      <c r="E2530" s="214"/>
      <c r="F2530" s="234"/>
      <c r="G2530" s="21"/>
      <c r="H2530" s="110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X2530" s="24"/>
      <c r="Y2530" s="24"/>
      <c r="Z2530" s="24"/>
    </row>
    <row r="2531">
      <c r="A2531" s="212"/>
      <c r="B2531" s="24"/>
      <c r="C2531" s="21"/>
      <c r="D2531" s="233"/>
      <c r="E2531" s="214"/>
      <c r="F2531" s="234"/>
      <c r="G2531" s="21"/>
      <c r="H2531" s="110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X2531" s="24"/>
      <c r="Y2531" s="24"/>
      <c r="Z2531" s="24"/>
    </row>
    <row r="2532">
      <c r="A2532" s="212"/>
      <c r="B2532" s="24"/>
      <c r="C2532" s="21"/>
      <c r="D2532" s="233"/>
      <c r="E2532" s="214"/>
      <c r="F2532" s="234"/>
      <c r="G2532" s="21"/>
      <c r="H2532" s="110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</row>
    <row r="2533">
      <c r="A2533" s="212"/>
      <c r="B2533" s="24"/>
      <c r="C2533" s="21"/>
      <c r="D2533" s="233"/>
      <c r="E2533" s="214"/>
      <c r="F2533" s="234"/>
      <c r="G2533" s="21"/>
      <c r="H2533" s="110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</row>
    <row r="2534">
      <c r="A2534" s="212"/>
      <c r="B2534" s="24"/>
      <c r="C2534" s="21"/>
      <c r="D2534" s="233"/>
      <c r="E2534" s="214"/>
      <c r="F2534" s="234"/>
      <c r="G2534" s="21"/>
      <c r="H2534" s="110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X2534" s="24"/>
      <c r="Y2534" s="24"/>
      <c r="Z2534" s="24"/>
    </row>
    <row r="2535">
      <c r="A2535" s="212"/>
      <c r="B2535" s="24"/>
      <c r="C2535" s="21"/>
      <c r="D2535" s="233"/>
      <c r="E2535" s="214"/>
      <c r="F2535" s="234"/>
      <c r="G2535" s="21"/>
      <c r="H2535" s="110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/>
      <c r="Z2535" s="24"/>
    </row>
    <row r="2536">
      <c r="A2536" s="212"/>
      <c r="B2536" s="24"/>
      <c r="C2536" s="21"/>
      <c r="D2536" s="233"/>
      <c r="E2536" s="214"/>
      <c r="F2536" s="234"/>
      <c r="G2536" s="21"/>
      <c r="H2536" s="110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</row>
    <row r="2537">
      <c r="A2537" s="212"/>
      <c r="B2537" s="24"/>
      <c r="C2537" s="21"/>
      <c r="D2537" s="233"/>
      <c r="E2537" s="214"/>
      <c r="F2537" s="234"/>
      <c r="G2537" s="21"/>
      <c r="H2537" s="110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</row>
    <row r="2538">
      <c r="A2538" s="212"/>
      <c r="B2538" s="24"/>
      <c r="C2538" s="21"/>
      <c r="D2538" s="233"/>
      <c r="E2538" s="214"/>
      <c r="F2538" s="234"/>
      <c r="G2538" s="21"/>
      <c r="H2538" s="110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X2538" s="24"/>
      <c r="Y2538" s="24"/>
      <c r="Z2538" s="24"/>
    </row>
    <row r="2539">
      <c r="A2539" s="212"/>
      <c r="B2539" s="24"/>
      <c r="C2539" s="21"/>
      <c r="D2539" s="233"/>
      <c r="E2539" s="214"/>
      <c r="F2539" s="234"/>
      <c r="G2539" s="21"/>
      <c r="H2539" s="110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</row>
    <row r="2540">
      <c r="A2540" s="212"/>
      <c r="B2540" s="24"/>
      <c r="C2540" s="21"/>
      <c r="D2540" s="233"/>
      <c r="E2540" s="214"/>
      <c r="F2540" s="234"/>
      <c r="G2540" s="21"/>
      <c r="H2540" s="110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</row>
    <row r="2541">
      <c r="A2541" s="212"/>
      <c r="B2541" s="24"/>
      <c r="C2541" s="21"/>
      <c r="D2541" s="233"/>
      <c r="E2541" s="214"/>
      <c r="F2541" s="234"/>
      <c r="G2541" s="21"/>
      <c r="H2541" s="110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X2541" s="24"/>
      <c r="Y2541" s="24"/>
      <c r="Z2541" s="24"/>
    </row>
    <row r="2542">
      <c r="A2542" s="212"/>
      <c r="B2542" s="24"/>
      <c r="C2542" s="21"/>
      <c r="D2542" s="233"/>
      <c r="E2542" s="214"/>
      <c r="F2542" s="234"/>
      <c r="G2542" s="21"/>
      <c r="H2542" s="110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</row>
    <row r="2543">
      <c r="A2543" s="212"/>
      <c r="B2543" s="24"/>
      <c r="C2543" s="21"/>
      <c r="D2543" s="233"/>
      <c r="E2543" s="214"/>
      <c r="F2543" s="234"/>
      <c r="G2543" s="21"/>
      <c r="H2543" s="110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</row>
    <row r="2544">
      <c r="A2544" s="212"/>
      <c r="B2544" s="24"/>
      <c r="C2544" s="21"/>
      <c r="D2544" s="233"/>
      <c r="E2544" s="214"/>
      <c r="F2544" s="234"/>
      <c r="G2544" s="21"/>
      <c r="H2544" s="110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4"/>
      <c r="X2544" s="24"/>
      <c r="Y2544" s="24"/>
      <c r="Z2544" s="24"/>
    </row>
    <row r="2545">
      <c r="A2545" s="212"/>
      <c r="B2545" s="24"/>
      <c r="C2545" s="21"/>
      <c r="D2545" s="233"/>
      <c r="E2545" s="214"/>
      <c r="F2545" s="234"/>
      <c r="G2545" s="21"/>
      <c r="H2545" s="110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/>
      <c r="Z2545" s="24"/>
    </row>
    <row r="2546">
      <c r="A2546" s="212"/>
      <c r="B2546" s="24"/>
      <c r="C2546" s="21"/>
      <c r="D2546" s="233"/>
      <c r="E2546" s="214"/>
      <c r="F2546" s="234"/>
      <c r="G2546" s="21"/>
      <c r="H2546" s="110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/>
      <c r="Z2546" s="24"/>
    </row>
    <row r="2547">
      <c r="A2547" s="212"/>
      <c r="B2547" s="24"/>
      <c r="C2547" s="21"/>
      <c r="D2547" s="233"/>
      <c r="E2547" s="214"/>
      <c r="F2547" s="234"/>
      <c r="G2547" s="21"/>
      <c r="H2547" s="110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</row>
    <row r="2548">
      <c r="A2548" s="212"/>
      <c r="B2548" s="24"/>
      <c r="C2548" s="21"/>
      <c r="D2548" s="233"/>
      <c r="E2548" s="214"/>
      <c r="F2548" s="234"/>
      <c r="G2548" s="21"/>
      <c r="H2548" s="110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</row>
    <row r="2549">
      <c r="A2549" s="212"/>
      <c r="B2549" s="24"/>
      <c r="C2549" s="21"/>
      <c r="D2549" s="233"/>
      <c r="E2549" s="214"/>
      <c r="F2549" s="234"/>
      <c r="G2549" s="21"/>
      <c r="H2549" s="110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</row>
    <row r="2550">
      <c r="A2550" s="212"/>
      <c r="B2550" s="24"/>
      <c r="C2550" s="21"/>
      <c r="D2550" s="233"/>
      <c r="E2550" s="214"/>
      <c r="F2550" s="234"/>
      <c r="G2550" s="21"/>
      <c r="H2550" s="110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</row>
    <row r="2551">
      <c r="A2551" s="212"/>
      <c r="B2551" s="24"/>
      <c r="C2551" s="21"/>
      <c r="D2551" s="233"/>
      <c r="E2551" s="214"/>
      <c r="F2551" s="234"/>
      <c r="G2551" s="21"/>
      <c r="H2551" s="110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</row>
    <row r="2552">
      <c r="A2552" s="212"/>
      <c r="B2552" s="24"/>
      <c r="C2552" s="21"/>
      <c r="D2552" s="233"/>
      <c r="E2552" s="214"/>
      <c r="F2552" s="234"/>
      <c r="G2552" s="21"/>
      <c r="H2552" s="110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/>
      <c r="Z2552" s="24"/>
    </row>
    <row r="2553">
      <c r="A2553" s="212"/>
      <c r="B2553" s="24"/>
      <c r="C2553" s="21"/>
      <c r="D2553" s="233"/>
      <c r="E2553" s="214"/>
      <c r="F2553" s="234"/>
      <c r="G2553" s="21"/>
      <c r="H2553" s="110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/>
      <c r="Z2553" s="24"/>
    </row>
    <row r="2554">
      <c r="A2554" s="212"/>
      <c r="B2554" s="24"/>
      <c r="C2554" s="21"/>
      <c r="D2554" s="233"/>
      <c r="E2554" s="214"/>
      <c r="F2554" s="234"/>
      <c r="G2554" s="21"/>
      <c r="H2554" s="110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</row>
    <row r="2555">
      <c r="A2555" s="212"/>
      <c r="B2555" s="24"/>
      <c r="C2555" s="21"/>
      <c r="D2555" s="233"/>
      <c r="E2555" s="214"/>
      <c r="F2555" s="234"/>
      <c r="G2555" s="21"/>
      <c r="H2555" s="110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</row>
    <row r="2556">
      <c r="A2556" s="212"/>
      <c r="B2556" s="24"/>
      <c r="C2556" s="21"/>
      <c r="D2556" s="233"/>
      <c r="E2556" s="214"/>
      <c r="F2556" s="234"/>
      <c r="G2556" s="21"/>
      <c r="H2556" s="110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/>
      <c r="Z2556" s="24"/>
    </row>
    <row r="2557">
      <c r="A2557" s="212"/>
      <c r="B2557" s="24"/>
      <c r="C2557" s="21"/>
      <c r="D2557" s="233"/>
      <c r="E2557" s="214"/>
      <c r="F2557" s="234"/>
      <c r="G2557" s="21"/>
      <c r="H2557" s="110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/>
      <c r="Z2557" s="24"/>
    </row>
    <row r="2558">
      <c r="A2558" s="212"/>
      <c r="B2558" s="24"/>
      <c r="C2558" s="21"/>
      <c r="D2558" s="233"/>
      <c r="E2558" s="214"/>
      <c r="F2558" s="234"/>
      <c r="G2558" s="21"/>
      <c r="H2558" s="110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</row>
    <row r="2559">
      <c r="A2559" s="212"/>
      <c r="B2559" s="24"/>
      <c r="C2559" s="21"/>
      <c r="D2559" s="233"/>
      <c r="E2559" s="214"/>
      <c r="F2559" s="234"/>
      <c r="G2559" s="21"/>
      <c r="H2559" s="110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/>
      <c r="Z2559" s="24"/>
    </row>
    <row r="2560">
      <c r="A2560" s="212"/>
      <c r="B2560" s="24"/>
      <c r="C2560" s="21"/>
      <c r="D2560" s="233"/>
      <c r="E2560" s="214"/>
      <c r="F2560" s="234"/>
      <c r="G2560" s="24"/>
      <c r="H2560" s="110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</row>
    <row r="2561">
      <c r="A2561" s="212"/>
      <c r="B2561" s="24"/>
      <c r="C2561" s="21"/>
      <c r="D2561" s="233"/>
      <c r="E2561" s="214"/>
      <c r="F2561" s="234"/>
      <c r="G2561" s="24"/>
      <c r="H2561" s="110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/>
      <c r="Z2561" s="24"/>
    </row>
    <row r="2562">
      <c r="A2562" s="212"/>
      <c r="B2562" s="24"/>
      <c r="C2562" s="21"/>
      <c r="D2562" s="233"/>
      <c r="E2562" s="214"/>
      <c r="F2562" s="234"/>
      <c r="G2562" s="24"/>
      <c r="H2562" s="110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</row>
    <row r="2563">
      <c r="A2563" s="212"/>
      <c r="B2563" s="24"/>
      <c r="C2563" s="21"/>
      <c r="D2563" s="233"/>
      <c r="E2563" s="214"/>
      <c r="F2563" s="234"/>
      <c r="G2563" s="24"/>
      <c r="H2563" s="110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</row>
    <row r="2564">
      <c r="A2564" s="212"/>
      <c r="B2564" s="24"/>
      <c r="C2564" s="21"/>
      <c r="D2564" s="233"/>
      <c r="E2564" s="214"/>
      <c r="F2564" s="234"/>
      <c r="G2564" s="24"/>
      <c r="H2564" s="110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X2564" s="24"/>
      <c r="Y2564" s="24"/>
      <c r="Z2564" s="24"/>
    </row>
    <row r="2565">
      <c r="A2565" s="212"/>
      <c r="B2565" s="24"/>
      <c r="C2565" s="21"/>
      <c r="D2565" s="233"/>
      <c r="E2565" s="214"/>
      <c r="F2565" s="234"/>
      <c r="G2565" s="21"/>
      <c r="H2565" s="110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</row>
    <row r="2566">
      <c r="A2566" s="212"/>
      <c r="B2566" s="26"/>
      <c r="C2566" s="24"/>
      <c r="D2566" s="213"/>
      <c r="E2566" s="180"/>
      <c r="F2566" s="234"/>
      <c r="G2566" s="21"/>
      <c r="H2566" s="110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</row>
    <row r="2567">
      <c r="A2567" s="124"/>
      <c r="B2567" s="125"/>
      <c r="C2567" s="124"/>
      <c r="D2567" s="126"/>
      <c r="E2567" s="124"/>
      <c r="F2567" s="127"/>
      <c r="G2567" s="124"/>
      <c r="H2567" s="110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</row>
    <row r="2568">
      <c r="A2568" s="110"/>
      <c r="B2568" s="110"/>
      <c r="C2568" s="110"/>
      <c r="D2568" s="139"/>
      <c r="E2568" s="110"/>
      <c r="F2568" s="199"/>
      <c r="G2568" s="110"/>
      <c r="H2568" s="110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</row>
    <row r="2569">
      <c r="A2569" s="110"/>
      <c r="B2569" s="110"/>
      <c r="C2569" s="110"/>
      <c r="D2569" s="139"/>
      <c r="E2569" s="110"/>
      <c r="F2569" s="199"/>
      <c r="G2569" s="110"/>
      <c r="H2569" s="110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</row>
    <row r="2570">
      <c r="A2570" s="231"/>
      <c r="B2570" s="26"/>
      <c r="C2570" s="24"/>
      <c r="D2570" s="213"/>
      <c r="E2570" s="180"/>
      <c r="F2570" s="215"/>
      <c r="G2570" s="24"/>
      <c r="H2570" s="110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</row>
    <row r="2571">
      <c r="A2571" s="231"/>
      <c r="B2571" s="26"/>
      <c r="C2571" s="24"/>
      <c r="D2571" s="213"/>
      <c r="E2571" s="180"/>
      <c r="F2571" s="215"/>
      <c r="G2571" s="24"/>
      <c r="H2571" s="110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</row>
    <row r="2572">
      <c r="A2572" s="124"/>
      <c r="B2572" s="125"/>
      <c r="C2572" s="124"/>
      <c r="D2572" s="126"/>
      <c r="E2572" s="124"/>
      <c r="F2572" s="127"/>
      <c r="G2572" s="124"/>
      <c r="H2572" s="110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X2572" s="24"/>
      <c r="Y2572" s="24"/>
      <c r="Z2572" s="24"/>
    </row>
    <row r="2573">
      <c r="A2573" s="124"/>
      <c r="B2573" s="125"/>
      <c r="C2573" s="124"/>
      <c r="D2573" s="126"/>
      <c r="E2573" s="124"/>
      <c r="F2573" s="127"/>
      <c r="G2573" s="124"/>
      <c r="H2573" s="110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</row>
    <row r="2574">
      <c r="A2574" s="110"/>
      <c r="B2574" s="110"/>
      <c r="C2574" s="110"/>
      <c r="D2574" s="139"/>
      <c r="E2574" s="110"/>
      <c r="F2574" s="199"/>
      <c r="G2574" s="110"/>
      <c r="H2574" s="110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</row>
    <row r="2575">
      <c r="A2575" s="110"/>
      <c r="B2575" s="110"/>
      <c r="C2575" s="110"/>
      <c r="D2575" s="139"/>
      <c r="E2575" s="110"/>
      <c r="F2575" s="199"/>
      <c r="G2575" s="110"/>
      <c r="H2575" s="110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X2575" s="24"/>
      <c r="Y2575" s="24"/>
      <c r="Z2575" s="24"/>
    </row>
    <row r="2576">
      <c r="A2576" s="162"/>
      <c r="B2576" s="162"/>
      <c r="C2576" s="162"/>
      <c r="D2576" s="163"/>
      <c r="E2576" s="164"/>
      <c r="F2576" s="165"/>
      <c r="G2576" s="162"/>
      <c r="H2576" s="110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</row>
    <row r="2577">
      <c r="A2577" s="212"/>
      <c r="B2577" s="24"/>
      <c r="C2577" s="21"/>
      <c r="D2577" s="233"/>
      <c r="E2577" s="214"/>
      <c r="F2577" s="234"/>
      <c r="G2577" s="21"/>
      <c r="H2577" s="110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/>
      <c r="Z2577" s="24"/>
    </row>
    <row r="2578">
      <c r="A2578" s="212"/>
      <c r="B2578" s="24"/>
      <c r="C2578" s="21"/>
      <c r="D2578" s="233"/>
      <c r="E2578" s="214"/>
      <c r="F2578" s="234"/>
      <c r="G2578" s="21"/>
      <c r="H2578" s="110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</row>
    <row r="2579">
      <c r="A2579" s="212"/>
      <c r="B2579" s="24"/>
      <c r="C2579" s="21"/>
      <c r="D2579" s="233"/>
      <c r="E2579" s="214"/>
      <c r="F2579" s="234"/>
      <c r="G2579" s="21"/>
      <c r="H2579" s="110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/>
      <c r="Z2579" s="24"/>
    </row>
    <row r="2580">
      <c r="A2580" s="212"/>
      <c r="B2580" s="24"/>
      <c r="C2580" s="21"/>
      <c r="D2580" s="233"/>
      <c r="E2580" s="214"/>
      <c r="F2580" s="234"/>
      <c r="G2580" s="21"/>
      <c r="H2580" s="110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/>
      <c r="Z2580" s="24"/>
    </row>
    <row r="2581">
      <c r="A2581" s="212"/>
      <c r="B2581" s="24"/>
      <c r="C2581" s="21"/>
      <c r="D2581" s="233"/>
      <c r="E2581" s="214"/>
      <c r="F2581" s="234"/>
      <c r="G2581" s="21"/>
      <c r="H2581" s="110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</row>
    <row r="2582">
      <c r="A2582" s="212"/>
      <c r="B2582" s="24"/>
      <c r="C2582" s="21"/>
      <c r="D2582" s="233"/>
      <c r="E2582" s="214"/>
      <c r="F2582" s="234"/>
      <c r="G2582" s="21"/>
      <c r="H2582" s="110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/>
      <c r="Z2582" s="24"/>
    </row>
    <row r="2583">
      <c r="A2583" s="212"/>
      <c r="B2583" s="24"/>
      <c r="C2583" s="24"/>
      <c r="D2583" s="233"/>
      <c r="E2583" s="214"/>
      <c r="F2583" s="234"/>
      <c r="G2583" s="21"/>
      <c r="H2583" s="110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</row>
    <row r="2584">
      <c r="A2584" s="212"/>
      <c r="B2584" s="24"/>
      <c r="C2584" s="21"/>
      <c r="D2584" s="233"/>
      <c r="E2584" s="214"/>
      <c r="F2584" s="234"/>
      <c r="G2584" s="21"/>
      <c r="H2584" s="110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X2584" s="24"/>
      <c r="Y2584" s="24"/>
      <c r="Z2584" s="24"/>
    </row>
    <row r="2585">
      <c r="A2585" s="212"/>
      <c r="B2585" s="24"/>
      <c r="C2585" s="21"/>
      <c r="D2585" s="233"/>
      <c r="E2585" s="214"/>
      <c r="F2585" s="234"/>
      <c r="G2585" s="21"/>
      <c r="H2585" s="110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</row>
    <row r="2586">
      <c r="A2586" s="212"/>
      <c r="B2586" s="24"/>
      <c r="C2586" s="21"/>
      <c r="D2586" s="233"/>
      <c r="E2586" s="214"/>
      <c r="F2586" s="234"/>
      <c r="G2586" s="21"/>
      <c r="H2586" s="110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/>
      <c r="Z2586" s="24"/>
    </row>
    <row r="2587">
      <c r="A2587" s="212"/>
      <c r="B2587" s="24"/>
      <c r="C2587" s="238"/>
      <c r="D2587" s="239"/>
      <c r="E2587" s="214"/>
      <c r="F2587" s="234"/>
      <c r="G2587" s="21"/>
      <c r="H2587" s="110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</row>
    <row r="2588">
      <c r="A2588" s="212"/>
      <c r="B2588" s="24"/>
      <c r="C2588" s="238"/>
      <c r="D2588" s="239"/>
      <c r="E2588" s="214"/>
      <c r="F2588" s="234"/>
      <c r="G2588" s="21"/>
      <c r="H2588" s="110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</row>
    <row r="2589">
      <c r="A2589" s="212"/>
      <c r="B2589" s="24"/>
      <c r="C2589" s="238"/>
      <c r="D2589" s="239"/>
      <c r="E2589" s="214"/>
      <c r="F2589" s="234"/>
      <c r="G2589" s="21"/>
      <c r="H2589" s="110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X2589" s="24"/>
      <c r="Y2589" s="24"/>
      <c r="Z2589" s="24"/>
    </row>
    <row r="2590">
      <c r="A2590" s="212"/>
      <c r="B2590" s="24"/>
      <c r="C2590" s="238"/>
      <c r="D2590" s="239"/>
      <c r="E2590" s="214"/>
      <c r="F2590" s="234"/>
      <c r="G2590" s="21"/>
      <c r="H2590" s="110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X2590" s="24"/>
      <c r="Y2590" s="24"/>
      <c r="Z2590" s="24"/>
    </row>
    <row r="2591">
      <c r="A2591" s="212"/>
      <c r="B2591" s="24"/>
      <c r="C2591" s="238"/>
      <c r="D2591" s="239"/>
      <c r="E2591" s="214"/>
      <c r="F2591" s="234"/>
      <c r="G2591" s="21"/>
      <c r="H2591" s="110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/>
      <c r="Z2591" s="24"/>
    </row>
    <row r="2592">
      <c r="A2592" s="212"/>
      <c r="B2592" s="24"/>
      <c r="C2592" s="238"/>
      <c r="D2592" s="239"/>
      <c r="E2592" s="214"/>
      <c r="F2592" s="234"/>
      <c r="G2592" s="21"/>
      <c r="H2592" s="110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X2592" s="24"/>
      <c r="Y2592" s="24"/>
      <c r="Z2592" s="24"/>
    </row>
    <row r="2593">
      <c r="A2593" s="212"/>
      <c r="B2593" s="24"/>
      <c r="C2593" s="21"/>
      <c r="D2593" s="233"/>
      <c r="E2593" s="180"/>
      <c r="F2593" s="234"/>
      <c r="G2593" s="21"/>
      <c r="H2593" s="110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</row>
    <row r="2594">
      <c r="A2594" s="212"/>
      <c r="B2594" s="24"/>
      <c r="C2594" s="21"/>
      <c r="D2594" s="233"/>
      <c r="E2594" s="180"/>
      <c r="F2594" s="234"/>
      <c r="G2594" s="21"/>
      <c r="H2594" s="110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/>
      <c r="Z2594" s="24"/>
    </row>
    <row r="2595">
      <c r="A2595" s="212"/>
      <c r="B2595" s="24"/>
      <c r="C2595" s="21"/>
      <c r="D2595" s="233"/>
      <c r="E2595" s="180"/>
      <c r="F2595" s="234"/>
      <c r="G2595" s="21"/>
      <c r="H2595" s="110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</row>
    <row r="2596">
      <c r="A2596" s="212"/>
      <c r="B2596" s="24"/>
      <c r="C2596" s="21"/>
      <c r="D2596" s="233"/>
      <c r="E2596" s="180"/>
      <c r="F2596" s="234"/>
      <c r="G2596" s="21"/>
      <c r="H2596" s="110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</row>
    <row r="2597">
      <c r="A2597" s="212"/>
      <c r="B2597" s="24"/>
      <c r="C2597" s="21"/>
      <c r="D2597" s="233"/>
      <c r="E2597" s="180"/>
      <c r="F2597" s="234"/>
      <c r="G2597" s="21"/>
      <c r="H2597" s="110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</row>
    <row r="2598">
      <c r="A2598" s="212"/>
      <c r="B2598" s="24"/>
      <c r="C2598" s="21"/>
      <c r="D2598" s="233"/>
      <c r="E2598" s="180"/>
      <c r="F2598" s="234"/>
      <c r="G2598" s="21"/>
      <c r="H2598" s="110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</row>
    <row r="2599">
      <c r="A2599" s="212"/>
      <c r="B2599" s="24"/>
      <c r="C2599" s="21"/>
      <c r="D2599" s="233"/>
      <c r="E2599" s="180"/>
      <c r="F2599" s="234"/>
      <c r="G2599" s="21"/>
      <c r="H2599" s="110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</row>
    <row r="2600">
      <c r="A2600" s="212"/>
      <c r="B2600" s="24"/>
      <c r="C2600" s="21"/>
      <c r="D2600" s="233"/>
      <c r="E2600" s="180"/>
      <c r="F2600" s="234"/>
      <c r="G2600" s="21"/>
      <c r="H2600" s="110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</row>
    <row r="2601">
      <c r="A2601" s="212"/>
      <c r="B2601" s="24"/>
      <c r="C2601" s="21"/>
      <c r="D2601" s="233"/>
      <c r="E2601" s="180"/>
      <c r="F2601" s="234"/>
      <c r="G2601" s="21"/>
      <c r="H2601" s="110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/>
      <c r="Z2601" s="24"/>
    </row>
    <row r="2602">
      <c r="A2602" s="212"/>
      <c r="B2602" s="24"/>
      <c r="C2602" s="21"/>
      <c r="D2602" s="233"/>
      <c r="E2602" s="180"/>
      <c r="F2602" s="234"/>
      <c r="G2602" s="21"/>
      <c r="H2602" s="110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/>
      <c r="Z2602" s="24"/>
    </row>
    <row r="2603">
      <c r="A2603" s="212"/>
      <c r="B2603" s="24"/>
      <c r="C2603" s="21"/>
      <c r="D2603" s="233"/>
      <c r="E2603" s="180"/>
      <c r="F2603" s="234"/>
      <c r="G2603" s="21"/>
      <c r="H2603" s="110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/>
      <c r="Z2603" s="24"/>
    </row>
    <row r="2604">
      <c r="A2604" s="212"/>
      <c r="B2604" s="24"/>
      <c r="C2604" s="21"/>
      <c r="D2604" s="233"/>
      <c r="E2604" s="180"/>
      <c r="F2604" s="234"/>
      <c r="G2604" s="21"/>
      <c r="H2604" s="110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/>
      <c r="Z2604" s="24"/>
    </row>
    <row r="2605">
      <c r="A2605" s="212"/>
      <c r="B2605" s="24"/>
      <c r="C2605" s="21"/>
      <c r="D2605" s="233"/>
      <c r="E2605" s="180"/>
      <c r="F2605" s="234"/>
      <c r="G2605" s="21"/>
      <c r="H2605" s="110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/>
      <c r="Z2605" s="24"/>
    </row>
    <row r="2606">
      <c r="A2606" s="212"/>
      <c r="B2606" s="24"/>
      <c r="C2606" s="21"/>
      <c r="D2606" s="233"/>
      <c r="E2606" s="180"/>
      <c r="F2606" s="234"/>
      <c r="G2606" s="21"/>
      <c r="H2606" s="110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</row>
    <row r="2607">
      <c r="A2607" s="212"/>
      <c r="B2607" s="24"/>
      <c r="C2607" s="21"/>
      <c r="D2607" s="233"/>
      <c r="E2607" s="180"/>
      <c r="F2607" s="234"/>
      <c r="G2607" s="21"/>
      <c r="H2607" s="110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</row>
    <row r="2608">
      <c r="A2608" s="212"/>
      <c r="B2608" s="24"/>
      <c r="C2608" s="21"/>
      <c r="D2608" s="233"/>
      <c r="E2608" s="180"/>
      <c r="F2608" s="234"/>
      <c r="G2608" s="21"/>
      <c r="H2608" s="110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</row>
    <row r="2609">
      <c r="A2609" s="212"/>
      <c r="B2609" s="24"/>
      <c r="C2609" s="21"/>
      <c r="D2609" s="233"/>
      <c r="E2609" s="180"/>
      <c r="F2609" s="234"/>
      <c r="G2609" s="21"/>
      <c r="H2609" s="110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/>
      <c r="Z2609" s="24"/>
    </row>
    <row r="2610">
      <c r="A2610" s="212"/>
      <c r="B2610" s="24"/>
      <c r="C2610" s="21"/>
      <c r="D2610" s="233"/>
      <c r="E2610" s="180"/>
      <c r="F2610" s="234"/>
      <c r="G2610" s="21"/>
      <c r="H2610" s="110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</row>
    <row r="2611">
      <c r="A2611" s="212"/>
      <c r="B2611" s="24"/>
      <c r="C2611" s="21"/>
      <c r="D2611" s="233"/>
      <c r="E2611" s="180"/>
      <c r="F2611" s="234"/>
      <c r="G2611" s="21"/>
      <c r="H2611" s="110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/>
      <c r="Z2611" s="24"/>
    </row>
    <row r="2612">
      <c r="A2612" s="212"/>
      <c r="B2612" s="24"/>
      <c r="C2612" s="21"/>
      <c r="D2612" s="233"/>
      <c r="E2612" s="180"/>
      <c r="F2612" s="234"/>
      <c r="G2612" s="21"/>
      <c r="H2612" s="110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</row>
    <row r="2613">
      <c r="A2613" s="212"/>
      <c r="B2613" s="24"/>
      <c r="C2613" s="21"/>
      <c r="D2613" s="233"/>
      <c r="E2613" s="180"/>
      <c r="F2613" s="234"/>
      <c r="G2613" s="21"/>
      <c r="H2613" s="110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</row>
    <row r="2614">
      <c r="A2614" s="212"/>
      <c r="B2614" s="24"/>
      <c r="C2614" s="21"/>
      <c r="D2614" s="233"/>
      <c r="E2614" s="180"/>
      <c r="F2614" s="234"/>
      <c r="G2614" s="21"/>
      <c r="H2614" s="110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/>
      <c r="Z2614" s="24"/>
    </row>
    <row r="2615">
      <c r="A2615" s="212"/>
      <c r="B2615" s="24"/>
      <c r="C2615" s="21"/>
      <c r="D2615" s="233"/>
      <c r="E2615" s="180"/>
      <c r="F2615" s="234"/>
      <c r="G2615" s="21"/>
      <c r="H2615" s="110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/>
      <c r="Z2615" s="24"/>
    </row>
    <row r="2616">
      <c r="A2616" s="212"/>
      <c r="B2616" s="24"/>
      <c r="C2616" s="21"/>
      <c r="D2616" s="233"/>
      <c r="E2616" s="180"/>
      <c r="F2616" s="234"/>
      <c r="G2616" s="21"/>
      <c r="H2616" s="110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X2616" s="24"/>
      <c r="Y2616" s="24"/>
      <c r="Z2616" s="24"/>
    </row>
    <row r="2617">
      <c r="A2617" s="212"/>
      <c r="B2617" s="24"/>
      <c r="C2617" s="21"/>
      <c r="D2617" s="233"/>
      <c r="E2617" s="180"/>
      <c r="F2617" s="234"/>
      <c r="G2617" s="21"/>
      <c r="H2617" s="110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</row>
    <row r="2618">
      <c r="A2618" s="212"/>
      <c r="B2618" s="24"/>
      <c r="C2618" s="21"/>
      <c r="D2618" s="233"/>
      <c r="E2618" s="180"/>
      <c r="F2618" s="234"/>
      <c r="G2618" s="21"/>
      <c r="H2618" s="110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X2618" s="24"/>
      <c r="Y2618" s="24"/>
      <c r="Z2618" s="24"/>
    </row>
    <row r="2619">
      <c r="A2619" s="212"/>
      <c r="B2619" s="24"/>
      <c r="C2619" s="21"/>
      <c r="D2619" s="233"/>
      <c r="E2619" s="180"/>
      <c r="F2619" s="234"/>
      <c r="G2619" s="21"/>
      <c r="H2619" s="110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</row>
    <row r="2620">
      <c r="A2620" s="212"/>
      <c r="B2620" s="24"/>
      <c r="C2620" s="21"/>
      <c r="D2620" s="233"/>
      <c r="E2620" s="180"/>
      <c r="F2620" s="234"/>
      <c r="G2620" s="21"/>
      <c r="H2620" s="110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</row>
    <row r="2621">
      <c r="A2621" s="212"/>
      <c r="B2621" s="24"/>
      <c r="C2621" s="21"/>
      <c r="D2621" s="233"/>
      <c r="E2621" s="180"/>
      <c r="F2621" s="234"/>
      <c r="G2621" s="21"/>
      <c r="H2621" s="110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</row>
    <row r="2622">
      <c r="A2622" s="212"/>
      <c r="B2622" s="24"/>
      <c r="C2622" s="21"/>
      <c r="D2622" s="233"/>
      <c r="E2622" s="180"/>
      <c r="F2622" s="234"/>
      <c r="G2622" s="21"/>
      <c r="H2622" s="110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/>
      <c r="Z2622" s="24"/>
    </row>
    <row r="2623">
      <c r="A2623" s="212"/>
      <c r="B2623" s="24"/>
      <c r="C2623" s="21"/>
      <c r="D2623" s="233"/>
      <c r="E2623" s="180"/>
      <c r="F2623" s="234"/>
      <c r="G2623" s="21"/>
      <c r="H2623" s="110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</row>
    <row r="2624">
      <c r="A2624" s="212"/>
      <c r="B2624" s="24"/>
      <c r="C2624" s="21"/>
      <c r="D2624" s="233"/>
      <c r="E2624" s="180"/>
      <c r="F2624" s="234"/>
      <c r="G2624" s="21"/>
      <c r="H2624" s="110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/>
      <c r="Z2624" s="24"/>
    </row>
    <row r="2625">
      <c r="A2625" s="212"/>
      <c r="B2625" s="24"/>
      <c r="C2625" s="21"/>
      <c r="D2625" s="233"/>
      <c r="E2625" s="180"/>
      <c r="F2625" s="234"/>
      <c r="G2625" s="21"/>
      <c r="H2625" s="110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</row>
    <row r="2626">
      <c r="A2626" s="212"/>
      <c r="B2626" s="24"/>
      <c r="C2626" s="21"/>
      <c r="D2626" s="233"/>
      <c r="E2626" s="180"/>
      <c r="F2626" s="234"/>
      <c r="G2626" s="21"/>
      <c r="H2626" s="110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</row>
    <row r="2627">
      <c r="A2627" s="212"/>
      <c r="B2627" s="24"/>
      <c r="C2627" s="21"/>
      <c r="D2627" s="233"/>
      <c r="E2627" s="180"/>
      <c r="F2627" s="234"/>
      <c r="G2627" s="21"/>
      <c r="H2627" s="110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</row>
    <row r="2628">
      <c r="A2628" s="124"/>
      <c r="B2628" s="125"/>
      <c r="C2628" s="124"/>
      <c r="D2628" s="126"/>
      <c r="E2628" s="124"/>
      <c r="F2628" s="127"/>
      <c r="G2628" s="124"/>
      <c r="H2628" s="110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</row>
    <row r="2629">
      <c r="A2629" s="231"/>
      <c r="B2629" s="24"/>
      <c r="C2629" s="24"/>
      <c r="D2629" s="233"/>
      <c r="E2629" s="180"/>
      <c r="F2629" s="215"/>
      <c r="G2629" s="24"/>
      <c r="H2629" s="110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X2629" s="24"/>
      <c r="Y2629" s="24"/>
      <c r="Z2629" s="24"/>
    </row>
    <row r="2630">
      <c r="A2630" s="140"/>
      <c r="B2630" s="26"/>
      <c r="C2630" s="26"/>
      <c r="D2630" s="141"/>
      <c r="E2630" s="20"/>
      <c r="F2630" s="192"/>
      <c r="G2630" s="26"/>
      <c r="H2630" s="110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</row>
    <row r="2631">
      <c r="A2631" s="140"/>
      <c r="B2631" s="26"/>
      <c r="C2631" s="26"/>
      <c r="D2631" s="141"/>
      <c r="E2631" s="20"/>
      <c r="F2631" s="192"/>
      <c r="G2631" s="26"/>
      <c r="H2631" s="110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X2631" s="24"/>
      <c r="Y2631" s="24"/>
      <c r="Z2631" s="24"/>
    </row>
    <row r="2632">
      <c r="A2632" s="231"/>
      <c r="B2632" s="26"/>
      <c r="C2632" s="24"/>
      <c r="D2632" s="213"/>
      <c r="E2632" s="20"/>
      <c r="F2632" s="215"/>
      <c r="G2632" s="24"/>
      <c r="H2632" s="110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</row>
    <row r="2633">
      <c r="A2633" s="140"/>
      <c r="B2633" s="26"/>
      <c r="C2633" s="26"/>
      <c r="D2633" s="141"/>
      <c r="E2633" s="20"/>
      <c r="F2633" s="192"/>
      <c r="G2633" s="26"/>
      <c r="H2633" s="110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</row>
    <row r="2634">
      <c r="A2634" s="240"/>
      <c r="B2634" s="222"/>
      <c r="C2634" s="222"/>
      <c r="D2634" s="241"/>
      <c r="E2634" s="222"/>
      <c r="F2634" s="242"/>
      <c r="G2634" s="222"/>
      <c r="H2634" s="110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X2634" s="24"/>
      <c r="Y2634" s="24"/>
      <c r="Z2634" s="24"/>
    </row>
    <row r="2635">
      <c r="A2635" s="140"/>
      <c r="B2635" s="26"/>
      <c r="C2635" s="26"/>
      <c r="D2635" s="141"/>
      <c r="E2635" s="20"/>
      <c r="F2635" s="127"/>
      <c r="G2635" s="26"/>
      <c r="H2635" s="110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</row>
    <row r="2636">
      <c r="A2636" s="140"/>
      <c r="B2636" s="26"/>
      <c r="C2636" s="26"/>
      <c r="D2636" s="141"/>
      <c r="E2636" s="20"/>
      <c r="F2636" s="192"/>
      <c r="G2636" s="26"/>
      <c r="H2636" s="110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</row>
    <row r="2637">
      <c r="A2637" s="231"/>
      <c r="B2637" s="24"/>
      <c r="C2637" s="24"/>
      <c r="D2637" s="213"/>
      <c r="E2637" s="20"/>
      <c r="F2637" s="215"/>
      <c r="G2637" s="24"/>
      <c r="H2637" s="110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</row>
    <row r="2638">
      <c r="A2638" s="162"/>
      <c r="B2638" s="162"/>
      <c r="C2638" s="162"/>
      <c r="D2638" s="163"/>
      <c r="E2638" s="164"/>
      <c r="F2638" s="165"/>
      <c r="G2638" s="162"/>
      <c r="H2638" s="110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</row>
    <row r="2639">
      <c r="A2639" s="212"/>
      <c r="B2639" s="24"/>
      <c r="C2639" s="21"/>
      <c r="D2639" s="233"/>
      <c r="E2639" s="180"/>
      <c r="F2639" s="234"/>
      <c r="G2639" s="21"/>
      <c r="H2639" s="110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/>
      <c r="Z2639" s="24"/>
    </row>
    <row r="2640">
      <c r="A2640" s="212"/>
      <c r="B2640" s="24"/>
      <c r="C2640" s="21"/>
      <c r="D2640" s="233"/>
      <c r="E2640" s="180"/>
      <c r="F2640" s="234"/>
      <c r="G2640" s="21"/>
      <c r="H2640" s="110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</row>
    <row r="2641">
      <c r="A2641" s="212"/>
      <c r="B2641" s="24"/>
      <c r="C2641" s="21"/>
      <c r="D2641" s="233"/>
      <c r="E2641" s="180"/>
      <c r="F2641" s="234"/>
      <c r="G2641" s="21"/>
      <c r="H2641" s="110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</row>
    <row r="2642">
      <c r="A2642" s="212"/>
      <c r="B2642" s="24"/>
      <c r="C2642" s="21"/>
      <c r="D2642" s="233"/>
      <c r="E2642" s="180"/>
      <c r="F2642" s="234"/>
      <c r="G2642" s="21"/>
      <c r="H2642" s="110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X2642" s="24"/>
      <c r="Y2642" s="24"/>
      <c r="Z2642" s="24"/>
    </row>
    <row r="2643">
      <c r="A2643" s="212"/>
      <c r="B2643" s="24"/>
      <c r="C2643" s="21"/>
      <c r="D2643" s="233"/>
      <c r="E2643" s="180"/>
      <c r="F2643" s="234"/>
      <c r="G2643" s="21"/>
      <c r="H2643" s="110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</row>
    <row r="2644">
      <c r="A2644" s="231"/>
      <c r="B2644" s="26"/>
      <c r="C2644" s="24"/>
      <c r="D2644" s="213"/>
      <c r="E2644" s="20"/>
      <c r="F2644" s="215"/>
      <c r="G2644" s="24"/>
      <c r="H2644" s="110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</row>
    <row r="2645">
      <c r="A2645" s="212"/>
      <c r="B2645" s="24"/>
      <c r="C2645" s="21"/>
      <c r="D2645" s="233"/>
      <c r="E2645" s="180"/>
      <c r="F2645" s="234"/>
      <c r="G2645" s="21"/>
      <c r="H2645" s="110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</row>
    <row r="2646">
      <c r="A2646" s="212"/>
      <c r="B2646" s="24"/>
      <c r="C2646" s="21"/>
      <c r="D2646" s="233"/>
      <c r="E2646" s="180"/>
      <c r="F2646" s="234"/>
      <c r="G2646" s="21"/>
      <c r="H2646" s="110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</row>
    <row r="2647">
      <c r="A2647" s="212"/>
      <c r="B2647" s="24"/>
      <c r="C2647" s="21"/>
      <c r="D2647" s="233"/>
      <c r="E2647" s="180"/>
      <c r="F2647" s="234"/>
      <c r="G2647" s="21"/>
      <c r="H2647" s="110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</row>
    <row r="2648">
      <c r="A2648" s="212"/>
      <c r="B2648" s="24"/>
      <c r="C2648" s="21"/>
      <c r="D2648" s="233"/>
      <c r="E2648" s="180"/>
      <c r="F2648" s="234"/>
      <c r="G2648" s="21"/>
      <c r="H2648" s="110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</row>
    <row r="2649">
      <c r="A2649" s="212"/>
      <c r="B2649" s="24"/>
      <c r="C2649" s="21"/>
      <c r="D2649" s="233"/>
      <c r="E2649" s="180"/>
      <c r="F2649" s="234"/>
      <c r="G2649" s="21"/>
      <c r="H2649" s="110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</row>
    <row r="2650">
      <c r="A2650" s="212"/>
      <c r="B2650" s="24"/>
      <c r="C2650" s="21"/>
      <c r="D2650" s="233"/>
      <c r="E2650" s="180"/>
      <c r="F2650" s="234"/>
      <c r="G2650" s="21"/>
      <c r="H2650" s="110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</row>
    <row r="2651">
      <c r="A2651" s="212"/>
      <c r="B2651" s="24"/>
      <c r="C2651" s="21"/>
      <c r="D2651" s="233"/>
      <c r="E2651" s="180"/>
      <c r="F2651" s="234"/>
      <c r="G2651" s="21"/>
      <c r="H2651" s="110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</row>
    <row r="2652">
      <c r="A2652" s="212"/>
      <c r="B2652" s="24"/>
      <c r="C2652" s="21"/>
      <c r="D2652" s="233"/>
      <c r="E2652" s="180"/>
      <c r="F2652" s="234"/>
      <c r="G2652" s="21"/>
      <c r="H2652" s="110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</row>
    <row r="2653">
      <c r="A2653" s="212"/>
      <c r="B2653" s="24"/>
      <c r="C2653" s="21"/>
      <c r="D2653" s="233"/>
      <c r="E2653" s="180"/>
      <c r="F2653" s="234"/>
      <c r="G2653" s="21"/>
      <c r="H2653" s="110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</row>
    <row r="2654">
      <c r="A2654" s="212"/>
      <c r="B2654" s="24"/>
      <c r="C2654" s="21"/>
      <c r="D2654" s="233"/>
      <c r="E2654" s="180"/>
      <c r="F2654" s="234"/>
      <c r="G2654" s="21"/>
      <c r="H2654" s="110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</row>
    <row r="2655">
      <c r="A2655" s="212"/>
      <c r="B2655" s="24"/>
      <c r="C2655" s="21"/>
      <c r="D2655" s="233"/>
      <c r="E2655" s="180"/>
      <c r="F2655" s="234"/>
      <c r="G2655" s="21"/>
      <c r="H2655" s="110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</row>
    <row r="2656">
      <c r="A2656" s="212"/>
      <c r="B2656" s="24"/>
      <c r="C2656" s="21"/>
      <c r="D2656" s="233"/>
      <c r="E2656" s="180"/>
      <c r="F2656" s="234"/>
      <c r="G2656" s="21"/>
      <c r="H2656" s="110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</row>
    <row r="2657">
      <c r="A2657" s="212"/>
      <c r="B2657" s="24"/>
      <c r="C2657" s="21"/>
      <c r="D2657" s="233"/>
      <c r="E2657" s="180"/>
      <c r="F2657" s="234"/>
      <c r="G2657" s="21"/>
      <c r="H2657" s="110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</row>
    <row r="2658">
      <c r="A2658" s="212"/>
      <c r="B2658" s="24"/>
      <c r="C2658" s="21"/>
      <c r="D2658" s="233"/>
      <c r="E2658" s="180"/>
      <c r="F2658" s="234"/>
      <c r="G2658" s="21"/>
      <c r="H2658" s="110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</row>
    <row r="2659">
      <c r="A2659" s="212"/>
      <c r="B2659" s="24"/>
      <c r="C2659" s="21"/>
      <c r="D2659" s="233"/>
      <c r="E2659" s="180"/>
      <c r="F2659" s="234"/>
      <c r="G2659" s="21"/>
      <c r="H2659" s="110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</row>
    <row r="2660">
      <c r="A2660" s="212"/>
      <c r="B2660" s="24"/>
      <c r="C2660" s="21"/>
      <c r="D2660" s="233"/>
      <c r="E2660" s="180"/>
      <c r="F2660" s="234"/>
      <c r="G2660" s="21"/>
      <c r="H2660" s="110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</row>
    <row r="2661">
      <c r="A2661" s="212"/>
      <c r="B2661" s="24"/>
      <c r="C2661" s="21"/>
      <c r="D2661" s="233"/>
      <c r="E2661" s="180"/>
      <c r="F2661" s="234"/>
      <c r="G2661" s="21"/>
      <c r="H2661" s="110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</row>
    <row r="2662">
      <c r="A2662" s="212"/>
      <c r="B2662" s="24"/>
      <c r="C2662" s="21"/>
      <c r="D2662" s="233"/>
      <c r="E2662" s="180"/>
      <c r="F2662" s="234"/>
      <c r="G2662" s="21"/>
      <c r="H2662" s="110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</row>
    <row r="2663">
      <c r="A2663" s="124"/>
      <c r="B2663" s="125"/>
      <c r="C2663" s="124"/>
      <c r="D2663" s="126"/>
      <c r="E2663" s="124"/>
      <c r="F2663" s="127"/>
      <c r="G2663" s="124"/>
      <c r="H2663" s="110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</row>
    <row r="2664">
      <c r="A2664" s="110"/>
      <c r="B2664" s="110"/>
      <c r="C2664" s="110"/>
      <c r="D2664" s="139"/>
      <c r="E2664" s="110"/>
      <c r="F2664" s="199"/>
      <c r="G2664" s="110"/>
      <c r="H2664" s="110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</row>
    <row r="2665">
      <c r="A2665" s="110"/>
      <c r="B2665" s="110"/>
      <c r="C2665" s="110"/>
      <c r="D2665" s="139"/>
      <c r="E2665" s="110"/>
      <c r="F2665" s="199"/>
      <c r="G2665" s="110"/>
      <c r="H2665" s="110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</row>
    <row r="2666">
      <c r="A2666" s="110"/>
      <c r="B2666" s="110"/>
      <c r="C2666" s="110"/>
      <c r="D2666" s="139"/>
      <c r="E2666" s="110"/>
      <c r="F2666" s="199"/>
      <c r="G2666" s="110"/>
      <c r="H2666" s="110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</row>
    <row r="2667">
      <c r="A2667" s="231"/>
      <c r="B2667" s="26"/>
      <c r="C2667" s="24"/>
      <c r="D2667" s="213"/>
      <c r="E2667" s="20"/>
      <c r="F2667" s="215"/>
      <c r="G2667" s="24"/>
      <c r="H2667" s="110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</row>
    <row r="2668">
      <c r="A2668" s="231"/>
      <c r="B2668" s="26"/>
      <c r="C2668" s="24"/>
      <c r="D2668" s="213"/>
      <c r="E2668" s="20"/>
      <c r="F2668" s="215"/>
      <c r="G2668" s="24"/>
      <c r="H2668" s="110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</row>
    <row r="2669">
      <c r="A2669" s="212"/>
      <c r="B2669" s="24"/>
      <c r="C2669" s="26"/>
      <c r="D2669" s="233"/>
      <c r="E2669" s="180"/>
      <c r="F2669" s="234"/>
      <c r="G2669" s="21"/>
      <c r="H2669" s="110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</row>
    <row r="2670">
      <c r="A2670" s="124"/>
      <c r="B2670" s="125"/>
      <c r="C2670" s="124"/>
      <c r="D2670" s="126"/>
      <c r="E2670" s="124"/>
      <c r="F2670" s="127"/>
      <c r="G2670" s="124"/>
      <c r="H2670" s="110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</row>
    <row r="2671">
      <c r="A2671" s="124"/>
      <c r="B2671" s="125"/>
      <c r="C2671" s="124"/>
      <c r="D2671" s="126"/>
      <c r="E2671" s="124"/>
      <c r="F2671" s="127"/>
      <c r="G2671" s="124"/>
      <c r="H2671" s="110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</row>
    <row r="2672">
      <c r="A2672" s="110"/>
      <c r="B2672" s="110"/>
      <c r="C2672" s="110"/>
      <c r="D2672" s="139"/>
      <c r="E2672" s="110"/>
      <c r="F2672" s="199"/>
      <c r="G2672" s="110"/>
      <c r="H2672" s="110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</row>
    <row r="2673">
      <c r="A2673" s="110"/>
      <c r="B2673" s="110"/>
      <c r="C2673" s="110"/>
      <c r="D2673" s="139"/>
      <c r="E2673" s="110"/>
      <c r="F2673" s="199"/>
      <c r="G2673" s="110"/>
      <c r="H2673" s="110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</row>
    <row r="2674">
      <c r="A2674" s="162"/>
      <c r="B2674" s="162"/>
      <c r="C2674" s="162"/>
      <c r="D2674" s="163"/>
      <c r="E2674" s="164"/>
      <c r="F2674" s="165"/>
      <c r="G2674" s="162"/>
      <c r="H2674" s="110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</row>
    <row r="2675">
      <c r="A2675" s="212"/>
      <c r="B2675" s="24"/>
      <c r="C2675" s="21"/>
      <c r="D2675" s="233"/>
      <c r="E2675" s="180"/>
      <c r="F2675" s="234"/>
      <c r="G2675" s="21"/>
      <c r="H2675" s="110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</row>
    <row r="2676">
      <c r="A2676" s="212"/>
      <c r="B2676" s="24"/>
      <c r="C2676" s="21"/>
      <c r="D2676" s="233"/>
      <c r="E2676" s="180"/>
      <c r="F2676" s="234"/>
      <c r="G2676" s="21"/>
      <c r="H2676" s="110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</row>
    <row r="2677">
      <c r="A2677" s="212"/>
      <c r="B2677" s="24"/>
      <c r="C2677" s="21"/>
      <c r="D2677" s="233"/>
      <c r="E2677" s="180"/>
      <c r="F2677" s="234"/>
      <c r="G2677" s="21"/>
      <c r="H2677" s="110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</row>
    <row r="2678">
      <c r="A2678" s="212"/>
      <c r="B2678" s="24"/>
      <c r="C2678" s="21"/>
      <c r="D2678" s="233"/>
      <c r="E2678" s="180"/>
      <c r="F2678" s="234"/>
      <c r="G2678" s="21"/>
      <c r="H2678" s="110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</row>
    <row r="2679">
      <c r="A2679" s="212"/>
      <c r="B2679" s="24"/>
      <c r="C2679" s="21"/>
      <c r="D2679" s="233"/>
      <c r="E2679" s="180"/>
      <c r="F2679" s="234"/>
      <c r="G2679" s="21"/>
      <c r="H2679" s="110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</row>
    <row r="2680">
      <c r="A2680" s="212"/>
      <c r="B2680" s="24"/>
      <c r="C2680" s="21"/>
      <c r="D2680" s="233"/>
      <c r="E2680" s="180"/>
      <c r="F2680" s="234"/>
      <c r="G2680" s="21"/>
      <c r="H2680" s="110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</row>
    <row r="2681">
      <c r="A2681" s="212"/>
      <c r="B2681" s="24"/>
      <c r="C2681" s="21"/>
      <c r="D2681" s="233"/>
      <c r="E2681" s="180"/>
      <c r="F2681" s="234"/>
      <c r="G2681" s="21"/>
      <c r="H2681" s="110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</row>
    <row r="2682">
      <c r="A2682" s="212"/>
      <c r="B2682" s="24"/>
      <c r="C2682" s="21"/>
      <c r="D2682" s="233"/>
      <c r="E2682" s="180"/>
      <c r="F2682" s="234"/>
      <c r="G2682" s="21"/>
      <c r="H2682" s="110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</row>
    <row r="2683">
      <c r="A2683" s="212"/>
      <c r="B2683" s="24"/>
      <c r="C2683" s="21"/>
      <c r="D2683" s="233"/>
      <c r="E2683" s="180"/>
      <c r="F2683" s="234"/>
      <c r="G2683" s="21"/>
      <c r="H2683" s="110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</row>
    <row r="2684">
      <c r="A2684" s="212"/>
      <c r="B2684" s="24"/>
      <c r="C2684" s="21"/>
      <c r="D2684" s="233"/>
      <c r="E2684" s="180"/>
      <c r="F2684" s="234"/>
      <c r="G2684" s="21"/>
      <c r="H2684" s="110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</row>
    <row r="2685">
      <c r="A2685" s="212"/>
      <c r="B2685" s="24"/>
      <c r="C2685" s="21"/>
      <c r="D2685" s="233"/>
      <c r="E2685" s="180"/>
      <c r="F2685" s="234"/>
      <c r="G2685" s="21"/>
      <c r="H2685" s="110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</row>
    <row r="2686">
      <c r="A2686" s="212"/>
      <c r="B2686" s="24"/>
      <c r="C2686" s="21"/>
      <c r="D2686" s="233"/>
      <c r="E2686" s="180"/>
      <c r="F2686" s="234"/>
      <c r="G2686" s="21"/>
      <c r="H2686" s="110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</row>
    <row r="2687">
      <c r="A2687" s="212"/>
      <c r="B2687" s="24"/>
      <c r="C2687" s="21"/>
      <c r="D2687" s="233"/>
      <c r="E2687" s="180"/>
      <c r="F2687" s="234"/>
      <c r="G2687" s="21"/>
      <c r="H2687" s="110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</row>
    <row r="2688">
      <c r="A2688" s="212"/>
      <c r="B2688" s="24"/>
      <c r="C2688" s="21"/>
      <c r="D2688" s="233"/>
      <c r="E2688" s="180"/>
      <c r="F2688" s="234"/>
      <c r="G2688" s="21"/>
      <c r="H2688" s="110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</row>
    <row r="2689">
      <c r="A2689" s="212"/>
      <c r="B2689" s="24"/>
      <c r="C2689" s="21"/>
      <c r="D2689" s="233"/>
      <c r="E2689" s="180"/>
      <c r="F2689" s="234"/>
      <c r="G2689" s="21"/>
      <c r="H2689" s="110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</row>
    <row r="2690">
      <c r="A2690" s="212"/>
      <c r="B2690" s="24"/>
      <c r="C2690" s="21"/>
      <c r="D2690" s="233"/>
      <c r="E2690" s="180"/>
      <c r="F2690" s="234"/>
      <c r="G2690" s="21"/>
      <c r="H2690" s="110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</row>
    <row r="2691">
      <c r="A2691" s="212"/>
      <c r="B2691" s="24"/>
      <c r="C2691" s="21"/>
      <c r="D2691" s="233"/>
      <c r="E2691" s="180"/>
      <c r="F2691" s="234"/>
      <c r="G2691" s="21"/>
      <c r="H2691" s="110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</row>
    <row r="2692">
      <c r="A2692" s="212"/>
      <c r="B2692" s="24"/>
      <c r="C2692" s="21"/>
      <c r="D2692" s="233"/>
      <c r="E2692" s="180"/>
      <c r="F2692" s="234"/>
      <c r="G2692" s="21"/>
      <c r="H2692" s="110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</row>
    <row r="2693">
      <c r="A2693" s="212"/>
      <c r="B2693" s="24"/>
      <c r="C2693" s="21"/>
      <c r="D2693" s="233"/>
      <c r="E2693" s="180"/>
      <c r="F2693" s="234"/>
      <c r="G2693" s="21"/>
      <c r="H2693" s="110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</row>
    <row r="2694">
      <c r="A2694" s="212"/>
      <c r="B2694" s="24"/>
      <c r="C2694" s="21"/>
      <c r="D2694" s="233"/>
      <c r="E2694" s="180"/>
      <c r="F2694" s="234"/>
      <c r="G2694" s="21"/>
      <c r="H2694" s="110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</row>
    <row r="2695">
      <c r="A2695" s="212"/>
      <c r="B2695" s="24"/>
      <c r="C2695" s="21"/>
      <c r="D2695" s="233"/>
      <c r="E2695" s="180"/>
      <c r="F2695" s="234"/>
      <c r="G2695" s="21"/>
      <c r="H2695" s="110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</row>
    <row r="2696">
      <c r="A2696" s="212"/>
      <c r="B2696" s="24"/>
      <c r="C2696" s="21"/>
      <c r="D2696" s="233"/>
      <c r="E2696" s="180"/>
      <c r="F2696" s="234"/>
      <c r="G2696" s="21"/>
      <c r="H2696" s="110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</row>
    <row r="2697">
      <c r="A2697" s="212"/>
      <c r="B2697" s="24"/>
      <c r="C2697" s="21"/>
      <c r="D2697" s="233"/>
      <c r="E2697" s="180"/>
      <c r="F2697" s="234"/>
      <c r="G2697" s="21"/>
      <c r="H2697" s="110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</row>
    <row r="2698">
      <c r="A2698" s="212"/>
      <c r="B2698" s="24"/>
      <c r="C2698" s="21"/>
      <c r="D2698" s="233"/>
      <c r="E2698" s="180"/>
      <c r="F2698" s="234"/>
      <c r="G2698" s="21"/>
      <c r="H2698" s="110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</row>
    <row r="2699">
      <c r="A2699" s="212"/>
      <c r="B2699" s="24"/>
      <c r="C2699" s="21"/>
      <c r="D2699" s="233"/>
      <c r="E2699" s="180"/>
      <c r="F2699" s="234"/>
      <c r="G2699" s="21"/>
      <c r="H2699" s="110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</row>
    <row r="2700">
      <c r="A2700" s="212"/>
      <c r="B2700" s="24"/>
      <c r="C2700" s="21"/>
      <c r="D2700" s="233"/>
      <c r="E2700" s="180"/>
      <c r="F2700" s="234"/>
      <c r="G2700" s="21"/>
      <c r="H2700" s="110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</row>
    <row r="2701">
      <c r="A2701" s="212"/>
      <c r="B2701" s="24"/>
      <c r="C2701" s="21"/>
      <c r="D2701" s="233"/>
      <c r="E2701" s="180"/>
      <c r="F2701" s="234"/>
      <c r="G2701" s="21"/>
      <c r="H2701" s="110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</row>
    <row r="2702">
      <c r="A2702" s="231"/>
      <c r="B2702" s="24"/>
      <c r="C2702" s="21"/>
      <c r="D2702" s="233"/>
      <c r="E2702" s="180"/>
      <c r="F2702" s="234"/>
      <c r="G2702" s="24"/>
      <c r="H2702" s="110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</row>
    <row r="2703">
      <c r="A2703" s="231"/>
      <c r="B2703" s="24"/>
      <c r="C2703" s="21"/>
      <c r="D2703" s="233"/>
      <c r="E2703" s="180"/>
      <c r="F2703" s="234"/>
      <c r="G2703" s="24"/>
      <c r="H2703" s="110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</row>
    <row r="2704">
      <c r="A2704" s="231"/>
      <c r="B2704" s="24"/>
      <c r="C2704" s="21"/>
      <c r="D2704" s="233"/>
      <c r="E2704" s="180"/>
      <c r="F2704" s="234"/>
      <c r="G2704" s="24"/>
      <c r="H2704" s="110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</row>
    <row r="2705">
      <c r="A2705" s="231"/>
      <c r="B2705" s="24"/>
      <c r="C2705" s="21"/>
      <c r="D2705" s="233"/>
      <c r="E2705" s="180"/>
      <c r="F2705" s="234"/>
      <c r="G2705" s="24"/>
      <c r="H2705" s="110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</row>
    <row r="2706">
      <c r="A2706" s="231"/>
      <c r="B2706" s="24"/>
      <c r="C2706" s="21"/>
      <c r="D2706" s="233"/>
      <c r="E2706" s="180"/>
      <c r="F2706" s="234"/>
      <c r="G2706" s="24"/>
      <c r="H2706" s="110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</row>
    <row r="2707">
      <c r="A2707" s="231"/>
      <c r="B2707" s="24"/>
      <c r="C2707" s="21"/>
      <c r="D2707" s="233"/>
      <c r="E2707" s="180"/>
      <c r="F2707" s="234"/>
      <c r="G2707" s="24"/>
      <c r="H2707" s="110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</row>
    <row r="2708">
      <c r="A2708" s="231"/>
      <c r="B2708" s="24"/>
      <c r="C2708" s="21"/>
      <c r="D2708" s="233"/>
      <c r="E2708" s="180"/>
      <c r="F2708" s="234"/>
      <c r="G2708" s="24"/>
      <c r="H2708" s="110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</row>
    <row r="2709">
      <c r="A2709" s="231"/>
      <c r="B2709" s="24"/>
      <c r="C2709" s="21"/>
      <c r="D2709" s="233"/>
      <c r="E2709" s="180"/>
      <c r="F2709" s="234"/>
      <c r="G2709" s="24"/>
      <c r="H2709" s="110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</row>
    <row r="2710">
      <c r="A2710" s="231"/>
      <c r="B2710" s="24"/>
      <c r="C2710" s="21"/>
      <c r="D2710" s="233"/>
      <c r="E2710" s="180"/>
      <c r="F2710" s="234"/>
      <c r="G2710" s="24"/>
      <c r="H2710" s="110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</row>
    <row r="2711">
      <c r="A2711" s="231"/>
      <c r="B2711" s="24"/>
      <c r="C2711" s="21"/>
      <c r="D2711" s="233"/>
      <c r="E2711" s="180"/>
      <c r="F2711" s="234"/>
      <c r="G2711" s="24"/>
      <c r="H2711" s="110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</row>
    <row r="2712">
      <c r="A2712" s="231"/>
      <c r="B2712" s="24"/>
      <c r="C2712" s="21"/>
      <c r="D2712" s="233"/>
      <c r="E2712" s="180"/>
      <c r="F2712" s="234"/>
      <c r="G2712" s="24"/>
      <c r="H2712" s="110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</row>
    <row r="2713">
      <c r="A2713" s="231"/>
      <c r="B2713" s="24"/>
      <c r="C2713" s="21"/>
      <c r="D2713" s="233"/>
      <c r="E2713" s="180"/>
      <c r="F2713" s="234"/>
      <c r="G2713" s="24"/>
      <c r="H2713" s="110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</row>
    <row r="2714">
      <c r="A2714" s="124"/>
      <c r="B2714" s="125"/>
      <c r="C2714" s="124"/>
      <c r="D2714" s="126"/>
      <c r="E2714" s="124"/>
      <c r="F2714" s="127"/>
      <c r="G2714" s="124"/>
      <c r="H2714" s="110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</row>
    <row r="2715">
      <c r="A2715" s="110"/>
      <c r="B2715" s="110"/>
      <c r="C2715" s="110"/>
      <c r="D2715" s="139"/>
      <c r="E2715" s="110"/>
      <c r="F2715" s="199"/>
      <c r="G2715" s="110"/>
      <c r="H2715" s="110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</row>
    <row r="2716">
      <c r="A2716" s="110"/>
      <c r="B2716" s="110"/>
      <c r="C2716" s="110"/>
      <c r="D2716" s="139"/>
      <c r="E2716" s="110"/>
      <c r="F2716" s="199"/>
      <c r="G2716" s="110"/>
      <c r="H2716" s="110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</row>
    <row r="2717">
      <c r="A2717" s="231"/>
      <c r="B2717" s="26"/>
      <c r="C2717" s="26"/>
      <c r="D2717" s="213"/>
      <c r="E2717" s="20"/>
      <c r="F2717" s="215"/>
      <c r="G2717" s="24"/>
      <c r="H2717" s="110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</row>
    <row r="2718">
      <c r="A2718" s="231"/>
      <c r="B2718" s="26"/>
      <c r="C2718" s="24"/>
      <c r="D2718" s="213"/>
      <c r="E2718" s="20"/>
      <c r="F2718" s="215"/>
      <c r="G2718" s="24"/>
      <c r="H2718" s="110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</row>
    <row r="2719">
      <c r="A2719" s="231"/>
      <c r="B2719" s="26"/>
      <c r="C2719" s="24"/>
      <c r="D2719" s="213"/>
      <c r="E2719" s="20"/>
      <c r="F2719" s="215"/>
      <c r="G2719" s="24"/>
      <c r="H2719" s="110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</row>
    <row r="2720">
      <c r="A2720" s="231"/>
      <c r="B2720" s="26"/>
      <c r="C2720" s="26"/>
      <c r="D2720" s="213"/>
      <c r="E2720" s="20"/>
      <c r="F2720" s="215"/>
      <c r="G2720" s="24"/>
      <c r="H2720" s="223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</row>
    <row r="2721">
      <c r="A2721" s="140"/>
      <c r="B2721" s="26"/>
      <c r="C2721" s="24"/>
      <c r="D2721" s="213"/>
      <c r="E2721" s="20"/>
      <c r="F2721" s="215"/>
      <c r="G2721" s="26"/>
      <c r="H2721" s="223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</row>
    <row r="2722">
      <c r="A2722" s="124"/>
      <c r="B2722" s="125"/>
      <c r="C2722" s="124"/>
      <c r="D2722" s="126"/>
      <c r="E2722" s="124"/>
      <c r="F2722" s="127"/>
      <c r="G2722" s="124"/>
      <c r="H2722" s="110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</row>
    <row r="2723">
      <c r="A2723" s="124"/>
      <c r="B2723" s="125"/>
      <c r="C2723" s="124"/>
      <c r="D2723" s="126"/>
      <c r="E2723" s="124"/>
      <c r="F2723" s="127"/>
      <c r="G2723" s="110"/>
      <c r="H2723" s="110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</row>
    <row r="2724">
      <c r="A2724" s="110"/>
      <c r="B2724" s="110"/>
      <c r="C2724" s="110"/>
      <c r="D2724" s="139"/>
      <c r="E2724" s="110"/>
      <c r="F2724" s="199"/>
      <c r="G2724" s="110"/>
      <c r="H2724" s="110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</row>
    <row r="2725">
      <c r="A2725" s="162"/>
      <c r="B2725" s="162"/>
      <c r="C2725" s="162"/>
      <c r="D2725" s="163"/>
      <c r="E2725" s="164"/>
      <c r="F2725" s="165"/>
      <c r="G2725" s="162"/>
      <c r="H2725" s="110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</row>
    <row r="2726">
      <c r="A2726" s="231"/>
      <c r="B2726" s="24"/>
      <c r="C2726" s="21"/>
      <c r="D2726" s="243"/>
      <c r="E2726" s="180"/>
      <c r="F2726" s="234"/>
      <c r="G2726" s="24"/>
      <c r="H2726" s="110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</row>
    <row r="2727">
      <c r="A2727" s="231"/>
      <c r="B2727" s="24"/>
      <c r="C2727" s="21"/>
      <c r="D2727" s="243"/>
      <c r="E2727" s="180"/>
      <c r="F2727" s="234"/>
      <c r="G2727" s="24"/>
      <c r="H2727" s="110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</row>
    <row r="2728">
      <c r="A2728" s="231"/>
      <c r="B2728" s="24"/>
      <c r="C2728" s="21"/>
      <c r="D2728" s="243"/>
      <c r="E2728" s="180"/>
      <c r="F2728" s="234"/>
      <c r="G2728" s="24"/>
      <c r="H2728" s="110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</row>
    <row r="2729">
      <c r="A2729" s="231"/>
      <c r="B2729" s="24"/>
      <c r="C2729" s="21"/>
      <c r="D2729" s="243"/>
      <c r="E2729" s="180"/>
      <c r="F2729" s="234"/>
      <c r="G2729" s="24"/>
      <c r="H2729" s="110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</row>
    <row r="2730">
      <c r="A2730" s="231"/>
      <c r="B2730" s="24"/>
      <c r="C2730" s="21"/>
      <c r="D2730" s="243"/>
      <c r="E2730" s="180"/>
      <c r="F2730" s="234"/>
      <c r="G2730" s="24"/>
      <c r="H2730" s="110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</row>
    <row r="2731">
      <c r="A2731" s="231"/>
      <c r="B2731" s="24"/>
      <c r="C2731" s="21"/>
      <c r="D2731" s="243"/>
      <c r="E2731" s="180"/>
      <c r="F2731" s="234"/>
      <c r="G2731" s="24"/>
      <c r="H2731" s="110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</row>
    <row r="2732">
      <c r="A2732" s="231"/>
      <c r="B2732" s="24"/>
      <c r="C2732" s="21"/>
      <c r="D2732" s="243"/>
      <c r="E2732" s="180"/>
      <c r="F2732" s="234"/>
      <c r="G2732" s="24"/>
      <c r="H2732" s="110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</row>
    <row r="2733">
      <c r="A2733" s="231"/>
      <c r="B2733" s="24"/>
      <c r="C2733" s="21"/>
      <c r="D2733" s="243"/>
      <c r="E2733" s="180"/>
      <c r="F2733" s="234"/>
      <c r="G2733" s="24"/>
      <c r="H2733" s="110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</row>
    <row r="2734">
      <c r="A2734" s="231"/>
      <c r="B2734" s="24"/>
      <c r="C2734" s="21"/>
      <c r="D2734" s="243"/>
      <c r="E2734" s="180"/>
      <c r="F2734" s="234"/>
      <c r="G2734" s="24"/>
      <c r="H2734" s="110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</row>
    <row r="2735">
      <c r="A2735" s="231"/>
      <c r="B2735" s="24"/>
      <c r="C2735" s="21"/>
      <c r="D2735" s="243"/>
      <c r="E2735" s="180"/>
      <c r="F2735" s="234"/>
      <c r="G2735" s="24"/>
      <c r="H2735" s="110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</row>
    <row r="2736">
      <c r="A2736" s="231"/>
      <c r="B2736" s="24"/>
      <c r="C2736" s="21"/>
      <c r="D2736" s="243"/>
      <c r="E2736" s="180"/>
      <c r="F2736" s="234"/>
      <c r="G2736" s="24"/>
      <c r="H2736" s="110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</row>
    <row r="2737">
      <c r="A2737" s="231"/>
      <c r="B2737" s="24"/>
      <c r="C2737" s="21"/>
      <c r="D2737" s="243"/>
      <c r="E2737" s="180"/>
      <c r="F2737" s="234"/>
      <c r="G2737" s="24"/>
      <c r="H2737" s="110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</row>
    <row r="2738">
      <c r="A2738" s="231"/>
      <c r="B2738" s="24"/>
      <c r="C2738" s="244"/>
      <c r="D2738" s="243"/>
      <c r="E2738" s="180"/>
      <c r="F2738" s="234"/>
      <c r="G2738" s="24"/>
      <c r="H2738" s="110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</row>
    <row r="2739">
      <c r="A2739" s="231"/>
      <c r="B2739" s="24"/>
      <c r="C2739" s="21"/>
      <c r="D2739" s="243"/>
      <c r="E2739" s="180"/>
      <c r="F2739" s="234"/>
      <c r="G2739" s="24"/>
      <c r="H2739" s="110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</row>
    <row r="2740">
      <c r="A2740" s="231"/>
      <c r="B2740" s="24"/>
      <c r="C2740" s="21"/>
      <c r="D2740" s="243"/>
      <c r="E2740" s="180"/>
      <c r="F2740" s="234"/>
      <c r="G2740" s="24"/>
      <c r="H2740" s="110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</row>
    <row r="2741">
      <c r="A2741" s="231"/>
      <c r="B2741" s="24"/>
      <c r="C2741" s="21"/>
      <c r="D2741" s="243"/>
      <c r="E2741" s="180"/>
      <c r="F2741" s="234"/>
      <c r="G2741" s="24"/>
      <c r="H2741" s="110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</row>
    <row r="2742">
      <c r="A2742" s="231"/>
      <c r="B2742" s="24"/>
      <c r="C2742" s="21"/>
      <c r="D2742" s="233"/>
      <c r="E2742" s="180"/>
      <c r="F2742" s="234"/>
      <c r="G2742" s="24"/>
      <c r="H2742" s="110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</row>
    <row r="2743">
      <c r="A2743" s="231"/>
      <c r="B2743" s="24"/>
      <c r="C2743" s="21"/>
      <c r="D2743" s="233"/>
      <c r="E2743" s="180"/>
      <c r="F2743" s="234"/>
      <c r="G2743" s="24"/>
      <c r="H2743" s="110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</row>
    <row r="2744">
      <c r="A2744" s="231"/>
      <c r="B2744" s="24"/>
      <c r="C2744" s="21"/>
      <c r="D2744" s="233"/>
      <c r="E2744" s="180"/>
      <c r="F2744" s="234"/>
      <c r="G2744" s="24"/>
      <c r="H2744" s="110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</row>
    <row r="2745">
      <c r="A2745" s="231"/>
      <c r="B2745" s="24"/>
      <c r="C2745" s="21"/>
      <c r="D2745" s="233"/>
      <c r="E2745" s="180"/>
      <c r="F2745" s="234"/>
      <c r="G2745" s="24"/>
      <c r="H2745" s="110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</row>
    <row r="2746">
      <c r="A2746" s="231"/>
      <c r="B2746" s="24"/>
      <c r="C2746" s="21"/>
      <c r="D2746" s="233"/>
      <c r="E2746" s="180"/>
      <c r="F2746" s="234"/>
      <c r="G2746" s="24"/>
      <c r="H2746" s="110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</row>
    <row r="2747">
      <c r="A2747" s="231"/>
      <c r="B2747" s="24"/>
      <c r="C2747" s="21"/>
      <c r="D2747" s="233"/>
      <c r="E2747" s="180"/>
      <c r="F2747" s="234"/>
      <c r="G2747" s="24"/>
      <c r="H2747" s="110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</row>
    <row r="2748">
      <c r="A2748" s="231"/>
      <c r="B2748" s="24"/>
      <c r="C2748" s="21"/>
      <c r="D2748" s="233"/>
      <c r="E2748" s="180"/>
      <c r="F2748" s="234"/>
      <c r="G2748" s="24"/>
      <c r="H2748" s="110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</row>
    <row r="2749">
      <c r="A2749" s="231"/>
      <c r="B2749" s="24"/>
      <c r="C2749" s="21"/>
      <c r="D2749" s="233"/>
      <c r="E2749" s="180"/>
      <c r="F2749" s="234"/>
      <c r="G2749" s="24"/>
      <c r="H2749" s="110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</row>
    <row r="2750">
      <c r="A2750" s="231"/>
      <c r="B2750" s="24"/>
      <c r="C2750" s="21"/>
      <c r="D2750" s="233"/>
      <c r="E2750" s="180"/>
      <c r="F2750" s="234"/>
      <c r="G2750" s="24"/>
      <c r="H2750" s="110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</row>
    <row r="2751">
      <c r="A2751" s="231"/>
      <c r="B2751" s="24"/>
      <c r="C2751" s="21"/>
      <c r="D2751" s="233"/>
      <c r="E2751" s="180"/>
      <c r="F2751" s="234"/>
      <c r="G2751" s="24"/>
      <c r="H2751" s="110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</row>
    <row r="2752">
      <c r="A2752" s="231"/>
      <c r="B2752" s="24"/>
      <c r="C2752" s="21"/>
      <c r="D2752" s="233"/>
      <c r="E2752" s="180"/>
      <c r="F2752" s="234"/>
      <c r="G2752" s="24"/>
      <c r="H2752" s="110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</row>
    <row r="2753">
      <c r="A2753" s="231"/>
      <c r="B2753" s="24"/>
      <c r="C2753" s="21"/>
      <c r="D2753" s="233"/>
      <c r="E2753" s="180"/>
      <c r="F2753" s="234"/>
      <c r="G2753" s="24"/>
      <c r="H2753" s="110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</row>
    <row r="2754">
      <c r="A2754" s="231"/>
      <c r="B2754" s="24"/>
      <c r="C2754" s="21"/>
      <c r="D2754" s="233"/>
      <c r="E2754" s="180"/>
      <c r="F2754" s="234"/>
      <c r="G2754" s="24"/>
      <c r="H2754" s="110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</row>
    <row r="2755">
      <c r="A2755" s="231"/>
      <c r="B2755" s="24"/>
      <c r="C2755" s="21"/>
      <c r="D2755" s="233"/>
      <c r="E2755" s="180"/>
      <c r="F2755" s="234"/>
      <c r="G2755" s="24"/>
      <c r="H2755" s="110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</row>
    <row r="2756">
      <c r="A2756" s="231"/>
      <c r="B2756" s="24"/>
      <c r="C2756" s="21"/>
      <c r="D2756" s="233"/>
      <c r="E2756" s="180"/>
      <c r="F2756" s="234"/>
      <c r="G2756" s="24"/>
      <c r="H2756" s="110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</row>
    <row r="2757">
      <c r="A2757" s="231"/>
      <c r="B2757" s="24"/>
      <c r="C2757" s="21"/>
      <c r="D2757" s="239"/>
      <c r="E2757" s="180"/>
      <c r="F2757" s="215"/>
      <c r="G2757" s="24"/>
      <c r="H2757" s="110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</row>
    <row r="2758">
      <c r="A2758" s="231"/>
      <c r="B2758" s="24"/>
      <c r="C2758" s="21"/>
      <c r="D2758" s="233"/>
      <c r="E2758" s="180"/>
      <c r="F2758" s="234"/>
      <c r="G2758" s="24"/>
      <c r="H2758" s="110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</row>
    <row r="2759">
      <c r="A2759" s="231"/>
      <c r="B2759" s="24"/>
      <c r="C2759" s="21"/>
      <c r="D2759" s="233"/>
      <c r="E2759" s="180"/>
      <c r="F2759" s="234"/>
      <c r="G2759" s="24"/>
      <c r="H2759" s="110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</row>
    <row r="2760">
      <c r="A2760" s="231"/>
      <c r="B2760" s="24"/>
      <c r="C2760" s="21"/>
      <c r="D2760" s="233"/>
      <c r="E2760" s="180"/>
      <c r="F2760" s="234"/>
      <c r="G2760" s="24"/>
      <c r="H2760" s="110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</row>
    <row r="2761">
      <c r="A2761" s="231"/>
      <c r="B2761" s="24"/>
      <c r="C2761" s="21"/>
      <c r="D2761" s="233"/>
      <c r="E2761" s="180"/>
      <c r="F2761" s="234"/>
      <c r="G2761" s="24"/>
      <c r="H2761" s="110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</row>
    <row r="2762">
      <c r="A2762" s="231"/>
      <c r="B2762" s="24"/>
      <c r="C2762" s="21"/>
      <c r="D2762" s="233"/>
      <c r="E2762" s="180"/>
      <c r="F2762" s="234"/>
      <c r="G2762" s="24"/>
      <c r="H2762" s="110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</row>
    <row r="2763">
      <c r="A2763" s="231"/>
      <c r="B2763" s="24"/>
      <c r="C2763" s="21"/>
      <c r="D2763" s="233"/>
      <c r="E2763" s="180"/>
      <c r="F2763" s="234"/>
      <c r="G2763" s="24"/>
      <c r="H2763" s="110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</row>
    <row r="2764">
      <c r="A2764" s="231"/>
      <c r="B2764" s="24"/>
      <c r="C2764" s="21"/>
      <c r="D2764" s="233"/>
      <c r="E2764" s="180"/>
      <c r="F2764" s="234"/>
      <c r="G2764" s="24"/>
      <c r="H2764" s="110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</row>
    <row r="2765">
      <c r="A2765" s="231"/>
      <c r="B2765" s="24"/>
      <c r="C2765" s="21"/>
      <c r="D2765" s="233"/>
      <c r="E2765" s="180"/>
      <c r="F2765" s="234"/>
      <c r="G2765" s="24"/>
      <c r="H2765" s="110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</row>
    <row r="2766">
      <c r="A2766" s="231"/>
      <c r="B2766" s="24"/>
      <c r="C2766" s="21"/>
      <c r="D2766" s="233"/>
      <c r="E2766" s="180"/>
      <c r="F2766" s="234"/>
      <c r="G2766" s="24"/>
      <c r="H2766" s="110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</row>
    <row r="2767">
      <c r="A2767" s="231"/>
      <c r="B2767" s="24"/>
      <c r="C2767" s="21"/>
      <c r="D2767" s="233"/>
      <c r="E2767" s="180"/>
      <c r="F2767" s="234"/>
      <c r="G2767" s="24"/>
      <c r="H2767" s="110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</row>
    <row r="2768">
      <c r="A2768" s="231"/>
      <c r="B2768" s="24"/>
      <c r="C2768" s="21"/>
      <c r="D2768" s="233"/>
      <c r="E2768" s="180"/>
      <c r="F2768" s="234"/>
      <c r="G2768" s="24"/>
      <c r="H2768" s="110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</row>
    <row r="2769">
      <c r="A2769" s="124"/>
      <c r="B2769" s="125"/>
      <c r="C2769" s="124"/>
      <c r="D2769" s="126"/>
      <c r="E2769" s="124"/>
      <c r="F2769" s="127"/>
      <c r="G2769" s="124"/>
      <c r="H2769" s="110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</row>
    <row r="2770">
      <c r="A2770" s="110"/>
      <c r="B2770" s="110"/>
      <c r="C2770" s="110"/>
      <c r="D2770" s="139"/>
      <c r="E2770" s="110"/>
      <c r="F2770" s="199"/>
      <c r="G2770" s="110"/>
      <c r="H2770" s="110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</row>
    <row r="2771">
      <c r="A2771" s="110"/>
      <c r="B2771" s="110"/>
      <c r="C2771" s="110"/>
      <c r="D2771" s="139"/>
      <c r="E2771" s="110"/>
      <c r="F2771" s="199"/>
      <c r="G2771" s="110"/>
      <c r="H2771" s="110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</row>
    <row r="2772">
      <c r="A2772" s="110"/>
      <c r="B2772" s="110"/>
      <c r="C2772" s="110"/>
      <c r="D2772" s="139"/>
      <c r="E2772" s="110"/>
      <c r="F2772" s="199"/>
      <c r="G2772" s="110"/>
      <c r="H2772" s="110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</row>
    <row r="2773">
      <c r="A2773" s="231"/>
      <c r="B2773" s="24"/>
      <c r="C2773" s="21"/>
      <c r="D2773" s="243"/>
      <c r="E2773" s="180"/>
      <c r="F2773" s="234"/>
      <c r="G2773" s="24"/>
      <c r="H2773" s="110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</row>
    <row r="2774">
      <c r="A2774" s="231"/>
      <c r="B2774" s="24"/>
      <c r="C2774" s="21"/>
      <c r="D2774" s="233"/>
      <c r="E2774" s="180"/>
      <c r="F2774" s="234"/>
      <c r="G2774" s="24"/>
      <c r="H2774" s="110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</row>
    <row r="2775">
      <c r="A2775" s="231"/>
      <c r="B2775" s="24"/>
      <c r="C2775" s="21"/>
      <c r="D2775" s="233"/>
      <c r="E2775" s="180"/>
      <c r="F2775" s="234"/>
      <c r="G2775" s="24"/>
      <c r="H2775" s="110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</row>
    <row r="2776">
      <c r="A2776" s="124"/>
      <c r="B2776" s="125"/>
      <c r="C2776" s="124"/>
      <c r="D2776" s="126"/>
      <c r="E2776" s="124"/>
      <c r="F2776" s="127"/>
      <c r="G2776" s="124"/>
      <c r="H2776" s="110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</row>
    <row r="2777">
      <c r="A2777" s="124"/>
      <c r="B2777" s="125"/>
      <c r="C2777" s="124"/>
      <c r="D2777" s="126"/>
      <c r="E2777" s="124"/>
      <c r="F2777" s="127"/>
      <c r="G2777" s="110"/>
      <c r="H2777" s="110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</row>
    <row r="2778">
      <c r="A2778" s="110"/>
      <c r="B2778" s="110"/>
      <c r="C2778" s="110"/>
      <c r="D2778" s="139"/>
      <c r="E2778" s="110"/>
      <c r="F2778" s="199"/>
      <c r="G2778" s="110"/>
      <c r="H2778" s="110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</row>
    <row r="2779">
      <c r="A2779" s="110"/>
      <c r="B2779" s="110"/>
      <c r="C2779" s="110"/>
      <c r="D2779" s="139"/>
      <c r="E2779" s="110"/>
      <c r="F2779" s="199"/>
      <c r="G2779" s="110"/>
      <c r="H2779" s="110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</row>
    <row r="2780">
      <c r="A2780" s="162"/>
      <c r="B2780" s="162"/>
      <c r="C2780" s="162"/>
      <c r="D2780" s="163"/>
      <c r="E2780" s="164"/>
      <c r="F2780" s="165"/>
      <c r="G2780" s="162"/>
      <c r="H2780" s="110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</row>
    <row r="2781">
      <c r="A2781" s="231"/>
      <c r="B2781" s="24"/>
      <c r="C2781" s="21"/>
      <c r="D2781" s="233"/>
      <c r="E2781" s="180"/>
      <c r="F2781" s="234"/>
      <c r="G2781" s="24"/>
      <c r="H2781" s="110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</row>
    <row r="2782">
      <c r="A2782" s="231"/>
      <c r="B2782" s="24"/>
      <c r="C2782" s="21"/>
      <c r="D2782" s="233"/>
      <c r="E2782" s="180"/>
      <c r="F2782" s="234"/>
      <c r="G2782" s="24"/>
      <c r="H2782" s="110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</row>
    <row r="2783">
      <c r="A2783" s="231"/>
      <c r="B2783" s="24"/>
      <c r="C2783" s="21"/>
      <c r="D2783" s="233"/>
      <c r="E2783" s="180"/>
      <c r="F2783" s="234"/>
      <c r="G2783" s="24"/>
      <c r="H2783" s="110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</row>
    <row r="2784">
      <c r="A2784" s="231"/>
      <c r="B2784" s="24"/>
      <c r="C2784" s="21"/>
      <c r="D2784" s="233"/>
      <c r="E2784" s="180"/>
      <c r="F2784" s="234"/>
      <c r="G2784" s="24"/>
      <c r="H2784" s="110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</row>
    <row r="2785">
      <c r="A2785" s="231"/>
      <c r="B2785" s="24"/>
      <c r="C2785" s="21"/>
      <c r="D2785" s="233"/>
      <c r="E2785" s="180"/>
      <c r="F2785" s="234"/>
      <c r="G2785" s="24"/>
      <c r="H2785" s="110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</row>
    <row r="2786">
      <c r="A2786" s="231"/>
      <c r="B2786" s="24"/>
      <c r="C2786" s="21"/>
      <c r="D2786" s="233"/>
      <c r="E2786" s="180"/>
      <c r="F2786" s="234"/>
      <c r="G2786" s="24"/>
      <c r="H2786" s="110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</row>
    <row r="2787">
      <c r="A2787" s="231"/>
      <c r="B2787" s="24"/>
      <c r="C2787" s="21"/>
      <c r="D2787" s="233"/>
      <c r="E2787" s="180"/>
      <c r="F2787" s="234"/>
      <c r="G2787" s="24"/>
      <c r="H2787" s="110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</row>
    <row r="2788">
      <c r="A2788" s="231"/>
      <c r="B2788" s="24"/>
      <c r="C2788" s="21"/>
      <c r="D2788" s="233"/>
      <c r="E2788" s="180"/>
      <c r="F2788" s="234"/>
      <c r="G2788" s="24"/>
      <c r="H2788" s="110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</row>
    <row r="2789">
      <c r="A2789" s="231"/>
      <c r="B2789" s="24"/>
      <c r="C2789" s="21"/>
      <c r="D2789" s="233"/>
      <c r="E2789" s="180"/>
      <c r="F2789" s="234"/>
      <c r="G2789" s="24"/>
      <c r="H2789" s="110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</row>
    <row r="2790">
      <c r="A2790" s="231"/>
      <c r="B2790" s="24"/>
      <c r="C2790" s="21"/>
      <c r="D2790" s="233"/>
      <c r="E2790" s="180"/>
      <c r="F2790" s="234"/>
      <c r="G2790" s="24"/>
      <c r="H2790" s="110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</row>
    <row r="2791">
      <c r="A2791" s="231"/>
      <c r="B2791" s="24"/>
      <c r="C2791" s="21"/>
      <c r="D2791" s="233"/>
      <c r="E2791" s="180"/>
      <c r="F2791" s="234"/>
      <c r="G2791" s="24"/>
      <c r="H2791" s="110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</row>
    <row r="2792">
      <c r="A2792" s="231"/>
      <c r="B2792" s="24"/>
      <c r="C2792" s="21"/>
      <c r="D2792" s="233"/>
      <c r="E2792" s="180"/>
      <c r="F2792" s="234"/>
      <c r="G2792" s="24"/>
      <c r="H2792" s="110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</row>
    <row r="2793">
      <c r="A2793" s="231"/>
      <c r="B2793" s="24"/>
      <c r="C2793" s="21"/>
      <c r="D2793" s="233"/>
      <c r="E2793" s="180"/>
      <c r="F2793" s="234"/>
      <c r="G2793" s="24"/>
      <c r="H2793" s="110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</row>
    <row r="2794">
      <c r="A2794" s="231"/>
      <c r="B2794" s="24"/>
      <c r="C2794" s="21"/>
      <c r="D2794" s="233"/>
      <c r="E2794" s="180"/>
      <c r="F2794" s="234"/>
      <c r="G2794" s="24"/>
      <c r="H2794" s="110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</row>
    <row r="2795">
      <c r="A2795" s="231"/>
      <c r="B2795" s="24"/>
      <c r="C2795" s="21"/>
      <c r="D2795" s="233"/>
      <c r="E2795" s="180"/>
      <c r="F2795" s="234"/>
      <c r="G2795" s="24"/>
      <c r="H2795" s="110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</row>
    <row r="2796">
      <c r="A2796" s="231"/>
      <c r="B2796" s="24"/>
      <c r="C2796" s="21"/>
      <c r="D2796" s="233"/>
      <c r="E2796" s="180"/>
      <c r="F2796" s="234"/>
      <c r="G2796" s="24"/>
      <c r="H2796" s="110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</row>
    <row r="2797">
      <c r="A2797" s="231"/>
      <c r="B2797" s="24"/>
      <c r="C2797" s="21"/>
      <c r="D2797" s="233"/>
      <c r="E2797" s="180"/>
      <c r="F2797" s="234"/>
      <c r="G2797" s="24"/>
      <c r="H2797" s="110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</row>
    <row r="2798">
      <c r="A2798" s="231"/>
      <c r="B2798" s="24"/>
      <c r="C2798" s="21"/>
      <c r="D2798" s="233"/>
      <c r="E2798" s="180"/>
      <c r="F2798" s="234"/>
      <c r="G2798" s="24"/>
      <c r="H2798" s="110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</row>
    <row r="2799">
      <c r="A2799" s="231"/>
      <c r="B2799" s="24"/>
      <c r="C2799" s="21"/>
      <c r="D2799" s="233"/>
      <c r="E2799" s="180"/>
      <c r="F2799" s="234"/>
      <c r="G2799" s="24"/>
      <c r="H2799" s="110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</row>
    <row r="2800">
      <c r="A2800" s="231"/>
      <c r="B2800" s="24"/>
      <c r="C2800" s="21"/>
      <c r="D2800" s="233"/>
      <c r="E2800" s="180"/>
      <c r="F2800" s="234"/>
      <c r="G2800" s="24"/>
      <c r="H2800" s="110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</row>
    <row r="2801">
      <c r="A2801" s="231"/>
      <c r="B2801" s="24"/>
      <c r="C2801" s="21"/>
      <c r="D2801" s="233"/>
      <c r="E2801" s="180"/>
      <c r="F2801" s="234"/>
      <c r="G2801" s="24"/>
      <c r="H2801" s="110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</row>
    <row r="2802">
      <c r="A2802" s="231"/>
      <c r="B2802" s="24"/>
      <c r="C2802" s="21"/>
      <c r="D2802" s="233"/>
      <c r="E2802" s="180"/>
      <c r="F2802" s="234"/>
      <c r="G2802" s="24"/>
      <c r="H2802" s="110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</row>
    <row r="2803">
      <c r="A2803" s="231"/>
      <c r="B2803" s="24"/>
      <c r="C2803" s="21"/>
      <c r="D2803" s="233"/>
      <c r="E2803" s="180"/>
      <c r="F2803" s="234"/>
      <c r="G2803" s="24"/>
      <c r="H2803" s="110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</row>
    <row r="2804">
      <c r="A2804" s="231"/>
      <c r="B2804" s="24"/>
      <c r="C2804" s="21"/>
      <c r="D2804" s="233"/>
      <c r="E2804" s="180"/>
      <c r="F2804" s="234"/>
      <c r="G2804" s="24"/>
      <c r="H2804" s="110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</row>
    <row r="2805">
      <c r="A2805" s="231"/>
      <c r="B2805" s="24"/>
      <c r="C2805" s="21"/>
      <c r="D2805" s="233"/>
      <c r="E2805" s="180"/>
      <c r="F2805" s="234"/>
      <c r="G2805" s="24"/>
      <c r="H2805" s="110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</row>
    <row r="2806">
      <c r="A2806" s="231"/>
      <c r="B2806" s="24"/>
      <c r="C2806" s="21"/>
      <c r="D2806" s="233"/>
      <c r="E2806" s="180"/>
      <c r="F2806" s="234"/>
      <c r="G2806" s="24"/>
      <c r="H2806" s="110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</row>
    <row r="2807">
      <c r="A2807" s="231"/>
      <c r="B2807" s="24"/>
      <c r="C2807" s="21"/>
      <c r="D2807" s="233"/>
      <c r="E2807" s="180"/>
      <c r="F2807" s="234"/>
      <c r="G2807" s="24"/>
      <c r="H2807" s="110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</row>
    <row r="2808">
      <c r="A2808" s="231"/>
      <c r="B2808" s="24"/>
      <c r="C2808" s="21"/>
      <c r="D2808" s="233"/>
      <c r="E2808" s="180"/>
      <c r="F2808" s="234"/>
      <c r="G2808" s="24"/>
      <c r="H2808" s="110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</row>
    <row r="2809">
      <c r="A2809" s="231"/>
      <c r="B2809" s="24"/>
      <c r="C2809" s="21"/>
      <c r="D2809" s="233"/>
      <c r="E2809" s="180"/>
      <c r="F2809" s="234"/>
      <c r="G2809" s="24"/>
      <c r="H2809" s="110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</row>
    <row r="2810">
      <c r="A2810" s="231"/>
      <c r="B2810" s="24"/>
      <c r="C2810" s="21"/>
      <c r="D2810" s="233"/>
      <c r="E2810" s="180"/>
      <c r="F2810" s="234"/>
      <c r="G2810" s="24"/>
      <c r="H2810" s="110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</row>
    <row r="2811">
      <c r="A2811" s="231"/>
      <c r="B2811" s="24"/>
      <c r="C2811" s="21"/>
      <c r="D2811" s="233"/>
      <c r="E2811" s="180"/>
      <c r="F2811" s="234"/>
      <c r="G2811" s="24"/>
      <c r="H2811" s="110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</row>
    <row r="2812">
      <c r="A2812" s="231"/>
      <c r="B2812" s="24"/>
      <c r="C2812" s="21"/>
      <c r="D2812" s="233"/>
      <c r="E2812" s="180"/>
      <c r="F2812" s="234"/>
      <c r="G2812" s="24"/>
      <c r="H2812" s="110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</row>
    <row r="2813">
      <c r="A2813" s="231"/>
      <c r="B2813" s="24"/>
      <c r="C2813" s="21"/>
      <c r="D2813" s="233"/>
      <c r="E2813" s="180"/>
      <c r="F2813" s="234"/>
      <c r="G2813" s="24"/>
      <c r="H2813" s="110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</row>
    <row r="2814">
      <c r="A2814" s="231"/>
      <c r="B2814" s="24"/>
      <c r="C2814" s="21"/>
      <c r="D2814" s="233"/>
      <c r="E2814" s="180"/>
      <c r="F2814" s="234"/>
      <c r="G2814" s="24"/>
      <c r="H2814" s="110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</row>
    <row r="2815">
      <c r="A2815" s="231"/>
      <c r="B2815" s="24"/>
      <c r="C2815" s="21"/>
      <c r="D2815" s="233"/>
      <c r="E2815" s="180"/>
      <c r="F2815" s="234"/>
      <c r="G2815" s="24"/>
      <c r="H2815" s="110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</row>
    <row r="2816">
      <c r="A2816" s="231"/>
      <c r="B2816" s="24"/>
      <c r="C2816" s="21"/>
      <c r="D2816" s="233"/>
      <c r="E2816" s="180"/>
      <c r="F2816" s="234"/>
      <c r="G2816" s="24"/>
      <c r="H2816" s="110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</row>
    <row r="2817">
      <c r="A2817" s="231"/>
      <c r="B2817" s="24"/>
      <c r="C2817" s="21"/>
      <c r="D2817" s="233"/>
      <c r="E2817" s="180"/>
      <c r="F2817" s="234"/>
      <c r="G2817" s="24"/>
      <c r="H2817" s="110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</row>
    <row r="2818">
      <c r="A2818" s="231"/>
      <c r="B2818" s="24"/>
      <c r="C2818" s="21"/>
      <c r="D2818" s="233"/>
      <c r="E2818" s="180"/>
      <c r="F2818" s="234"/>
      <c r="G2818" s="24"/>
      <c r="H2818" s="110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</row>
    <row r="2819">
      <c r="A2819" s="231"/>
      <c r="B2819" s="24"/>
      <c r="C2819" s="21"/>
      <c r="D2819" s="233"/>
      <c r="E2819" s="180"/>
      <c r="F2819" s="234"/>
      <c r="G2819" s="24"/>
      <c r="H2819" s="110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</row>
    <row r="2820">
      <c r="A2820" s="231"/>
      <c r="B2820" s="24"/>
      <c r="C2820" s="21"/>
      <c r="D2820" s="233"/>
      <c r="E2820" s="180"/>
      <c r="F2820" s="234"/>
      <c r="G2820" s="24"/>
      <c r="H2820" s="110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</row>
    <row r="2821">
      <c r="A2821" s="231"/>
      <c r="B2821" s="24"/>
      <c r="C2821" s="21"/>
      <c r="D2821" s="233"/>
      <c r="E2821" s="180"/>
      <c r="F2821" s="234"/>
      <c r="G2821" s="24"/>
      <c r="H2821" s="110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</row>
    <row r="2822">
      <c r="A2822" s="231"/>
      <c r="B2822" s="24"/>
      <c r="C2822" s="21"/>
      <c r="D2822" s="233"/>
      <c r="E2822" s="180"/>
      <c r="F2822" s="234"/>
      <c r="G2822" s="24"/>
      <c r="H2822" s="110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</row>
    <row r="2823">
      <c r="A2823" s="231"/>
      <c r="B2823" s="24"/>
      <c r="C2823" s="21"/>
      <c r="D2823" s="233"/>
      <c r="E2823" s="180"/>
      <c r="F2823" s="234"/>
      <c r="G2823" s="24"/>
      <c r="H2823" s="110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</row>
    <row r="2824">
      <c r="A2824" s="231"/>
      <c r="B2824" s="24"/>
      <c r="C2824" s="21"/>
      <c r="D2824" s="233"/>
      <c r="E2824" s="180"/>
      <c r="F2824" s="234"/>
      <c r="G2824" s="24"/>
      <c r="H2824" s="110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</row>
    <row r="2825">
      <c r="A2825" s="231"/>
      <c r="B2825" s="24"/>
      <c r="C2825" s="21"/>
      <c r="D2825" s="233"/>
      <c r="E2825" s="180"/>
      <c r="F2825" s="234"/>
      <c r="G2825" s="24"/>
      <c r="H2825" s="110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</row>
    <row r="2826">
      <c r="A2826" s="231"/>
      <c r="B2826" s="24"/>
      <c r="C2826" s="21"/>
      <c r="D2826" s="233"/>
      <c r="E2826" s="180"/>
      <c r="F2826" s="234"/>
      <c r="G2826" s="24"/>
      <c r="H2826" s="110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</row>
    <row r="2827">
      <c r="A2827" s="231"/>
      <c r="B2827" s="24"/>
      <c r="C2827" s="21"/>
      <c r="D2827" s="233"/>
      <c r="E2827" s="180"/>
      <c r="F2827" s="234"/>
      <c r="G2827" s="24"/>
      <c r="H2827" s="110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</row>
    <row r="2828">
      <c r="A2828" s="231"/>
      <c r="B2828" s="24"/>
      <c r="C2828" s="21"/>
      <c r="D2828" s="233"/>
      <c r="E2828" s="180"/>
      <c r="F2828" s="234"/>
      <c r="G2828" s="24"/>
      <c r="H2828" s="110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</row>
    <row r="2829">
      <c r="A2829" s="231"/>
      <c r="B2829" s="24"/>
      <c r="C2829" s="21"/>
      <c r="D2829" s="233"/>
      <c r="E2829" s="180"/>
      <c r="F2829" s="234"/>
      <c r="G2829" s="24"/>
      <c r="H2829" s="110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</row>
    <row r="2830">
      <c r="A2830" s="231"/>
      <c r="B2830" s="24"/>
      <c r="C2830" s="21"/>
      <c r="D2830" s="233"/>
      <c r="E2830" s="180"/>
      <c r="F2830" s="234"/>
      <c r="G2830" s="24"/>
      <c r="H2830" s="110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</row>
    <row r="2831">
      <c r="A2831" s="231"/>
      <c r="B2831" s="24"/>
      <c r="C2831" s="21"/>
      <c r="D2831" s="233"/>
      <c r="E2831" s="180"/>
      <c r="F2831" s="234"/>
      <c r="G2831" s="24"/>
      <c r="H2831" s="110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</row>
    <row r="2832">
      <c r="A2832" s="231"/>
      <c r="B2832" s="24"/>
      <c r="C2832" s="21"/>
      <c r="D2832" s="233"/>
      <c r="E2832" s="180"/>
      <c r="F2832" s="234"/>
      <c r="G2832" s="24"/>
      <c r="H2832" s="110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</row>
    <row r="2833">
      <c r="A2833" s="231"/>
      <c r="B2833" s="24"/>
      <c r="C2833" s="21"/>
      <c r="D2833" s="233"/>
      <c r="E2833" s="180"/>
      <c r="F2833" s="234"/>
      <c r="G2833" s="24"/>
      <c r="H2833" s="110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</row>
    <row r="2834">
      <c r="A2834" s="124"/>
      <c r="B2834" s="125"/>
      <c r="C2834" s="124"/>
      <c r="D2834" s="126"/>
      <c r="E2834" s="124"/>
      <c r="F2834" s="127"/>
      <c r="G2834" s="124"/>
      <c r="H2834" s="110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</row>
    <row r="2835">
      <c r="A2835" s="110"/>
      <c r="B2835" s="110"/>
      <c r="C2835" s="110"/>
      <c r="D2835" s="139"/>
      <c r="E2835" s="110"/>
      <c r="F2835" s="199"/>
      <c r="G2835" s="110"/>
      <c r="H2835" s="110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</row>
    <row r="2836">
      <c r="A2836" s="110"/>
      <c r="B2836" s="110"/>
      <c r="C2836" s="110"/>
      <c r="D2836" s="139"/>
      <c r="E2836" s="110"/>
      <c r="F2836" s="199"/>
      <c r="G2836" s="110"/>
      <c r="H2836" s="110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</row>
    <row r="2837">
      <c r="A2837" s="231"/>
      <c r="B2837" s="24"/>
      <c r="C2837" s="21"/>
      <c r="D2837" s="233"/>
      <c r="E2837" s="180"/>
      <c r="F2837" s="234"/>
      <c r="G2837" s="24"/>
      <c r="H2837" s="110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</row>
    <row r="2838">
      <c r="A2838" s="231"/>
      <c r="B2838" s="24"/>
      <c r="C2838" s="21"/>
      <c r="D2838" s="233"/>
      <c r="E2838" s="180"/>
      <c r="F2838" s="234"/>
      <c r="G2838" s="24"/>
      <c r="H2838" s="110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</row>
    <row r="2839">
      <c r="A2839" s="231"/>
      <c r="B2839" s="24"/>
      <c r="C2839" s="21"/>
      <c r="D2839" s="233"/>
      <c r="E2839" s="180"/>
      <c r="F2839" s="234"/>
      <c r="G2839" s="24"/>
      <c r="H2839" s="110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</row>
    <row r="2840">
      <c r="A2840" s="231"/>
      <c r="B2840" s="24"/>
      <c r="C2840" s="21"/>
      <c r="D2840" s="233"/>
      <c r="E2840" s="180"/>
      <c r="F2840" s="234"/>
      <c r="G2840" s="24"/>
      <c r="H2840" s="110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</row>
    <row r="2841">
      <c r="A2841" s="231"/>
      <c r="B2841" s="24"/>
      <c r="C2841" s="21"/>
      <c r="D2841" s="233"/>
      <c r="E2841" s="180"/>
      <c r="F2841" s="234"/>
      <c r="G2841" s="24"/>
      <c r="H2841" s="110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</row>
    <row r="2842">
      <c r="A2842" s="231"/>
      <c r="B2842" s="24"/>
      <c r="C2842" s="26"/>
      <c r="D2842" s="233"/>
      <c r="E2842" s="180"/>
      <c r="F2842" s="234"/>
      <c r="G2842" s="24"/>
      <c r="H2842" s="110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</row>
    <row r="2843">
      <c r="A2843" s="231"/>
      <c r="B2843" s="24"/>
      <c r="C2843" s="21"/>
      <c r="D2843" s="233"/>
      <c r="E2843" s="180"/>
      <c r="F2843" s="234"/>
      <c r="G2843" s="24"/>
      <c r="H2843" s="110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</row>
    <row r="2844">
      <c r="A2844" s="124"/>
      <c r="B2844" s="125"/>
      <c r="C2844" s="124"/>
      <c r="D2844" s="126"/>
      <c r="E2844" s="124"/>
      <c r="F2844" s="127"/>
      <c r="G2844" s="124"/>
      <c r="H2844" s="110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</row>
    <row r="2845">
      <c r="A2845" s="124"/>
      <c r="B2845" s="125"/>
      <c r="C2845" s="124"/>
      <c r="D2845" s="126"/>
      <c r="E2845" s="124"/>
      <c r="F2845" s="127"/>
      <c r="G2845" s="124"/>
      <c r="H2845" s="110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</row>
    <row r="2846">
      <c r="A2846" s="110"/>
      <c r="B2846" s="110"/>
      <c r="C2846" s="110"/>
      <c r="D2846" s="139"/>
      <c r="E2846" s="110"/>
      <c r="F2846" s="199"/>
      <c r="G2846" s="110"/>
      <c r="H2846" s="110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</row>
    <row r="2847">
      <c r="A2847" s="110"/>
      <c r="B2847" s="110"/>
      <c r="C2847" s="110"/>
      <c r="D2847" s="139"/>
      <c r="E2847" s="110"/>
      <c r="F2847" s="199"/>
      <c r="G2847" s="110"/>
      <c r="H2847" s="110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</row>
    <row r="2848">
      <c r="A2848" s="162"/>
      <c r="B2848" s="162"/>
      <c r="C2848" s="162"/>
      <c r="D2848" s="163"/>
      <c r="E2848" s="164"/>
      <c r="F2848" s="165"/>
      <c r="G2848" s="162"/>
      <c r="H2848" s="110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</row>
    <row r="2849">
      <c r="A2849" s="212"/>
      <c r="B2849" s="24"/>
      <c r="C2849" s="21"/>
      <c r="D2849" s="233"/>
      <c r="E2849" s="180"/>
      <c r="F2849" s="234"/>
      <c r="G2849" s="21"/>
      <c r="H2849" s="110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</row>
    <row r="2850">
      <c r="A2850" s="212"/>
      <c r="B2850" s="24"/>
      <c r="C2850" s="21"/>
      <c r="D2850" s="233"/>
      <c r="E2850" s="180"/>
      <c r="F2850" s="234"/>
      <c r="G2850" s="21"/>
      <c r="H2850" s="110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</row>
    <row r="2851">
      <c r="A2851" s="212"/>
      <c r="B2851" s="24"/>
      <c r="C2851" s="21"/>
      <c r="D2851" s="233"/>
      <c r="E2851" s="180"/>
      <c r="F2851" s="234"/>
      <c r="G2851" s="21"/>
      <c r="H2851" s="110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</row>
    <row r="2852">
      <c r="A2852" s="212"/>
      <c r="B2852" s="24"/>
      <c r="C2852" s="21"/>
      <c r="D2852" s="233"/>
      <c r="E2852" s="180"/>
      <c r="F2852" s="234"/>
      <c r="G2852" s="21"/>
      <c r="H2852" s="110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</row>
    <row r="2853">
      <c r="A2853" s="212"/>
      <c r="B2853" s="24"/>
      <c r="C2853" s="21"/>
      <c r="D2853" s="233"/>
      <c r="E2853" s="180"/>
      <c r="F2853" s="234"/>
      <c r="G2853" s="21"/>
      <c r="H2853" s="110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</row>
    <row r="2854">
      <c r="A2854" s="212"/>
      <c r="B2854" s="24"/>
      <c r="C2854" s="21"/>
      <c r="D2854" s="233"/>
      <c r="E2854" s="180"/>
      <c r="F2854" s="234"/>
      <c r="G2854" s="21"/>
      <c r="H2854" s="110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</row>
    <row r="2855">
      <c r="A2855" s="212"/>
      <c r="B2855" s="24"/>
      <c r="C2855" s="21"/>
      <c r="D2855" s="233"/>
      <c r="E2855" s="180"/>
      <c r="F2855" s="234"/>
      <c r="G2855" s="21"/>
      <c r="H2855" s="110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</row>
    <row r="2856">
      <c r="A2856" s="212"/>
      <c r="B2856" s="24"/>
      <c r="C2856" s="21"/>
      <c r="D2856" s="233"/>
      <c r="E2856" s="180"/>
      <c r="F2856" s="234"/>
      <c r="G2856" s="21"/>
      <c r="H2856" s="110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</row>
    <row r="2857">
      <c r="A2857" s="212"/>
      <c r="B2857" s="24"/>
      <c r="C2857" s="21"/>
      <c r="D2857" s="233"/>
      <c r="E2857" s="180"/>
      <c r="F2857" s="234"/>
      <c r="G2857" s="21"/>
      <c r="H2857" s="110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</row>
    <row r="2858">
      <c r="A2858" s="212"/>
      <c r="B2858" s="24"/>
      <c r="C2858" s="21"/>
      <c r="D2858" s="233"/>
      <c r="E2858" s="180"/>
      <c r="F2858" s="234"/>
      <c r="G2858" s="21"/>
      <c r="H2858" s="110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</row>
    <row r="2859">
      <c r="A2859" s="212"/>
      <c r="B2859" s="24"/>
      <c r="C2859" s="21"/>
      <c r="D2859" s="233"/>
      <c r="E2859" s="180"/>
      <c r="F2859" s="234"/>
      <c r="G2859" s="21"/>
      <c r="H2859" s="110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</row>
    <row r="2860">
      <c r="A2860" s="212"/>
      <c r="B2860" s="24"/>
      <c r="C2860" s="21"/>
      <c r="D2860" s="233"/>
      <c r="E2860" s="180"/>
      <c r="F2860" s="234"/>
      <c r="G2860" s="21"/>
      <c r="H2860" s="110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</row>
    <row r="2861">
      <c r="A2861" s="212"/>
      <c r="B2861" s="24"/>
      <c r="C2861" s="21"/>
      <c r="D2861" s="233"/>
      <c r="E2861" s="180"/>
      <c r="F2861" s="234"/>
      <c r="G2861" s="21"/>
      <c r="H2861" s="110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</row>
    <row r="2862">
      <c r="A2862" s="212"/>
      <c r="B2862" s="24"/>
      <c r="C2862" s="21"/>
      <c r="D2862" s="233"/>
      <c r="E2862" s="180"/>
      <c r="F2862" s="234"/>
      <c r="G2862" s="21"/>
      <c r="H2862" s="110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</row>
    <row r="2863">
      <c r="A2863" s="212"/>
      <c r="B2863" s="24"/>
      <c r="C2863" s="21"/>
      <c r="D2863" s="233"/>
      <c r="E2863" s="180"/>
      <c r="F2863" s="234"/>
      <c r="G2863" s="21"/>
      <c r="H2863" s="110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</row>
    <row r="2864">
      <c r="A2864" s="212"/>
      <c r="B2864" s="24"/>
      <c r="C2864" s="21"/>
      <c r="D2864" s="233"/>
      <c r="E2864" s="180"/>
      <c r="F2864" s="234"/>
      <c r="G2864" s="21"/>
      <c r="H2864" s="110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</row>
    <row r="2865">
      <c r="A2865" s="212"/>
      <c r="B2865" s="24"/>
      <c r="C2865" s="21"/>
      <c r="D2865" s="233"/>
      <c r="E2865" s="180"/>
      <c r="F2865" s="234"/>
      <c r="G2865" s="21"/>
      <c r="H2865" s="110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</row>
    <row r="2866">
      <c r="A2866" s="212"/>
      <c r="B2866" s="24"/>
      <c r="C2866" s="21"/>
      <c r="D2866" s="233"/>
      <c r="E2866" s="180"/>
      <c r="F2866" s="234"/>
      <c r="G2866" s="21"/>
      <c r="H2866" s="110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</row>
    <row r="2867">
      <c r="A2867" s="212"/>
      <c r="B2867" s="24"/>
      <c r="C2867" s="21"/>
      <c r="D2867" s="233"/>
      <c r="E2867" s="180"/>
      <c r="F2867" s="234"/>
      <c r="G2867" s="21"/>
      <c r="H2867" s="110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</row>
    <row r="2868">
      <c r="A2868" s="212"/>
      <c r="B2868" s="24"/>
      <c r="C2868" s="21"/>
      <c r="D2868" s="233"/>
      <c r="E2868" s="180"/>
      <c r="F2868" s="234"/>
      <c r="G2868" s="21"/>
      <c r="H2868" s="110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</row>
    <row r="2869">
      <c r="A2869" s="212"/>
      <c r="B2869" s="24"/>
      <c r="C2869" s="21"/>
      <c r="D2869" s="233"/>
      <c r="E2869" s="180"/>
      <c r="F2869" s="234"/>
      <c r="G2869" s="21"/>
      <c r="H2869" s="110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</row>
    <row r="2870">
      <c r="A2870" s="212"/>
      <c r="B2870" s="24"/>
      <c r="C2870" s="21"/>
      <c r="D2870" s="233"/>
      <c r="E2870" s="180"/>
      <c r="F2870" s="234"/>
      <c r="G2870" s="21"/>
      <c r="H2870" s="110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</row>
    <row r="2871">
      <c r="A2871" s="212"/>
      <c r="B2871" s="24"/>
      <c r="C2871" s="21"/>
      <c r="D2871" s="233"/>
      <c r="E2871" s="180"/>
      <c r="F2871" s="234"/>
      <c r="G2871" s="21"/>
      <c r="H2871" s="110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</row>
    <row r="2872">
      <c r="A2872" s="212"/>
      <c r="B2872" s="24"/>
      <c r="C2872" s="21"/>
      <c r="D2872" s="233"/>
      <c r="E2872" s="180"/>
      <c r="F2872" s="234"/>
      <c r="G2872" s="21"/>
      <c r="H2872" s="110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</row>
    <row r="2873">
      <c r="A2873" s="212"/>
      <c r="B2873" s="24"/>
      <c r="C2873" s="21"/>
      <c r="D2873" s="233"/>
      <c r="E2873" s="180"/>
      <c r="F2873" s="234"/>
      <c r="G2873" s="21"/>
      <c r="H2873" s="110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</row>
    <row r="2874">
      <c r="A2874" s="212"/>
      <c r="B2874" s="24"/>
      <c r="C2874" s="21"/>
      <c r="D2874" s="233"/>
      <c r="E2874" s="180"/>
      <c r="F2874" s="234"/>
      <c r="G2874" s="21"/>
      <c r="H2874" s="110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</row>
    <row r="2875">
      <c r="A2875" s="212"/>
      <c r="B2875" s="24"/>
      <c r="C2875" s="21"/>
      <c r="D2875" s="233"/>
      <c r="E2875" s="180"/>
      <c r="F2875" s="234"/>
      <c r="G2875" s="21"/>
      <c r="H2875" s="110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</row>
    <row r="2876">
      <c r="A2876" s="212"/>
      <c r="B2876" s="24"/>
      <c r="C2876" s="21"/>
      <c r="D2876" s="233"/>
      <c r="E2876" s="180"/>
      <c r="F2876" s="234"/>
      <c r="G2876" s="21"/>
      <c r="H2876" s="110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</row>
    <row r="2877">
      <c r="A2877" s="212"/>
      <c r="B2877" s="24"/>
      <c r="C2877" s="26"/>
      <c r="D2877" s="233"/>
      <c r="E2877" s="180"/>
      <c r="F2877" s="234"/>
      <c r="G2877" s="21"/>
      <c r="H2877" s="110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</row>
    <row r="2878">
      <c r="A2878" s="212"/>
      <c r="B2878" s="24"/>
      <c r="C2878" s="21"/>
      <c r="D2878" s="233"/>
      <c r="E2878" s="180"/>
      <c r="F2878" s="234"/>
      <c r="G2878" s="21"/>
      <c r="H2878" s="110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</row>
    <row r="2879">
      <c r="A2879" s="212"/>
      <c r="B2879" s="24"/>
      <c r="C2879" s="21"/>
      <c r="D2879" s="233"/>
      <c r="E2879" s="180"/>
      <c r="F2879" s="234"/>
      <c r="G2879" s="21"/>
      <c r="H2879" s="110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</row>
    <row r="2880">
      <c r="A2880" s="212"/>
      <c r="B2880" s="24"/>
      <c r="C2880" s="21"/>
      <c r="D2880" s="233"/>
      <c r="E2880" s="180"/>
      <c r="F2880" s="234"/>
      <c r="G2880" s="21"/>
      <c r="H2880" s="110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</row>
    <row r="2881">
      <c r="A2881" s="212"/>
      <c r="B2881" s="24"/>
      <c r="C2881" s="21"/>
      <c r="D2881" s="233"/>
      <c r="E2881" s="180"/>
      <c r="F2881" s="234"/>
      <c r="G2881" s="21"/>
      <c r="H2881" s="110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</row>
    <row r="2882">
      <c r="A2882" s="212"/>
      <c r="B2882" s="24"/>
      <c r="C2882" s="21"/>
      <c r="D2882" s="233"/>
      <c r="E2882" s="180"/>
      <c r="F2882" s="234"/>
      <c r="G2882" s="21"/>
      <c r="H2882" s="110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</row>
    <row r="2883">
      <c r="A2883" s="212"/>
      <c r="B2883" s="24"/>
      <c r="C2883" s="21"/>
      <c r="D2883" s="233"/>
      <c r="E2883" s="180"/>
      <c r="F2883" s="234"/>
      <c r="G2883" s="21"/>
      <c r="H2883" s="110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</row>
    <row r="2884">
      <c r="A2884" s="212"/>
      <c r="B2884" s="24"/>
      <c r="C2884" s="21"/>
      <c r="D2884" s="233"/>
      <c r="E2884" s="180"/>
      <c r="F2884" s="234"/>
      <c r="G2884" s="21"/>
      <c r="H2884" s="110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</row>
    <row r="2885">
      <c r="A2885" s="212"/>
      <c r="B2885" s="24"/>
      <c r="C2885" s="21"/>
      <c r="D2885" s="233"/>
      <c r="E2885" s="180"/>
      <c r="F2885" s="234"/>
      <c r="G2885" s="21"/>
      <c r="H2885" s="110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</row>
    <row r="2886">
      <c r="A2886" s="212"/>
      <c r="B2886" s="24"/>
      <c r="C2886" s="21"/>
      <c r="D2886" s="233"/>
      <c r="E2886" s="180"/>
      <c r="F2886" s="234"/>
      <c r="G2886" s="21"/>
      <c r="H2886" s="110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</row>
    <row r="2887">
      <c r="A2887" s="212"/>
      <c r="B2887" s="24"/>
      <c r="C2887" s="21"/>
      <c r="D2887" s="233"/>
      <c r="E2887" s="180"/>
      <c r="F2887" s="234"/>
      <c r="G2887" s="21"/>
      <c r="H2887" s="110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</row>
    <row r="2888">
      <c r="A2888" s="212"/>
      <c r="B2888" s="24"/>
      <c r="C2888" s="26"/>
      <c r="D2888" s="233"/>
      <c r="E2888" s="180"/>
      <c r="F2888" s="234"/>
      <c r="G2888" s="21"/>
      <c r="H2888" s="110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</row>
    <row r="2889">
      <c r="A2889" s="212"/>
      <c r="B2889" s="24"/>
      <c r="C2889" s="21"/>
      <c r="D2889" s="233"/>
      <c r="E2889" s="180"/>
      <c r="F2889" s="234"/>
      <c r="G2889" s="21"/>
      <c r="H2889" s="110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</row>
    <row r="2890">
      <c r="A2890" s="212"/>
      <c r="B2890" s="24"/>
      <c r="C2890" s="21"/>
      <c r="D2890" s="233"/>
      <c r="E2890" s="180"/>
      <c r="F2890" s="234"/>
      <c r="G2890" s="21"/>
      <c r="H2890" s="110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</row>
    <row r="2891">
      <c r="A2891" s="124"/>
      <c r="B2891" s="125"/>
      <c r="C2891" s="124"/>
      <c r="D2891" s="126"/>
      <c r="E2891" s="124"/>
      <c r="F2891" s="127"/>
      <c r="G2891" s="124"/>
      <c r="H2891" s="110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</row>
    <row r="2892">
      <c r="A2892" s="110"/>
      <c r="B2892" s="110"/>
      <c r="C2892" s="110"/>
      <c r="D2892" s="139"/>
      <c r="E2892" s="110"/>
      <c r="F2892" s="199"/>
      <c r="G2892" s="110"/>
      <c r="H2892" s="110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</row>
    <row r="2893">
      <c r="A2893" s="110"/>
      <c r="B2893" s="110"/>
      <c r="C2893" s="110"/>
      <c r="D2893" s="139"/>
      <c r="E2893" s="110"/>
      <c r="F2893" s="199"/>
      <c r="G2893" s="110"/>
      <c r="H2893" s="110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</row>
    <row r="2894">
      <c r="A2894" s="212"/>
      <c r="B2894" s="24"/>
      <c r="C2894" s="21"/>
      <c r="D2894" s="233"/>
      <c r="E2894" s="180"/>
      <c r="F2894" s="234"/>
      <c r="G2894" s="21"/>
      <c r="H2894" s="110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</row>
    <row r="2895">
      <c r="A2895" s="212"/>
      <c r="B2895" s="24"/>
      <c r="C2895" s="24"/>
      <c r="D2895" s="233"/>
      <c r="E2895" s="180"/>
      <c r="F2895" s="234"/>
      <c r="G2895" s="21"/>
      <c r="H2895" s="110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</row>
    <row r="2896">
      <c r="A2896" s="212"/>
      <c r="B2896" s="24"/>
      <c r="C2896" s="21"/>
      <c r="D2896" s="233"/>
      <c r="E2896" s="180"/>
      <c r="F2896" s="234"/>
      <c r="G2896" s="21"/>
      <c r="H2896" s="110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</row>
    <row r="2897">
      <c r="A2897" s="124"/>
      <c r="B2897" s="125"/>
      <c r="C2897" s="124"/>
      <c r="D2897" s="126"/>
      <c r="E2897" s="124"/>
      <c r="F2897" s="127"/>
      <c r="G2897" s="124"/>
      <c r="H2897" s="110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</row>
    <row r="2898">
      <c r="A2898" s="124"/>
      <c r="B2898" s="125"/>
      <c r="C2898" s="124"/>
      <c r="D2898" s="126"/>
      <c r="E2898" s="124"/>
      <c r="F2898" s="127"/>
      <c r="G2898" s="124"/>
      <c r="H2898" s="110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</row>
    <row r="2899">
      <c r="A2899" s="110"/>
      <c r="B2899" s="110"/>
      <c r="C2899" s="110"/>
      <c r="D2899" s="139"/>
      <c r="E2899" s="110"/>
      <c r="F2899" s="199"/>
      <c r="G2899" s="110"/>
      <c r="H2899" s="110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</row>
    <row r="2900">
      <c r="A2900" s="162"/>
      <c r="B2900" s="162"/>
      <c r="C2900" s="162"/>
      <c r="D2900" s="163"/>
      <c r="E2900" s="164"/>
      <c r="F2900" s="165"/>
      <c r="G2900" s="162"/>
      <c r="H2900" s="225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</row>
    <row r="2901">
      <c r="A2901" s="212"/>
      <c r="B2901" s="24"/>
      <c r="C2901" s="21"/>
      <c r="D2901" s="233"/>
      <c r="E2901" s="180"/>
      <c r="F2901" s="234"/>
      <c r="G2901" s="21"/>
      <c r="H2901" s="21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</row>
    <row r="2902">
      <c r="A2902" s="212"/>
      <c r="B2902" s="24"/>
      <c r="C2902" s="21"/>
      <c r="D2902" s="233"/>
      <c r="E2902" s="180"/>
      <c r="F2902" s="234"/>
      <c r="G2902" s="21"/>
      <c r="H2902" s="21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</row>
    <row r="2903">
      <c r="A2903" s="212"/>
      <c r="B2903" s="24"/>
      <c r="C2903" s="21"/>
      <c r="D2903" s="233"/>
      <c r="E2903" s="180"/>
      <c r="F2903" s="234"/>
      <c r="G2903" s="21"/>
      <c r="H2903" s="21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</row>
    <row r="2904">
      <c r="A2904" s="212"/>
      <c r="B2904" s="24"/>
      <c r="C2904" s="21"/>
      <c r="D2904" s="233"/>
      <c r="E2904" s="180"/>
      <c r="F2904" s="234"/>
      <c r="G2904" s="21"/>
      <c r="H2904" s="21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</row>
    <row r="2905">
      <c r="A2905" s="212"/>
      <c r="B2905" s="24"/>
      <c r="C2905" s="21"/>
      <c r="D2905" s="233"/>
      <c r="E2905" s="180"/>
      <c r="F2905" s="234"/>
      <c r="G2905" s="21"/>
      <c r="H2905" s="21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</row>
    <row r="2906">
      <c r="A2906" s="212"/>
      <c r="B2906" s="24"/>
      <c r="C2906" s="21"/>
      <c r="D2906" s="233"/>
      <c r="E2906" s="180"/>
      <c r="F2906" s="234"/>
      <c r="G2906" s="21"/>
      <c r="H2906" s="21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</row>
    <row r="2907">
      <c r="A2907" s="212"/>
      <c r="B2907" s="24"/>
      <c r="C2907" s="21"/>
      <c r="D2907" s="233"/>
      <c r="E2907" s="180"/>
      <c r="F2907" s="234"/>
      <c r="G2907" s="21"/>
      <c r="H2907" s="21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</row>
    <row r="2908">
      <c r="A2908" s="212"/>
      <c r="B2908" s="24"/>
      <c r="C2908" s="21"/>
      <c r="D2908" s="233"/>
      <c r="E2908" s="180"/>
      <c r="F2908" s="234"/>
      <c r="G2908" s="21"/>
      <c r="H2908" s="21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</row>
    <row r="2909">
      <c r="A2909" s="212"/>
      <c r="B2909" s="24"/>
      <c r="C2909" s="24"/>
      <c r="D2909" s="213"/>
      <c r="E2909" s="180"/>
      <c r="F2909" s="234"/>
      <c r="G2909" s="21"/>
      <c r="H2909" s="21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</row>
    <row r="2910">
      <c r="A2910" s="212"/>
      <c r="B2910" s="24"/>
      <c r="C2910" s="21"/>
      <c r="D2910" s="233"/>
      <c r="E2910" s="180"/>
      <c r="F2910" s="234"/>
      <c r="G2910" s="21"/>
      <c r="H2910" s="21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</row>
    <row r="2911">
      <c r="A2911" s="212"/>
      <c r="B2911" s="24"/>
      <c r="C2911" s="21"/>
      <c r="D2911" s="233"/>
      <c r="E2911" s="180"/>
      <c r="F2911" s="234"/>
      <c r="G2911" s="21"/>
      <c r="H2911" s="21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</row>
    <row r="2912">
      <c r="A2912" s="212"/>
      <c r="B2912" s="24"/>
      <c r="C2912" s="26"/>
      <c r="D2912" s="233"/>
      <c r="E2912" s="180"/>
      <c r="F2912" s="234"/>
      <c r="G2912" s="21"/>
      <c r="H2912" s="21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</row>
    <row r="2913">
      <c r="A2913" s="212"/>
      <c r="B2913" s="24"/>
      <c r="C2913" s="24"/>
      <c r="D2913" s="213"/>
      <c r="E2913" s="180"/>
      <c r="F2913" s="234"/>
      <c r="G2913" s="21"/>
      <c r="H2913" s="21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</row>
    <row r="2914">
      <c r="A2914" s="212"/>
      <c r="B2914" s="24"/>
      <c r="C2914" s="24"/>
      <c r="D2914" s="213"/>
      <c r="E2914" s="180"/>
      <c r="F2914" s="234"/>
      <c r="G2914" s="21"/>
      <c r="H2914" s="21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</row>
    <row r="2915">
      <c r="A2915" s="212"/>
      <c r="B2915" s="24"/>
      <c r="C2915" s="21"/>
      <c r="D2915" s="233"/>
      <c r="E2915" s="180"/>
      <c r="F2915" s="234"/>
      <c r="G2915" s="21"/>
      <c r="H2915" s="21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</row>
    <row r="2916">
      <c r="A2916" s="212"/>
      <c r="B2916" s="24"/>
      <c r="C2916" s="21"/>
      <c r="D2916" s="233"/>
      <c r="E2916" s="180"/>
      <c r="F2916" s="234"/>
      <c r="G2916" s="21"/>
      <c r="H2916" s="21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</row>
    <row r="2917">
      <c r="A2917" s="212"/>
      <c r="B2917" s="24"/>
      <c r="C2917" s="21"/>
      <c r="D2917" s="233"/>
      <c r="E2917" s="180"/>
      <c r="F2917" s="234"/>
      <c r="G2917" s="21"/>
      <c r="H2917" s="21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</row>
    <row r="2918">
      <c r="A2918" s="212"/>
      <c r="B2918" s="24"/>
      <c r="C2918" s="21"/>
      <c r="D2918" s="233"/>
      <c r="E2918" s="180"/>
      <c r="F2918" s="234"/>
      <c r="G2918" s="21"/>
      <c r="H2918" s="21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</row>
    <row r="2919">
      <c r="A2919" s="212"/>
      <c r="B2919" s="24"/>
      <c r="C2919" s="21"/>
      <c r="D2919" s="233"/>
      <c r="E2919" s="180"/>
      <c r="F2919" s="234"/>
      <c r="G2919" s="21"/>
      <c r="H2919" s="21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</row>
    <row r="2920">
      <c r="A2920" s="212"/>
      <c r="B2920" s="24"/>
      <c r="C2920" s="21"/>
      <c r="D2920" s="233"/>
      <c r="E2920" s="180"/>
      <c r="F2920" s="234"/>
      <c r="G2920" s="21"/>
      <c r="H2920" s="21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</row>
    <row r="2921">
      <c r="A2921" s="212"/>
      <c r="B2921" s="24"/>
      <c r="C2921" s="21"/>
      <c r="D2921" s="233"/>
      <c r="E2921" s="180"/>
      <c r="F2921" s="234"/>
      <c r="G2921" s="21"/>
      <c r="H2921" s="21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</row>
    <row r="2922">
      <c r="A2922" s="212"/>
      <c r="B2922" s="24"/>
      <c r="C2922" s="21"/>
      <c r="D2922" s="233"/>
      <c r="E2922" s="180"/>
      <c r="F2922" s="234"/>
      <c r="G2922" s="21"/>
      <c r="H2922" s="21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</row>
    <row r="2923">
      <c r="A2923" s="212"/>
      <c r="B2923" s="24"/>
      <c r="C2923" s="21"/>
      <c r="D2923" s="233"/>
      <c r="E2923" s="180"/>
      <c r="F2923" s="234"/>
      <c r="G2923" s="21"/>
      <c r="H2923" s="21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</row>
    <row r="2924">
      <c r="A2924" s="212"/>
      <c r="B2924" s="24"/>
      <c r="C2924" s="21"/>
      <c r="D2924" s="243"/>
      <c r="E2924" s="180"/>
      <c r="F2924" s="234"/>
      <c r="G2924" s="21"/>
      <c r="H2924" s="21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</row>
    <row r="2925">
      <c r="A2925" s="212"/>
      <c r="B2925" s="24"/>
      <c r="C2925" s="21"/>
      <c r="D2925" s="243"/>
      <c r="E2925" s="180"/>
      <c r="F2925" s="234"/>
      <c r="G2925" s="21"/>
      <c r="H2925" s="21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</row>
    <row r="2926">
      <c r="A2926" s="212"/>
      <c r="B2926" s="24"/>
      <c r="C2926" s="21"/>
      <c r="D2926" s="243"/>
      <c r="E2926" s="180"/>
      <c r="F2926" s="234"/>
      <c r="G2926" s="21"/>
      <c r="H2926" s="21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</row>
    <row r="2927">
      <c r="A2927" s="212"/>
      <c r="B2927" s="24"/>
      <c r="C2927" s="21"/>
      <c r="D2927" s="243"/>
      <c r="E2927" s="180"/>
      <c r="F2927" s="234"/>
      <c r="G2927" s="21"/>
      <c r="H2927" s="21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</row>
    <row r="2928">
      <c r="A2928" s="212"/>
      <c r="B2928" s="24"/>
      <c r="C2928" s="21"/>
      <c r="D2928" s="243"/>
      <c r="E2928" s="180"/>
      <c r="F2928" s="234"/>
      <c r="G2928" s="21"/>
      <c r="H2928" s="21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</row>
    <row r="2929">
      <c r="A2929" s="212"/>
      <c r="B2929" s="24"/>
      <c r="C2929" s="21"/>
      <c r="D2929" s="243"/>
      <c r="E2929" s="180"/>
      <c r="F2929" s="234"/>
      <c r="G2929" s="21"/>
      <c r="H2929" s="21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</row>
    <row r="2930">
      <c r="A2930" s="212"/>
      <c r="B2930" s="24"/>
      <c r="C2930" s="21"/>
      <c r="D2930" s="243"/>
      <c r="E2930" s="180"/>
      <c r="F2930" s="234"/>
      <c r="G2930" s="21"/>
      <c r="H2930" s="21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</row>
    <row r="2931">
      <c r="A2931" s="212"/>
      <c r="B2931" s="24"/>
      <c r="C2931" s="21"/>
      <c r="D2931" s="243"/>
      <c r="E2931" s="180"/>
      <c r="F2931" s="234"/>
      <c r="G2931" s="21"/>
      <c r="H2931" s="21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</row>
    <row r="2932">
      <c r="A2932" s="212"/>
      <c r="B2932" s="24"/>
      <c r="C2932" s="21"/>
      <c r="D2932" s="243"/>
      <c r="E2932" s="180"/>
      <c r="F2932" s="234"/>
      <c r="G2932" s="21"/>
      <c r="H2932" s="21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</row>
    <row r="2933">
      <c r="A2933" s="212"/>
      <c r="B2933" s="24"/>
      <c r="C2933" s="21"/>
      <c r="D2933" s="243"/>
      <c r="E2933" s="180"/>
      <c r="F2933" s="234"/>
      <c r="G2933" s="21"/>
      <c r="H2933" s="21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</row>
    <row r="2934">
      <c r="A2934" s="124"/>
      <c r="B2934" s="125"/>
      <c r="C2934" s="124"/>
      <c r="D2934" s="126"/>
      <c r="E2934" s="124"/>
      <c r="F2934" s="127"/>
      <c r="G2934" s="124"/>
      <c r="H2934" s="1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</row>
  </sheetData>
  <mergeCells count="15">
    <mergeCell ref="A68:B68"/>
    <mergeCell ref="A92:B92"/>
    <mergeCell ref="A129:B129"/>
    <mergeCell ref="A157:B157"/>
    <mergeCell ref="A175:B175"/>
    <mergeCell ref="A183:B183"/>
    <mergeCell ref="I104:J104"/>
    <mergeCell ref="I105:J105"/>
    <mergeCell ref="A23:B23"/>
    <mergeCell ref="A31:B31"/>
    <mergeCell ref="A32:B32"/>
    <mergeCell ref="I45:J45"/>
    <mergeCell ref="I46:J46"/>
    <mergeCell ref="I79:J79"/>
    <mergeCell ref="I80:J80"/>
  </mergeCells>
  <conditionalFormatting sqref="C2:C22 C24 C39:C67 K39:K44 C71 C73:C91 K73:K78 C98:C128 K98:K103 C160:C174 C177:C182">
    <cfRule type="expression" dxfId="1" priority="1">
      <formula>s</formula>
    </cfRule>
  </conditionalFormatting>
  <dataValidations>
    <dataValidation type="list" allowBlank="1" showErrorMessage="1" sqref="B2418:B2462 B2465:B2468 B2472:B2512 B2516:B2522 B2527:B2566 B2570:B2571 B2577:B2627 B2630:B2633 B2639:B2662 B2667:B2669 B2675:B2713 B2717:B2721 B2726:B2768 B2773:B2775 B2781:B2833 B2837:B2843 B2849:B2890 B2894:B2896">
      <formula1>"Gudang,Sidik,Grosir"</formula1>
    </dataValidation>
    <dataValidation type="list" allowBlank="1" showErrorMessage="1" sqref="R885:R906 J1221:J1222 J1224">
      <formula1>"Gudang,Grosir,AMR 1,AMR 2"</formula1>
    </dataValidation>
    <dataValidation type="list" allowBlank="1" showErrorMessage="1" sqref="B93:B96">
      <formula1>"SS,BOS Ogi,AMR 1,AMR 2,BOS Andris"</formula1>
    </dataValidation>
    <dataValidation type="list" allowBlank="1" showErrorMessage="1" sqref="B2:B22 B24:B30 J39:J44 B39:B67 B71 J73:J78 B73:B91 J98:J103 B98:B128">
      <formula1>"SS,BOS Ogi,AMR ,NIA"</formula1>
    </dataValidation>
    <dataValidation type="list" allowBlank="1" showErrorMessage="1" sqref="B160:B174 B177:B182">
      <formula1>"SS,BOS Ogi,AMR ,AMR 2,NIA,BOS Andris"</formula1>
    </dataValidation>
    <dataValidation type="list" allowBlank="1" showErrorMessage="1" sqref="R39 B69 B130:B156 K159">
      <formula1>"SS,BOS Ogi,AMR ,AMR 2,BOS Andris"</formula1>
    </dataValidation>
    <dataValidation type="list" allowBlank="1" showErrorMessage="1" sqref="B1909:B1938 B1940:B1942 B1944:B1983 B1985:B2022 B2024:B2026 B2028:B2073 B2075:B2083">
      <formula1>"Gudang,BOS Ogi,AMR 1,AMR 2"</formula1>
    </dataValidation>
    <dataValidation type="list" allowBlank="1" showErrorMessage="1" sqref="B2901:B2933">
      <formula1>"Gudang,Sidik,Grosir,Luar"</formula1>
    </dataValidation>
  </dataValidations>
  <drawing r:id="rId1"/>
  <tableParts count="98"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71"/>
    <col customWidth="1" min="3" max="3" width="21.0"/>
    <col customWidth="1" min="9" max="9" width="16.29"/>
  </cols>
  <sheetData>
    <row r="1" ht="29.25" customHeight="1">
      <c r="A1" s="105" t="s">
        <v>1</v>
      </c>
      <c r="B1" s="105" t="s">
        <v>2</v>
      </c>
      <c r="C1" s="105" t="s">
        <v>3</v>
      </c>
      <c r="D1" s="106" t="s">
        <v>4</v>
      </c>
      <c r="E1" s="107" t="s">
        <v>5</v>
      </c>
      <c r="F1" s="108" t="s">
        <v>6</v>
      </c>
      <c r="G1" s="105" t="s">
        <v>84</v>
      </c>
      <c r="H1" s="110"/>
    </row>
    <row r="2" ht="15.75" customHeight="1">
      <c r="A2" s="112">
        <v>46181.0</v>
      </c>
      <c r="B2" s="29" t="s">
        <v>17</v>
      </c>
      <c r="C2" s="73" t="s">
        <v>140</v>
      </c>
      <c r="D2" s="73">
        <v>90.0</v>
      </c>
      <c r="E2" s="32">
        <v>25000.0</v>
      </c>
      <c r="F2" s="32">
        <f t="shared" ref="F2:F36" si="1">D2*E2</f>
        <v>2250000</v>
      </c>
      <c r="G2" s="33" t="s">
        <v>10</v>
      </c>
      <c r="H2" s="110"/>
      <c r="J2" s="112">
        <v>46181.0</v>
      </c>
      <c r="K2" s="29" t="s">
        <v>17</v>
      </c>
      <c r="L2" s="73" t="s">
        <v>16</v>
      </c>
      <c r="M2" s="73">
        <v>4.82</v>
      </c>
      <c r="N2" s="32">
        <v>25000.0</v>
      </c>
      <c r="O2" s="32">
        <f t="shared" ref="O2:O7" si="2">M2*N2</f>
        <v>120500</v>
      </c>
      <c r="P2" s="33" t="s">
        <v>10</v>
      </c>
    </row>
    <row r="3" ht="15.75" customHeight="1">
      <c r="A3" s="112">
        <v>46181.0</v>
      </c>
      <c r="B3" s="29" t="s">
        <v>17</v>
      </c>
      <c r="C3" s="73" t="s">
        <v>253</v>
      </c>
      <c r="D3" s="73">
        <v>15.0</v>
      </c>
      <c r="E3" s="32">
        <v>25000.0</v>
      </c>
      <c r="F3" s="32">
        <f t="shared" si="1"/>
        <v>375000</v>
      </c>
      <c r="G3" s="33" t="s">
        <v>10</v>
      </c>
      <c r="H3" s="110"/>
      <c r="I3" s="28"/>
      <c r="J3" s="113">
        <v>46182.0</v>
      </c>
      <c r="K3" s="12" t="s">
        <v>17</v>
      </c>
      <c r="L3" s="114" t="s">
        <v>16</v>
      </c>
      <c r="M3" s="114">
        <v>2.96</v>
      </c>
      <c r="N3" s="14">
        <v>25000.0</v>
      </c>
      <c r="O3" s="14">
        <f t="shared" si="2"/>
        <v>74000</v>
      </c>
      <c r="P3" s="15" t="s">
        <v>10</v>
      </c>
    </row>
    <row r="4">
      <c r="A4" s="112">
        <v>46181.0</v>
      </c>
      <c r="B4" s="29" t="s">
        <v>17</v>
      </c>
      <c r="C4" s="73" t="s">
        <v>54</v>
      </c>
      <c r="D4" s="73">
        <v>3.0</v>
      </c>
      <c r="E4" s="32">
        <v>25000.0</v>
      </c>
      <c r="F4" s="32">
        <f t="shared" si="1"/>
        <v>75000</v>
      </c>
      <c r="G4" s="33" t="s">
        <v>10</v>
      </c>
      <c r="H4" s="110"/>
      <c r="I4" s="28"/>
      <c r="J4" s="112">
        <v>46183.0</v>
      </c>
      <c r="K4" s="29" t="s">
        <v>17</v>
      </c>
      <c r="L4" s="73" t="s">
        <v>16</v>
      </c>
      <c r="M4" s="73">
        <v>2.81</v>
      </c>
      <c r="N4" s="32">
        <v>25000.0</v>
      </c>
      <c r="O4" s="32">
        <f t="shared" si="2"/>
        <v>70250</v>
      </c>
      <c r="P4" s="33" t="s">
        <v>10</v>
      </c>
    </row>
    <row r="5">
      <c r="A5" s="112">
        <v>46181.0</v>
      </c>
      <c r="B5" s="29" t="s">
        <v>17</v>
      </c>
      <c r="C5" s="73" t="s">
        <v>60</v>
      </c>
      <c r="D5" s="73">
        <v>2.0</v>
      </c>
      <c r="E5" s="32">
        <v>25000.0</v>
      </c>
      <c r="F5" s="32">
        <f t="shared" si="1"/>
        <v>50000</v>
      </c>
      <c r="G5" s="33" t="s">
        <v>10</v>
      </c>
      <c r="H5" s="110"/>
      <c r="I5" s="28"/>
      <c r="J5" s="28">
        <v>46184.0</v>
      </c>
      <c r="K5" s="18" t="s">
        <v>17</v>
      </c>
      <c r="L5" s="111" t="s">
        <v>16</v>
      </c>
      <c r="M5" s="111">
        <v>3.8</v>
      </c>
      <c r="N5" s="20">
        <v>25000.0</v>
      </c>
      <c r="O5" s="20">
        <f t="shared" si="2"/>
        <v>95000</v>
      </c>
      <c r="P5" s="21" t="s">
        <v>10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</row>
    <row r="6">
      <c r="A6" s="112">
        <v>46181.0</v>
      </c>
      <c r="B6" s="29" t="s">
        <v>17</v>
      </c>
      <c r="C6" s="73" t="s">
        <v>61</v>
      </c>
      <c r="D6" s="73">
        <v>1.0</v>
      </c>
      <c r="E6" s="32">
        <v>25000.0</v>
      </c>
      <c r="F6" s="32">
        <f t="shared" si="1"/>
        <v>25000</v>
      </c>
      <c r="G6" s="33" t="s">
        <v>10</v>
      </c>
      <c r="H6" s="110"/>
      <c r="I6" s="28"/>
      <c r="J6" s="113">
        <v>46185.0</v>
      </c>
      <c r="K6" s="12" t="s">
        <v>17</v>
      </c>
      <c r="L6" s="114" t="s">
        <v>16</v>
      </c>
      <c r="M6" s="114">
        <v>2.7</v>
      </c>
      <c r="N6" s="14">
        <v>25000.0</v>
      </c>
      <c r="O6" s="14">
        <f t="shared" si="2"/>
        <v>67500</v>
      </c>
      <c r="P6" s="15" t="s">
        <v>10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4"/>
      <c r="BK6" s="134"/>
      <c r="BL6" s="134"/>
      <c r="BM6" s="134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34"/>
      <c r="DG6" s="134"/>
      <c r="DH6" s="134"/>
      <c r="DI6" s="134"/>
      <c r="DJ6" s="134"/>
      <c r="DK6" s="134"/>
      <c r="DL6" s="134"/>
      <c r="DM6" s="134"/>
      <c r="DN6" s="134"/>
      <c r="DO6" s="134"/>
      <c r="DP6" s="134"/>
      <c r="DQ6" s="134"/>
      <c r="DR6" s="134"/>
      <c r="DS6" s="134"/>
      <c r="DT6" s="134"/>
      <c r="DU6" s="134"/>
      <c r="DV6" s="134"/>
      <c r="DW6" s="134"/>
      <c r="DX6" s="134"/>
      <c r="DY6" s="134"/>
      <c r="DZ6" s="134"/>
      <c r="EA6" s="134"/>
      <c r="EB6" s="134"/>
      <c r="EC6" s="134"/>
      <c r="ED6" s="134"/>
      <c r="EE6" s="134"/>
      <c r="EF6" s="134"/>
      <c r="EG6" s="134"/>
      <c r="EH6" s="134"/>
      <c r="EI6" s="134"/>
      <c r="EJ6" s="134"/>
      <c r="EK6" s="134"/>
      <c r="EL6" s="134"/>
      <c r="EM6" s="134"/>
      <c r="EN6" s="134"/>
      <c r="EO6" s="134"/>
      <c r="EP6" s="134"/>
      <c r="EQ6" s="134"/>
      <c r="ER6" s="134"/>
      <c r="ES6" s="134"/>
      <c r="ET6" s="134"/>
      <c r="EU6" s="134"/>
      <c r="EV6" s="134"/>
      <c r="EW6" s="134"/>
      <c r="EX6" s="134"/>
      <c r="EY6" s="134"/>
      <c r="EZ6" s="134"/>
      <c r="FA6" s="134"/>
      <c r="FB6" s="134"/>
      <c r="FC6" s="134"/>
      <c r="FD6" s="134"/>
      <c r="FE6" s="134"/>
      <c r="FF6" s="134"/>
      <c r="FG6" s="134"/>
      <c r="FH6" s="134"/>
      <c r="FI6" s="134"/>
      <c r="FJ6" s="134"/>
      <c r="FK6" s="134"/>
      <c r="FL6" s="134"/>
      <c r="FM6" s="134"/>
      <c r="FN6" s="134"/>
      <c r="FO6" s="134"/>
      <c r="FP6" s="134"/>
      <c r="FQ6" s="134"/>
      <c r="FR6" s="134"/>
      <c r="FS6" s="134"/>
      <c r="FT6" s="134"/>
      <c r="FU6" s="134"/>
      <c r="FV6" s="134"/>
      <c r="FW6" s="134"/>
      <c r="FX6" s="134"/>
      <c r="FY6" s="134"/>
      <c r="FZ6" s="134"/>
      <c r="GA6" s="134"/>
    </row>
    <row r="7">
      <c r="A7" s="112">
        <v>46181.0</v>
      </c>
      <c r="B7" s="29" t="s">
        <v>17</v>
      </c>
      <c r="C7" s="73" t="s">
        <v>254</v>
      </c>
      <c r="D7" s="73">
        <v>1.0</v>
      </c>
      <c r="E7" s="32">
        <v>25000.0</v>
      </c>
      <c r="F7" s="32">
        <f t="shared" si="1"/>
        <v>25000</v>
      </c>
      <c r="G7" s="33" t="s">
        <v>10</v>
      </c>
      <c r="H7" s="110"/>
      <c r="I7" s="28"/>
      <c r="J7" s="28">
        <v>46186.0</v>
      </c>
      <c r="K7" s="18" t="s">
        <v>17</v>
      </c>
      <c r="L7" s="111" t="s">
        <v>16</v>
      </c>
      <c r="M7" s="111">
        <v>3.0</v>
      </c>
      <c r="N7" s="20">
        <v>25000.0</v>
      </c>
      <c r="O7" s="20">
        <f t="shared" si="2"/>
        <v>75000</v>
      </c>
      <c r="P7" s="21" t="s">
        <v>10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</row>
    <row r="8">
      <c r="A8" s="112">
        <v>46181.0</v>
      </c>
      <c r="B8" s="29" t="s">
        <v>17</v>
      </c>
      <c r="C8" s="73" t="s">
        <v>255</v>
      </c>
      <c r="D8" s="73">
        <v>2.0</v>
      </c>
      <c r="E8" s="32">
        <v>25000.0</v>
      </c>
      <c r="F8" s="32">
        <f t="shared" si="1"/>
        <v>50000</v>
      </c>
      <c r="G8" s="33" t="s">
        <v>10</v>
      </c>
      <c r="H8" s="110"/>
      <c r="I8" s="28"/>
      <c r="J8" s="115" t="s">
        <v>142</v>
      </c>
      <c r="L8" s="116"/>
      <c r="M8" s="117">
        <f>SUM(M2:M7)</f>
        <v>20.09</v>
      </c>
      <c r="N8" s="116"/>
      <c r="O8" s="118">
        <f>SUM(O2:O7)</f>
        <v>502250</v>
      </c>
      <c r="P8" s="119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0"/>
      <c r="DJ8" s="120"/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0"/>
      <c r="DZ8" s="120"/>
      <c r="EA8" s="120"/>
      <c r="EB8" s="120"/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0"/>
      <c r="ET8" s="120"/>
      <c r="EU8" s="120"/>
      <c r="EV8" s="120"/>
      <c r="EW8" s="120"/>
      <c r="EX8" s="120"/>
      <c r="EY8" s="120"/>
      <c r="EZ8" s="120"/>
      <c r="FA8" s="120"/>
      <c r="FB8" s="120"/>
      <c r="FC8" s="120"/>
      <c r="FD8" s="120"/>
      <c r="FE8" s="120"/>
      <c r="FF8" s="120"/>
      <c r="FG8" s="120"/>
      <c r="FH8" s="120"/>
      <c r="FI8" s="120"/>
      <c r="FJ8" s="120"/>
      <c r="FK8" s="120"/>
      <c r="FL8" s="120"/>
      <c r="FM8" s="120"/>
      <c r="FN8" s="120"/>
      <c r="FO8" s="120"/>
      <c r="FP8" s="120"/>
      <c r="FQ8" s="120"/>
      <c r="FR8" s="120"/>
      <c r="FS8" s="120"/>
      <c r="FT8" s="120"/>
      <c r="FU8" s="120"/>
      <c r="FV8" s="120"/>
      <c r="FW8" s="120"/>
      <c r="FX8" s="120"/>
      <c r="FY8" s="120"/>
      <c r="FZ8" s="120"/>
      <c r="GA8" s="120"/>
    </row>
    <row r="9">
      <c r="A9" s="112">
        <v>46181.0</v>
      </c>
      <c r="B9" s="29" t="s">
        <v>17</v>
      </c>
      <c r="C9" s="73" t="s">
        <v>256</v>
      </c>
      <c r="D9" s="73">
        <v>1.0</v>
      </c>
      <c r="E9" s="32">
        <v>25000.0</v>
      </c>
      <c r="F9" s="32">
        <f t="shared" si="1"/>
        <v>25000</v>
      </c>
      <c r="G9" s="33" t="s">
        <v>10</v>
      </c>
      <c r="H9" s="110"/>
      <c r="I9" s="28"/>
      <c r="J9" s="18"/>
      <c r="K9" s="111"/>
      <c r="L9" s="111"/>
      <c r="M9" s="245">
        <f>SUM(D37,M8)</f>
        <v>433.09</v>
      </c>
      <c r="N9" s="20"/>
      <c r="O9" s="246">
        <f>SUM(F37,O8)</f>
        <v>10827250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</row>
    <row r="10">
      <c r="A10" s="112">
        <v>46181.0</v>
      </c>
      <c r="B10" s="29" t="s">
        <v>17</v>
      </c>
      <c r="C10" s="73" t="s">
        <v>257</v>
      </c>
      <c r="D10" s="73">
        <v>1.0</v>
      </c>
      <c r="E10" s="32">
        <v>25000.0</v>
      </c>
      <c r="F10" s="32">
        <f t="shared" si="1"/>
        <v>25000</v>
      </c>
      <c r="G10" s="33" t="s">
        <v>10</v>
      </c>
      <c r="H10" s="110"/>
      <c r="I10" s="28"/>
      <c r="J10" s="18"/>
      <c r="K10" s="111"/>
      <c r="L10" s="111"/>
      <c r="M10" s="20"/>
      <c r="N10" s="20"/>
      <c r="O10" s="21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4"/>
      <c r="CG10" s="134"/>
      <c r="CH10" s="134"/>
      <c r="CI10" s="134"/>
      <c r="CJ10" s="134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34"/>
      <c r="DJ10" s="134"/>
      <c r="DK10" s="134"/>
      <c r="DL10" s="134"/>
      <c r="DM10" s="134"/>
      <c r="DN10" s="134"/>
      <c r="DO10" s="134"/>
      <c r="DP10" s="134"/>
      <c r="DQ10" s="134"/>
      <c r="DR10" s="134"/>
      <c r="DS10" s="134"/>
      <c r="DT10" s="134"/>
      <c r="DU10" s="134"/>
      <c r="DV10" s="134"/>
      <c r="DW10" s="134"/>
      <c r="DX10" s="134"/>
      <c r="DY10" s="134"/>
      <c r="DZ10" s="134"/>
      <c r="EA10" s="134"/>
      <c r="EB10" s="134"/>
      <c r="EC10" s="134"/>
      <c r="ED10" s="134"/>
      <c r="EE10" s="134"/>
      <c r="EF10" s="134"/>
      <c r="EG10" s="134"/>
      <c r="EH10" s="134"/>
      <c r="EI10" s="134"/>
      <c r="EJ10" s="134"/>
      <c r="EK10" s="134"/>
      <c r="EL10" s="134"/>
      <c r="EM10" s="134"/>
      <c r="EN10" s="134"/>
      <c r="EO10" s="134"/>
      <c r="EP10" s="134"/>
      <c r="EQ10" s="134"/>
      <c r="ER10" s="134"/>
      <c r="ES10" s="134"/>
      <c r="ET10" s="134"/>
      <c r="EU10" s="134"/>
      <c r="EV10" s="134"/>
      <c r="EW10" s="134"/>
      <c r="EX10" s="134"/>
      <c r="EY10" s="134"/>
      <c r="EZ10" s="134"/>
      <c r="FA10" s="134"/>
      <c r="FB10" s="134"/>
      <c r="FC10" s="134"/>
      <c r="FD10" s="134"/>
      <c r="FE10" s="134"/>
      <c r="FF10" s="134"/>
      <c r="FG10" s="134"/>
      <c r="FH10" s="134"/>
      <c r="FI10" s="134"/>
      <c r="FJ10" s="134"/>
      <c r="FK10" s="134"/>
      <c r="FL10" s="134"/>
      <c r="FM10" s="134"/>
      <c r="FN10" s="134"/>
      <c r="FO10" s="134"/>
      <c r="FP10" s="134"/>
      <c r="FQ10" s="134"/>
      <c r="FR10" s="134"/>
      <c r="FS10" s="134"/>
      <c r="FT10" s="134"/>
      <c r="FU10" s="134"/>
      <c r="FV10" s="134"/>
      <c r="FW10" s="134"/>
      <c r="FX10" s="134"/>
      <c r="FY10" s="134"/>
      <c r="FZ10" s="134"/>
      <c r="GA10" s="134"/>
    </row>
    <row r="11">
      <c r="A11" s="112">
        <v>46181.0</v>
      </c>
      <c r="B11" s="29" t="s">
        <v>17</v>
      </c>
      <c r="C11" s="73" t="s">
        <v>79</v>
      </c>
      <c r="D11" s="73">
        <v>1.0</v>
      </c>
      <c r="E11" s="32">
        <v>25000.0</v>
      </c>
      <c r="F11" s="32">
        <f t="shared" si="1"/>
        <v>25000</v>
      </c>
      <c r="G11" s="33" t="s">
        <v>10</v>
      </c>
      <c r="H11" s="110"/>
      <c r="I11" s="28"/>
      <c r="J11" s="18"/>
      <c r="K11" s="111"/>
      <c r="L11" s="111"/>
      <c r="M11" s="20"/>
      <c r="N11" s="20"/>
      <c r="O11" s="21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</row>
    <row r="12">
      <c r="A12" s="112">
        <v>46182.0</v>
      </c>
      <c r="B12" s="29" t="s">
        <v>17</v>
      </c>
      <c r="C12" s="73" t="s">
        <v>140</v>
      </c>
      <c r="D12" s="73">
        <v>50.0</v>
      </c>
      <c r="E12" s="32">
        <v>25000.0</v>
      </c>
      <c r="F12" s="32">
        <f t="shared" si="1"/>
        <v>1250000</v>
      </c>
      <c r="G12" s="33" t="s">
        <v>10</v>
      </c>
      <c r="H12" s="110"/>
      <c r="I12" s="28"/>
      <c r="J12" s="18"/>
      <c r="K12" s="111"/>
      <c r="L12" s="111"/>
      <c r="M12" s="20"/>
      <c r="N12" s="20"/>
      <c r="O12" s="21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  <c r="DX12" s="134"/>
      <c r="DY12" s="134"/>
      <c r="DZ12" s="134"/>
      <c r="EA12" s="134"/>
      <c r="EB12" s="134"/>
      <c r="EC12" s="134"/>
      <c r="ED12" s="134"/>
      <c r="EE12" s="134"/>
      <c r="EF12" s="134"/>
      <c r="EG12" s="134"/>
      <c r="EH12" s="134"/>
      <c r="EI12" s="134"/>
      <c r="EJ12" s="134"/>
      <c r="EK12" s="134"/>
      <c r="EL12" s="134"/>
      <c r="EM12" s="134"/>
      <c r="EN12" s="134"/>
      <c r="EO12" s="134"/>
      <c r="EP12" s="134"/>
      <c r="EQ12" s="134"/>
      <c r="ER12" s="134"/>
      <c r="ES12" s="134"/>
      <c r="ET12" s="134"/>
      <c r="EU12" s="134"/>
      <c r="EV12" s="134"/>
      <c r="EW12" s="134"/>
      <c r="EX12" s="134"/>
      <c r="EY12" s="134"/>
      <c r="EZ12" s="134"/>
      <c r="FA12" s="134"/>
      <c r="FB12" s="134"/>
      <c r="FC12" s="134"/>
      <c r="FD12" s="134"/>
      <c r="FE12" s="134"/>
      <c r="FF12" s="134"/>
      <c r="FG12" s="134"/>
      <c r="FH12" s="134"/>
      <c r="FI12" s="134"/>
      <c r="FJ12" s="134"/>
      <c r="FK12" s="134"/>
      <c r="FL12" s="134"/>
      <c r="FM12" s="134"/>
      <c r="FN12" s="134"/>
      <c r="FO12" s="134"/>
      <c r="FP12" s="134"/>
      <c r="FQ12" s="134"/>
      <c r="FR12" s="134"/>
      <c r="FS12" s="134"/>
      <c r="FT12" s="134"/>
      <c r="FU12" s="134"/>
      <c r="FV12" s="134"/>
      <c r="FW12" s="134"/>
      <c r="FX12" s="134"/>
      <c r="FY12" s="134"/>
      <c r="FZ12" s="134"/>
      <c r="GA12" s="134"/>
    </row>
    <row r="13">
      <c r="A13" s="112">
        <v>46182.0</v>
      </c>
      <c r="B13" s="29" t="s">
        <v>17</v>
      </c>
      <c r="C13" s="73" t="s">
        <v>258</v>
      </c>
      <c r="D13" s="73">
        <v>1.0</v>
      </c>
      <c r="E13" s="32">
        <v>25000.0</v>
      </c>
      <c r="F13" s="32">
        <f t="shared" si="1"/>
        <v>25000</v>
      </c>
      <c r="G13" s="33" t="s">
        <v>10</v>
      </c>
      <c r="H13" s="110"/>
      <c r="I13" s="28"/>
      <c r="J13" s="18"/>
      <c r="K13" s="111"/>
      <c r="L13" s="111"/>
      <c r="M13" s="20"/>
      <c r="N13" s="20"/>
      <c r="O13" s="21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</row>
    <row r="14">
      <c r="A14" s="112">
        <v>46182.0</v>
      </c>
      <c r="B14" s="29" t="s">
        <v>17</v>
      </c>
      <c r="C14" s="73" t="s">
        <v>50</v>
      </c>
      <c r="D14" s="73">
        <v>1.0</v>
      </c>
      <c r="E14" s="32">
        <v>25000.0</v>
      </c>
      <c r="F14" s="32">
        <f t="shared" si="1"/>
        <v>25000</v>
      </c>
      <c r="G14" s="33" t="s">
        <v>10</v>
      </c>
      <c r="H14" s="110"/>
      <c r="I14" s="28"/>
      <c r="J14" s="18"/>
      <c r="K14" s="111"/>
      <c r="L14" s="111"/>
      <c r="M14" s="20"/>
      <c r="N14" s="20"/>
      <c r="O14" s="21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4"/>
      <c r="CG14" s="134"/>
      <c r="CH14" s="134"/>
      <c r="CI14" s="134"/>
      <c r="CJ14" s="134"/>
      <c r="CK14" s="134"/>
      <c r="CL14" s="134"/>
      <c r="CM14" s="134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4"/>
      <c r="DO14" s="134"/>
      <c r="DP14" s="134"/>
      <c r="DQ14" s="134"/>
      <c r="DR14" s="134"/>
      <c r="DS14" s="134"/>
      <c r="DT14" s="134"/>
      <c r="DU14" s="134"/>
      <c r="DV14" s="134"/>
      <c r="DW14" s="134"/>
      <c r="DX14" s="134"/>
      <c r="DY14" s="134"/>
      <c r="DZ14" s="134"/>
      <c r="EA14" s="134"/>
      <c r="EB14" s="134"/>
      <c r="EC14" s="134"/>
      <c r="ED14" s="134"/>
      <c r="EE14" s="134"/>
      <c r="EF14" s="134"/>
      <c r="EG14" s="134"/>
      <c r="EH14" s="134"/>
      <c r="EI14" s="134"/>
      <c r="EJ14" s="134"/>
      <c r="EK14" s="134"/>
      <c r="EL14" s="134"/>
      <c r="EM14" s="134"/>
      <c r="EN14" s="134"/>
      <c r="EO14" s="134"/>
      <c r="EP14" s="134"/>
      <c r="EQ14" s="134"/>
      <c r="ER14" s="134"/>
      <c r="ES14" s="134"/>
      <c r="ET14" s="134"/>
      <c r="EU14" s="134"/>
      <c r="EV14" s="134"/>
      <c r="EW14" s="134"/>
      <c r="EX14" s="134"/>
      <c r="EY14" s="134"/>
      <c r="EZ14" s="134"/>
      <c r="FA14" s="134"/>
      <c r="FB14" s="134"/>
      <c r="FC14" s="134"/>
      <c r="FD14" s="134"/>
      <c r="FE14" s="134"/>
      <c r="FF14" s="134"/>
      <c r="FG14" s="134"/>
      <c r="FH14" s="134"/>
      <c r="FI14" s="134"/>
      <c r="FJ14" s="134"/>
      <c r="FK14" s="134"/>
      <c r="FL14" s="134"/>
      <c r="FM14" s="134"/>
      <c r="FN14" s="134"/>
      <c r="FO14" s="134"/>
      <c r="FP14" s="134"/>
      <c r="FQ14" s="134"/>
      <c r="FR14" s="134"/>
      <c r="FS14" s="134"/>
      <c r="FT14" s="134"/>
      <c r="FU14" s="134"/>
      <c r="FV14" s="134"/>
      <c r="FW14" s="134"/>
      <c r="FX14" s="134"/>
      <c r="FY14" s="134"/>
      <c r="FZ14" s="134"/>
      <c r="GA14" s="134"/>
    </row>
    <row r="15">
      <c r="A15" s="112">
        <v>46182.0</v>
      </c>
      <c r="B15" s="29" t="s">
        <v>17</v>
      </c>
      <c r="C15" s="73" t="s">
        <v>253</v>
      </c>
      <c r="D15" s="73">
        <v>6.0</v>
      </c>
      <c r="E15" s="32">
        <v>25000.0</v>
      </c>
      <c r="F15" s="32">
        <f t="shared" si="1"/>
        <v>150000</v>
      </c>
      <c r="G15" s="33" t="s">
        <v>10</v>
      </c>
      <c r="H15" s="110"/>
      <c r="I15" s="28"/>
      <c r="J15" s="18"/>
      <c r="K15" s="111"/>
      <c r="L15" s="111"/>
      <c r="M15" s="20"/>
      <c r="N15" s="20"/>
      <c r="O15" s="21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</row>
    <row r="16">
      <c r="A16" s="112">
        <v>46182.0</v>
      </c>
      <c r="B16" s="29" t="s">
        <v>17</v>
      </c>
      <c r="C16" s="73" t="s">
        <v>54</v>
      </c>
      <c r="D16" s="73">
        <v>5.0</v>
      </c>
      <c r="E16" s="32">
        <v>25000.0</v>
      </c>
      <c r="F16" s="32">
        <f t="shared" si="1"/>
        <v>125000</v>
      </c>
      <c r="G16" s="33" t="s">
        <v>10</v>
      </c>
      <c r="H16" s="110"/>
      <c r="I16" s="28"/>
      <c r="J16" s="18"/>
      <c r="K16" s="111"/>
      <c r="L16" s="111"/>
      <c r="M16" s="20"/>
      <c r="N16" s="20"/>
      <c r="O16" s="21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4"/>
      <c r="CG16" s="134"/>
      <c r="CH16" s="134"/>
      <c r="CI16" s="134"/>
      <c r="CJ16" s="134"/>
      <c r="CK16" s="134"/>
      <c r="CL16" s="134"/>
      <c r="CM16" s="134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34"/>
      <c r="DJ16" s="134"/>
      <c r="DK16" s="134"/>
      <c r="DL16" s="134"/>
      <c r="DM16" s="134"/>
      <c r="DN16" s="134"/>
      <c r="DO16" s="134"/>
      <c r="DP16" s="134"/>
      <c r="DQ16" s="134"/>
      <c r="DR16" s="134"/>
      <c r="DS16" s="134"/>
      <c r="DT16" s="134"/>
      <c r="DU16" s="134"/>
      <c r="DV16" s="134"/>
      <c r="DW16" s="134"/>
      <c r="DX16" s="134"/>
      <c r="DY16" s="134"/>
      <c r="DZ16" s="134"/>
      <c r="EA16" s="134"/>
      <c r="EB16" s="134"/>
      <c r="EC16" s="134"/>
      <c r="ED16" s="134"/>
      <c r="EE16" s="134"/>
      <c r="EF16" s="134"/>
      <c r="EG16" s="134"/>
      <c r="EH16" s="134"/>
      <c r="EI16" s="134"/>
      <c r="EJ16" s="134"/>
      <c r="EK16" s="134"/>
      <c r="EL16" s="134"/>
      <c r="EM16" s="134"/>
      <c r="EN16" s="134"/>
      <c r="EO16" s="134"/>
      <c r="EP16" s="134"/>
      <c r="EQ16" s="134"/>
      <c r="ER16" s="134"/>
      <c r="ES16" s="134"/>
      <c r="ET16" s="134"/>
      <c r="EU16" s="134"/>
      <c r="EV16" s="134"/>
      <c r="EW16" s="134"/>
      <c r="EX16" s="134"/>
      <c r="EY16" s="134"/>
      <c r="EZ16" s="134"/>
      <c r="FA16" s="134"/>
      <c r="FB16" s="134"/>
      <c r="FC16" s="134"/>
      <c r="FD16" s="134"/>
      <c r="FE16" s="134"/>
      <c r="FF16" s="134"/>
      <c r="FG16" s="134"/>
      <c r="FH16" s="134"/>
      <c r="FI16" s="134"/>
      <c r="FJ16" s="134"/>
      <c r="FK16" s="134"/>
      <c r="FL16" s="134"/>
      <c r="FM16" s="134"/>
      <c r="FN16" s="134"/>
      <c r="FO16" s="134"/>
      <c r="FP16" s="134"/>
      <c r="FQ16" s="134"/>
      <c r="FR16" s="134"/>
      <c r="FS16" s="134"/>
      <c r="FT16" s="134"/>
      <c r="FU16" s="134"/>
      <c r="FV16" s="134"/>
      <c r="FW16" s="134"/>
      <c r="FX16" s="134"/>
      <c r="FY16" s="134"/>
      <c r="FZ16" s="134"/>
      <c r="GA16" s="134"/>
    </row>
    <row r="17">
      <c r="A17" s="112">
        <v>46182.0</v>
      </c>
      <c r="B17" s="29" t="s">
        <v>17</v>
      </c>
      <c r="C17" s="73" t="s">
        <v>259</v>
      </c>
      <c r="D17" s="73">
        <v>1.0</v>
      </c>
      <c r="E17" s="32">
        <v>25000.0</v>
      </c>
      <c r="F17" s="32">
        <f t="shared" si="1"/>
        <v>25000</v>
      </c>
      <c r="G17" s="33" t="s">
        <v>10</v>
      </c>
      <c r="H17" s="110"/>
      <c r="I17" s="28"/>
      <c r="J17" s="18"/>
      <c r="K17" s="111"/>
      <c r="L17" s="111"/>
      <c r="M17" s="20"/>
      <c r="N17" s="20"/>
      <c r="O17" s="21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</row>
    <row r="18">
      <c r="A18" s="112">
        <v>46182.0</v>
      </c>
      <c r="B18" s="29" t="s">
        <v>17</v>
      </c>
      <c r="C18" s="73" t="s">
        <v>260</v>
      </c>
      <c r="D18" s="73">
        <v>1.0</v>
      </c>
      <c r="E18" s="32">
        <v>25000.0</v>
      </c>
      <c r="F18" s="32">
        <f t="shared" si="1"/>
        <v>25000</v>
      </c>
      <c r="G18" s="33" t="s">
        <v>10</v>
      </c>
      <c r="H18" s="110"/>
      <c r="I18" s="28"/>
      <c r="J18" s="18"/>
      <c r="K18" s="111"/>
      <c r="L18" s="111"/>
      <c r="M18" s="20"/>
      <c r="N18" s="20"/>
      <c r="O18" s="21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4"/>
      <c r="CG18" s="134"/>
      <c r="CH18" s="134"/>
      <c r="CI18" s="134"/>
      <c r="CJ18" s="134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34"/>
      <c r="DM18" s="134"/>
      <c r="DN18" s="134"/>
      <c r="DO18" s="134"/>
      <c r="DP18" s="134"/>
      <c r="DQ18" s="134"/>
      <c r="DR18" s="134"/>
      <c r="DS18" s="134"/>
      <c r="DT18" s="134"/>
      <c r="DU18" s="134"/>
      <c r="DV18" s="134"/>
      <c r="DW18" s="134"/>
      <c r="DX18" s="134"/>
      <c r="DY18" s="134"/>
      <c r="DZ18" s="134"/>
      <c r="EA18" s="134"/>
      <c r="EB18" s="134"/>
      <c r="EC18" s="134"/>
      <c r="ED18" s="134"/>
      <c r="EE18" s="134"/>
      <c r="EF18" s="134"/>
      <c r="EG18" s="134"/>
      <c r="EH18" s="134"/>
      <c r="EI18" s="134"/>
      <c r="EJ18" s="134"/>
      <c r="EK18" s="134"/>
      <c r="EL18" s="134"/>
      <c r="EM18" s="134"/>
      <c r="EN18" s="134"/>
      <c r="EO18" s="134"/>
      <c r="EP18" s="134"/>
      <c r="EQ18" s="134"/>
      <c r="ER18" s="134"/>
      <c r="ES18" s="134"/>
      <c r="ET18" s="134"/>
      <c r="EU18" s="134"/>
      <c r="EV18" s="134"/>
      <c r="EW18" s="134"/>
      <c r="EX18" s="134"/>
      <c r="EY18" s="134"/>
      <c r="EZ18" s="134"/>
      <c r="FA18" s="134"/>
      <c r="FB18" s="134"/>
      <c r="FC18" s="134"/>
      <c r="FD18" s="134"/>
      <c r="FE18" s="134"/>
      <c r="FF18" s="134"/>
      <c r="FG18" s="134"/>
      <c r="FH18" s="134"/>
      <c r="FI18" s="134"/>
      <c r="FJ18" s="134"/>
      <c r="FK18" s="134"/>
      <c r="FL18" s="134"/>
      <c r="FM18" s="134"/>
      <c r="FN18" s="134"/>
      <c r="FO18" s="134"/>
      <c r="FP18" s="134"/>
      <c r="FQ18" s="134"/>
      <c r="FR18" s="134"/>
      <c r="FS18" s="134"/>
      <c r="FT18" s="134"/>
      <c r="FU18" s="134"/>
      <c r="FV18" s="134"/>
      <c r="FW18" s="134"/>
      <c r="FX18" s="134"/>
      <c r="FY18" s="134"/>
      <c r="FZ18" s="134"/>
      <c r="GA18" s="134"/>
    </row>
    <row r="19">
      <c r="A19" s="112">
        <v>46183.0</v>
      </c>
      <c r="B19" s="29" t="s">
        <v>17</v>
      </c>
      <c r="C19" s="73" t="s">
        <v>261</v>
      </c>
      <c r="D19" s="73">
        <v>3.0</v>
      </c>
      <c r="E19" s="32">
        <v>25000.0</v>
      </c>
      <c r="F19" s="32">
        <f t="shared" si="1"/>
        <v>75000</v>
      </c>
      <c r="G19" s="33" t="s">
        <v>10</v>
      </c>
      <c r="H19" s="110"/>
      <c r="I19" s="28"/>
      <c r="J19" s="18"/>
      <c r="K19" s="111"/>
      <c r="L19" s="111"/>
      <c r="M19" s="20"/>
      <c r="N19" s="20"/>
      <c r="O19" s="21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</row>
    <row r="20">
      <c r="A20" s="112">
        <v>46183.0</v>
      </c>
      <c r="B20" s="29" t="s">
        <v>17</v>
      </c>
      <c r="C20" s="73" t="s">
        <v>253</v>
      </c>
      <c r="D20" s="73">
        <v>10.0</v>
      </c>
      <c r="E20" s="32">
        <v>25000.0</v>
      </c>
      <c r="F20" s="32">
        <f t="shared" si="1"/>
        <v>250000</v>
      </c>
      <c r="G20" s="33" t="s">
        <v>10</v>
      </c>
      <c r="H20" s="110"/>
      <c r="I20" s="28"/>
      <c r="J20" s="18"/>
      <c r="K20" s="111"/>
      <c r="L20" s="111"/>
      <c r="M20" s="20"/>
      <c r="N20" s="20"/>
      <c r="O20" s="21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4"/>
      <c r="CG20" s="134"/>
      <c r="CH20" s="134"/>
      <c r="CI20" s="134"/>
      <c r="CJ20" s="134"/>
      <c r="CK20" s="134"/>
      <c r="CL20" s="134"/>
      <c r="CM20" s="134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34"/>
      <c r="DJ20" s="134"/>
      <c r="DK20" s="134"/>
      <c r="DL20" s="134"/>
      <c r="DM20" s="134"/>
      <c r="DN20" s="134"/>
      <c r="DO20" s="134"/>
      <c r="DP20" s="134"/>
      <c r="DQ20" s="134"/>
      <c r="DR20" s="134"/>
      <c r="DS20" s="134"/>
      <c r="DT20" s="134"/>
      <c r="DU20" s="134"/>
      <c r="DV20" s="134"/>
      <c r="DW20" s="134"/>
      <c r="DX20" s="134"/>
      <c r="DY20" s="134"/>
      <c r="DZ20" s="134"/>
      <c r="EA20" s="134"/>
      <c r="EB20" s="134"/>
      <c r="EC20" s="134"/>
      <c r="ED20" s="134"/>
      <c r="EE20" s="134"/>
      <c r="EF20" s="134"/>
      <c r="EG20" s="134"/>
      <c r="EH20" s="134"/>
      <c r="EI20" s="134"/>
      <c r="EJ20" s="134"/>
      <c r="EK20" s="134"/>
      <c r="EL20" s="134"/>
      <c r="EM20" s="134"/>
      <c r="EN20" s="134"/>
      <c r="EO20" s="134"/>
      <c r="EP20" s="134"/>
      <c r="EQ20" s="134"/>
      <c r="ER20" s="134"/>
      <c r="ES20" s="134"/>
      <c r="ET20" s="134"/>
      <c r="EU20" s="134"/>
      <c r="EV20" s="134"/>
      <c r="EW20" s="134"/>
      <c r="EX20" s="134"/>
      <c r="EY20" s="134"/>
      <c r="EZ20" s="134"/>
      <c r="FA20" s="134"/>
      <c r="FB20" s="134"/>
      <c r="FC20" s="134"/>
      <c r="FD20" s="134"/>
      <c r="FE20" s="134"/>
      <c r="FF20" s="134"/>
      <c r="FG20" s="134"/>
      <c r="FH20" s="134"/>
      <c r="FI20" s="134"/>
      <c r="FJ20" s="134"/>
      <c r="FK20" s="134"/>
      <c r="FL20" s="134"/>
      <c r="FM20" s="134"/>
      <c r="FN20" s="134"/>
      <c r="FO20" s="134"/>
      <c r="FP20" s="134"/>
      <c r="FQ20" s="134"/>
      <c r="FR20" s="134"/>
      <c r="FS20" s="134"/>
      <c r="FT20" s="134"/>
      <c r="FU20" s="134"/>
      <c r="FV20" s="134"/>
      <c r="FW20" s="134"/>
      <c r="FX20" s="134"/>
      <c r="FY20" s="134"/>
      <c r="FZ20" s="134"/>
      <c r="GA20" s="134"/>
    </row>
    <row r="21">
      <c r="A21" s="113">
        <v>46183.0</v>
      </c>
      <c r="B21" s="12" t="s">
        <v>17</v>
      </c>
      <c r="C21" s="114" t="s">
        <v>140</v>
      </c>
      <c r="D21" s="114">
        <v>45.0</v>
      </c>
      <c r="E21" s="14">
        <v>25000.0</v>
      </c>
      <c r="F21" s="14">
        <f t="shared" si="1"/>
        <v>1125000</v>
      </c>
      <c r="G21" s="15" t="s">
        <v>10</v>
      </c>
      <c r="H21" s="110"/>
      <c r="I21" s="28"/>
      <c r="J21" s="18"/>
      <c r="K21" s="111"/>
      <c r="L21" s="111"/>
      <c r="M21" s="20"/>
      <c r="N21" s="20"/>
      <c r="O21" s="21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</row>
    <row r="22">
      <c r="A22" s="113">
        <v>46183.0</v>
      </c>
      <c r="B22" s="12" t="s">
        <v>17</v>
      </c>
      <c r="C22" s="114" t="s">
        <v>258</v>
      </c>
      <c r="D22" s="114">
        <v>3.0</v>
      </c>
      <c r="E22" s="14">
        <v>25000.0</v>
      </c>
      <c r="F22" s="14">
        <f t="shared" si="1"/>
        <v>75000</v>
      </c>
      <c r="G22" s="15" t="s">
        <v>10</v>
      </c>
      <c r="H22" s="110"/>
      <c r="I22" s="28"/>
      <c r="J22" s="18"/>
      <c r="K22" s="111"/>
      <c r="L22" s="111"/>
      <c r="M22" s="20"/>
      <c r="N22" s="20"/>
      <c r="O22" s="21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4"/>
      <c r="CY22" s="134"/>
      <c r="CZ22" s="134"/>
      <c r="DA22" s="134"/>
      <c r="DB22" s="134"/>
      <c r="DC22" s="134"/>
      <c r="DD22" s="134"/>
      <c r="DE22" s="134"/>
      <c r="DF22" s="134"/>
      <c r="DG22" s="134"/>
      <c r="DH22" s="134"/>
      <c r="DI22" s="134"/>
      <c r="DJ22" s="134"/>
      <c r="DK22" s="134"/>
      <c r="DL22" s="134"/>
      <c r="DM22" s="134"/>
      <c r="DN22" s="134"/>
      <c r="DO22" s="134"/>
      <c r="DP22" s="134"/>
      <c r="DQ22" s="134"/>
      <c r="DR22" s="134"/>
      <c r="DS22" s="134"/>
      <c r="DT22" s="134"/>
      <c r="DU22" s="134"/>
      <c r="DV22" s="134"/>
      <c r="DW22" s="134"/>
      <c r="DX22" s="134"/>
      <c r="DY22" s="134"/>
      <c r="DZ22" s="134"/>
      <c r="EA22" s="134"/>
      <c r="EB22" s="134"/>
      <c r="EC22" s="134"/>
      <c r="ED22" s="134"/>
      <c r="EE22" s="134"/>
      <c r="EF22" s="134"/>
      <c r="EG22" s="134"/>
      <c r="EH22" s="134"/>
      <c r="EI22" s="134"/>
      <c r="EJ22" s="134"/>
      <c r="EK22" s="134"/>
      <c r="EL22" s="134"/>
      <c r="EM22" s="134"/>
      <c r="EN22" s="134"/>
      <c r="EO22" s="134"/>
      <c r="EP22" s="134"/>
      <c r="EQ22" s="134"/>
      <c r="ER22" s="134"/>
      <c r="ES22" s="134"/>
      <c r="ET22" s="134"/>
      <c r="EU22" s="134"/>
      <c r="EV22" s="134"/>
      <c r="EW22" s="134"/>
      <c r="EX22" s="134"/>
      <c r="EY22" s="134"/>
      <c r="EZ22" s="134"/>
      <c r="FA22" s="134"/>
      <c r="FB22" s="134"/>
      <c r="FC22" s="134"/>
      <c r="FD22" s="134"/>
      <c r="FE22" s="134"/>
      <c r="FF22" s="134"/>
      <c r="FG22" s="134"/>
      <c r="FH22" s="134"/>
      <c r="FI22" s="134"/>
      <c r="FJ22" s="134"/>
      <c r="FK22" s="134"/>
      <c r="FL22" s="134"/>
      <c r="FM22" s="134"/>
      <c r="FN22" s="134"/>
      <c r="FO22" s="134"/>
      <c r="FP22" s="134"/>
      <c r="FQ22" s="134"/>
      <c r="FR22" s="134"/>
      <c r="FS22" s="134"/>
      <c r="FT22" s="134"/>
      <c r="FU22" s="134"/>
      <c r="FV22" s="134"/>
      <c r="FW22" s="134"/>
      <c r="FX22" s="134"/>
      <c r="FY22" s="134"/>
      <c r="FZ22" s="134"/>
      <c r="GA22" s="134"/>
    </row>
    <row r="23">
      <c r="A23" s="28">
        <v>46183.0</v>
      </c>
      <c r="B23" s="18" t="s">
        <v>17</v>
      </c>
      <c r="C23" s="111" t="s">
        <v>224</v>
      </c>
      <c r="D23" s="111">
        <v>1.0</v>
      </c>
      <c r="E23" s="20">
        <v>25000.0</v>
      </c>
      <c r="F23" s="20">
        <f t="shared" si="1"/>
        <v>25000</v>
      </c>
      <c r="G23" s="21" t="s">
        <v>10</v>
      </c>
      <c r="H23" s="110"/>
      <c r="I23" s="28"/>
      <c r="J23" s="18"/>
      <c r="K23" s="111"/>
      <c r="L23" s="111"/>
      <c r="M23" s="20"/>
      <c r="N23" s="20"/>
      <c r="O23" s="21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</row>
    <row r="24">
      <c r="A24" s="113">
        <v>46183.0</v>
      </c>
      <c r="B24" s="12" t="s">
        <v>17</v>
      </c>
      <c r="C24" s="114" t="s">
        <v>139</v>
      </c>
      <c r="D24" s="114">
        <v>2.0</v>
      </c>
      <c r="E24" s="14">
        <v>25000.0</v>
      </c>
      <c r="F24" s="14">
        <f t="shared" si="1"/>
        <v>50000</v>
      </c>
      <c r="G24" s="15" t="s">
        <v>10</v>
      </c>
      <c r="H24" s="110"/>
      <c r="I24" s="28"/>
      <c r="J24" s="18"/>
      <c r="K24" s="111"/>
      <c r="L24" s="111"/>
      <c r="M24" s="20"/>
      <c r="N24" s="20"/>
      <c r="O24" s="21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/>
      <c r="DT24" s="134"/>
      <c r="DU24" s="134"/>
      <c r="DV24" s="134"/>
      <c r="DW24" s="134"/>
      <c r="DX24" s="134"/>
      <c r="DY24" s="134"/>
      <c r="DZ24" s="134"/>
      <c r="EA24" s="134"/>
      <c r="EB24" s="134"/>
      <c r="EC24" s="134"/>
      <c r="ED24" s="134"/>
      <c r="EE24" s="134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134"/>
      <c r="ET24" s="134"/>
      <c r="EU24" s="134"/>
      <c r="EV24" s="134"/>
      <c r="EW24" s="134"/>
      <c r="EX24" s="134"/>
      <c r="EY24" s="134"/>
      <c r="EZ24" s="134"/>
      <c r="FA24" s="134"/>
      <c r="FB24" s="134"/>
      <c r="FC24" s="134"/>
      <c r="FD24" s="134"/>
      <c r="FE24" s="134"/>
      <c r="FF24" s="134"/>
      <c r="FG24" s="134"/>
      <c r="FH24" s="134"/>
      <c r="FI24" s="134"/>
      <c r="FJ24" s="134"/>
      <c r="FK24" s="134"/>
      <c r="FL24" s="134"/>
      <c r="FM24" s="134"/>
      <c r="FN24" s="134"/>
      <c r="FO24" s="134"/>
      <c r="FP24" s="134"/>
      <c r="FQ24" s="134"/>
      <c r="FR24" s="134"/>
      <c r="FS24" s="134"/>
      <c r="FT24" s="134"/>
      <c r="FU24" s="134"/>
      <c r="FV24" s="134"/>
      <c r="FW24" s="134"/>
      <c r="FX24" s="134"/>
      <c r="FY24" s="134"/>
      <c r="FZ24" s="134"/>
      <c r="GA24" s="134"/>
    </row>
    <row r="25">
      <c r="A25" s="28">
        <v>46183.0</v>
      </c>
      <c r="B25" s="18" t="s">
        <v>17</v>
      </c>
      <c r="C25" s="111" t="s">
        <v>75</v>
      </c>
      <c r="D25" s="111">
        <v>1.0</v>
      </c>
      <c r="E25" s="20">
        <v>25000.0</v>
      </c>
      <c r="F25" s="20">
        <f t="shared" si="1"/>
        <v>25000</v>
      </c>
      <c r="G25" s="21" t="s">
        <v>10</v>
      </c>
      <c r="H25" s="110"/>
      <c r="I25" s="28"/>
      <c r="J25" s="18"/>
      <c r="K25" s="111"/>
      <c r="L25" s="111"/>
      <c r="M25" s="20"/>
      <c r="N25" s="20"/>
      <c r="O25" s="21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</row>
    <row r="26">
      <c r="A26" s="113">
        <v>46184.0</v>
      </c>
      <c r="B26" s="12" t="s">
        <v>17</v>
      </c>
      <c r="C26" s="114" t="s">
        <v>140</v>
      </c>
      <c r="D26" s="114">
        <v>35.0</v>
      </c>
      <c r="E26" s="14">
        <v>25000.0</v>
      </c>
      <c r="F26" s="14">
        <f t="shared" si="1"/>
        <v>875000</v>
      </c>
      <c r="G26" s="15" t="s">
        <v>10</v>
      </c>
      <c r="H26" s="110"/>
      <c r="I26" s="28"/>
      <c r="J26" s="18"/>
      <c r="K26" s="111"/>
      <c r="L26" s="111"/>
      <c r="M26" s="20"/>
      <c r="N26" s="20"/>
      <c r="O26" s="21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  <c r="CL26" s="134"/>
      <c r="CM26" s="134"/>
      <c r="CN26" s="134"/>
      <c r="CO26" s="134"/>
      <c r="CP26" s="134"/>
      <c r="CQ26" s="134"/>
      <c r="CR26" s="134"/>
      <c r="CS26" s="134"/>
      <c r="CT26" s="134"/>
      <c r="CU26" s="134"/>
      <c r="CV26" s="134"/>
      <c r="CW26" s="134"/>
      <c r="CX26" s="134"/>
      <c r="CY26" s="134"/>
      <c r="CZ26" s="134"/>
      <c r="DA26" s="134"/>
      <c r="DB26" s="134"/>
      <c r="DC26" s="134"/>
      <c r="DD26" s="134"/>
      <c r="DE26" s="134"/>
      <c r="DF26" s="134"/>
      <c r="DG26" s="134"/>
      <c r="DH26" s="134"/>
      <c r="DI26" s="134"/>
      <c r="DJ26" s="134"/>
      <c r="DK26" s="134"/>
      <c r="DL26" s="134"/>
      <c r="DM26" s="134"/>
      <c r="DN26" s="134"/>
      <c r="DO26" s="134"/>
      <c r="DP26" s="134"/>
      <c r="DQ26" s="134"/>
      <c r="DR26" s="134"/>
      <c r="DS26" s="134"/>
      <c r="DT26" s="134"/>
      <c r="DU26" s="134"/>
      <c r="DV26" s="134"/>
      <c r="DW26" s="134"/>
      <c r="DX26" s="134"/>
      <c r="DY26" s="134"/>
      <c r="DZ26" s="134"/>
      <c r="EA26" s="134"/>
      <c r="EB26" s="134"/>
      <c r="EC26" s="134"/>
      <c r="ED26" s="134"/>
      <c r="EE26" s="134"/>
      <c r="EF26" s="134"/>
      <c r="EG26" s="134"/>
      <c r="EH26" s="134"/>
      <c r="EI26" s="134"/>
      <c r="EJ26" s="134"/>
      <c r="EK26" s="134"/>
      <c r="EL26" s="134"/>
      <c r="EM26" s="134"/>
      <c r="EN26" s="134"/>
      <c r="EO26" s="134"/>
      <c r="EP26" s="134"/>
      <c r="EQ26" s="134"/>
      <c r="ER26" s="134"/>
      <c r="ES26" s="134"/>
      <c r="ET26" s="134"/>
      <c r="EU26" s="134"/>
      <c r="EV26" s="134"/>
      <c r="EW26" s="134"/>
      <c r="EX26" s="134"/>
      <c r="EY26" s="134"/>
      <c r="EZ26" s="134"/>
      <c r="FA26" s="134"/>
      <c r="FB26" s="134"/>
      <c r="FC26" s="134"/>
      <c r="FD26" s="134"/>
      <c r="FE26" s="134"/>
      <c r="FF26" s="134"/>
      <c r="FG26" s="134"/>
      <c r="FH26" s="134"/>
      <c r="FI26" s="134"/>
      <c r="FJ26" s="134"/>
      <c r="FK26" s="134"/>
      <c r="FL26" s="134"/>
      <c r="FM26" s="134"/>
      <c r="FN26" s="134"/>
      <c r="FO26" s="134"/>
      <c r="FP26" s="134"/>
      <c r="FQ26" s="134"/>
      <c r="FR26" s="134"/>
      <c r="FS26" s="134"/>
      <c r="FT26" s="134"/>
      <c r="FU26" s="134"/>
      <c r="FV26" s="134"/>
      <c r="FW26" s="134"/>
      <c r="FX26" s="134"/>
      <c r="FY26" s="134"/>
      <c r="FZ26" s="134"/>
      <c r="GA26" s="134"/>
    </row>
    <row r="27">
      <c r="A27" s="28">
        <v>46184.0</v>
      </c>
      <c r="B27" s="18" t="s">
        <v>17</v>
      </c>
      <c r="C27" s="111" t="s">
        <v>262</v>
      </c>
      <c r="D27" s="111">
        <v>1.0</v>
      </c>
      <c r="E27" s="20">
        <v>25000.0</v>
      </c>
      <c r="F27" s="20">
        <f t="shared" si="1"/>
        <v>25000</v>
      </c>
      <c r="G27" s="21" t="s">
        <v>10</v>
      </c>
      <c r="H27" s="110"/>
      <c r="I27" s="28"/>
      <c r="J27" s="18"/>
      <c r="K27" s="111"/>
      <c r="L27" s="111"/>
      <c r="M27" s="20"/>
      <c r="N27" s="20"/>
      <c r="O27" s="21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</row>
    <row r="28">
      <c r="A28" s="113">
        <v>46184.0</v>
      </c>
      <c r="B28" s="12" t="s">
        <v>17</v>
      </c>
      <c r="C28" s="114" t="s">
        <v>67</v>
      </c>
      <c r="D28" s="114">
        <v>5.0</v>
      </c>
      <c r="E28" s="14">
        <v>25000.0</v>
      </c>
      <c r="F28" s="14">
        <f t="shared" si="1"/>
        <v>125000</v>
      </c>
      <c r="G28" s="15" t="s">
        <v>10</v>
      </c>
      <c r="H28" s="110"/>
      <c r="I28" s="28"/>
      <c r="J28" s="18"/>
      <c r="K28" s="111"/>
      <c r="L28" s="111"/>
      <c r="M28" s="20"/>
      <c r="N28" s="20"/>
      <c r="O28" s="21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34"/>
      <c r="DZ28" s="134"/>
      <c r="EA28" s="134"/>
      <c r="EB28" s="134"/>
      <c r="EC28" s="134"/>
      <c r="ED28" s="134"/>
      <c r="EE28" s="134"/>
      <c r="EF28" s="134"/>
      <c r="EG28" s="134"/>
      <c r="EH28" s="134"/>
      <c r="EI28" s="134"/>
      <c r="EJ28" s="134"/>
      <c r="EK28" s="134"/>
      <c r="EL28" s="134"/>
      <c r="EM28" s="134"/>
      <c r="EN28" s="134"/>
      <c r="EO28" s="134"/>
      <c r="EP28" s="134"/>
      <c r="EQ28" s="134"/>
      <c r="ER28" s="134"/>
      <c r="ES28" s="134"/>
      <c r="ET28" s="134"/>
      <c r="EU28" s="134"/>
      <c r="EV28" s="134"/>
      <c r="EW28" s="134"/>
      <c r="EX28" s="134"/>
      <c r="EY28" s="134"/>
      <c r="EZ28" s="134"/>
      <c r="FA28" s="134"/>
      <c r="FB28" s="134"/>
      <c r="FC28" s="134"/>
      <c r="FD28" s="134"/>
      <c r="FE28" s="134"/>
      <c r="FF28" s="134"/>
      <c r="FG28" s="134"/>
      <c r="FH28" s="134"/>
      <c r="FI28" s="134"/>
      <c r="FJ28" s="134"/>
      <c r="FK28" s="134"/>
      <c r="FL28" s="134"/>
      <c r="FM28" s="134"/>
      <c r="FN28" s="134"/>
      <c r="FO28" s="134"/>
      <c r="FP28" s="134"/>
      <c r="FQ28" s="134"/>
      <c r="FR28" s="134"/>
      <c r="FS28" s="134"/>
      <c r="FT28" s="134"/>
      <c r="FU28" s="134"/>
      <c r="FV28" s="134"/>
      <c r="FW28" s="134"/>
      <c r="FX28" s="134"/>
      <c r="FY28" s="134"/>
      <c r="FZ28" s="134"/>
      <c r="GA28" s="134"/>
    </row>
    <row r="29">
      <c r="A29" s="28">
        <v>46184.0</v>
      </c>
      <c r="B29" s="18" t="s">
        <v>17</v>
      </c>
      <c r="C29" s="111" t="s">
        <v>25</v>
      </c>
      <c r="D29" s="111">
        <v>2.0</v>
      </c>
      <c r="E29" s="20">
        <v>25000.0</v>
      </c>
      <c r="F29" s="20">
        <f t="shared" si="1"/>
        <v>50000</v>
      </c>
      <c r="G29" s="21" t="s">
        <v>10</v>
      </c>
      <c r="H29" s="110"/>
      <c r="I29" s="28"/>
      <c r="J29" s="18"/>
      <c r="K29" s="111"/>
      <c r="L29" s="111"/>
      <c r="M29" s="20"/>
      <c r="N29" s="20"/>
      <c r="O29" s="21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</row>
    <row r="30">
      <c r="A30" s="113">
        <v>46184.0</v>
      </c>
      <c r="B30" s="12" t="s">
        <v>17</v>
      </c>
      <c r="C30" s="114" t="s">
        <v>263</v>
      </c>
      <c r="D30" s="114">
        <v>1.0</v>
      </c>
      <c r="E30" s="14">
        <v>25000.0</v>
      </c>
      <c r="F30" s="14">
        <f t="shared" si="1"/>
        <v>25000</v>
      </c>
      <c r="G30" s="15" t="s">
        <v>10</v>
      </c>
      <c r="H30" s="110"/>
      <c r="I30" s="28"/>
      <c r="J30" s="18"/>
      <c r="K30" s="111"/>
      <c r="L30" s="111"/>
      <c r="M30" s="20"/>
      <c r="N30" s="20"/>
      <c r="O30" s="21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134"/>
      <c r="ED30" s="134"/>
      <c r="EE30" s="134"/>
      <c r="EF30" s="134"/>
      <c r="EG30" s="134"/>
      <c r="EH30" s="134"/>
      <c r="EI30" s="134"/>
      <c r="EJ30" s="134"/>
      <c r="EK30" s="134"/>
      <c r="EL30" s="134"/>
      <c r="EM30" s="134"/>
      <c r="EN30" s="134"/>
      <c r="EO30" s="134"/>
      <c r="EP30" s="134"/>
      <c r="EQ30" s="134"/>
      <c r="ER30" s="134"/>
      <c r="ES30" s="134"/>
      <c r="ET30" s="134"/>
      <c r="EU30" s="134"/>
      <c r="EV30" s="134"/>
      <c r="EW30" s="134"/>
      <c r="EX30" s="134"/>
      <c r="EY30" s="134"/>
      <c r="EZ30" s="134"/>
      <c r="FA30" s="134"/>
      <c r="FB30" s="134"/>
      <c r="FC30" s="134"/>
      <c r="FD30" s="134"/>
      <c r="FE30" s="134"/>
      <c r="FF30" s="134"/>
      <c r="FG30" s="134"/>
      <c r="FH30" s="134"/>
      <c r="FI30" s="134"/>
      <c r="FJ30" s="134"/>
      <c r="FK30" s="134"/>
      <c r="FL30" s="134"/>
      <c r="FM30" s="134"/>
      <c r="FN30" s="134"/>
      <c r="FO30" s="134"/>
      <c r="FP30" s="134"/>
      <c r="FQ30" s="134"/>
      <c r="FR30" s="134"/>
      <c r="FS30" s="134"/>
      <c r="FT30" s="134"/>
      <c r="FU30" s="134"/>
      <c r="FV30" s="134"/>
      <c r="FW30" s="134"/>
      <c r="FX30" s="134"/>
      <c r="FY30" s="134"/>
      <c r="FZ30" s="134"/>
      <c r="GA30" s="134"/>
    </row>
    <row r="31">
      <c r="A31" s="28">
        <v>46185.0</v>
      </c>
      <c r="B31" s="18" t="s">
        <v>17</v>
      </c>
      <c r="C31" s="111" t="s">
        <v>140</v>
      </c>
      <c r="D31" s="111">
        <v>30.0</v>
      </c>
      <c r="E31" s="20">
        <v>25000.0</v>
      </c>
      <c r="F31" s="20">
        <f t="shared" si="1"/>
        <v>750000</v>
      </c>
      <c r="G31" s="21" t="s">
        <v>10</v>
      </c>
      <c r="H31" s="110"/>
      <c r="I31" s="28"/>
      <c r="J31" s="18"/>
      <c r="K31" s="111"/>
      <c r="L31" s="111"/>
      <c r="M31" s="20"/>
      <c r="N31" s="20"/>
      <c r="O31" s="21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</row>
    <row r="32">
      <c r="A32" s="113">
        <v>46185.0</v>
      </c>
      <c r="B32" s="12" t="s">
        <v>17</v>
      </c>
      <c r="C32" s="114" t="s">
        <v>253</v>
      </c>
      <c r="D32" s="114">
        <v>10.0</v>
      </c>
      <c r="E32" s="14">
        <v>25000.0</v>
      </c>
      <c r="F32" s="14">
        <f t="shared" si="1"/>
        <v>250000</v>
      </c>
      <c r="G32" s="15" t="s">
        <v>10</v>
      </c>
      <c r="H32" s="110"/>
      <c r="I32" s="140"/>
      <c r="J32" s="141"/>
      <c r="K32" s="18"/>
      <c r="L32" s="141"/>
      <c r="M32" s="20"/>
      <c r="N32" s="20"/>
      <c r="O32" s="2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</row>
    <row r="33">
      <c r="A33" s="28">
        <v>46185.0</v>
      </c>
      <c r="B33" s="18" t="s">
        <v>17</v>
      </c>
      <c r="C33" s="111" t="s">
        <v>228</v>
      </c>
      <c r="D33" s="111">
        <v>5.0</v>
      </c>
      <c r="E33" s="20">
        <v>25000.0</v>
      </c>
      <c r="F33" s="20">
        <f t="shared" si="1"/>
        <v>125000</v>
      </c>
      <c r="G33" s="21" t="s">
        <v>10</v>
      </c>
      <c r="H33" s="110"/>
      <c r="I33" s="28"/>
      <c r="J33" s="18"/>
      <c r="K33" s="111"/>
      <c r="L33" s="111"/>
      <c r="M33" s="20"/>
      <c r="N33" s="20"/>
      <c r="O33" s="21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</row>
    <row r="34">
      <c r="A34" s="113">
        <v>46186.0</v>
      </c>
      <c r="B34" s="12" t="s">
        <v>17</v>
      </c>
      <c r="C34" s="114" t="s">
        <v>264</v>
      </c>
      <c r="D34" s="114">
        <v>65.0</v>
      </c>
      <c r="E34" s="14">
        <v>25000.0</v>
      </c>
      <c r="F34" s="14">
        <f t="shared" si="1"/>
        <v>1625000</v>
      </c>
      <c r="G34" s="15" t="s">
        <v>10</v>
      </c>
      <c r="H34" s="110"/>
      <c r="I34" s="28"/>
      <c r="J34" s="18"/>
      <c r="K34" s="111"/>
      <c r="L34" s="111"/>
      <c r="M34" s="20"/>
      <c r="N34" s="20"/>
      <c r="O34" s="21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  <c r="FR34" s="134"/>
      <c r="FS34" s="134"/>
      <c r="FT34" s="134"/>
      <c r="FU34" s="134"/>
      <c r="FV34" s="134"/>
      <c r="FW34" s="134"/>
      <c r="FX34" s="134"/>
      <c r="FY34" s="134"/>
      <c r="FZ34" s="134"/>
      <c r="GA34" s="134"/>
    </row>
    <row r="35">
      <c r="A35" s="28">
        <v>46186.0</v>
      </c>
      <c r="B35" s="18" t="s">
        <v>17</v>
      </c>
      <c r="C35" s="111" t="s">
        <v>253</v>
      </c>
      <c r="D35" s="111">
        <v>10.0</v>
      </c>
      <c r="E35" s="20">
        <v>25000.0</v>
      </c>
      <c r="F35" s="20">
        <f t="shared" si="1"/>
        <v>250000</v>
      </c>
      <c r="G35" s="21" t="s">
        <v>10</v>
      </c>
      <c r="H35" s="110"/>
      <c r="I35" s="28"/>
      <c r="J35" s="18"/>
      <c r="K35" s="111"/>
      <c r="L35" s="111"/>
      <c r="M35" s="20"/>
      <c r="N35" s="20"/>
      <c r="O35" s="21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</row>
    <row r="36">
      <c r="A36" s="113">
        <v>46186.0</v>
      </c>
      <c r="B36" s="12" t="s">
        <v>17</v>
      </c>
      <c r="C36" s="114" t="s">
        <v>25</v>
      </c>
      <c r="D36" s="114">
        <v>2.0</v>
      </c>
      <c r="E36" s="14">
        <v>25000.0</v>
      </c>
      <c r="F36" s="14">
        <f t="shared" si="1"/>
        <v>50000</v>
      </c>
      <c r="G36" s="15" t="s">
        <v>10</v>
      </c>
      <c r="H36" s="110"/>
      <c r="I36" s="28"/>
      <c r="J36" s="18"/>
      <c r="K36" s="111"/>
      <c r="L36" s="111"/>
      <c r="M36" s="20"/>
      <c r="N36" s="20"/>
      <c r="O36" s="21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34"/>
      <c r="DZ36" s="134"/>
      <c r="EA36" s="134"/>
      <c r="EB36" s="134"/>
      <c r="EC36" s="134"/>
      <c r="ED36" s="134"/>
      <c r="EE36" s="134"/>
      <c r="EF36" s="134"/>
      <c r="EG36" s="134"/>
      <c r="EH36" s="134"/>
      <c r="EI36" s="134"/>
      <c r="EJ36" s="134"/>
      <c r="EK36" s="134"/>
      <c r="EL36" s="134"/>
      <c r="EM36" s="134"/>
      <c r="EN36" s="134"/>
      <c r="EO36" s="134"/>
      <c r="EP36" s="134"/>
      <c r="EQ36" s="134"/>
      <c r="ER36" s="134"/>
      <c r="ES36" s="134"/>
      <c r="ET36" s="134"/>
      <c r="EU36" s="134"/>
      <c r="EV36" s="134"/>
      <c r="EW36" s="134"/>
      <c r="EX36" s="134"/>
      <c r="EY36" s="134"/>
      <c r="EZ36" s="134"/>
      <c r="FA36" s="134"/>
      <c r="FB36" s="134"/>
      <c r="FC36" s="134"/>
      <c r="FD36" s="134"/>
      <c r="FE36" s="134"/>
      <c r="FF36" s="134"/>
      <c r="FG36" s="134"/>
      <c r="FH36" s="134"/>
      <c r="FI36" s="134"/>
      <c r="FJ36" s="134"/>
      <c r="FK36" s="134"/>
      <c r="FL36" s="134"/>
      <c r="FM36" s="134"/>
      <c r="FN36" s="134"/>
      <c r="FO36" s="134"/>
      <c r="FP36" s="134"/>
      <c r="FQ36" s="134"/>
      <c r="FR36" s="134"/>
      <c r="FS36" s="134"/>
      <c r="FT36" s="134"/>
      <c r="FU36" s="134"/>
      <c r="FV36" s="134"/>
      <c r="FW36" s="134"/>
      <c r="FX36" s="134"/>
      <c r="FY36" s="134"/>
      <c r="FZ36" s="134"/>
      <c r="GA36" s="134"/>
    </row>
    <row r="37">
      <c r="A37" s="115" t="s">
        <v>142</v>
      </c>
      <c r="C37" s="116"/>
      <c r="D37" s="117">
        <f>SUM(D2:D36)</f>
        <v>413</v>
      </c>
      <c r="E37" s="116"/>
      <c r="F37" s="118">
        <f>SUM(F2:F36)</f>
        <v>10325000</v>
      </c>
      <c r="G37" s="119"/>
      <c r="H37" s="110"/>
      <c r="I37" s="28"/>
      <c r="J37" s="18"/>
      <c r="K37" s="111"/>
      <c r="L37" s="111"/>
      <c r="M37" s="20"/>
      <c r="N37" s="20"/>
      <c r="O37" s="21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</row>
    <row r="38">
      <c r="A38" s="110"/>
      <c r="B38" s="28"/>
      <c r="C38" s="18"/>
      <c r="D38" s="111"/>
      <c r="E38" s="111"/>
      <c r="F38" s="20"/>
      <c r="G38" s="110"/>
      <c r="H38" s="28"/>
      <c r="I38" s="18"/>
      <c r="J38" s="111"/>
      <c r="K38" s="111"/>
      <c r="L38" s="20"/>
      <c r="M38" s="20"/>
      <c r="N38" s="20"/>
      <c r="O38" s="21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  <c r="CG38" s="134"/>
      <c r="CH38" s="134"/>
      <c r="CI38" s="134"/>
      <c r="CJ38" s="134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34"/>
      <c r="DZ38" s="134"/>
      <c r="EA38" s="134"/>
      <c r="EB38" s="134"/>
      <c r="EC38" s="134"/>
      <c r="ED38" s="134"/>
      <c r="EE38" s="134"/>
      <c r="EF38" s="134"/>
      <c r="EG38" s="134"/>
      <c r="EH38" s="134"/>
      <c r="EI38" s="134"/>
      <c r="EJ38" s="134"/>
      <c r="EK38" s="134"/>
      <c r="EL38" s="134"/>
      <c r="EM38" s="134"/>
      <c r="EN38" s="134"/>
      <c r="EO38" s="134"/>
      <c r="EP38" s="134"/>
      <c r="EQ38" s="134"/>
      <c r="ER38" s="134"/>
      <c r="ES38" s="134"/>
      <c r="ET38" s="134"/>
      <c r="EU38" s="134"/>
      <c r="EV38" s="134"/>
      <c r="EW38" s="134"/>
      <c r="EX38" s="134"/>
      <c r="EY38" s="134"/>
      <c r="EZ38" s="134"/>
      <c r="FA38" s="134"/>
      <c r="FB38" s="134"/>
      <c r="FC38" s="134"/>
      <c r="FD38" s="134"/>
      <c r="FE38" s="134"/>
      <c r="FF38" s="134"/>
      <c r="FG38" s="134"/>
      <c r="FH38" s="134"/>
      <c r="FI38" s="134"/>
      <c r="FJ38" s="134"/>
      <c r="FK38" s="134"/>
      <c r="FL38" s="134"/>
      <c r="FM38" s="134"/>
      <c r="FN38" s="134"/>
      <c r="FO38" s="134"/>
      <c r="FP38" s="134"/>
      <c r="FQ38" s="134"/>
      <c r="FR38" s="134"/>
      <c r="FS38" s="134"/>
      <c r="FT38" s="134"/>
      <c r="FU38" s="134"/>
      <c r="FV38" s="134"/>
      <c r="FW38" s="134"/>
      <c r="FX38" s="134"/>
      <c r="FY38" s="134"/>
      <c r="FZ38" s="134"/>
      <c r="GA38" s="134"/>
    </row>
    <row r="39">
      <c r="A39" s="110"/>
      <c r="B39" s="28"/>
      <c r="C39" s="18"/>
      <c r="D39" s="111"/>
      <c r="E39" s="111"/>
      <c r="F39" s="20"/>
      <c r="G39" s="110"/>
      <c r="H39" s="28"/>
      <c r="I39" s="18"/>
      <c r="J39" s="111"/>
      <c r="K39" s="111"/>
      <c r="L39" s="20"/>
      <c r="M39" s="20"/>
      <c r="N39" s="20"/>
      <c r="O39" s="21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</row>
    <row r="40">
      <c r="A40" s="110"/>
      <c r="B40" s="28"/>
      <c r="C40" s="18"/>
      <c r="D40" s="111"/>
      <c r="E40" s="111"/>
      <c r="F40" s="20"/>
      <c r="G40" s="110"/>
      <c r="H40" s="28"/>
      <c r="I40" s="18"/>
      <c r="J40" s="111"/>
      <c r="K40" s="111"/>
      <c r="L40" s="20"/>
      <c r="M40" s="20"/>
      <c r="N40" s="20"/>
      <c r="O40" s="21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34"/>
      <c r="DZ40" s="134"/>
      <c r="EA40" s="134"/>
      <c r="EB40" s="134"/>
      <c r="EC40" s="134"/>
      <c r="ED40" s="134"/>
      <c r="EE40" s="134"/>
      <c r="EF40" s="134"/>
      <c r="EG40" s="134"/>
      <c r="EH40" s="134"/>
      <c r="EI40" s="134"/>
      <c r="EJ40" s="134"/>
      <c r="EK40" s="134"/>
      <c r="EL40" s="134"/>
      <c r="EM40" s="134"/>
      <c r="EN40" s="134"/>
      <c r="EO40" s="134"/>
      <c r="EP40" s="134"/>
      <c r="EQ40" s="134"/>
      <c r="ER40" s="134"/>
      <c r="ES40" s="134"/>
      <c r="ET40" s="134"/>
      <c r="EU40" s="134"/>
      <c r="EV40" s="134"/>
      <c r="EW40" s="134"/>
      <c r="EX40" s="134"/>
      <c r="EY40" s="134"/>
      <c r="EZ40" s="134"/>
      <c r="FA40" s="134"/>
      <c r="FB40" s="134"/>
      <c r="FC40" s="134"/>
      <c r="FD40" s="134"/>
      <c r="FE40" s="134"/>
      <c r="FF40" s="134"/>
      <c r="FG40" s="134"/>
      <c r="FH40" s="134"/>
      <c r="FI40" s="134"/>
      <c r="FJ40" s="134"/>
      <c r="FK40" s="134"/>
      <c r="FL40" s="134"/>
      <c r="FM40" s="134"/>
      <c r="FN40" s="134"/>
      <c r="FO40" s="134"/>
      <c r="FP40" s="134"/>
      <c r="FQ40" s="134"/>
      <c r="FR40" s="134"/>
      <c r="FS40" s="134"/>
      <c r="FT40" s="134"/>
      <c r="FU40" s="134"/>
      <c r="FV40" s="134"/>
      <c r="FW40" s="134"/>
      <c r="FX40" s="134"/>
      <c r="FY40" s="134"/>
      <c r="FZ40" s="134"/>
      <c r="GA40" s="134"/>
    </row>
    <row r="41" ht="28.5" customHeight="1">
      <c r="A41" s="105" t="s">
        <v>1</v>
      </c>
      <c r="B41" s="105" t="s">
        <v>2</v>
      </c>
      <c r="C41" s="105" t="s">
        <v>3</v>
      </c>
      <c r="D41" s="106" t="s">
        <v>4</v>
      </c>
      <c r="E41" s="107" t="s">
        <v>5</v>
      </c>
      <c r="F41" s="108" t="s">
        <v>6</v>
      </c>
      <c r="G41" s="105" t="s">
        <v>84</v>
      </c>
      <c r="H41" s="110"/>
      <c r="I41" s="105" t="s">
        <v>1</v>
      </c>
      <c r="J41" s="105" t="s">
        <v>2</v>
      </c>
      <c r="K41" s="105" t="s">
        <v>3</v>
      </c>
      <c r="L41" s="106" t="s">
        <v>4</v>
      </c>
      <c r="M41" s="107" t="s">
        <v>5</v>
      </c>
      <c r="N41" s="108" t="s">
        <v>6</v>
      </c>
      <c r="O41" s="105" t="s">
        <v>84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</row>
    <row r="42">
      <c r="A42" s="113">
        <v>46188.0</v>
      </c>
      <c r="B42" s="12" t="s">
        <v>17</v>
      </c>
      <c r="C42" s="114" t="s">
        <v>140</v>
      </c>
      <c r="D42" s="114">
        <v>50.0</v>
      </c>
      <c r="E42" s="14">
        <v>25000.0</v>
      </c>
      <c r="F42" s="14">
        <f t="shared" ref="F42:F80" si="3">D42*E42</f>
        <v>1250000</v>
      </c>
      <c r="G42" s="15" t="s">
        <v>10</v>
      </c>
      <c r="H42" s="110"/>
      <c r="I42" s="113">
        <v>46188.0</v>
      </c>
      <c r="J42" s="12" t="s">
        <v>17</v>
      </c>
      <c r="K42" s="114" t="s">
        <v>16</v>
      </c>
      <c r="L42" s="114">
        <v>4.44</v>
      </c>
      <c r="M42" s="14">
        <v>25000.0</v>
      </c>
      <c r="N42" s="14">
        <f t="shared" ref="N42:N47" si="4">L42*M42</f>
        <v>111000</v>
      </c>
      <c r="O42" s="15" t="s">
        <v>10</v>
      </c>
      <c r="P42" s="110"/>
      <c r="Q42" s="28"/>
      <c r="R42" s="18"/>
      <c r="S42" s="111"/>
      <c r="T42" s="111"/>
      <c r="U42" s="20"/>
      <c r="V42" s="20"/>
      <c r="W42" s="21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  <c r="CY42" s="134"/>
      <c r="CZ42" s="134"/>
      <c r="DA42" s="134"/>
      <c r="DB42" s="134"/>
      <c r="DC42" s="134"/>
      <c r="DD42" s="134"/>
      <c r="DE42" s="134"/>
      <c r="DF42" s="134"/>
      <c r="DG42" s="134"/>
      <c r="DH42" s="134"/>
      <c r="DI42" s="134"/>
      <c r="DJ42" s="134"/>
      <c r="DK42" s="134"/>
      <c r="DL42" s="134"/>
      <c r="DM42" s="134"/>
      <c r="DN42" s="134"/>
      <c r="DO42" s="134"/>
      <c r="DP42" s="134"/>
      <c r="DQ42" s="134"/>
      <c r="DR42" s="134"/>
      <c r="DS42" s="134"/>
      <c r="DT42" s="134"/>
      <c r="DU42" s="134"/>
      <c r="DV42" s="134"/>
      <c r="DW42" s="134"/>
      <c r="DX42" s="134"/>
      <c r="DY42" s="134"/>
      <c r="DZ42" s="134"/>
      <c r="EA42" s="134"/>
      <c r="EB42" s="134"/>
      <c r="EC42" s="134"/>
      <c r="ED42" s="134"/>
      <c r="EE42" s="134"/>
      <c r="EF42" s="134"/>
      <c r="EG42" s="134"/>
      <c r="EH42" s="134"/>
      <c r="EI42" s="134"/>
      <c r="EJ42" s="134"/>
      <c r="EK42" s="134"/>
      <c r="EL42" s="134"/>
      <c r="EM42" s="134"/>
      <c r="EN42" s="134"/>
      <c r="EO42" s="134"/>
      <c r="EP42" s="134"/>
      <c r="EQ42" s="134"/>
      <c r="ER42" s="134"/>
      <c r="ES42" s="134"/>
      <c r="ET42" s="134"/>
      <c r="EU42" s="134"/>
      <c r="EV42" s="134"/>
      <c r="EW42" s="134"/>
      <c r="EX42" s="134"/>
      <c r="EY42" s="134"/>
      <c r="EZ42" s="134"/>
      <c r="FA42" s="134"/>
      <c r="FB42" s="134"/>
      <c r="FC42" s="134"/>
      <c r="FD42" s="134"/>
      <c r="FE42" s="134"/>
      <c r="FF42" s="134"/>
      <c r="FG42" s="134"/>
      <c r="FH42" s="134"/>
      <c r="FI42" s="134"/>
      <c r="FJ42" s="134"/>
      <c r="FK42" s="134"/>
      <c r="FL42" s="134"/>
      <c r="FM42" s="134"/>
      <c r="FN42" s="134"/>
      <c r="FO42" s="134"/>
      <c r="FP42" s="134"/>
      <c r="FQ42" s="134"/>
      <c r="FR42" s="134"/>
      <c r="FS42" s="134"/>
      <c r="FT42" s="134"/>
      <c r="FU42" s="134"/>
      <c r="FV42" s="134"/>
      <c r="FW42" s="134"/>
      <c r="FX42" s="134"/>
      <c r="FY42" s="134"/>
      <c r="FZ42" s="134"/>
      <c r="GA42" s="134"/>
    </row>
    <row r="43">
      <c r="A43" s="28">
        <v>46188.0</v>
      </c>
      <c r="B43" s="18" t="s">
        <v>17</v>
      </c>
      <c r="C43" s="111" t="s">
        <v>253</v>
      </c>
      <c r="D43" s="111">
        <v>30.0</v>
      </c>
      <c r="E43" s="20">
        <v>25000.0</v>
      </c>
      <c r="F43" s="20">
        <f t="shared" si="3"/>
        <v>750000</v>
      </c>
      <c r="G43" s="21" t="s">
        <v>10</v>
      </c>
      <c r="H43" s="110"/>
      <c r="I43" s="28">
        <v>46189.0</v>
      </c>
      <c r="J43" s="18" t="s">
        <v>17</v>
      </c>
      <c r="K43" s="111" t="s">
        <v>16</v>
      </c>
      <c r="L43" s="111">
        <v>2.1</v>
      </c>
      <c r="M43" s="20">
        <v>25000.0</v>
      </c>
      <c r="N43" s="20">
        <f t="shared" si="4"/>
        <v>52500</v>
      </c>
      <c r="O43" s="21" t="s">
        <v>10</v>
      </c>
      <c r="P43" s="110"/>
      <c r="Q43" s="28"/>
      <c r="R43" s="18"/>
      <c r="S43" s="111"/>
      <c r="T43" s="111"/>
      <c r="U43" s="20"/>
      <c r="V43" s="20"/>
      <c r="W43" s="21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</row>
    <row r="44">
      <c r="A44" s="113">
        <v>46188.0</v>
      </c>
      <c r="B44" s="12" t="s">
        <v>17</v>
      </c>
      <c r="C44" s="114" t="s">
        <v>25</v>
      </c>
      <c r="D44" s="114">
        <v>2.0</v>
      </c>
      <c r="E44" s="14">
        <v>25000.0</v>
      </c>
      <c r="F44" s="14">
        <f t="shared" si="3"/>
        <v>50000</v>
      </c>
      <c r="G44" s="15" t="s">
        <v>10</v>
      </c>
      <c r="H44" s="110"/>
      <c r="I44" s="113">
        <v>46190.0</v>
      </c>
      <c r="J44" s="12" t="s">
        <v>17</v>
      </c>
      <c r="K44" s="114" t="s">
        <v>16</v>
      </c>
      <c r="L44" s="114">
        <v>2.23</v>
      </c>
      <c r="M44" s="14">
        <v>25000.0</v>
      </c>
      <c r="N44" s="14">
        <f t="shared" si="4"/>
        <v>55750</v>
      </c>
      <c r="O44" s="15" t="s">
        <v>10</v>
      </c>
      <c r="P44" s="110"/>
      <c r="Q44" s="28"/>
      <c r="R44" s="18"/>
      <c r="S44" s="111"/>
      <c r="T44" s="111"/>
      <c r="U44" s="20"/>
      <c r="V44" s="20"/>
      <c r="W44" s="21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  <c r="CY44" s="134"/>
      <c r="CZ44" s="134"/>
      <c r="DA44" s="134"/>
      <c r="DB44" s="134"/>
      <c r="DC44" s="134"/>
      <c r="DD44" s="134"/>
      <c r="DE44" s="134"/>
      <c r="DF44" s="134"/>
      <c r="DG44" s="134"/>
      <c r="DH44" s="134"/>
      <c r="DI44" s="134"/>
      <c r="DJ44" s="134"/>
      <c r="DK44" s="134"/>
      <c r="DL44" s="134"/>
      <c r="DM44" s="134"/>
      <c r="DN44" s="134"/>
      <c r="DO44" s="134"/>
      <c r="DP44" s="134"/>
      <c r="DQ44" s="134"/>
      <c r="DR44" s="134"/>
      <c r="DS44" s="134"/>
      <c r="DT44" s="134"/>
      <c r="DU44" s="134"/>
      <c r="DV44" s="134"/>
      <c r="DW44" s="134"/>
      <c r="DX44" s="134"/>
      <c r="DY44" s="134"/>
      <c r="DZ44" s="134"/>
      <c r="EA44" s="134"/>
      <c r="EB44" s="134"/>
      <c r="EC44" s="134"/>
      <c r="ED44" s="134"/>
      <c r="EE44" s="134"/>
      <c r="EF44" s="134"/>
      <c r="EG44" s="134"/>
      <c r="EH44" s="134"/>
      <c r="EI44" s="134"/>
      <c r="EJ44" s="134"/>
      <c r="EK44" s="134"/>
      <c r="EL44" s="134"/>
      <c r="EM44" s="134"/>
      <c r="EN44" s="134"/>
      <c r="EO44" s="134"/>
      <c r="EP44" s="134"/>
      <c r="EQ44" s="134"/>
      <c r="ER44" s="134"/>
      <c r="ES44" s="134"/>
      <c r="ET44" s="134"/>
      <c r="EU44" s="134"/>
      <c r="EV44" s="134"/>
      <c r="EW44" s="134"/>
      <c r="EX44" s="134"/>
      <c r="EY44" s="134"/>
      <c r="EZ44" s="134"/>
      <c r="FA44" s="134"/>
      <c r="FB44" s="134"/>
      <c r="FC44" s="134"/>
      <c r="FD44" s="134"/>
      <c r="FE44" s="134"/>
      <c r="FF44" s="134"/>
      <c r="FG44" s="134"/>
      <c r="FH44" s="134"/>
      <c r="FI44" s="134"/>
      <c r="FJ44" s="134"/>
      <c r="FK44" s="134"/>
      <c r="FL44" s="134"/>
      <c r="FM44" s="134"/>
      <c r="FN44" s="134"/>
      <c r="FO44" s="134"/>
      <c r="FP44" s="134"/>
      <c r="FQ44" s="134"/>
      <c r="FR44" s="134"/>
      <c r="FS44" s="134"/>
      <c r="FT44" s="134"/>
      <c r="FU44" s="134"/>
      <c r="FV44" s="134"/>
      <c r="FW44" s="134"/>
      <c r="FX44" s="134"/>
      <c r="FY44" s="134"/>
      <c r="FZ44" s="134"/>
      <c r="GA44" s="134"/>
    </row>
    <row r="45">
      <c r="A45" s="28">
        <v>46188.0</v>
      </c>
      <c r="B45" s="18" t="s">
        <v>17</v>
      </c>
      <c r="C45" s="111" t="s">
        <v>265</v>
      </c>
      <c r="D45" s="111">
        <v>1.0</v>
      </c>
      <c r="E45" s="20">
        <v>25000.0</v>
      </c>
      <c r="F45" s="20">
        <f t="shared" si="3"/>
        <v>25000</v>
      </c>
      <c r="G45" s="21" t="s">
        <v>10</v>
      </c>
      <c r="H45" s="110"/>
      <c r="I45" s="28">
        <v>46191.0</v>
      </c>
      <c r="J45" s="18" t="s">
        <v>17</v>
      </c>
      <c r="K45" s="111" t="s">
        <v>16</v>
      </c>
      <c r="L45" s="111">
        <v>2.0</v>
      </c>
      <c r="M45" s="20">
        <v>25000.0</v>
      </c>
      <c r="N45" s="20">
        <f t="shared" si="4"/>
        <v>50000</v>
      </c>
      <c r="O45" s="21" t="s">
        <v>10</v>
      </c>
      <c r="P45" s="16"/>
      <c r="Q45" s="28"/>
      <c r="R45" s="18"/>
      <c r="S45" s="111"/>
      <c r="T45" s="111"/>
      <c r="U45" s="20"/>
      <c r="V45" s="20"/>
      <c r="W45" s="21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</row>
    <row r="46">
      <c r="A46" s="113">
        <v>46188.0</v>
      </c>
      <c r="B46" s="12" t="s">
        <v>17</v>
      </c>
      <c r="C46" s="114" t="s">
        <v>67</v>
      </c>
      <c r="D46" s="114">
        <v>1.0</v>
      </c>
      <c r="E46" s="14">
        <v>25000.0</v>
      </c>
      <c r="F46" s="14">
        <f t="shared" si="3"/>
        <v>25000</v>
      </c>
      <c r="G46" s="15" t="s">
        <v>10</v>
      </c>
      <c r="H46" s="110"/>
      <c r="I46" s="113">
        <v>46192.0</v>
      </c>
      <c r="J46" s="12" t="s">
        <v>17</v>
      </c>
      <c r="K46" s="114" t="s">
        <v>16</v>
      </c>
      <c r="L46" s="114">
        <v>1.3</v>
      </c>
      <c r="M46" s="14">
        <v>25000.0</v>
      </c>
      <c r="N46" s="14">
        <f t="shared" si="4"/>
        <v>32500</v>
      </c>
      <c r="O46" s="15" t="s">
        <v>10</v>
      </c>
      <c r="P46" s="16"/>
      <c r="Q46" s="28"/>
      <c r="R46" s="18"/>
      <c r="S46" s="111"/>
      <c r="T46" s="111"/>
      <c r="U46" s="20"/>
      <c r="V46" s="20"/>
      <c r="W46" s="21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34"/>
      <c r="DZ46" s="134"/>
      <c r="EA46" s="134"/>
      <c r="EB46" s="134"/>
      <c r="EC46" s="134"/>
      <c r="ED46" s="134"/>
      <c r="EE46" s="134"/>
      <c r="EF46" s="134"/>
      <c r="EG46" s="134"/>
      <c r="EH46" s="134"/>
      <c r="EI46" s="134"/>
      <c r="EJ46" s="134"/>
      <c r="EK46" s="134"/>
      <c r="EL46" s="134"/>
      <c r="EM46" s="134"/>
      <c r="EN46" s="134"/>
      <c r="EO46" s="134"/>
      <c r="EP46" s="134"/>
      <c r="EQ46" s="134"/>
      <c r="ER46" s="134"/>
      <c r="ES46" s="134"/>
      <c r="ET46" s="134"/>
      <c r="EU46" s="134"/>
      <c r="EV46" s="134"/>
      <c r="EW46" s="134"/>
      <c r="EX46" s="134"/>
      <c r="EY46" s="134"/>
      <c r="EZ46" s="134"/>
      <c r="FA46" s="134"/>
      <c r="FB46" s="134"/>
      <c r="FC46" s="134"/>
      <c r="FD46" s="134"/>
      <c r="FE46" s="134"/>
      <c r="FF46" s="134"/>
      <c r="FG46" s="134"/>
      <c r="FH46" s="134"/>
      <c r="FI46" s="134"/>
      <c r="FJ46" s="134"/>
      <c r="FK46" s="134"/>
      <c r="FL46" s="134"/>
      <c r="FM46" s="134"/>
      <c r="FN46" s="134"/>
      <c r="FO46" s="134"/>
      <c r="FP46" s="134"/>
      <c r="FQ46" s="134"/>
      <c r="FR46" s="134"/>
      <c r="FS46" s="134"/>
      <c r="FT46" s="134"/>
      <c r="FU46" s="134"/>
      <c r="FV46" s="134"/>
      <c r="FW46" s="134"/>
      <c r="FX46" s="134"/>
      <c r="FY46" s="134"/>
      <c r="FZ46" s="134"/>
      <c r="GA46" s="134"/>
    </row>
    <row r="47">
      <c r="A47" s="28">
        <v>46189.0</v>
      </c>
      <c r="B47" s="18" t="s">
        <v>17</v>
      </c>
      <c r="C47" s="111" t="s">
        <v>140</v>
      </c>
      <c r="D47" s="111">
        <v>15.0</v>
      </c>
      <c r="E47" s="20">
        <v>25000.0</v>
      </c>
      <c r="F47" s="20">
        <f t="shared" si="3"/>
        <v>375000</v>
      </c>
      <c r="G47" s="21" t="s">
        <v>10</v>
      </c>
      <c r="H47" s="110"/>
      <c r="I47" s="28">
        <v>46193.0</v>
      </c>
      <c r="J47" s="18" t="s">
        <v>17</v>
      </c>
      <c r="K47" s="111" t="s">
        <v>16</v>
      </c>
      <c r="L47" s="111">
        <v>1.0</v>
      </c>
      <c r="M47" s="20">
        <v>25000.0</v>
      </c>
      <c r="N47" s="20">
        <f t="shared" si="4"/>
        <v>25000</v>
      </c>
      <c r="O47" s="21" t="s">
        <v>10</v>
      </c>
      <c r="P47" s="16"/>
      <c r="Q47" s="28"/>
      <c r="R47" s="18"/>
      <c r="S47" s="111"/>
      <c r="T47" s="111"/>
      <c r="U47" s="20"/>
      <c r="V47" s="20"/>
      <c r="W47" s="21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</row>
    <row r="48">
      <c r="A48" s="113">
        <v>46189.0</v>
      </c>
      <c r="B48" s="12" t="s">
        <v>17</v>
      </c>
      <c r="C48" s="114" t="s">
        <v>253</v>
      </c>
      <c r="D48" s="114">
        <v>50.0</v>
      </c>
      <c r="E48" s="14">
        <v>25000.0</v>
      </c>
      <c r="F48" s="14">
        <f t="shared" si="3"/>
        <v>1250000</v>
      </c>
      <c r="G48" s="15" t="s">
        <v>10</v>
      </c>
      <c r="H48" s="110"/>
      <c r="I48" s="115" t="s">
        <v>142</v>
      </c>
      <c r="K48" s="116"/>
      <c r="L48" s="117">
        <f>SUM(L42:L47)</f>
        <v>13.07</v>
      </c>
      <c r="M48" s="116"/>
      <c r="N48" s="118">
        <f>SUM(N42:N47)</f>
        <v>326750</v>
      </c>
      <c r="O48" s="119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34"/>
      <c r="DZ48" s="134"/>
      <c r="EA48" s="134"/>
      <c r="EB48" s="134"/>
      <c r="EC48" s="134"/>
      <c r="ED48" s="134"/>
      <c r="EE48" s="134"/>
      <c r="EF48" s="134"/>
      <c r="EG48" s="134"/>
      <c r="EH48" s="134"/>
      <c r="EI48" s="134"/>
      <c r="EJ48" s="134"/>
      <c r="EK48" s="134"/>
      <c r="EL48" s="134"/>
      <c r="EM48" s="134"/>
      <c r="EN48" s="134"/>
      <c r="EO48" s="134"/>
      <c r="EP48" s="134"/>
      <c r="EQ48" s="134"/>
      <c r="ER48" s="134"/>
      <c r="ES48" s="134"/>
      <c r="ET48" s="134"/>
      <c r="EU48" s="134"/>
      <c r="EV48" s="134"/>
      <c r="EW48" s="134"/>
      <c r="EX48" s="134"/>
      <c r="EY48" s="134"/>
      <c r="EZ48" s="134"/>
      <c r="FA48" s="134"/>
      <c r="FB48" s="134"/>
      <c r="FC48" s="134"/>
      <c r="FD48" s="134"/>
      <c r="FE48" s="134"/>
      <c r="FF48" s="134"/>
      <c r="FG48" s="134"/>
      <c r="FH48" s="134"/>
      <c r="FI48" s="134"/>
      <c r="FJ48" s="134"/>
      <c r="FK48" s="134"/>
      <c r="FL48" s="134"/>
      <c r="FM48" s="134"/>
      <c r="FN48" s="134"/>
      <c r="FO48" s="134"/>
      <c r="FP48" s="134"/>
      <c r="FQ48" s="134"/>
      <c r="FR48" s="134"/>
      <c r="FS48" s="134"/>
      <c r="FT48" s="134"/>
      <c r="FU48" s="134"/>
      <c r="FV48" s="134"/>
      <c r="FW48" s="134"/>
      <c r="FX48" s="134"/>
      <c r="FY48" s="134"/>
      <c r="FZ48" s="134"/>
      <c r="GA48" s="134"/>
    </row>
    <row r="49">
      <c r="A49" s="28">
        <v>46189.0</v>
      </c>
      <c r="B49" s="18" t="s">
        <v>17</v>
      </c>
      <c r="C49" s="111" t="s">
        <v>250</v>
      </c>
      <c r="D49" s="111">
        <v>1.0</v>
      </c>
      <c r="E49" s="20">
        <v>25000.0</v>
      </c>
      <c r="F49" s="20">
        <f t="shared" si="3"/>
        <v>25000</v>
      </c>
      <c r="G49" s="21" t="s">
        <v>10</v>
      </c>
      <c r="H49" s="110"/>
      <c r="I49" s="145"/>
      <c r="J49" s="146"/>
      <c r="K49" s="147"/>
      <c r="L49" s="147">
        <f>SUM(L48,D81)</f>
        <v>301.07</v>
      </c>
      <c r="M49" s="148"/>
      <c r="N49" s="247">
        <f>SUM(N48,F81)</f>
        <v>7526750</v>
      </c>
      <c r="O49" s="248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</row>
    <row r="50">
      <c r="A50" s="113">
        <v>46189.0</v>
      </c>
      <c r="B50" s="12" t="s">
        <v>17</v>
      </c>
      <c r="C50" s="114" t="s">
        <v>266</v>
      </c>
      <c r="D50" s="114">
        <v>1.0</v>
      </c>
      <c r="E50" s="14">
        <v>25000.0</v>
      </c>
      <c r="F50" s="14">
        <f t="shared" si="3"/>
        <v>25000</v>
      </c>
      <c r="G50" s="15" t="s">
        <v>10</v>
      </c>
      <c r="H50" s="110"/>
      <c r="I50" s="28"/>
      <c r="J50" s="18"/>
      <c r="K50" s="111"/>
      <c r="L50" s="111"/>
      <c r="M50" s="20"/>
      <c r="N50" s="20"/>
      <c r="O50" s="21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34"/>
      <c r="DZ50" s="134"/>
      <c r="EA50" s="134"/>
      <c r="EB50" s="134"/>
      <c r="EC50" s="134"/>
      <c r="ED50" s="134"/>
      <c r="EE50" s="134"/>
      <c r="EF50" s="134"/>
      <c r="EG50" s="134"/>
      <c r="EH50" s="134"/>
      <c r="EI50" s="134"/>
      <c r="EJ50" s="134"/>
      <c r="EK50" s="134"/>
      <c r="EL50" s="134"/>
      <c r="EM50" s="134"/>
      <c r="EN50" s="134"/>
      <c r="EO50" s="134"/>
      <c r="EP50" s="134"/>
      <c r="EQ50" s="134"/>
      <c r="ER50" s="134"/>
      <c r="ES50" s="134"/>
      <c r="ET50" s="134"/>
      <c r="EU50" s="134"/>
      <c r="EV50" s="134"/>
      <c r="EW50" s="134"/>
      <c r="EX50" s="134"/>
      <c r="EY50" s="134"/>
      <c r="EZ50" s="134"/>
      <c r="FA50" s="134"/>
      <c r="FB50" s="134"/>
      <c r="FC50" s="134"/>
      <c r="FD50" s="134"/>
      <c r="FE50" s="134"/>
      <c r="FF50" s="134"/>
      <c r="FG50" s="134"/>
      <c r="FH50" s="134"/>
      <c r="FI50" s="134"/>
      <c r="FJ50" s="134"/>
      <c r="FK50" s="134"/>
      <c r="FL50" s="134"/>
      <c r="FM50" s="134"/>
      <c r="FN50" s="134"/>
      <c r="FO50" s="134"/>
      <c r="FP50" s="134"/>
      <c r="FQ50" s="134"/>
      <c r="FR50" s="134"/>
      <c r="FS50" s="134"/>
      <c r="FT50" s="134"/>
      <c r="FU50" s="134"/>
      <c r="FV50" s="134"/>
      <c r="FW50" s="134"/>
      <c r="FX50" s="134"/>
      <c r="FY50" s="134"/>
      <c r="FZ50" s="134"/>
      <c r="GA50" s="134"/>
    </row>
    <row r="51">
      <c r="A51" s="28">
        <v>46189.0</v>
      </c>
      <c r="B51" s="18" t="s">
        <v>17</v>
      </c>
      <c r="C51" s="111" t="s">
        <v>259</v>
      </c>
      <c r="D51" s="111">
        <v>1.0</v>
      </c>
      <c r="E51" s="20">
        <v>25000.0</v>
      </c>
      <c r="F51" s="20">
        <f t="shared" si="3"/>
        <v>25000</v>
      </c>
      <c r="G51" s="21" t="s">
        <v>10</v>
      </c>
      <c r="H51" s="110"/>
      <c r="I51" s="28"/>
      <c r="J51" s="18"/>
      <c r="K51" s="111"/>
      <c r="L51" s="111"/>
      <c r="M51" s="20"/>
      <c r="N51" s="20"/>
      <c r="O51" s="21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</row>
    <row r="52">
      <c r="A52" s="113">
        <v>46189.0</v>
      </c>
      <c r="B52" s="12" t="s">
        <v>17</v>
      </c>
      <c r="C52" s="114" t="s">
        <v>25</v>
      </c>
      <c r="D52" s="114">
        <v>2.0</v>
      </c>
      <c r="E52" s="14">
        <v>25000.0</v>
      </c>
      <c r="F52" s="14">
        <f t="shared" si="3"/>
        <v>50000</v>
      </c>
      <c r="G52" s="15" t="s">
        <v>10</v>
      </c>
      <c r="H52" s="110"/>
      <c r="I52" s="28"/>
      <c r="J52" s="18"/>
      <c r="K52" s="111"/>
      <c r="L52" s="111"/>
      <c r="M52" s="20"/>
      <c r="N52" s="20"/>
      <c r="O52" s="21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34"/>
      <c r="DZ52" s="134"/>
      <c r="EA52" s="134"/>
      <c r="EB52" s="134"/>
      <c r="EC52" s="134"/>
      <c r="ED52" s="134"/>
      <c r="EE52" s="134"/>
      <c r="EF52" s="134"/>
      <c r="EG52" s="134"/>
      <c r="EH52" s="134"/>
      <c r="EI52" s="134"/>
      <c r="EJ52" s="134"/>
      <c r="EK52" s="134"/>
      <c r="EL52" s="134"/>
      <c r="EM52" s="134"/>
      <c r="EN52" s="134"/>
      <c r="EO52" s="134"/>
      <c r="EP52" s="134"/>
      <c r="EQ52" s="134"/>
      <c r="ER52" s="134"/>
      <c r="ES52" s="134"/>
      <c r="ET52" s="134"/>
      <c r="EU52" s="134"/>
      <c r="EV52" s="134"/>
      <c r="EW52" s="134"/>
      <c r="EX52" s="134"/>
      <c r="EY52" s="134"/>
      <c r="EZ52" s="134"/>
      <c r="FA52" s="134"/>
      <c r="FB52" s="134"/>
      <c r="FC52" s="134"/>
      <c r="FD52" s="134"/>
      <c r="FE52" s="134"/>
      <c r="FF52" s="134"/>
      <c r="FG52" s="134"/>
      <c r="FH52" s="134"/>
      <c r="FI52" s="134"/>
      <c r="FJ52" s="134"/>
      <c r="FK52" s="134"/>
      <c r="FL52" s="134"/>
      <c r="FM52" s="134"/>
      <c r="FN52" s="134"/>
      <c r="FO52" s="134"/>
      <c r="FP52" s="134"/>
      <c r="FQ52" s="134"/>
      <c r="FR52" s="134"/>
      <c r="FS52" s="134"/>
      <c r="FT52" s="134"/>
      <c r="FU52" s="134"/>
      <c r="FV52" s="134"/>
      <c r="FW52" s="134"/>
      <c r="FX52" s="134"/>
      <c r="FY52" s="134"/>
      <c r="FZ52" s="134"/>
      <c r="GA52" s="134"/>
    </row>
    <row r="53">
      <c r="A53" s="28">
        <v>46189.0</v>
      </c>
      <c r="B53" s="18" t="s">
        <v>17</v>
      </c>
      <c r="C53" s="111" t="s">
        <v>67</v>
      </c>
      <c r="D53" s="111">
        <v>1.0</v>
      </c>
      <c r="E53" s="20">
        <v>25000.0</v>
      </c>
      <c r="F53" s="20">
        <f t="shared" si="3"/>
        <v>25000</v>
      </c>
      <c r="G53" s="21" t="s">
        <v>10</v>
      </c>
      <c r="H53" s="110"/>
      <c r="I53" s="28"/>
      <c r="J53" s="18"/>
      <c r="K53" s="111"/>
      <c r="L53" s="111"/>
      <c r="M53" s="20"/>
      <c r="N53" s="20"/>
      <c r="O53" s="21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</row>
    <row r="54">
      <c r="A54" s="113">
        <v>46189.0</v>
      </c>
      <c r="B54" s="12" t="s">
        <v>17</v>
      </c>
      <c r="C54" s="114" t="s">
        <v>267</v>
      </c>
      <c r="D54" s="114">
        <v>1.0</v>
      </c>
      <c r="E54" s="14">
        <v>25000.0</v>
      </c>
      <c r="F54" s="14">
        <f t="shared" si="3"/>
        <v>25000</v>
      </c>
      <c r="G54" s="15" t="s">
        <v>10</v>
      </c>
      <c r="H54" s="110"/>
      <c r="I54" s="28"/>
      <c r="J54" s="18"/>
      <c r="K54" s="111"/>
      <c r="L54" s="111"/>
      <c r="M54" s="20"/>
      <c r="N54" s="20"/>
      <c r="O54" s="21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34"/>
      <c r="EC54" s="134"/>
      <c r="ED54" s="134"/>
      <c r="EE54" s="134"/>
      <c r="EF54" s="134"/>
      <c r="EG54" s="134"/>
      <c r="EH54" s="134"/>
      <c r="EI54" s="134"/>
      <c r="EJ54" s="134"/>
      <c r="EK54" s="134"/>
      <c r="EL54" s="134"/>
      <c r="EM54" s="134"/>
      <c r="EN54" s="134"/>
      <c r="EO54" s="134"/>
      <c r="EP54" s="134"/>
      <c r="EQ54" s="134"/>
      <c r="ER54" s="134"/>
      <c r="ES54" s="134"/>
      <c r="ET54" s="134"/>
      <c r="EU54" s="134"/>
      <c r="EV54" s="134"/>
      <c r="EW54" s="134"/>
      <c r="EX54" s="134"/>
      <c r="EY54" s="134"/>
      <c r="EZ54" s="134"/>
      <c r="FA54" s="134"/>
      <c r="FB54" s="134"/>
      <c r="FC54" s="134"/>
      <c r="FD54" s="134"/>
      <c r="FE54" s="134"/>
      <c r="FF54" s="134"/>
      <c r="FG54" s="134"/>
      <c r="FH54" s="134"/>
      <c r="FI54" s="134"/>
      <c r="FJ54" s="134"/>
      <c r="FK54" s="134"/>
      <c r="FL54" s="134"/>
      <c r="FM54" s="134"/>
      <c r="FN54" s="134"/>
      <c r="FO54" s="134"/>
      <c r="FP54" s="134"/>
      <c r="FQ54" s="134"/>
      <c r="FR54" s="134"/>
      <c r="FS54" s="134"/>
      <c r="FT54" s="134"/>
      <c r="FU54" s="134"/>
      <c r="FV54" s="134"/>
      <c r="FW54" s="134"/>
      <c r="FX54" s="134"/>
      <c r="FY54" s="134"/>
      <c r="FZ54" s="134"/>
      <c r="GA54" s="134"/>
    </row>
    <row r="55">
      <c r="A55" s="28">
        <v>46190.0</v>
      </c>
      <c r="B55" s="18" t="s">
        <v>17</v>
      </c>
      <c r="C55" s="111" t="s">
        <v>140</v>
      </c>
      <c r="D55" s="111">
        <v>15.0</v>
      </c>
      <c r="E55" s="20">
        <v>25000.0</v>
      </c>
      <c r="F55" s="20">
        <f t="shared" si="3"/>
        <v>375000</v>
      </c>
      <c r="G55" s="21" t="s">
        <v>10</v>
      </c>
      <c r="H55" s="110"/>
      <c r="I55" s="28"/>
      <c r="J55" s="18"/>
      <c r="K55" s="111"/>
      <c r="L55" s="111"/>
      <c r="M55" s="20"/>
      <c r="N55" s="20"/>
      <c r="O55" s="21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</row>
    <row r="56">
      <c r="A56" s="113">
        <v>46190.0</v>
      </c>
      <c r="B56" s="12" t="s">
        <v>17</v>
      </c>
      <c r="C56" s="114" t="s">
        <v>253</v>
      </c>
      <c r="D56" s="114">
        <v>20.0</v>
      </c>
      <c r="E56" s="14">
        <v>25000.0</v>
      </c>
      <c r="F56" s="14">
        <f t="shared" si="3"/>
        <v>500000</v>
      </c>
      <c r="G56" s="15" t="s">
        <v>10</v>
      </c>
      <c r="H56" s="110"/>
      <c r="I56" s="28"/>
      <c r="J56" s="18"/>
      <c r="K56" s="111"/>
      <c r="L56" s="111"/>
      <c r="M56" s="20"/>
      <c r="N56" s="20"/>
      <c r="O56" s="21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34"/>
      <c r="DZ56" s="134"/>
      <c r="EA56" s="134"/>
      <c r="EB56" s="134"/>
      <c r="EC56" s="134"/>
      <c r="ED56" s="134"/>
      <c r="EE56" s="134"/>
      <c r="EF56" s="134"/>
      <c r="EG56" s="134"/>
      <c r="EH56" s="134"/>
      <c r="EI56" s="134"/>
      <c r="EJ56" s="134"/>
      <c r="EK56" s="134"/>
      <c r="EL56" s="134"/>
      <c r="EM56" s="134"/>
      <c r="EN56" s="134"/>
      <c r="EO56" s="134"/>
      <c r="EP56" s="134"/>
      <c r="EQ56" s="134"/>
      <c r="ER56" s="134"/>
      <c r="ES56" s="134"/>
      <c r="ET56" s="134"/>
      <c r="EU56" s="134"/>
      <c r="EV56" s="134"/>
      <c r="EW56" s="134"/>
      <c r="EX56" s="134"/>
      <c r="EY56" s="134"/>
      <c r="EZ56" s="134"/>
      <c r="FA56" s="134"/>
      <c r="FB56" s="134"/>
      <c r="FC56" s="134"/>
      <c r="FD56" s="134"/>
      <c r="FE56" s="134"/>
      <c r="FF56" s="134"/>
      <c r="FG56" s="134"/>
      <c r="FH56" s="134"/>
      <c r="FI56" s="134"/>
      <c r="FJ56" s="134"/>
      <c r="FK56" s="134"/>
      <c r="FL56" s="134"/>
      <c r="FM56" s="134"/>
      <c r="FN56" s="134"/>
      <c r="FO56" s="134"/>
      <c r="FP56" s="134"/>
      <c r="FQ56" s="134"/>
      <c r="FR56" s="134"/>
      <c r="FS56" s="134"/>
      <c r="FT56" s="134"/>
      <c r="FU56" s="134"/>
      <c r="FV56" s="134"/>
      <c r="FW56" s="134"/>
      <c r="FX56" s="134"/>
      <c r="FY56" s="134"/>
      <c r="FZ56" s="134"/>
      <c r="GA56" s="134"/>
    </row>
    <row r="57">
      <c r="A57" s="28">
        <v>46190.0</v>
      </c>
      <c r="B57" s="18" t="s">
        <v>17</v>
      </c>
      <c r="C57" s="111" t="s">
        <v>256</v>
      </c>
      <c r="D57" s="111">
        <v>1.0</v>
      </c>
      <c r="E57" s="20">
        <v>25000.0</v>
      </c>
      <c r="F57" s="20">
        <f t="shared" si="3"/>
        <v>25000</v>
      </c>
      <c r="G57" s="21" t="s">
        <v>10</v>
      </c>
      <c r="H57" s="110"/>
      <c r="I57" s="28"/>
      <c r="J57" s="18"/>
      <c r="K57" s="111"/>
      <c r="L57" s="111"/>
      <c r="M57" s="20"/>
      <c r="N57" s="20"/>
      <c r="O57" s="21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</row>
    <row r="58">
      <c r="A58" s="113">
        <v>46190.0</v>
      </c>
      <c r="B58" s="12" t="s">
        <v>17</v>
      </c>
      <c r="C58" s="114" t="s">
        <v>67</v>
      </c>
      <c r="D58" s="114">
        <v>1.0</v>
      </c>
      <c r="E58" s="14">
        <v>25000.0</v>
      </c>
      <c r="F58" s="14">
        <f t="shared" si="3"/>
        <v>25000</v>
      </c>
      <c r="G58" s="15" t="s">
        <v>10</v>
      </c>
      <c r="H58" s="110"/>
      <c r="I58" s="28"/>
      <c r="J58" s="18"/>
      <c r="K58" s="111"/>
      <c r="L58" s="111"/>
      <c r="M58" s="20"/>
      <c r="N58" s="20"/>
      <c r="O58" s="21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34"/>
      <c r="DZ58" s="134"/>
      <c r="EA58" s="134"/>
      <c r="EB58" s="134"/>
      <c r="EC58" s="134"/>
      <c r="ED58" s="134"/>
      <c r="EE58" s="134"/>
      <c r="EF58" s="134"/>
      <c r="EG58" s="134"/>
      <c r="EH58" s="134"/>
      <c r="EI58" s="134"/>
      <c r="EJ58" s="134"/>
      <c r="EK58" s="134"/>
      <c r="EL58" s="134"/>
      <c r="EM58" s="134"/>
      <c r="EN58" s="134"/>
      <c r="EO58" s="134"/>
      <c r="EP58" s="134"/>
      <c r="EQ58" s="134"/>
      <c r="ER58" s="134"/>
      <c r="ES58" s="134"/>
      <c r="ET58" s="134"/>
      <c r="EU58" s="134"/>
      <c r="EV58" s="134"/>
      <c r="EW58" s="134"/>
      <c r="EX58" s="134"/>
      <c r="EY58" s="134"/>
      <c r="EZ58" s="134"/>
      <c r="FA58" s="134"/>
      <c r="FB58" s="134"/>
      <c r="FC58" s="134"/>
      <c r="FD58" s="134"/>
      <c r="FE58" s="134"/>
      <c r="FF58" s="134"/>
      <c r="FG58" s="134"/>
      <c r="FH58" s="134"/>
      <c r="FI58" s="134"/>
      <c r="FJ58" s="134"/>
      <c r="FK58" s="134"/>
      <c r="FL58" s="134"/>
      <c r="FM58" s="134"/>
      <c r="FN58" s="134"/>
      <c r="FO58" s="134"/>
      <c r="FP58" s="134"/>
      <c r="FQ58" s="134"/>
      <c r="FR58" s="134"/>
      <c r="FS58" s="134"/>
      <c r="FT58" s="134"/>
      <c r="FU58" s="134"/>
      <c r="FV58" s="134"/>
      <c r="FW58" s="134"/>
      <c r="FX58" s="134"/>
      <c r="FY58" s="134"/>
      <c r="FZ58" s="134"/>
      <c r="GA58" s="134"/>
    </row>
    <row r="59">
      <c r="A59" s="28">
        <v>46190.0</v>
      </c>
      <c r="B59" s="18" t="s">
        <v>17</v>
      </c>
      <c r="C59" s="111" t="s">
        <v>25</v>
      </c>
      <c r="D59" s="111">
        <v>1.0</v>
      </c>
      <c r="E59" s="20">
        <v>25000.0</v>
      </c>
      <c r="F59" s="20">
        <f t="shared" si="3"/>
        <v>25000</v>
      </c>
      <c r="G59" s="21" t="s">
        <v>10</v>
      </c>
      <c r="H59" s="110"/>
      <c r="I59" s="28"/>
      <c r="J59" s="18"/>
      <c r="K59" s="111"/>
      <c r="L59" s="111"/>
      <c r="M59" s="20"/>
      <c r="N59" s="20"/>
      <c r="O59" s="21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</row>
    <row r="60">
      <c r="A60" s="113">
        <v>46190.0</v>
      </c>
      <c r="B60" s="12" t="s">
        <v>17</v>
      </c>
      <c r="C60" s="114" t="s">
        <v>268</v>
      </c>
      <c r="D60" s="114">
        <v>1.0</v>
      </c>
      <c r="E60" s="14">
        <v>25000.0</v>
      </c>
      <c r="F60" s="14">
        <f t="shared" si="3"/>
        <v>25000</v>
      </c>
      <c r="G60" s="15" t="s">
        <v>10</v>
      </c>
      <c r="H60" s="110"/>
      <c r="I60" s="28"/>
      <c r="J60" s="18"/>
      <c r="K60" s="111"/>
      <c r="L60" s="111"/>
      <c r="M60" s="20"/>
      <c r="N60" s="20"/>
      <c r="O60" s="21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  <c r="CY60" s="134"/>
      <c r="CZ60" s="134"/>
      <c r="DA60" s="134"/>
      <c r="DB60" s="134"/>
      <c r="DC60" s="134"/>
      <c r="DD60" s="134"/>
      <c r="DE60" s="134"/>
      <c r="DF60" s="134"/>
      <c r="DG60" s="134"/>
      <c r="DH60" s="134"/>
      <c r="DI60" s="134"/>
      <c r="DJ60" s="134"/>
      <c r="DK60" s="134"/>
      <c r="DL60" s="134"/>
      <c r="DM60" s="134"/>
      <c r="DN60" s="134"/>
      <c r="DO60" s="134"/>
      <c r="DP60" s="134"/>
      <c r="DQ60" s="134"/>
      <c r="DR60" s="134"/>
      <c r="DS60" s="134"/>
      <c r="DT60" s="134"/>
      <c r="DU60" s="134"/>
      <c r="DV60" s="134"/>
      <c r="DW60" s="134"/>
      <c r="DX60" s="134"/>
      <c r="DY60" s="134"/>
      <c r="DZ60" s="134"/>
      <c r="EA60" s="134"/>
      <c r="EB60" s="134"/>
      <c r="EC60" s="134"/>
      <c r="ED60" s="134"/>
      <c r="EE60" s="134"/>
      <c r="EF60" s="134"/>
      <c r="EG60" s="134"/>
      <c r="EH60" s="134"/>
      <c r="EI60" s="134"/>
      <c r="EJ60" s="134"/>
      <c r="EK60" s="134"/>
      <c r="EL60" s="134"/>
      <c r="EM60" s="134"/>
      <c r="EN60" s="134"/>
      <c r="EO60" s="134"/>
      <c r="EP60" s="134"/>
      <c r="EQ60" s="134"/>
      <c r="ER60" s="134"/>
      <c r="ES60" s="134"/>
      <c r="ET60" s="134"/>
      <c r="EU60" s="134"/>
      <c r="EV60" s="134"/>
      <c r="EW60" s="134"/>
      <c r="EX60" s="134"/>
      <c r="EY60" s="134"/>
      <c r="EZ60" s="134"/>
      <c r="FA60" s="134"/>
      <c r="FB60" s="134"/>
      <c r="FC60" s="134"/>
      <c r="FD60" s="134"/>
      <c r="FE60" s="134"/>
      <c r="FF60" s="134"/>
      <c r="FG60" s="134"/>
      <c r="FH60" s="134"/>
      <c r="FI60" s="134"/>
      <c r="FJ60" s="134"/>
      <c r="FK60" s="134"/>
      <c r="FL60" s="134"/>
      <c r="FM60" s="134"/>
      <c r="FN60" s="134"/>
      <c r="FO60" s="134"/>
      <c r="FP60" s="134"/>
      <c r="FQ60" s="134"/>
      <c r="FR60" s="134"/>
      <c r="FS60" s="134"/>
      <c r="FT60" s="134"/>
      <c r="FU60" s="134"/>
      <c r="FV60" s="134"/>
      <c r="FW60" s="134"/>
      <c r="FX60" s="134"/>
      <c r="FY60" s="134"/>
      <c r="FZ60" s="134"/>
      <c r="GA60" s="134"/>
    </row>
    <row r="61">
      <c r="A61" s="28">
        <v>46190.0</v>
      </c>
      <c r="B61" s="18" t="s">
        <v>17</v>
      </c>
      <c r="C61" s="111" t="s">
        <v>29</v>
      </c>
      <c r="D61" s="111">
        <v>1.0</v>
      </c>
      <c r="E61" s="20">
        <v>25000.0</v>
      </c>
      <c r="F61" s="20">
        <f t="shared" si="3"/>
        <v>25000</v>
      </c>
      <c r="G61" s="21" t="s">
        <v>10</v>
      </c>
      <c r="H61" s="110"/>
      <c r="I61" s="28"/>
      <c r="J61" s="18"/>
      <c r="K61" s="111"/>
      <c r="L61" s="111"/>
      <c r="M61" s="20"/>
      <c r="N61" s="20"/>
      <c r="O61" s="21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</row>
    <row r="62">
      <c r="A62" s="113">
        <v>46191.0</v>
      </c>
      <c r="B62" s="12" t="s">
        <v>17</v>
      </c>
      <c r="C62" s="114" t="s">
        <v>140</v>
      </c>
      <c r="D62" s="114">
        <v>15.0</v>
      </c>
      <c r="E62" s="14">
        <v>25000.0</v>
      </c>
      <c r="F62" s="14">
        <f t="shared" si="3"/>
        <v>375000</v>
      </c>
      <c r="G62" s="15" t="s">
        <v>10</v>
      </c>
      <c r="H62" s="110"/>
      <c r="I62" s="28"/>
      <c r="J62" s="18"/>
      <c r="K62" s="111"/>
      <c r="L62" s="111"/>
      <c r="M62" s="20"/>
      <c r="N62" s="20"/>
      <c r="O62" s="21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  <c r="CY62" s="134"/>
      <c r="CZ62" s="134"/>
      <c r="DA62" s="134"/>
      <c r="DB62" s="134"/>
      <c r="DC62" s="134"/>
      <c r="DD62" s="134"/>
      <c r="DE62" s="134"/>
      <c r="DF62" s="134"/>
      <c r="DG62" s="134"/>
      <c r="DH62" s="134"/>
      <c r="DI62" s="134"/>
      <c r="DJ62" s="134"/>
      <c r="DK62" s="134"/>
      <c r="DL62" s="134"/>
      <c r="DM62" s="134"/>
      <c r="DN62" s="134"/>
      <c r="DO62" s="134"/>
      <c r="DP62" s="134"/>
      <c r="DQ62" s="134"/>
      <c r="DR62" s="134"/>
      <c r="DS62" s="134"/>
      <c r="DT62" s="134"/>
      <c r="DU62" s="134"/>
      <c r="DV62" s="134"/>
      <c r="DW62" s="134"/>
      <c r="DX62" s="134"/>
      <c r="DY62" s="134"/>
      <c r="DZ62" s="134"/>
      <c r="EA62" s="134"/>
      <c r="EB62" s="134"/>
      <c r="EC62" s="134"/>
      <c r="ED62" s="134"/>
      <c r="EE62" s="134"/>
      <c r="EF62" s="134"/>
      <c r="EG62" s="134"/>
      <c r="EH62" s="134"/>
      <c r="EI62" s="134"/>
      <c r="EJ62" s="134"/>
      <c r="EK62" s="134"/>
      <c r="EL62" s="134"/>
      <c r="EM62" s="134"/>
      <c r="EN62" s="134"/>
      <c r="EO62" s="134"/>
      <c r="EP62" s="134"/>
      <c r="EQ62" s="134"/>
      <c r="ER62" s="134"/>
      <c r="ES62" s="134"/>
      <c r="ET62" s="134"/>
      <c r="EU62" s="134"/>
      <c r="EV62" s="134"/>
      <c r="EW62" s="134"/>
      <c r="EX62" s="134"/>
      <c r="EY62" s="134"/>
      <c r="EZ62" s="134"/>
      <c r="FA62" s="134"/>
      <c r="FB62" s="134"/>
      <c r="FC62" s="134"/>
      <c r="FD62" s="134"/>
      <c r="FE62" s="134"/>
      <c r="FF62" s="134"/>
      <c r="FG62" s="134"/>
      <c r="FH62" s="134"/>
      <c r="FI62" s="134"/>
      <c r="FJ62" s="134"/>
      <c r="FK62" s="134"/>
      <c r="FL62" s="134"/>
      <c r="FM62" s="134"/>
      <c r="FN62" s="134"/>
      <c r="FO62" s="134"/>
      <c r="FP62" s="134"/>
      <c r="FQ62" s="134"/>
      <c r="FR62" s="134"/>
      <c r="FS62" s="134"/>
      <c r="FT62" s="134"/>
      <c r="FU62" s="134"/>
      <c r="FV62" s="134"/>
      <c r="FW62" s="134"/>
      <c r="FX62" s="134"/>
      <c r="FY62" s="134"/>
      <c r="FZ62" s="134"/>
      <c r="GA62" s="134"/>
    </row>
    <row r="63">
      <c r="A63" s="28">
        <v>46191.0</v>
      </c>
      <c r="B63" s="18" t="s">
        <v>17</v>
      </c>
      <c r="C63" s="111" t="s">
        <v>253</v>
      </c>
      <c r="D63" s="111">
        <v>15.0</v>
      </c>
      <c r="E63" s="20">
        <v>25000.0</v>
      </c>
      <c r="F63" s="20">
        <f t="shared" si="3"/>
        <v>375000</v>
      </c>
      <c r="G63" s="21" t="s">
        <v>10</v>
      </c>
      <c r="H63" s="110"/>
      <c r="I63" s="28"/>
      <c r="J63" s="18"/>
      <c r="K63" s="111"/>
      <c r="L63" s="111"/>
      <c r="M63" s="20"/>
      <c r="N63" s="20"/>
      <c r="O63" s="21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</row>
    <row r="64">
      <c r="A64" s="112">
        <v>46191.0</v>
      </c>
      <c r="B64" s="29" t="s">
        <v>17</v>
      </c>
      <c r="C64" s="73" t="s">
        <v>265</v>
      </c>
      <c r="D64" s="73">
        <v>1.0</v>
      </c>
      <c r="E64" s="32">
        <v>25000.0</v>
      </c>
      <c r="F64" s="32">
        <f t="shared" si="3"/>
        <v>25000</v>
      </c>
      <c r="G64" s="33" t="s">
        <v>10</v>
      </c>
      <c r="H64" s="110"/>
      <c r="I64" s="28"/>
      <c r="J64" s="18"/>
      <c r="K64" s="111"/>
      <c r="L64" s="111"/>
      <c r="M64" s="20"/>
      <c r="N64" s="20"/>
      <c r="O64" s="21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  <c r="CY64" s="134"/>
      <c r="CZ64" s="134"/>
      <c r="DA64" s="134"/>
      <c r="DB64" s="134"/>
      <c r="DC64" s="134"/>
      <c r="DD64" s="134"/>
      <c r="DE64" s="134"/>
      <c r="DF64" s="134"/>
      <c r="DG64" s="134"/>
      <c r="DH64" s="134"/>
      <c r="DI64" s="134"/>
      <c r="DJ64" s="134"/>
      <c r="DK64" s="134"/>
      <c r="DL64" s="134"/>
      <c r="DM64" s="134"/>
      <c r="DN64" s="134"/>
      <c r="DO64" s="134"/>
      <c r="DP64" s="134"/>
      <c r="DQ64" s="134"/>
      <c r="DR64" s="134"/>
      <c r="DS64" s="134"/>
      <c r="DT64" s="134"/>
      <c r="DU64" s="134"/>
      <c r="DV64" s="134"/>
      <c r="DW64" s="134"/>
      <c r="DX64" s="134"/>
      <c r="DY64" s="134"/>
      <c r="DZ64" s="134"/>
      <c r="EA64" s="134"/>
      <c r="EB64" s="134"/>
      <c r="EC64" s="134"/>
      <c r="ED64" s="134"/>
      <c r="EE64" s="134"/>
      <c r="EF64" s="134"/>
      <c r="EG64" s="134"/>
      <c r="EH64" s="134"/>
      <c r="EI64" s="134"/>
      <c r="EJ64" s="134"/>
      <c r="EK64" s="134"/>
      <c r="EL64" s="134"/>
      <c r="EM64" s="134"/>
      <c r="EN64" s="134"/>
      <c r="EO64" s="134"/>
      <c r="EP64" s="134"/>
      <c r="EQ64" s="134"/>
      <c r="ER64" s="134"/>
      <c r="ES64" s="134"/>
      <c r="ET64" s="134"/>
      <c r="EU64" s="134"/>
      <c r="EV64" s="134"/>
      <c r="EW64" s="134"/>
      <c r="EX64" s="134"/>
      <c r="EY64" s="134"/>
      <c r="EZ64" s="134"/>
      <c r="FA64" s="134"/>
      <c r="FB64" s="134"/>
      <c r="FC64" s="134"/>
      <c r="FD64" s="134"/>
      <c r="FE64" s="134"/>
      <c r="FF64" s="134"/>
      <c r="FG64" s="134"/>
      <c r="FH64" s="134"/>
      <c r="FI64" s="134"/>
      <c r="FJ64" s="134"/>
      <c r="FK64" s="134"/>
      <c r="FL64" s="134"/>
      <c r="FM64" s="134"/>
      <c r="FN64" s="134"/>
      <c r="FO64" s="134"/>
      <c r="FP64" s="134"/>
      <c r="FQ64" s="134"/>
      <c r="FR64" s="134"/>
      <c r="FS64" s="134"/>
      <c r="FT64" s="134"/>
      <c r="FU64" s="134"/>
      <c r="FV64" s="134"/>
      <c r="FW64" s="134"/>
      <c r="FX64" s="134"/>
      <c r="FY64" s="134"/>
      <c r="FZ64" s="134"/>
      <c r="GA64" s="134"/>
    </row>
    <row r="65">
      <c r="A65" s="112">
        <v>46191.0</v>
      </c>
      <c r="B65" s="29" t="s">
        <v>17</v>
      </c>
      <c r="C65" s="73" t="s">
        <v>259</v>
      </c>
      <c r="D65" s="73">
        <v>1.0</v>
      </c>
      <c r="E65" s="32">
        <v>25000.0</v>
      </c>
      <c r="F65" s="32">
        <f t="shared" si="3"/>
        <v>25000</v>
      </c>
      <c r="G65" s="33" t="s">
        <v>10</v>
      </c>
      <c r="H65" s="110"/>
      <c r="I65" s="28"/>
      <c r="J65" s="18"/>
      <c r="K65" s="111"/>
      <c r="L65" s="111"/>
      <c r="M65" s="20"/>
      <c r="N65" s="20"/>
      <c r="O65" s="21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</row>
    <row r="66" ht="16.5" customHeight="1">
      <c r="A66" s="112">
        <v>46191.0</v>
      </c>
      <c r="B66" s="29" t="s">
        <v>17</v>
      </c>
      <c r="C66" s="73" t="s">
        <v>269</v>
      </c>
      <c r="D66" s="73">
        <v>1.0</v>
      </c>
      <c r="E66" s="32">
        <v>25000.0</v>
      </c>
      <c r="F66" s="32">
        <f t="shared" si="3"/>
        <v>25000</v>
      </c>
      <c r="G66" s="33" t="s">
        <v>10</v>
      </c>
      <c r="H66" s="110"/>
      <c r="I66" s="28"/>
      <c r="J66" s="18"/>
      <c r="K66" s="111"/>
      <c r="L66" s="111"/>
      <c r="M66" s="20"/>
      <c r="N66" s="20"/>
      <c r="O66" s="21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134"/>
      <c r="DS66" s="134"/>
      <c r="DT66" s="134"/>
      <c r="DU66" s="134"/>
      <c r="DV66" s="134"/>
      <c r="DW66" s="134"/>
      <c r="DX66" s="134"/>
      <c r="DY66" s="134"/>
      <c r="DZ66" s="134"/>
      <c r="EA66" s="134"/>
      <c r="EB66" s="134"/>
      <c r="EC66" s="134"/>
      <c r="ED66" s="134"/>
      <c r="EE66" s="134"/>
      <c r="EF66" s="134"/>
      <c r="EG66" s="134"/>
      <c r="EH66" s="134"/>
      <c r="EI66" s="134"/>
      <c r="EJ66" s="134"/>
      <c r="EK66" s="134"/>
      <c r="EL66" s="134"/>
      <c r="EM66" s="134"/>
      <c r="EN66" s="134"/>
      <c r="EO66" s="134"/>
      <c r="EP66" s="134"/>
      <c r="EQ66" s="134"/>
      <c r="ER66" s="134"/>
      <c r="ES66" s="134"/>
      <c r="ET66" s="134"/>
      <c r="EU66" s="134"/>
      <c r="EV66" s="134"/>
      <c r="EW66" s="134"/>
      <c r="EX66" s="134"/>
      <c r="EY66" s="134"/>
      <c r="EZ66" s="134"/>
      <c r="FA66" s="134"/>
      <c r="FB66" s="134"/>
      <c r="FC66" s="134"/>
      <c r="FD66" s="134"/>
      <c r="FE66" s="134"/>
      <c r="FF66" s="134"/>
      <c r="FG66" s="134"/>
      <c r="FH66" s="134"/>
      <c r="FI66" s="134"/>
      <c r="FJ66" s="134"/>
      <c r="FK66" s="134"/>
      <c r="FL66" s="134"/>
      <c r="FM66" s="134"/>
      <c r="FN66" s="134"/>
      <c r="FO66" s="134"/>
      <c r="FP66" s="134"/>
      <c r="FQ66" s="134"/>
      <c r="FR66" s="134"/>
      <c r="FS66" s="134"/>
      <c r="FT66" s="134"/>
      <c r="FU66" s="134"/>
      <c r="FV66" s="134"/>
      <c r="FW66" s="134"/>
      <c r="FX66" s="134"/>
      <c r="FY66" s="134"/>
      <c r="FZ66" s="134"/>
      <c r="GA66" s="134"/>
    </row>
    <row r="67">
      <c r="A67" s="113">
        <v>46191.0</v>
      </c>
      <c r="B67" s="12" t="s">
        <v>17</v>
      </c>
      <c r="C67" s="114" t="s">
        <v>270</v>
      </c>
      <c r="D67" s="114">
        <v>1.0</v>
      </c>
      <c r="E67" s="14">
        <v>25000.0</v>
      </c>
      <c r="F67" s="14">
        <f t="shared" si="3"/>
        <v>25000</v>
      </c>
      <c r="G67" s="15" t="s">
        <v>10</v>
      </c>
      <c r="H67" s="16"/>
      <c r="I67" s="28"/>
      <c r="J67" s="18"/>
      <c r="K67" s="111"/>
      <c r="L67" s="111"/>
      <c r="M67" s="20"/>
      <c r="N67" s="20"/>
      <c r="O67" s="21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</row>
    <row r="68">
      <c r="A68" s="28">
        <v>46191.0</v>
      </c>
      <c r="B68" s="18" t="s">
        <v>17</v>
      </c>
      <c r="C68" s="111" t="s">
        <v>271</v>
      </c>
      <c r="D68" s="111">
        <v>1.0</v>
      </c>
      <c r="E68" s="20">
        <v>25000.0</v>
      </c>
      <c r="F68" s="20">
        <f t="shared" si="3"/>
        <v>25000</v>
      </c>
      <c r="G68" s="21" t="s">
        <v>10</v>
      </c>
      <c r="H68" s="16"/>
      <c r="I68" s="28"/>
      <c r="J68" s="18"/>
      <c r="K68" s="111"/>
      <c r="L68" s="111"/>
      <c r="M68" s="20"/>
      <c r="N68" s="20"/>
      <c r="O68" s="21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134"/>
      <c r="DV68" s="134"/>
      <c r="DW68" s="134"/>
      <c r="DX68" s="134"/>
      <c r="DY68" s="134"/>
      <c r="DZ68" s="134"/>
      <c r="EA68" s="134"/>
      <c r="EB68" s="134"/>
      <c r="EC68" s="134"/>
      <c r="ED68" s="134"/>
      <c r="EE68" s="134"/>
      <c r="EF68" s="134"/>
      <c r="EG68" s="134"/>
      <c r="EH68" s="134"/>
      <c r="EI68" s="134"/>
      <c r="EJ68" s="134"/>
      <c r="EK68" s="134"/>
      <c r="EL68" s="134"/>
      <c r="EM68" s="134"/>
      <c r="EN68" s="134"/>
      <c r="EO68" s="134"/>
      <c r="EP68" s="134"/>
      <c r="EQ68" s="134"/>
      <c r="ER68" s="134"/>
      <c r="ES68" s="134"/>
      <c r="ET68" s="134"/>
      <c r="EU68" s="134"/>
      <c r="EV68" s="134"/>
      <c r="EW68" s="134"/>
      <c r="EX68" s="134"/>
      <c r="EY68" s="134"/>
      <c r="EZ68" s="134"/>
      <c r="FA68" s="134"/>
      <c r="FB68" s="134"/>
      <c r="FC68" s="134"/>
      <c r="FD68" s="134"/>
      <c r="FE68" s="134"/>
      <c r="FF68" s="134"/>
      <c r="FG68" s="134"/>
      <c r="FH68" s="134"/>
      <c r="FI68" s="134"/>
      <c r="FJ68" s="134"/>
      <c r="FK68" s="134"/>
      <c r="FL68" s="134"/>
      <c r="FM68" s="134"/>
      <c r="FN68" s="134"/>
      <c r="FO68" s="134"/>
      <c r="FP68" s="134"/>
      <c r="FQ68" s="134"/>
      <c r="FR68" s="134"/>
      <c r="FS68" s="134"/>
      <c r="FT68" s="134"/>
      <c r="FU68" s="134"/>
      <c r="FV68" s="134"/>
      <c r="FW68" s="134"/>
      <c r="FX68" s="134"/>
      <c r="FY68" s="134"/>
      <c r="FZ68" s="134"/>
      <c r="GA68" s="134"/>
    </row>
    <row r="69">
      <c r="A69" s="113">
        <v>46192.0</v>
      </c>
      <c r="B69" s="12" t="s">
        <v>17</v>
      </c>
      <c r="C69" s="114" t="s">
        <v>25</v>
      </c>
      <c r="D69" s="114">
        <v>2.0</v>
      </c>
      <c r="E69" s="14">
        <v>25000.0</v>
      </c>
      <c r="F69" s="14">
        <f t="shared" si="3"/>
        <v>50000</v>
      </c>
      <c r="G69" s="15" t="s">
        <v>10</v>
      </c>
      <c r="H69" s="16"/>
      <c r="I69" s="28"/>
      <c r="J69" s="18"/>
      <c r="K69" s="111"/>
      <c r="L69" s="111"/>
      <c r="M69" s="20"/>
      <c r="N69" s="20"/>
      <c r="O69" s="21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</row>
    <row r="70">
      <c r="A70" s="28">
        <v>46192.0</v>
      </c>
      <c r="B70" s="18" t="s">
        <v>17</v>
      </c>
      <c r="C70" s="111" t="s">
        <v>50</v>
      </c>
      <c r="D70" s="111">
        <v>1.0</v>
      </c>
      <c r="E70" s="20">
        <v>25000.0</v>
      </c>
      <c r="F70" s="20">
        <f t="shared" si="3"/>
        <v>25000</v>
      </c>
      <c r="G70" s="21" t="s">
        <v>10</v>
      </c>
      <c r="H70" s="16"/>
      <c r="I70" s="28"/>
      <c r="J70" s="18"/>
      <c r="K70" s="111"/>
      <c r="L70" s="111"/>
      <c r="M70" s="20"/>
      <c r="N70" s="20"/>
      <c r="O70" s="21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  <c r="EX70" s="134"/>
      <c r="EY70" s="134"/>
      <c r="EZ70" s="134"/>
      <c r="FA70" s="134"/>
      <c r="FB70" s="134"/>
      <c r="FC70" s="134"/>
      <c r="FD70" s="134"/>
      <c r="FE70" s="134"/>
      <c r="FF70" s="134"/>
      <c r="FG70" s="134"/>
      <c r="FH70" s="134"/>
      <c r="FI70" s="134"/>
      <c r="FJ70" s="134"/>
      <c r="FK70" s="134"/>
      <c r="FL70" s="134"/>
      <c r="FM70" s="134"/>
      <c r="FN70" s="134"/>
      <c r="FO70" s="134"/>
      <c r="FP70" s="134"/>
      <c r="FQ70" s="134"/>
      <c r="FR70" s="134"/>
      <c r="FS70" s="134"/>
      <c r="FT70" s="134"/>
      <c r="FU70" s="134"/>
      <c r="FV70" s="134"/>
      <c r="FW70" s="134"/>
      <c r="FX70" s="134"/>
      <c r="FY70" s="134"/>
      <c r="FZ70" s="134"/>
      <c r="GA70" s="134"/>
    </row>
    <row r="71">
      <c r="A71" s="113">
        <v>46192.0</v>
      </c>
      <c r="B71" s="12" t="s">
        <v>17</v>
      </c>
      <c r="C71" s="114" t="s">
        <v>253</v>
      </c>
      <c r="D71" s="114">
        <v>25.0</v>
      </c>
      <c r="E71" s="14">
        <v>25000.0</v>
      </c>
      <c r="F71" s="14">
        <f t="shared" si="3"/>
        <v>625000</v>
      </c>
      <c r="G71" s="15" t="s">
        <v>10</v>
      </c>
      <c r="H71" s="16"/>
      <c r="I71" s="28"/>
      <c r="J71" s="18"/>
      <c r="K71" s="111"/>
      <c r="L71" s="111"/>
      <c r="M71" s="20"/>
      <c r="N71" s="20"/>
      <c r="O71" s="21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</row>
    <row r="72">
      <c r="A72" s="28">
        <v>46192.0</v>
      </c>
      <c r="B72" s="18" t="s">
        <v>17</v>
      </c>
      <c r="C72" s="111" t="s">
        <v>54</v>
      </c>
      <c r="D72" s="111">
        <v>1.0</v>
      </c>
      <c r="E72" s="20">
        <v>25000.0</v>
      </c>
      <c r="F72" s="20">
        <f t="shared" si="3"/>
        <v>25000</v>
      </c>
      <c r="G72" s="21" t="s">
        <v>10</v>
      </c>
      <c r="H72" s="16"/>
      <c r="I72" s="28"/>
      <c r="J72" s="18"/>
      <c r="K72" s="111"/>
      <c r="L72" s="111"/>
      <c r="M72" s="20"/>
      <c r="N72" s="20"/>
      <c r="O72" s="21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134"/>
      <c r="DS72" s="134"/>
      <c r="DT72" s="134"/>
      <c r="DU72" s="134"/>
      <c r="DV72" s="134"/>
      <c r="DW72" s="134"/>
      <c r="DX72" s="134"/>
      <c r="DY72" s="134"/>
      <c r="DZ72" s="134"/>
      <c r="EA72" s="134"/>
      <c r="EB72" s="134"/>
      <c r="EC72" s="134"/>
      <c r="ED72" s="134"/>
      <c r="EE72" s="134"/>
      <c r="EF72" s="134"/>
      <c r="EG72" s="134"/>
      <c r="EH72" s="134"/>
      <c r="EI72" s="134"/>
      <c r="EJ72" s="134"/>
      <c r="EK72" s="134"/>
      <c r="EL72" s="134"/>
      <c r="EM72" s="134"/>
      <c r="EN72" s="134"/>
      <c r="EO72" s="134"/>
      <c r="EP72" s="134"/>
      <c r="EQ72" s="134"/>
      <c r="ER72" s="134"/>
      <c r="ES72" s="134"/>
      <c r="ET72" s="134"/>
      <c r="EU72" s="134"/>
      <c r="EV72" s="134"/>
      <c r="EW72" s="134"/>
      <c r="EX72" s="134"/>
      <c r="EY72" s="134"/>
      <c r="EZ72" s="134"/>
      <c r="FA72" s="134"/>
      <c r="FB72" s="134"/>
      <c r="FC72" s="134"/>
      <c r="FD72" s="134"/>
      <c r="FE72" s="134"/>
      <c r="FF72" s="134"/>
      <c r="FG72" s="134"/>
      <c r="FH72" s="134"/>
      <c r="FI72" s="134"/>
      <c r="FJ72" s="134"/>
      <c r="FK72" s="134"/>
      <c r="FL72" s="134"/>
      <c r="FM72" s="134"/>
      <c r="FN72" s="134"/>
      <c r="FO72" s="134"/>
      <c r="FP72" s="134"/>
      <c r="FQ72" s="134"/>
      <c r="FR72" s="134"/>
      <c r="FS72" s="134"/>
      <c r="FT72" s="134"/>
      <c r="FU72" s="134"/>
      <c r="FV72" s="134"/>
      <c r="FW72" s="134"/>
      <c r="FX72" s="134"/>
      <c r="FY72" s="134"/>
      <c r="FZ72" s="134"/>
      <c r="GA72" s="134"/>
    </row>
    <row r="73">
      <c r="A73" s="113">
        <v>46192.0</v>
      </c>
      <c r="B73" s="12" t="s">
        <v>17</v>
      </c>
      <c r="C73" s="114" t="s">
        <v>67</v>
      </c>
      <c r="D73" s="114">
        <v>1.0</v>
      </c>
      <c r="E73" s="14">
        <v>25000.0</v>
      </c>
      <c r="F73" s="14">
        <f t="shared" si="3"/>
        <v>25000</v>
      </c>
      <c r="G73" s="15" t="s">
        <v>10</v>
      </c>
      <c r="H73" s="16"/>
      <c r="I73" s="28"/>
      <c r="J73" s="18"/>
      <c r="K73" s="111"/>
      <c r="L73" s="111"/>
      <c r="M73" s="20"/>
      <c r="N73" s="20"/>
      <c r="O73" s="21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</row>
    <row r="74">
      <c r="A74" s="28">
        <v>46192.0</v>
      </c>
      <c r="B74" s="18" t="s">
        <v>17</v>
      </c>
      <c r="C74" s="111" t="s">
        <v>272</v>
      </c>
      <c r="D74" s="111">
        <v>1.0</v>
      </c>
      <c r="E74" s="20">
        <v>25000.0</v>
      </c>
      <c r="F74" s="20">
        <f t="shared" si="3"/>
        <v>25000</v>
      </c>
      <c r="G74" s="21" t="s">
        <v>10</v>
      </c>
      <c r="H74" s="16"/>
      <c r="I74" s="28"/>
      <c r="J74" s="18"/>
      <c r="K74" s="111"/>
      <c r="L74" s="111"/>
      <c r="M74" s="20"/>
      <c r="N74" s="20"/>
      <c r="O74" s="21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134"/>
      <c r="DS74" s="134"/>
      <c r="DT74" s="134"/>
      <c r="DU74" s="134"/>
      <c r="DV74" s="134"/>
      <c r="DW74" s="134"/>
      <c r="DX74" s="134"/>
      <c r="DY74" s="134"/>
      <c r="DZ74" s="134"/>
      <c r="EA74" s="134"/>
      <c r="EB74" s="134"/>
      <c r="EC74" s="134"/>
      <c r="ED74" s="134"/>
      <c r="EE74" s="134"/>
      <c r="EF74" s="134"/>
      <c r="EG74" s="134"/>
      <c r="EH74" s="134"/>
      <c r="EI74" s="134"/>
      <c r="EJ74" s="134"/>
      <c r="EK74" s="134"/>
      <c r="EL74" s="134"/>
      <c r="EM74" s="134"/>
      <c r="EN74" s="134"/>
      <c r="EO74" s="134"/>
      <c r="EP74" s="134"/>
      <c r="EQ74" s="134"/>
      <c r="ER74" s="134"/>
      <c r="ES74" s="134"/>
      <c r="ET74" s="134"/>
      <c r="EU74" s="134"/>
      <c r="EV74" s="134"/>
      <c r="EW74" s="134"/>
      <c r="EX74" s="134"/>
      <c r="EY74" s="134"/>
      <c r="EZ74" s="134"/>
      <c r="FA74" s="134"/>
      <c r="FB74" s="134"/>
      <c r="FC74" s="134"/>
      <c r="FD74" s="134"/>
      <c r="FE74" s="134"/>
      <c r="FF74" s="134"/>
      <c r="FG74" s="134"/>
      <c r="FH74" s="134"/>
      <c r="FI74" s="134"/>
      <c r="FJ74" s="134"/>
      <c r="FK74" s="134"/>
      <c r="FL74" s="134"/>
      <c r="FM74" s="134"/>
      <c r="FN74" s="134"/>
      <c r="FO74" s="134"/>
      <c r="FP74" s="134"/>
      <c r="FQ74" s="134"/>
      <c r="FR74" s="134"/>
      <c r="FS74" s="134"/>
      <c r="FT74" s="134"/>
      <c r="FU74" s="134"/>
      <c r="FV74" s="134"/>
      <c r="FW74" s="134"/>
      <c r="FX74" s="134"/>
      <c r="FY74" s="134"/>
      <c r="FZ74" s="134"/>
      <c r="GA74" s="134"/>
    </row>
    <row r="75">
      <c r="A75" s="113">
        <v>46193.0</v>
      </c>
      <c r="B75" s="12" t="s">
        <v>17</v>
      </c>
      <c r="C75" s="114" t="s">
        <v>140</v>
      </c>
      <c r="D75" s="114">
        <v>10.0</v>
      </c>
      <c r="E75" s="14">
        <v>25000.0</v>
      </c>
      <c r="F75" s="14">
        <f t="shared" si="3"/>
        <v>250000</v>
      </c>
      <c r="G75" s="15" t="s">
        <v>10</v>
      </c>
      <c r="H75" s="16"/>
      <c r="I75" s="28"/>
      <c r="J75" s="18"/>
      <c r="K75" s="111"/>
      <c r="L75" s="111"/>
      <c r="M75" s="20"/>
      <c r="N75" s="20"/>
      <c r="O75" s="21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</row>
    <row r="76">
      <c r="A76" s="28">
        <v>46193.0</v>
      </c>
      <c r="B76" s="18" t="s">
        <v>17</v>
      </c>
      <c r="C76" s="111" t="s">
        <v>253</v>
      </c>
      <c r="D76" s="111">
        <v>10.0</v>
      </c>
      <c r="E76" s="20">
        <v>25000.0</v>
      </c>
      <c r="F76" s="20">
        <f t="shared" si="3"/>
        <v>250000</v>
      </c>
      <c r="G76" s="21" t="s">
        <v>10</v>
      </c>
      <c r="H76" s="16"/>
      <c r="I76" s="28"/>
      <c r="J76" s="18"/>
      <c r="K76" s="111"/>
      <c r="L76" s="111"/>
      <c r="M76" s="20"/>
      <c r="N76" s="20"/>
      <c r="O76" s="21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134"/>
      <c r="DS76" s="134"/>
      <c r="DT76" s="134"/>
      <c r="DU76" s="134"/>
      <c r="DV76" s="134"/>
      <c r="DW76" s="134"/>
      <c r="DX76" s="134"/>
      <c r="DY76" s="134"/>
      <c r="DZ76" s="134"/>
      <c r="EA76" s="134"/>
      <c r="EB76" s="134"/>
      <c r="EC76" s="134"/>
      <c r="ED76" s="134"/>
      <c r="EE76" s="134"/>
      <c r="EF76" s="134"/>
      <c r="EG76" s="134"/>
      <c r="EH76" s="134"/>
      <c r="EI76" s="134"/>
      <c r="EJ76" s="134"/>
      <c r="EK76" s="134"/>
      <c r="EL76" s="134"/>
      <c r="EM76" s="134"/>
      <c r="EN76" s="134"/>
      <c r="EO76" s="134"/>
      <c r="EP76" s="134"/>
      <c r="EQ76" s="134"/>
      <c r="ER76" s="134"/>
      <c r="ES76" s="134"/>
      <c r="ET76" s="134"/>
      <c r="EU76" s="134"/>
      <c r="EV76" s="134"/>
      <c r="EW76" s="134"/>
      <c r="EX76" s="134"/>
      <c r="EY76" s="134"/>
      <c r="EZ76" s="134"/>
      <c r="FA76" s="134"/>
      <c r="FB76" s="134"/>
      <c r="FC76" s="134"/>
      <c r="FD76" s="134"/>
      <c r="FE76" s="134"/>
      <c r="FF76" s="134"/>
      <c r="FG76" s="134"/>
      <c r="FH76" s="134"/>
      <c r="FI76" s="134"/>
      <c r="FJ76" s="134"/>
      <c r="FK76" s="134"/>
      <c r="FL76" s="134"/>
      <c r="FM76" s="134"/>
      <c r="FN76" s="134"/>
      <c r="FO76" s="134"/>
      <c r="FP76" s="134"/>
      <c r="FQ76" s="134"/>
      <c r="FR76" s="134"/>
      <c r="FS76" s="134"/>
      <c r="FT76" s="134"/>
      <c r="FU76" s="134"/>
      <c r="FV76" s="134"/>
      <c r="FW76" s="134"/>
      <c r="FX76" s="134"/>
      <c r="FY76" s="134"/>
      <c r="FZ76" s="134"/>
      <c r="GA76" s="134"/>
    </row>
    <row r="77">
      <c r="A77" s="113">
        <v>46193.0</v>
      </c>
      <c r="B77" s="12" t="s">
        <v>17</v>
      </c>
      <c r="C77" s="114" t="s">
        <v>270</v>
      </c>
      <c r="D77" s="114">
        <v>3.0</v>
      </c>
      <c r="E77" s="14">
        <v>25000.0</v>
      </c>
      <c r="F77" s="14">
        <f t="shared" si="3"/>
        <v>75000</v>
      </c>
      <c r="G77" s="15" t="s">
        <v>10</v>
      </c>
      <c r="H77" s="195"/>
      <c r="I77" s="28"/>
      <c r="J77" s="18"/>
      <c r="K77" s="111"/>
      <c r="L77" s="111"/>
      <c r="M77" s="20"/>
      <c r="N77" s="20"/>
      <c r="O77" s="21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</row>
    <row r="78">
      <c r="A78" s="28">
        <v>46193.0</v>
      </c>
      <c r="B78" s="18" t="s">
        <v>17</v>
      </c>
      <c r="C78" s="111" t="s">
        <v>79</v>
      </c>
      <c r="D78" s="111">
        <v>1.0</v>
      </c>
      <c r="E78" s="20">
        <v>25000.0</v>
      </c>
      <c r="F78" s="20">
        <f t="shared" si="3"/>
        <v>25000</v>
      </c>
      <c r="G78" s="21" t="s">
        <v>10</v>
      </c>
      <c r="H78" s="16"/>
      <c r="I78" s="140"/>
      <c r="J78" s="141"/>
      <c r="K78" s="18"/>
      <c r="L78" s="18"/>
      <c r="M78" s="20"/>
      <c r="N78" s="20"/>
      <c r="O78" s="2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4"/>
      <c r="CD78" s="194"/>
      <c r="CE78" s="194"/>
      <c r="CF78" s="194"/>
      <c r="CG78" s="194"/>
      <c r="CH78" s="194"/>
      <c r="CI78" s="194"/>
      <c r="CJ78" s="194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4"/>
      <c r="DE78" s="194"/>
      <c r="DF78" s="194"/>
      <c r="DG78" s="194"/>
      <c r="DH78" s="194"/>
      <c r="DI78" s="194"/>
      <c r="DJ78" s="194"/>
      <c r="DK78" s="194"/>
      <c r="DL78" s="194"/>
      <c r="DM78" s="194"/>
      <c r="DN78" s="194"/>
      <c r="DO78" s="194"/>
      <c r="DP78" s="194"/>
      <c r="DQ78" s="194"/>
      <c r="DR78" s="194"/>
      <c r="DS78" s="194"/>
      <c r="DT78" s="194"/>
      <c r="DU78" s="194"/>
      <c r="DV78" s="194"/>
      <c r="DW78" s="194"/>
      <c r="DX78" s="194"/>
      <c r="DY78" s="194"/>
      <c r="DZ78" s="194"/>
      <c r="EA78" s="194"/>
      <c r="EB78" s="194"/>
      <c r="EC78" s="194"/>
      <c r="ED78" s="194"/>
      <c r="EE78" s="194"/>
      <c r="EF78" s="194"/>
      <c r="EG78" s="194"/>
      <c r="EH78" s="194"/>
      <c r="EI78" s="194"/>
      <c r="EJ78" s="194"/>
      <c r="EK78" s="194"/>
      <c r="EL78" s="194"/>
      <c r="EM78" s="194"/>
      <c r="EN78" s="194"/>
      <c r="EO78" s="194"/>
      <c r="EP78" s="194"/>
      <c r="EQ78" s="194"/>
      <c r="ER78" s="194"/>
      <c r="ES78" s="194"/>
      <c r="ET78" s="194"/>
      <c r="EU78" s="194"/>
      <c r="EV78" s="194"/>
      <c r="EW78" s="194"/>
      <c r="EX78" s="194"/>
      <c r="EY78" s="194"/>
      <c r="EZ78" s="194"/>
      <c r="FA78" s="194"/>
      <c r="FB78" s="194"/>
      <c r="FC78" s="194"/>
      <c r="FD78" s="194"/>
      <c r="FE78" s="194"/>
      <c r="FF78" s="194"/>
      <c r="FG78" s="194"/>
      <c r="FH78" s="194"/>
      <c r="FI78" s="194"/>
      <c r="FJ78" s="194"/>
      <c r="FK78" s="194"/>
      <c r="FL78" s="194"/>
      <c r="FM78" s="194"/>
      <c r="FN78" s="194"/>
      <c r="FO78" s="194"/>
      <c r="FP78" s="194"/>
      <c r="FQ78" s="194"/>
      <c r="FR78" s="194"/>
      <c r="FS78" s="194"/>
      <c r="FT78" s="194"/>
      <c r="FU78" s="194"/>
      <c r="FV78" s="194"/>
      <c r="FW78" s="194"/>
      <c r="FX78" s="194"/>
      <c r="FY78" s="194"/>
      <c r="FZ78" s="194"/>
      <c r="GA78" s="194"/>
    </row>
    <row r="79">
      <c r="A79" s="113">
        <v>46193.0</v>
      </c>
      <c r="B79" s="12" t="s">
        <v>17</v>
      </c>
      <c r="C79" s="114" t="s">
        <v>256</v>
      </c>
      <c r="D79" s="114">
        <v>1.0</v>
      </c>
      <c r="E79" s="14">
        <v>25000.0</v>
      </c>
      <c r="F79" s="14">
        <f t="shared" si="3"/>
        <v>25000</v>
      </c>
      <c r="G79" s="15" t="s">
        <v>10</v>
      </c>
      <c r="H79" s="16"/>
      <c r="I79" s="28"/>
      <c r="J79" s="18"/>
      <c r="K79" s="111"/>
      <c r="L79" s="111"/>
      <c r="M79" s="20"/>
      <c r="N79" s="20"/>
      <c r="O79" s="21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</row>
    <row r="80">
      <c r="A80" s="28">
        <v>46193.0</v>
      </c>
      <c r="B80" s="18" t="s">
        <v>17</v>
      </c>
      <c r="C80" s="111" t="s">
        <v>259</v>
      </c>
      <c r="D80" s="111">
        <v>1.0</v>
      </c>
      <c r="E80" s="20">
        <v>25000.0</v>
      </c>
      <c r="F80" s="20">
        <f t="shared" si="3"/>
        <v>25000</v>
      </c>
      <c r="G80" s="21" t="s">
        <v>10</v>
      </c>
      <c r="H80" s="16"/>
      <c r="I80" s="28"/>
      <c r="J80" s="18"/>
      <c r="K80" s="111"/>
      <c r="L80" s="111"/>
      <c r="M80" s="20"/>
      <c r="N80" s="20"/>
      <c r="O80" s="21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34"/>
      <c r="DJ80" s="134"/>
      <c r="DK80" s="134"/>
      <c r="DL80" s="134"/>
      <c r="DM80" s="134"/>
      <c r="DN80" s="134"/>
      <c r="DO80" s="134"/>
      <c r="DP80" s="134"/>
      <c r="DQ80" s="134"/>
      <c r="DR80" s="134"/>
      <c r="DS80" s="134"/>
      <c r="DT80" s="134"/>
      <c r="DU80" s="134"/>
      <c r="DV80" s="134"/>
      <c r="DW80" s="134"/>
      <c r="DX80" s="134"/>
      <c r="DY80" s="134"/>
      <c r="DZ80" s="134"/>
      <c r="EA80" s="134"/>
      <c r="EB80" s="134"/>
      <c r="EC80" s="134"/>
      <c r="ED80" s="134"/>
      <c r="EE80" s="134"/>
      <c r="EF80" s="134"/>
      <c r="EG80" s="134"/>
      <c r="EH80" s="134"/>
      <c r="EI80" s="134"/>
      <c r="EJ80" s="134"/>
      <c r="EK80" s="134"/>
      <c r="EL80" s="134"/>
      <c r="EM80" s="134"/>
      <c r="EN80" s="134"/>
      <c r="EO80" s="134"/>
      <c r="EP80" s="134"/>
      <c r="EQ80" s="134"/>
      <c r="ER80" s="134"/>
      <c r="ES80" s="134"/>
      <c r="ET80" s="134"/>
      <c r="EU80" s="134"/>
      <c r="EV80" s="134"/>
      <c r="EW80" s="134"/>
      <c r="EX80" s="134"/>
      <c r="EY80" s="134"/>
      <c r="EZ80" s="134"/>
      <c r="FA80" s="134"/>
      <c r="FB80" s="134"/>
      <c r="FC80" s="134"/>
      <c r="FD80" s="134"/>
      <c r="FE80" s="134"/>
      <c r="FF80" s="134"/>
      <c r="FG80" s="134"/>
      <c r="FH80" s="134"/>
      <c r="FI80" s="134"/>
      <c r="FJ80" s="134"/>
      <c r="FK80" s="134"/>
      <c r="FL80" s="134"/>
      <c r="FM80" s="134"/>
      <c r="FN80" s="134"/>
      <c r="FO80" s="134"/>
      <c r="FP80" s="134"/>
      <c r="FQ80" s="134"/>
      <c r="FR80" s="134"/>
      <c r="FS80" s="134"/>
      <c r="FT80" s="134"/>
      <c r="FU80" s="134"/>
      <c r="FV80" s="134"/>
      <c r="FW80" s="134"/>
      <c r="FX80" s="134"/>
      <c r="FY80" s="134"/>
      <c r="FZ80" s="134"/>
      <c r="GA80" s="134"/>
    </row>
    <row r="81">
      <c r="A81" s="115" t="s">
        <v>142</v>
      </c>
      <c r="C81" s="116"/>
      <c r="D81" s="117">
        <f>SUM(D42:D80)</f>
        <v>288</v>
      </c>
      <c r="E81" s="116"/>
      <c r="F81" s="118">
        <f>SUM(F42:F80)</f>
        <v>7200000</v>
      </c>
      <c r="G81" s="119"/>
      <c r="H81" s="16"/>
      <c r="I81" s="28"/>
      <c r="J81" s="18"/>
      <c r="K81" s="111"/>
      <c r="L81" s="111"/>
      <c r="M81" s="20"/>
      <c r="N81" s="20"/>
      <c r="O81" s="21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</row>
    <row r="82">
      <c r="A82" s="28"/>
      <c r="B82" s="18"/>
      <c r="C82" s="111"/>
      <c r="D82" s="111"/>
      <c r="E82" s="20"/>
      <c r="F82" s="20"/>
      <c r="G82" s="21"/>
      <c r="H82" s="16"/>
      <c r="I82" s="28"/>
      <c r="J82" s="18"/>
      <c r="K82" s="111"/>
      <c r="L82" s="111"/>
      <c r="M82" s="20"/>
      <c r="N82" s="20"/>
      <c r="O82" s="21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34"/>
      <c r="DJ82" s="134"/>
      <c r="DK82" s="134"/>
      <c r="DL82" s="134"/>
      <c r="DM82" s="134"/>
      <c r="DN82" s="134"/>
      <c r="DO82" s="134"/>
      <c r="DP82" s="134"/>
      <c r="DQ82" s="134"/>
      <c r="DR82" s="134"/>
      <c r="DS82" s="134"/>
      <c r="DT82" s="134"/>
      <c r="DU82" s="134"/>
      <c r="DV82" s="134"/>
      <c r="DW82" s="134"/>
      <c r="DX82" s="134"/>
      <c r="DY82" s="134"/>
      <c r="DZ82" s="134"/>
      <c r="EA82" s="134"/>
      <c r="EB82" s="134"/>
      <c r="EC82" s="134"/>
      <c r="ED82" s="134"/>
      <c r="EE82" s="134"/>
      <c r="EF82" s="134"/>
      <c r="EG82" s="134"/>
      <c r="EH82" s="134"/>
      <c r="EI82" s="134"/>
      <c r="EJ82" s="134"/>
      <c r="EK82" s="134"/>
      <c r="EL82" s="134"/>
      <c r="EM82" s="134"/>
      <c r="EN82" s="134"/>
      <c r="EO82" s="134"/>
      <c r="EP82" s="134"/>
      <c r="EQ82" s="134"/>
      <c r="ER82" s="134"/>
      <c r="ES82" s="134"/>
      <c r="ET82" s="134"/>
      <c r="EU82" s="134"/>
      <c r="EV82" s="134"/>
      <c r="EW82" s="134"/>
      <c r="EX82" s="134"/>
      <c r="EY82" s="134"/>
      <c r="EZ82" s="134"/>
      <c r="FA82" s="134"/>
      <c r="FB82" s="134"/>
      <c r="FC82" s="134"/>
      <c r="FD82" s="134"/>
      <c r="FE82" s="134"/>
      <c r="FF82" s="134"/>
      <c r="FG82" s="134"/>
      <c r="FH82" s="134"/>
      <c r="FI82" s="134"/>
      <c r="FJ82" s="134"/>
      <c r="FK82" s="134"/>
      <c r="FL82" s="134"/>
      <c r="FM82" s="134"/>
      <c r="FN82" s="134"/>
      <c r="FO82" s="134"/>
      <c r="FP82" s="134"/>
      <c r="FQ82" s="134"/>
      <c r="FR82" s="134"/>
      <c r="FS82" s="134"/>
      <c r="FT82" s="134"/>
      <c r="FU82" s="134"/>
      <c r="FV82" s="134"/>
      <c r="FW82" s="134"/>
      <c r="FX82" s="134"/>
      <c r="FY82" s="134"/>
      <c r="FZ82" s="134"/>
      <c r="GA82" s="134"/>
    </row>
    <row r="83">
      <c r="A83" s="113"/>
      <c r="B83" s="12"/>
      <c r="C83" s="114"/>
      <c r="D83" s="114"/>
      <c r="E83" s="14"/>
      <c r="F83" s="14"/>
      <c r="G83" s="15"/>
      <c r="H83" s="16"/>
      <c r="I83" s="28"/>
      <c r="J83" s="18"/>
      <c r="K83" s="111"/>
      <c r="L83" s="111"/>
      <c r="M83" s="20"/>
      <c r="N83" s="20"/>
      <c r="O83" s="21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</row>
    <row r="84">
      <c r="A84" s="28"/>
      <c r="B84" s="18"/>
      <c r="C84" s="111"/>
      <c r="D84" s="111"/>
      <c r="E84" s="20"/>
      <c r="F84" s="20"/>
      <c r="G84" s="21"/>
      <c r="H84" s="16"/>
      <c r="I84" s="28"/>
      <c r="J84" s="18"/>
      <c r="K84" s="111"/>
      <c r="L84" s="111"/>
      <c r="M84" s="20"/>
      <c r="N84" s="20"/>
      <c r="O84" s="21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34"/>
      <c r="DJ84" s="134"/>
      <c r="DK84" s="134"/>
      <c r="DL84" s="134"/>
      <c r="DM84" s="134"/>
      <c r="DN84" s="134"/>
      <c r="DO84" s="134"/>
      <c r="DP84" s="134"/>
      <c r="DQ84" s="134"/>
      <c r="DR84" s="134"/>
      <c r="DS84" s="134"/>
      <c r="DT84" s="134"/>
      <c r="DU84" s="134"/>
      <c r="DV84" s="134"/>
      <c r="DW84" s="134"/>
      <c r="DX84" s="134"/>
      <c r="DY84" s="134"/>
      <c r="DZ84" s="134"/>
      <c r="EA84" s="134"/>
      <c r="EB84" s="134"/>
      <c r="EC84" s="134"/>
      <c r="ED84" s="134"/>
      <c r="EE84" s="134"/>
      <c r="EF84" s="134"/>
      <c r="EG84" s="134"/>
      <c r="EH84" s="134"/>
      <c r="EI84" s="134"/>
      <c r="EJ84" s="134"/>
      <c r="EK84" s="134"/>
      <c r="EL84" s="134"/>
      <c r="EM84" s="134"/>
      <c r="EN84" s="134"/>
      <c r="EO84" s="134"/>
      <c r="EP84" s="134"/>
      <c r="EQ84" s="134"/>
      <c r="ER84" s="134"/>
      <c r="ES84" s="134"/>
      <c r="ET84" s="134"/>
      <c r="EU84" s="134"/>
      <c r="EV84" s="134"/>
      <c r="EW84" s="134"/>
      <c r="EX84" s="134"/>
      <c r="EY84" s="134"/>
      <c r="EZ84" s="134"/>
      <c r="FA84" s="134"/>
      <c r="FB84" s="134"/>
      <c r="FC84" s="134"/>
      <c r="FD84" s="134"/>
      <c r="FE84" s="134"/>
      <c r="FF84" s="134"/>
      <c r="FG84" s="134"/>
      <c r="FH84" s="134"/>
      <c r="FI84" s="134"/>
      <c r="FJ84" s="134"/>
      <c r="FK84" s="134"/>
      <c r="FL84" s="134"/>
      <c r="FM84" s="134"/>
      <c r="FN84" s="134"/>
      <c r="FO84" s="134"/>
      <c r="FP84" s="134"/>
      <c r="FQ84" s="134"/>
      <c r="FR84" s="134"/>
      <c r="FS84" s="134"/>
      <c r="FT84" s="134"/>
      <c r="FU84" s="134"/>
      <c r="FV84" s="134"/>
      <c r="FW84" s="134"/>
      <c r="FX84" s="134"/>
      <c r="FY84" s="134"/>
      <c r="FZ84" s="134"/>
      <c r="GA84" s="134"/>
    </row>
    <row r="85">
      <c r="A85" s="28"/>
      <c r="B85" s="18"/>
      <c r="C85" s="111"/>
      <c r="D85" s="111"/>
      <c r="E85" s="20"/>
      <c r="F85" s="20"/>
      <c r="G85" s="21"/>
      <c r="H85" s="16"/>
      <c r="I85" s="28"/>
      <c r="J85" s="18"/>
      <c r="K85" s="111"/>
      <c r="L85" s="111"/>
      <c r="M85" s="20"/>
      <c r="N85" s="20"/>
      <c r="O85" s="21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</row>
    <row r="86" ht="33.0" customHeight="1">
      <c r="A86" s="105" t="s">
        <v>1</v>
      </c>
      <c r="B86" s="105" t="s">
        <v>2</v>
      </c>
      <c r="C86" s="105" t="s">
        <v>3</v>
      </c>
      <c r="D86" s="106" t="s">
        <v>4</v>
      </c>
      <c r="E86" s="107" t="s">
        <v>5</v>
      </c>
      <c r="F86" s="108" t="s">
        <v>6</v>
      </c>
      <c r="G86" s="105" t="s">
        <v>84</v>
      </c>
      <c r="H86" s="16"/>
      <c r="I86" s="28"/>
      <c r="J86" s="18"/>
      <c r="K86" s="111"/>
      <c r="L86" s="111"/>
      <c r="M86" s="20"/>
      <c r="N86" s="20"/>
      <c r="O86" s="21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  <c r="CY86" s="134"/>
      <c r="CZ86" s="134"/>
      <c r="DA86" s="134"/>
      <c r="DB86" s="134"/>
      <c r="DC86" s="134"/>
      <c r="DD86" s="134"/>
      <c r="DE86" s="134"/>
      <c r="DF86" s="134"/>
      <c r="DG86" s="134"/>
      <c r="DH86" s="134"/>
      <c r="DI86" s="134"/>
      <c r="DJ86" s="134"/>
      <c r="DK86" s="134"/>
      <c r="DL86" s="134"/>
      <c r="DM86" s="134"/>
      <c r="DN86" s="134"/>
      <c r="DO86" s="134"/>
      <c r="DP86" s="134"/>
      <c r="DQ86" s="134"/>
      <c r="DR86" s="134"/>
      <c r="DS86" s="134"/>
      <c r="DT86" s="134"/>
      <c r="DU86" s="134"/>
      <c r="DV86" s="134"/>
      <c r="DW86" s="134"/>
      <c r="DX86" s="134"/>
      <c r="DY86" s="134"/>
      <c r="DZ86" s="134"/>
      <c r="EA86" s="134"/>
      <c r="EB86" s="134"/>
      <c r="EC86" s="134"/>
      <c r="ED86" s="134"/>
      <c r="EE86" s="134"/>
      <c r="EF86" s="134"/>
      <c r="EG86" s="134"/>
      <c r="EH86" s="134"/>
      <c r="EI86" s="134"/>
      <c r="EJ86" s="134"/>
      <c r="EK86" s="134"/>
      <c r="EL86" s="134"/>
      <c r="EM86" s="134"/>
      <c r="EN86" s="134"/>
      <c r="EO86" s="134"/>
      <c r="EP86" s="134"/>
      <c r="EQ86" s="134"/>
      <c r="ER86" s="134"/>
      <c r="ES86" s="134"/>
      <c r="ET86" s="134"/>
      <c r="EU86" s="134"/>
      <c r="EV86" s="134"/>
      <c r="EW86" s="134"/>
      <c r="EX86" s="134"/>
      <c r="EY86" s="134"/>
      <c r="EZ86" s="134"/>
      <c r="FA86" s="134"/>
      <c r="FB86" s="134"/>
      <c r="FC86" s="134"/>
      <c r="FD86" s="134"/>
      <c r="FE86" s="134"/>
      <c r="FF86" s="134"/>
      <c r="FG86" s="134"/>
      <c r="FH86" s="134"/>
      <c r="FI86" s="134"/>
      <c r="FJ86" s="134"/>
      <c r="FK86" s="134"/>
      <c r="FL86" s="134"/>
      <c r="FM86" s="134"/>
      <c r="FN86" s="134"/>
      <c r="FO86" s="134"/>
      <c r="FP86" s="134"/>
      <c r="FQ86" s="134"/>
      <c r="FR86" s="134"/>
      <c r="FS86" s="134"/>
      <c r="FT86" s="134"/>
      <c r="FU86" s="134"/>
      <c r="FV86" s="134"/>
      <c r="FW86" s="134"/>
      <c r="FX86" s="134"/>
      <c r="FY86" s="134"/>
      <c r="FZ86" s="134"/>
      <c r="GA86" s="134"/>
    </row>
    <row r="87">
      <c r="A87" s="135">
        <v>46195.0</v>
      </c>
      <c r="B87" s="12" t="s">
        <v>17</v>
      </c>
      <c r="C87" s="114" t="s">
        <v>140</v>
      </c>
      <c r="D87" s="114">
        <v>20.0</v>
      </c>
      <c r="E87" s="14">
        <v>25000.0</v>
      </c>
      <c r="F87" s="14">
        <f t="shared" ref="F87:F132" si="5">D87*E87</f>
        <v>500000</v>
      </c>
      <c r="G87" s="15" t="s">
        <v>10</v>
      </c>
      <c r="H87" s="16"/>
      <c r="I87" s="136">
        <v>46195.0</v>
      </c>
      <c r="J87" s="18" t="s">
        <v>17</v>
      </c>
      <c r="K87" s="111" t="s">
        <v>16</v>
      </c>
      <c r="L87" s="111">
        <v>2.6</v>
      </c>
      <c r="M87" s="20">
        <v>25000.0</v>
      </c>
      <c r="N87" s="20">
        <f t="shared" ref="N87:N92" si="6">L87*M87</f>
        <v>65000</v>
      </c>
      <c r="O87" s="21" t="s">
        <v>10</v>
      </c>
      <c r="P87" s="16"/>
      <c r="Q87" s="28"/>
      <c r="R87" s="18"/>
      <c r="S87" s="111"/>
      <c r="T87" s="111"/>
      <c r="U87" s="20"/>
      <c r="V87" s="20"/>
      <c r="W87" s="21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</row>
    <row r="88">
      <c r="A88" s="136">
        <v>46195.0</v>
      </c>
      <c r="B88" s="18" t="s">
        <v>17</v>
      </c>
      <c r="C88" s="111" t="s">
        <v>253</v>
      </c>
      <c r="D88" s="111">
        <v>40.0</v>
      </c>
      <c r="E88" s="20">
        <v>25000.0</v>
      </c>
      <c r="F88" s="20">
        <f t="shared" si="5"/>
        <v>1000000</v>
      </c>
      <c r="G88" s="21" t="s">
        <v>10</v>
      </c>
      <c r="H88" s="16"/>
      <c r="I88" s="135">
        <v>46196.0</v>
      </c>
      <c r="J88" s="12" t="s">
        <v>17</v>
      </c>
      <c r="K88" s="114" t="s">
        <v>16</v>
      </c>
      <c r="L88" s="114">
        <v>1.2</v>
      </c>
      <c r="M88" s="14">
        <v>25000.0</v>
      </c>
      <c r="N88" s="14">
        <f t="shared" si="6"/>
        <v>30000</v>
      </c>
      <c r="O88" s="15" t="s">
        <v>10</v>
      </c>
      <c r="P88" s="16"/>
      <c r="Q88" s="28"/>
      <c r="R88" s="141"/>
      <c r="S88" s="18"/>
      <c r="T88" s="18"/>
      <c r="U88" s="20"/>
      <c r="V88" s="20"/>
      <c r="W88" s="2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4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  <c r="DJ88" s="194"/>
      <c r="DK88" s="194"/>
      <c r="DL88" s="194"/>
      <c r="DM88" s="194"/>
      <c r="DN88" s="194"/>
      <c r="DO88" s="194"/>
      <c r="DP88" s="194"/>
      <c r="DQ88" s="194"/>
      <c r="DR88" s="194"/>
      <c r="DS88" s="194"/>
      <c r="DT88" s="194"/>
      <c r="DU88" s="194"/>
      <c r="DV88" s="194"/>
      <c r="DW88" s="194"/>
      <c r="DX88" s="194"/>
      <c r="DY88" s="194"/>
      <c r="DZ88" s="194"/>
      <c r="EA88" s="194"/>
      <c r="EB88" s="194"/>
      <c r="EC88" s="194"/>
      <c r="ED88" s="194"/>
      <c r="EE88" s="194"/>
      <c r="EF88" s="194"/>
      <c r="EG88" s="194"/>
      <c r="EH88" s="194"/>
      <c r="EI88" s="194"/>
      <c r="EJ88" s="194"/>
      <c r="EK88" s="194"/>
      <c r="EL88" s="194"/>
      <c r="EM88" s="194"/>
      <c r="EN88" s="194"/>
      <c r="EO88" s="194"/>
      <c r="EP88" s="194"/>
      <c r="EQ88" s="194"/>
      <c r="ER88" s="194"/>
      <c r="ES88" s="194"/>
      <c r="ET88" s="194"/>
      <c r="EU88" s="194"/>
      <c r="EV88" s="194"/>
      <c r="EW88" s="194"/>
      <c r="EX88" s="194"/>
      <c r="EY88" s="194"/>
      <c r="EZ88" s="194"/>
      <c r="FA88" s="194"/>
      <c r="FB88" s="194"/>
      <c r="FC88" s="194"/>
      <c r="FD88" s="194"/>
      <c r="FE88" s="194"/>
      <c r="FF88" s="194"/>
      <c r="FG88" s="194"/>
      <c r="FH88" s="194"/>
      <c r="FI88" s="194"/>
      <c r="FJ88" s="194"/>
      <c r="FK88" s="194"/>
      <c r="FL88" s="194"/>
      <c r="FM88" s="194"/>
      <c r="FN88" s="194"/>
      <c r="FO88" s="194"/>
      <c r="FP88" s="194"/>
      <c r="FQ88" s="194"/>
      <c r="FR88" s="194"/>
      <c r="FS88" s="194"/>
      <c r="FT88" s="194"/>
      <c r="FU88" s="194"/>
      <c r="FV88" s="194"/>
      <c r="FW88" s="194"/>
      <c r="FX88" s="194"/>
      <c r="FY88" s="194"/>
      <c r="FZ88" s="194"/>
      <c r="GA88" s="194"/>
    </row>
    <row r="89">
      <c r="A89" s="135">
        <v>46195.0</v>
      </c>
      <c r="B89" s="12" t="s">
        <v>17</v>
      </c>
      <c r="C89" s="114" t="s">
        <v>67</v>
      </c>
      <c r="D89" s="114">
        <v>2.0</v>
      </c>
      <c r="E89" s="14">
        <v>25000.0</v>
      </c>
      <c r="F89" s="14">
        <f t="shared" si="5"/>
        <v>50000</v>
      </c>
      <c r="G89" s="15" t="s">
        <v>10</v>
      </c>
      <c r="H89" s="16"/>
      <c r="I89" s="136">
        <v>46197.0</v>
      </c>
      <c r="J89" s="18" t="s">
        <v>17</v>
      </c>
      <c r="K89" s="111" t="s">
        <v>16</v>
      </c>
      <c r="L89" s="111">
        <v>1.0</v>
      </c>
      <c r="M89" s="20">
        <v>25000.0</v>
      </c>
      <c r="N89" s="20">
        <f t="shared" si="6"/>
        <v>25000</v>
      </c>
      <c r="O89" s="21" t="s">
        <v>10</v>
      </c>
      <c r="P89" s="16"/>
      <c r="Q89" s="28"/>
      <c r="R89" s="18"/>
      <c r="S89" s="111"/>
      <c r="T89" s="111"/>
      <c r="U89" s="20"/>
      <c r="V89" s="20"/>
      <c r="W89" s="21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</row>
    <row r="90">
      <c r="A90" s="136">
        <v>46195.0</v>
      </c>
      <c r="B90" s="18" t="s">
        <v>17</v>
      </c>
      <c r="C90" s="111" t="s">
        <v>265</v>
      </c>
      <c r="D90" s="111">
        <v>2.0</v>
      </c>
      <c r="E90" s="20">
        <v>25000.0</v>
      </c>
      <c r="F90" s="20">
        <f t="shared" si="5"/>
        <v>50000</v>
      </c>
      <c r="G90" s="21" t="s">
        <v>10</v>
      </c>
      <c r="H90" s="16"/>
      <c r="I90" s="135">
        <v>46198.0</v>
      </c>
      <c r="J90" s="12" t="s">
        <v>17</v>
      </c>
      <c r="K90" s="114" t="s">
        <v>16</v>
      </c>
      <c r="L90" s="114">
        <v>0.7</v>
      </c>
      <c r="M90" s="14">
        <v>25000.0</v>
      </c>
      <c r="N90" s="14">
        <f t="shared" si="6"/>
        <v>17500</v>
      </c>
      <c r="O90" s="15" t="s">
        <v>10</v>
      </c>
      <c r="P90" s="110"/>
      <c r="Q90" s="28"/>
      <c r="R90" s="18"/>
      <c r="S90" s="111"/>
      <c r="T90" s="111"/>
      <c r="U90" s="20"/>
      <c r="V90" s="20"/>
      <c r="W90" s="21"/>
    </row>
    <row r="91">
      <c r="A91" s="135">
        <v>46195.0</v>
      </c>
      <c r="B91" s="12" t="s">
        <v>17</v>
      </c>
      <c r="C91" s="114" t="s">
        <v>60</v>
      </c>
      <c r="D91" s="114">
        <v>4.0</v>
      </c>
      <c r="E91" s="14">
        <v>25000.0</v>
      </c>
      <c r="F91" s="14">
        <f t="shared" si="5"/>
        <v>100000</v>
      </c>
      <c r="G91" s="15" t="s">
        <v>10</v>
      </c>
      <c r="H91" s="16"/>
      <c r="I91" s="136">
        <v>46199.0</v>
      </c>
      <c r="J91" s="18" t="s">
        <v>17</v>
      </c>
      <c r="K91" s="111" t="s">
        <v>16</v>
      </c>
      <c r="L91" s="111">
        <v>1.3</v>
      </c>
      <c r="M91" s="20">
        <v>25000.0</v>
      </c>
      <c r="N91" s="20">
        <f t="shared" si="6"/>
        <v>32500</v>
      </c>
      <c r="O91" s="21" t="s">
        <v>10</v>
      </c>
      <c r="P91" s="110"/>
      <c r="Q91" s="28"/>
      <c r="R91" s="18"/>
      <c r="S91" s="111"/>
      <c r="T91" s="111"/>
      <c r="U91" s="20"/>
      <c r="V91" s="20"/>
      <c r="W91" s="21"/>
    </row>
    <row r="92">
      <c r="A92" s="136">
        <v>46195.0</v>
      </c>
      <c r="B92" s="18" t="s">
        <v>17</v>
      </c>
      <c r="C92" s="111" t="s">
        <v>29</v>
      </c>
      <c r="D92" s="111">
        <v>1.0</v>
      </c>
      <c r="E92" s="20">
        <v>25000.0</v>
      </c>
      <c r="F92" s="20">
        <f t="shared" si="5"/>
        <v>25000</v>
      </c>
      <c r="G92" s="21" t="s">
        <v>10</v>
      </c>
      <c r="H92" s="16"/>
      <c r="I92" s="135">
        <v>46200.0</v>
      </c>
      <c r="J92" s="12" t="s">
        <v>17</v>
      </c>
      <c r="K92" s="13" t="s">
        <v>16</v>
      </c>
      <c r="L92" s="13">
        <v>1.3</v>
      </c>
      <c r="M92" s="14">
        <v>25000.0</v>
      </c>
      <c r="N92" s="14">
        <f t="shared" si="6"/>
        <v>32500</v>
      </c>
      <c r="O92" s="15" t="s">
        <v>10</v>
      </c>
      <c r="P92" s="110"/>
      <c r="Q92" s="28"/>
      <c r="R92" s="18"/>
      <c r="S92" s="111"/>
      <c r="T92" s="111"/>
      <c r="U92" s="20"/>
      <c r="V92" s="20"/>
      <c r="W92" s="21"/>
    </row>
    <row r="93">
      <c r="A93" s="135">
        <v>46195.0</v>
      </c>
      <c r="B93" s="12" t="s">
        <v>17</v>
      </c>
      <c r="C93" s="114" t="s">
        <v>273</v>
      </c>
      <c r="D93" s="114">
        <v>1.0</v>
      </c>
      <c r="E93" s="14">
        <v>25000.0</v>
      </c>
      <c r="F93" s="14">
        <f t="shared" si="5"/>
        <v>25000</v>
      </c>
      <c r="G93" s="15" t="s">
        <v>10</v>
      </c>
      <c r="H93" s="16"/>
      <c r="I93" s="115" t="s">
        <v>142</v>
      </c>
      <c r="K93" s="116"/>
      <c r="L93" s="117">
        <f>SUM(L87:L92)</f>
        <v>8.1</v>
      </c>
      <c r="M93" s="116"/>
      <c r="N93" s="118">
        <f>SUM(N87:N92)</f>
        <v>202500</v>
      </c>
      <c r="O93" s="119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</row>
    <row r="94">
      <c r="A94" s="136">
        <v>46195.0</v>
      </c>
      <c r="B94" s="18" t="s">
        <v>17</v>
      </c>
      <c r="C94" s="111" t="s">
        <v>23</v>
      </c>
      <c r="D94" s="111">
        <v>1.0</v>
      </c>
      <c r="E94" s="20">
        <v>25000.0</v>
      </c>
      <c r="F94" s="20">
        <f t="shared" si="5"/>
        <v>25000</v>
      </c>
      <c r="G94" s="21" t="s">
        <v>10</v>
      </c>
      <c r="H94" s="16"/>
      <c r="I94" s="115" t="s">
        <v>142</v>
      </c>
      <c r="K94" s="116"/>
      <c r="L94" s="117">
        <f>SUM(D133,L93)</f>
        <v>214.1</v>
      </c>
      <c r="M94" s="116"/>
      <c r="N94" s="123">
        <f>SUM(F133,N93)</f>
        <v>5352500</v>
      </c>
      <c r="O94" s="119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  <c r="CY94" s="134"/>
      <c r="CZ94" s="134"/>
      <c r="DA94" s="134"/>
      <c r="DB94" s="134"/>
      <c r="DC94" s="13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4"/>
      <c r="DQ94" s="134"/>
      <c r="DR94" s="134"/>
      <c r="DS94" s="134"/>
      <c r="DT94" s="134"/>
      <c r="DU94" s="134"/>
      <c r="DV94" s="134"/>
      <c r="DW94" s="134"/>
      <c r="DX94" s="134"/>
      <c r="DY94" s="134"/>
      <c r="DZ94" s="134"/>
      <c r="EA94" s="134"/>
      <c r="EB94" s="134"/>
      <c r="EC94" s="134"/>
      <c r="ED94" s="134"/>
      <c r="EE94" s="134"/>
      <c r="EF94" s="134"/>
      <c r="EG94" s="134"/>
      <c r="EH94" s="134"/>
      <c r="EI94" s="134"/>
      <c r="EJ94" s="134"/>
      <c r="EK94" s="134"/>
      <c r="EL94" s="134"/>
      <c r="EM94" s="134"/>
      <c r="EN94" s="134"/>
      <c r="EO94" s="134"/>
      <c r="EP94" s="134"/>
      <c r="EQ94" s="134"/>
      <c r="ER94" s="134"/>
      <c r="ES94" s="134"/>
      <c r="ET94" s="134"/>
      <c r="EU94" s="134"/>
      <c r="EV94" s="134"/>
      <c r="EW94" s="134"/>
      <c r="EX94" s="134"/>
      <c r="EY94" s="134"/>
      <c r="EZ94" s="134"/>
      <c r="FA94" s="134"/>
      <c r="FB94" s="134"/>
      <c r="FC94" s="134"/>
      <c r="FD94" s="134"/>
      <c r="FE94" s="134"/>
      <c r="FF94" s="134"/>
      <c r="FG94" s="134"/>
      <c r="FH94" s="134"/>
      <c r="FI94" s="134"/>
      <c r="FJ94" s="134"/>
      <c r="FK94" s="134"/>
      <c r="FL94" s="134"/>
      <c r="FM94" s="134"/>
      <c r="FN94" s="134"/>
      <c r="FO94" s="134"/>
      <c r="FP94" s="134"/>
      <c r="FQ94" s="134"/>
      <c r="FR94" s="134"/>
      <c r="FS94" s="134"/>
      <c r="FT94" s="134"/>
      <c r="FU94" s="134"/>
      <c r="FV94" s="134"/>
      <c r="FW94" s="134"/>
      <c r="FX94" s="134"/>
      <c r="FY94" s="134"/>
      <c r="FZ94" s="134"/>
      <c r="GA94" s="134"/>
    </row>
    <row r="95">
      <c r="A95" s="135">
        <v>46195.0</v>
      </c>
      <c r="B95" s="12" t="s">
        <v>17</v>
      </c>
      <c r="C95" s="114" t="s">
        <v>50</v>
      </c>
      <c r="D95" s="114">
        <v>1.0</v>
      </c>
      <c r="E95" s="14">
        <v>25000.0</v>
      </c>
      <c r="F95" s="14">
        <f t="shared" si="5"/>
        <v>25000</v>
      </c>
      <c r="G95" s="15" t="s">
        <v>10</v>
      </c>
      <c r="H95" s="16"/>
      <c r="I95" s="28"/>
      <c r="J95" s="18"/>
      <c r="K95" s="111"/>
      <c r="L95" s="111"/>
      <c r="M95" s="20"/>
      <c r="N95" s="20"/>
      <c r="O95" s="21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</row>
    <row r="96">
      <c r="A96" s="136">
        <v>46196.0</v>
      </c>
      <c r="B96" s="18" t="s">
        <v>17</v>
      </c>
      <c r="C96" s="111" t="s">
        <v>140</v>
      </c>
      <c r="D96" s="111">
        <v>15.0</v>
      </c>
      <c r="E96" s="20">
        <v>25000.0</v>
      </c>
      <c r="F96" s="20">
        <f t="shared" si="5"/>
        <v>375000</v>
      </c>
      <c r="G96" s="21" t="s">
        <v>10</v>
      </c>
      <c r="H96" s="16"/>
      <c r="I96" s="28"/>
      <c r="J96" s="18"/>
      <c r="K96" s="111"/>
      <c r="L96" s="111"/>
      <c r="M96" s="20"/>
      <c r="N96" s="20"/>
      <c r="O96" s="21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  <c r="CY96" s="134"/>
      <c r="CZ96" s="134"/>
      <c r="DA96" s="134"/>
      <c r="DB96" s="134"/>
      <c r="DC96" s="134"/>
      <c r="DD96" s="134"/>
      <c r="DE96" s="134"/>
      <c r="DF96" s="134"/>
      <c r="DG96" s="134"/>
      <c r="DH96" s="134"/>
      <c r="DI96" s="134"/>
      <c r="DJ96" s="134"/>
      <c r="DK96" s="134"/>
      <c r="DL96" s="134"/>
      <c r="DM96" s="134"/>
      <c r="DN96" s="134"/>
      <c r="DO96" s="134"/>
      <c r="DP96" s="134"/>
      <c r="DQ96" s="134"/>
      <c r="DR96" s="134"/>
      <c r="DS96" s="134"/>
      <c r="DT96" s="134"/>
      <c r="DU96" s="134"/>
      <c r="DV96" s="134"/>
      <c r="DW96" s="134"/>
      <c r="DX96" s="134"/>
      <c r="DY96" s="134"/>
      <c r="DZ96" s="134"/>
      <c r="EA96" s="134"/>
      <c r="EB96" s="134"/>
      <c r="EC96" s="134"/>
      <c r="ED96" s="134"/>
      <c r="EE96" s="134"/>
      <c r="EF96" s="134"/>
      <c r="EG96" s="134"/>
      <c r="EH96" s="134"/>
      <c r="EI96" s="134"/>
      <c r="EJ96" s="134"/>
      <c r="EK96" s="134"/>
      <c r="EL96" s="134"/>
      <c r="EM96" s="134"/>
      <c r="EN96" s="134"/>
      <c r="EO96" s="134"/>
      <c r="EP96" s="134"/>
      <c r="EQ96" s="134"/>
      <c r="ER96" s="134"/>
      <c r="ES96" s="134"/>
      <c r="ET96" s="134"/>
      <c r="EU96" s="134"/>
      <c r="EV96" s="134"/>
      <c r="EW96" s="134"/>
      <c r="EX96" s="134"/>
      <c r="EY96" s="134"/>
      <c r="EZ96" s="134"/>
      <c r="FA96" s="134"/>
      <c r="FB96" s="134"/>
      <c r="FC96" s="134"/>
      <c r="FD96" s="134"/>
      <c r="FE96" s="134"/>
      <c r="FF96" s="134"/>
      <c r="FG96" s="134"/>
      <c r="FH96" s="134"/>
      <c r="FI96" s="134"/>
      <c r="FJ96" s="134"/>
      <c r="FK96" s="134"/>
      <c r="FL96" s="134"/>
      <c r="FM96" s="134"/>
      <c r="FN96" s="134"/>
      <c r="FO96" s="134"/>
      <c r="FP96" s="134"/>
      <c r="FQ96" s="134"/>
      <c r="FR96" s="134"/>
      <c r="FS96" s="134"/>
      <c r="FT96" s="134"/>
      <c r="FU96" s="134"/>
      <c r="FV96" s="134"/>
      <c r="FW96" s="134"/>
      <c r="FX96" s="134"/>
      <c r="FY96" s="134"/>
      <c r="FZ96" s="134"/>
      <c r="GA96" s="134"/>
    </row>
    <row r="97">
      <c r="A97" s="135">
        <v>46196.0</v>
      </c>
      <c r="B97" s="12" t="s">
        <v>17</v>
      </c>
      <c r="C97" s="114" t="s">
        <v>274</v>
      </c>
      <c r="D97" s="114">
        <v>20.0</v>
      </c>
      <c r="E97" s="14">
        <v>25000.0</v>
      </c>
      <c r="F97" s="14">
        <f t="shared" si="5"/>
        <v>500000</v>
      </c>
      <c r="G97" s="15" t="s">
        <v>10</v>
      </c>
      <c r="H97" s="16"/>
      <c r="I97" s="28"/>
      <c r="J97" s="18"/>
      <c r="K97" s="111"/>
      <c r="L97" s="111"/>
      <c r="M97" s="20"/>
      <c r="N97" s="20"/>
      <c r="O97" s="21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</row>
    <row r="98">
      <c r="A98" s="136">
        <v>46196.0</v>
      </c>
      <c r="B98" s="18" t="s">
        <v>17</v>
      </c>
      <c r="C98" s="111" t="s">
        <v>269</v>
      </c>
      <c r="D98" s="111">
        <v>2.0</v>
      </c>
      <c r="E98" s="20">
        <v>25000.0</v>
      </c>
      <c r="F98" s="20">
        <f t="shared" si="5"/>
        <v>50000</v>
      </c>
      <c r="G98" s="21" t="s">
        <v>10</v>
      </c>
      <c r="H98" s="16"/>
      <c r="I98" s="28"/>
      <c r="J98" s="18"/>
      <c r="K98" s="111"/>
      <c r="L98" s="111"/>
      <c r="M98" s="20"/>
      <c r="N98" s="20"/>
      <c r="O98" s="21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  <c r="CY98" s="134"/>
      <c r="CZ98" s="134"/>
      <c r="DA98" s="134"/>
      <c r="DB98" s="134"/>
      <c r="DC98" s="134"/>
      <c r="DD98" s="134"/>
      <c r="DE98" s="134"/>
      <c r="DF98" s="134"/>
      <c r="DG98" s="134"/>
      <c r="DH98" s="134"/>
      <c r="DI98" s="134"/>
      <c r="DJ98" s="134"/>
      <c r="DK98" s="134"/>
      <c r="DL98" s="134"/>
      <c r="DM98" s="134"/>
      <c r="DN98" s="134"/>
      <c r="DO98" s="134"/>
      <c r="DP98" s="134"/>
      <c r="DQ98" s="134"/>
      <c r="DR98" s="134"/>
      <c r="DS98" s="134"/>
      <c r="DT98" s="134"/>
      <c r="DU98" s="134"/>
      <c r="DV98" s="134"/>
      <c r="DW98" s="134"/>
      <c r="DX98" s="134"/>
      <c r="DY98" s="134"/>
      <c r="DZ98" s="134"/>
      <c r="EA98" s="134"/>
      <c r="EB98" s="134"/>
      <c r="EC98" s="134"/>
      <c r="ED98" s="134"/>
      <c r="EE98" s="134"/>
      <c r="EF98" s="134"/>
      <c r="EG98" s="134"/>
      <c r="EH98" s="134"/>
      <c r="EI98" s="134"/>
      <c r="EJ98" s="134"/>
      <c r="EK98" s="134"/>
      <c r="EL98" s="134"/>
      <c r="EM98" s="134"/>
      <c r="EN98" s="134"/>
      <c r="EO98" s="134"/>
      <c r="EP98" s="134"/>
      <c r="EQ98" s="134"/>
      <c r="ER98" s="134"/>
      <c r="ES98" s="134"/>
      <c r="ET98" s="134"/>
      <c r="EU98" s="134"/>
      <c r="EV98" s="134"/>
      <c r="EW98" s="134"/>
      <c r="EX98" s="134"/>
      <c r="EY98" s="134"/>
      <c r="EZ98" s="134"/>
      <c r="FA98" s="134"/>
      <c r="FB98" s="134"/>
      <c r="FC98" s="134"/>
      <c r="FD98" s="134"/>
      <c r="FE98" s="134"/>
      <c r="FF98" s="134"/>
      <c r="FG98" s="134"/>
      <c r="FH98" s="134"/>
      <c r="FI98" s="134"/>
      <c r="FJ98" s="134"/>
      <c r="FK98" s="134"/>
      <c r="FL98" s="134"/>
      <c r="FM98" s="134"/>
      <c r="FN98" s="134"/>
      <c r="FO98" s="134"/>
      <c r="FP98" s="134"/>
      <c r="FQ98" s="134"/>
      <c r="FR98" s="134"/>
      <c r="FS98" s="134"/>
      <c r="FT98" s="134"/>
      <c r="FU98" s="134"/>
      <c r="FV98" s="134"/>
      <c r="FW98" s="134"/>
      <c r="FX98" s="134"/>
      <c r="FY98" s="134"/>
      <c r="FZ98" s="134"/>
      <c r="GA98" s="134"/>
    </row>
    <row r="99">
      <c r="A99" s="135">
        <v>46196.0</v>
      </c>
      <c r="B99" s="12" t="s">
        <v>17</v>
      </c>
      <c r="C99" s="114" t="s">
        <v>275</v>
      </c>
      <c r="D99" s="114">
        <v>1.0</v>
      </c>
      <c r="E99" s="14">
        <v>25000.0</v>
      </c>
      <c r="F99" s="14">
        <f t="shared" si="5"/>
        <v>25000</v>
      </c>
      <c r="G99" s="15" t="s">
        <v>10</v>
      </c>
      <c r="H99" s="16"/>
      <c r="I99" s="28"/>
      <c r="J99" s="18"/>
      <c r="K99" s="111"/>
      <c r="L99" s="111"/>
      <c r="M99" s="20"/>
      <c r="N99" s="20"/>
      <c r="O99" s="21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</row>
    <row r="100">
      <c r="A100" s="136">
        <v>46196.0</v>
      </c>
      <c r="B100" s="18" t="s">
        <v>17</v>
      </c>
      <c r="C100" s="111" t="s">
        <v>23</v>
      </c>
      <c r="D100" s="111">
        <v>1.0</v>
      </c>
      <c r="E100" s="20">
        <v>25000.0</v>
      </c>
      <c r="F100" s="20">
        <f t="shared" si="5"/>
        <v>25000</v>
      </c>
      <c r="G100" s="21" t="s">
        <v>10</v>
      </c>
      <c r="H100" s="16"/>
      <c r="I100" s="28"/>
      <c r="J100" s="18"/>
      <c r="K100" s="111"/>
      <c r="L100" s="111"/>
      <c r="M100" s="20"/>
      <c r="N100" s="20"/>
      <c r="O100" s="21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  <c r="CY100" s="134"/>
      <c r="CZ100" s="134"/>
      <c r="DA100" s="134"/>
      <c r="DB100" s="134"/>
      <c r="DC100" s="134"/>
      <c r="DD100" s="134"/>
      <c r="DE100" s="134"/>
      <c r="DF100" s="134"/>
      <c r="DG100" s="134"/>
      <c r="DH100" s="134"/>
      <c r="DI100" s="134"/>
      <c r="DJ100" s="134"/>
      <c r="DK100" s="134"/>
      <c r="DL100" s="134"/>
      <c r="DM100" s="134"/>
      <c r="DN100" s="134"/>
      <c r="DO100" s="134"/>
      <c r="DP100" s="134"/>
      <c r="DQ100" s="134"/>
      <c r="DR100" s="134"/>
      <c r="DS100" s="134"/>
      <c r="DT100" s="134"/>
      <c r="DU100" s="134"/>
      <c r="DV100" s="134"/>
      <c r="DW100" s="134"/>
      <c r="DX100" s="134"/>
      <c r="DY100" s="134"/>
      <c r="DZ100" s="134"/>
      <c r="EA100" s="134"/>
      <c r="EB100" s="134"/>
      <c r="EC100" s="134"/>
      <c r="ED100" s="134"/>
      <c r="EE100" s="134"/>
      <c r="EF100" s="134"/>
      <c r="EG100" s="134"/>
      <c r="EH100" s="134"/>
      <c r="EI100" s="134"/>
      <c r="EJ100" s="134"/>
      <c r="EK100" s="134"/>
      <c r="EL100" s="134"/>
      <c r="EM100" s="134"/>
      <c r="EN100" s="134"/>
      <c r="EO100" s="134"/>
      <c r="EP100" s="134"/>
      <c r="EQ100" s="134"/>
      <c r="ER100" s="134"/>
      <c r="ES100" s="134"/>
      <c r="ET100" s="134"/>
      <c r="EU100" s="134"/>
      <c r="EV100" s="134"/>
      <c r="EW100" s="134"/>
      <c r="EX100" s="134"/>
      <c r="EY100" s="134"/>
      <c r="EZ100" s="134"/>
      <c r="FA100" s="134"/>
      <c r="FB100" s="134"/>
      <c r="FC100" s="134"/>
      <c r="FD100" s="134"/>
      <c r="FE100" s="134"/>
      <c r="FF100" s="134"/>
      <c r="FG100" s="134"/>
      <c r="FH100" s="134"/>
      <c r="FI100" s="134"/>
      <c r="FJ100" s="134"/>
      <c r="FK100" s="134"/>
      <c r="FL100" s="134"/>
      <c r="FM100" s="134"/>
      <c r="FN100" s="134"/>
      <c r="FO100" s="134"/>
      <c r="FP100" s="134"/>
      <c r="FQ100" s="134"/>
      <c r="FR100" s="134"/>
      <c r="FS100" s="134"/>
      <c r="FT100" s="134"/>
      <c r="FU100" s="134"/>
      <c r="FV100" s="134"/>
      <c r="FW100" s="134"/>
      <c r="FX100" s="134"/>
      <c r="FY100" s="134"/>
      <c r="FZ100" s="134"/>
      <c r="GA100" s="134"/>
    </row>
    <row r="101">
      <c r="A101" s="135">
        <v>46196.0</v>
      </c>
      <c r="B101" s="12" t="s">
        <v>17</v>
      </c>
      <c r="C101" s="114" t="s">
        <v>67</v>
      </c>
      <c r="D101" s="114">
        <v>1.0</v>
      </c>
      <c r="E101" s="14">
        <v>25000.0</v>
      </c>
      <c r="F101" s="14">
        <f t="shared" si="5"/>
        <v>25000</v>
      </c>
      <c r="G101" s="15" t="s">
        <v>10</v>
      </c>
      <c r="H101" s="16"/>
      <c r="I101" s="28"/>
      <c r="J101" s="18"/>
      <c r="K101" s="111"/>
      <c r="L101" s="111"/>
      <c r="M101" s="20"/>
      <c r="N101" s="20"/>
      <c r="O101" s="21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</row>
    <row r="102">
      <c r="A102" s="136">
        <v>46196.0</v>
      </c>
      <c r="B102" s="18" t="s">
        <v>17</v>
      </c>
      <c r="C102" s="111" t="s">
        <v>276</v>
      </c>
      <c r="D102" s="111">
        <v>1.0</v>
      </c>
      <c r="E102" s="20">
        <v>25000.0</v>
      </c>
      <c r="F102" s="20">
        <f t="shared" si="5"/>
        <v>25000</v>
      </c>
      <c r="G102" s="21" t="s">
        <v>10</v>
      </c>
      <c r="H102" s="16"/>
      <c r="I102" s="28"/>
      <c r="J102" s="18"/>
      <c r="K102" s="111"/>
      <c r="L102" s="111"/>
      <c r="M102" s="20"/>
      <c r="N102" s="20"/>
      <c r="O102" s="21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  <c r="CY102" s="134"/>
      <c r="CZ102" s="134"/>
      <c r="DA102" s="134"/>
      <c r="DB102" s="134"/>
      <c r="DC102" s="134"/>
      <c r="DD102" s="134"/>
      <c r="DE102" s="134"/>
      <c r="DF102" s="134"/>
      <c r="DG102" s="134"/>
      <c r="DH102" s="134"/>
      <c r="DI102" s="134"/>
      <c r="DJ102" s="134"/>
      <c r="DK102" s="134"/>
      <c r="DL102" s="134"/>
      <c r="DM102" s="134"/>
      <c r="DN102" s="134"/>
      <c r="DO102" s="134"/>
      <c r="DP102" s="134"/>
      <c r="DQ102" s="134"/>
      <c r="DR102" s="134"/>
      <c r="DS102" s="134"/>
      <c r="DT102" s="134"/>
      <c r="DU102" s="134"/>
      <c r="DV102" s="134"/>
      <c r="DW102" s="134"/>
      <c r="DX102" s="134"/>
      <c r="DY102" s="134"/>
      <c r="DZ102" s="134"/>
      <c r="EA102" s="134"/>
      <c r="EB102" s="134"/>
      <c r="EC102" s="134"/>
      <c r="ED102" s="134"/>
      <c r="EE102" s="134"/>
      <c r="EF102" s="134"/>
      <c r="EG102" s="134"/>
      <c r="EH102" s="134"/>
      <c r="EI102" s="134"/>
      <c r="EJ102" s="134"/>
      <c r="EK102" s="134"/>
      <c r="EL102" s="134"/>
      <c r="EM102" s="134"/>
      <c r="EN102" s="134"/>
      <c r="EO102" s="134"/>
      <c r="EP102" s="134"/>
      <c r="EQ102" s="134"/>
      <c r="ER102" s="134"/>
      <c r="ES102" s="134"/>
      <c r="ET102" s="134"/>
      <c r="EU102" s="134"/>
      <c r="EV102" s="134"/>
      <c r="EW102" s="134"/>
      <c r="EX102" s="134"/>
      <c r="EY102" s="134"/>
      <c r="EZ102" s="134"/>
      <c r="FA102" s="134"/>
      <c r="FB102" s="134"/>
      <c r="FC102" s="134"/>
      <c r="FD102" s="134"/>
      <c r="FE102" s="134"/>
      <c r="FF102" s="134"/>
      <c r="FG102" s="134"/>
      <c r="FH102" s="134"/>
      <c r="FI102" s="134"/>
      <c r="FJ102" s="134"/>
      <c r="FK102" s="134"/>
      <c r="FL102" s="134"/>
      <c r="FM102" s="134"/>
      <c r="FN102" s="134"/>
      <c r="FO102" s="134"/>
      <c r="FP102" s="134"/>
      <c r="FQ102" s="134"/>
      <c r="FR102" s="134"/>
      <c r="FS102" s="134"/>
      <c r="FT102" s="134"/>
      <c r="FU102" s="134"/>
      <c r="FV102" s="134"/>
      <c r="FW102" s="134"/>
      <c r="FX102" s="134"/>
      <c r="FY102" s="134"/>
      <c r="FZ102" s="134"/>
      <c r="GA102" s="134"/>
    </row>
    <row r="103">
      <c r="A103" s="135">
        <v>46196.0</v>
      </c>
      <c r="B103" s="12" t="s">
        <v>17</v>
      </c>
      <c r="C103" s="114" t="s">
        <v>79</v>
      </c>
      <c r="D103" s="114">
        <v>1.0</v>
      </c>
      <c r="E103" s="14">
        <v>25000.0</v>
      </c>
      <c r="F103" s="14">
        <f t="shared" si="5"/>
        <v>25000</v>
      </c>
      <c r="G103" s="15" t="s">
        <v>10</v>
      </c>
      <c r="H103" s="16"/>
      <c r="I103" s="28"/>
      <c r="J103" s="18"/>
      <c r="K103" s="111"/>
      <c r="L103" s="111"/>
      <c r="M103" s="20"/>
      <c r="N103" s="20"/>
      <c r="O103" s="21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</row>
    <row r="104">
      <c r="A104" s="136">
        <v>46196.0</v>
      </c>
      <c r="B104" s="18" t="s">
        <v>17</v>
      </c>
      <c r="C104" s="111" t="s">
        <v>60</v>
      </c>
      <c r="D104" s="111">
        <v>1.0</v>
      </c>
      <c r="E104" s="20">
        <v>25000.0</v>
      </c>
      <c r="F104" s="20">
        <f t="shared" si="5"/>
        <v>25000</v>
      </c>
      <c r="G104" s="21" t="s">
        <v>10</v>
      </c>
      <c r="H104" s="195"/>
      <c r="I104" s="28"/>
      <c r="J104" s="18"/>
      <c r="K104" s="111"/>
      <c r="L104" s="111"/>
      <c r="M104" s="20"/>
      <c r="N104" s="20"/>
      <c r="O104" s="21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  <c r="CY104" s="134"/>
      <c r="CZ104" s="134"/>
      <c r="DA104" s="134"/>
      <c r="DB104" s="134"/>
      <c r="DC104" s="134"/>
      <c r="DD104" s="134"/>
      <c r="DE104" s="134"/>
      <c r="DF104" s="134"/>
      <c r="DG104" s="134"/>
      <c r="DH104" s="134"/>
      <c r="DI104" s="134"/>
      <c r="DJ104" s="134"/>
      <c r="DK104" s="134"/>
      <c r="DL104" s="134"/>
      <c r="DM104" s="134"/>
      <c r="DN104" s="134"/>
      <c r="DO104" s="134"/>
      <c r="DP104" s="134"/>
      <c r="DQ104" s="134"/>
      <c r="DR104" s="134"/>
      <c r="DS104" s="134"/>
      <c r="DT104" s="134"/>
      <c r="DU104" s="134"/>
      <c r="DV104" s="134"/>
      <c r="DW104" s="134"/>
      <c r="DX104" s="134"/>
      <c r="DY104" s="134"/>
      <c r="DZ104" s="134"/>
      <c r="EA104" s="134"/>
      <c r="EB104" s="134"/>
      <c r="EC104" s="134"/>
      <c r="ED104" s="134"/>
      <c r="EE104" s="134"/>
      <c r="EF104" s="134"/>
      <c r="EG104" s="134"/>
      <c r="EH104" s="134"/>
      <c r="EI104" s="134"/>
      <c r="EJ104" s="134"/>
      <c r="EK104" s="134"/>
      <c r="EL104" s="134"/>
      <c r="EM104" s="134"/>
      <c r="EN104" s="134"/>
      <c r="EO104" s="134"/>
      <c r="EP104" s="134"/>
      <c r="EQ104" s="134"/>
      <c r="ER104" s="134"/>
      <c r="ES104" s="134"/>
      <c r="ET104" s="134"/>
      <c r="EU104" s="134"/>
      <c r="EV104" s="134"/>
      <c r="EW104" s="134"/>
      <c r="EX104" s="134"/>
      <c r="EY104" s="134"/>
      <c r="EZ104" s="134"/>
      <c r="FA104" s="134"/>
      <c r="FB104" s="134"/>
      <c r="FC104" s="134"/>
      <c r="FD104" s="134"/>
      <c r="FE104" s="134"/>
      <c r="FF104" s="134"/>
      <c r="FG104" s="134"/>
      <c r="FH104" s="134"/>
      <c r="FI104" s="134"/>
      <c r="FJ104" s="134"/>
      <c r="FK104" s="134"/>
      <c r="FL104" s="134"/>
      <c r="FM104" s="134"/>
      <c r="FN104" s="134"/>
      <c r="FO104" s="134"/>
      <c r="FP104" s="134"/>
      <c r="FQ104" s="134"/>
      <c r="FR104" s="134"/>
      <c r="FS104" s="134"/>
      <c r="FT104" s="134"/>
      <c r="FU104" s="134"/>
      <c r="FV104" s="134"/>
      <c r="FW104" s="134"/>
      <c r="FX104" s="134"/>
      <c r="FY104" s="134"/>
      <c r="FZ104" s="134"/>
      <c r="GA104" s="134"/>
    </row>
    <row r="105">
      <c r="A105" s="135">
        <v>46197.0</v>
      </c>
      <c r="B105" s="12" t="s">
        <v>17</v>
      </c>
      <c r="C105" s="114" t="s">
        <v>60</v>
      </c>
      <c r="D105" s="114">
        <v>2.0</v>
      </c>
      <c r="E105" s="14">
        <v>25000.0</v>
      </c>
      <c r="F105" s="14">
        <f t="shared" si="5"/>
        <v>50000</v>
      </c>
      <c r="G105" s="15" t="s">
        <v>10</v>
      </c>
      <c r="H105" s="16"/>
      <c r="I105" s="28"/>
      <c r="J105" s="18"/>
      <c r="K105" s="111"/>
      <c r="L105" s="111"/>
      <c r="M105" s="20"/>
      <c r="N105" s="20"/>
      <c r="O105" s="21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</row>
    <row r="106">
      <c r="A106" s="136">
        <v>46197.0</v>
      </c>
      <c r="B106" s="18" t="s">
        <v>17</v>
      </c>
      <c r="C106" s="111" t="s">
        <v>29</v>
      </c>
      <c r="D106" s="111">
        <v>1.0</v>
      </c>
      <c r="E106" s="20">
        <v>25000.0</v>
      </c>
      <c r="F106" s="20">
        <f t="shared" si="5"/>
        <v>25000</v>
      </c>
      <c r="G106" s="21" t="s">
        <v>10</v>
      </c>
      <c r="H106" s="16"/>
      <c r="I106" s="28"/>
      <c r="J106" s="18"/>
      <c r="K106" s="111"/>
      <c r="L106" s="111"/>
      <c r="M106" s="20"/>
      <c r="N106" s="20"/>
      <c r="O106" s="21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  <c r="CY106" s="134"/>
      <c r="CZ106" s="134"/>
      <c r="DA106" s="134"/>
      <c r="DB106" s="134"/>
      <c r="DC106" s="134"/>
      <c r="DD106" s="134"/>
      <c r="DE106" s="134"/>
      <c r="DF106" s="134"/>
      <c r="DG106" s="134"/>
      <c r="DH106" s="134"/>
      <c r="DI106" s="134"/>
      <c r="DJ106" s="134"/>
      <c r="DK106" s="134"/>
      <c r="DL106" s="134"/>
      <c r="DM106" s="134"/>
      <c r="DN106" s="134"/>
      <c r="DO106" s="134"/>
      <c r="DP106" s="134"/>
      <c r="DQ106" s="134"/>
      <c r="DR106" s="134"/>
      <c r="DS106" s="134"/>
      <c r="DT106" s="134"/>
      <c r="DU106" s="134"/>
      <c r="DV106" s="134"/>
      <c r="DW106" s="134"/>
      <c r="DX106" s="134"/>
      <c r="DY106" s="134"/>
      <c r="DZ106" s="134"/>
      <c r="EA106" s="134"/>
      <c r="EB106" s="134"/>
      <c r="EC106" s="134"/>
      <c r="ED106" s="134"/>
      <c r="EE106" s="134"/>
      <c r="EF106" s="134"/>
      <c r="EG106" s="134"/>
      <c r="EH106" s="134"/>
      <c r="EI106" s="134"/>
      <c r="EJ106" s="134"/>
      <c r="EK106" s="134"/>
      <c r="EL106" s="134"/>
      <c r="EM106" s="134"/>
      <c r="EN106" s="134"/>
      <c r="EO106" s="134"/>
      <c r="EP106" s="134"/>
      <c r="EQ106" s="134"/>
      <c r="ER106" s="134"/>
      <c r="ES106" s="134"/>
      <c r="ET106" s="134"/>
      <c r="EU106" s="134"/>
      <c r="EV106" s="134"/>
      <c r="EW106" s="134"/>
      <c r="EX106" s="134"/>
      <c r="EY106" s="134"/>
      <c r="EZ106" s="134"/>
      <c r="FA106" s="134"/>
      <c r="FB106" s="134"/>
      <c r="FC106" s="134"/>
      <c r="FD106" s="134"/>
      <c r="FE106" s="134"/>
      <c r="FF106" s="134"/>
      <c r="FG106" s="134"/>
      <c r="FH106" s="134"/>
      <c r="FI106" s="134"/>
      <c r="FJ106" s="134"/>
      <c r="FK106" s="134"/>
      <c r="FL106" s="134"/>
      <c r="FM106" s="134"/>
      <c r="FN106" s="134"/>
      <c r="FO106" s="134"/>
      <c r="FP106" s="134"/>
      <c r="FQ106" s="134"/>
      <c r="FR106" s="134"/>
      <c r="FS106" s="134"/>
      <c r="FT106" s="134"/>
      <c r="FU106" s="134"/>
      <c r="FV106" s="134"/>
      <c r="FW106" s="134"/>
      <c r="FX106" s="134"/>
      <c r="FY106" s="134"/>
      <c r="FZ106" s="134"/>
      <c r="GA106" s="134"/>
    </row>
    <row r="107">
      <c r="A107" s="135">
        <v>46197.0</v>
      </c>
      <c r="B107" s="12" t="s">
        <v>17</v>
      </c>
      <c r="C107" s="114" t="s">
        <v>265</v>
      </c>
      <c r="D107" s="114">
        <v>1.0</v>
      </c>
      <c r="E107" s="14">
        <v>25000.0</v>
      </c>
      <c r="F107" s="14">
        <f t="shared" si="5"/>
        <v>25000</v>
      </c>
      <c r="G107" s="15" t="s">
        <v>10</v>
      </c>
      <c r="H107" s="16"/>
      <c r="I107" s="28"/>
      <c r="J107" s="18"/>
      <c r="K107" s="111"/>
      <c r="L107" s="111"/>
      <c r="M107" s="20"/>
      <c r="N107" s="20"/>
      <c r="O107" s="21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</row>
    <row r="108">
      <c r="A108" s="136">
        <v>46197.0</v>
      </c>
      <c r="B108" s="18" t="s">
        <v>17</v>
      </c>
      <c r="C108" s="111" t="s">
        <v>50</v>
      </c>
      <c r="D108" s="111">
        <v>1.0</v>
      </c>
      <c r="E108" s="20">
        <v>25000.0</v>
      </c>
      <c r="F108" s="20">
        <f t="shared" si="5"/>
        <v>25000</v>
      </c>
      <c r="G108" s="21" t="s">
        <v>10</v>
      </c>
      <c r="H108" s="16"/>
      <c r="I108" s="28"/>
      <c r="J108" s="18"/>
      <c r="K108" s="111"/>
      <c r="L108" s="111"/>
      <c r="M108" s="20"/>
      <c r="N108" s="20"/>
      <c r="O108" s="21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  <c r="CY108" s="134"/>
      <c r="CZ108" s="134"/>
      <c r="DA108" s="134"/>
      <c r="DB108" s="134"/>
      <c r="DC108" s="134"/>
      <c r="DD108" s="134"/>
      <c r="DE108" s="134"/>
      <c r="DF108" s="134"/>
      <c r="DG108" s="134"/>
      <c r="DH108" s="134"/>
      <c r="DI108" s="134"/>
      <c r="DJ108" s="134"/>
      <c r="DK108" s="134"/>
      <c r="DL108" s="134"/>
      <c r="DM108" s="134"/>
      <c r="DN108" s="134"/>
      <c r="DO108" s="134"/>
      <c r="DP108" s="134"/>
      <c r="DQ108" s="134"/>
      <c r="DR108" s="134"/>
      <c r="DS108" s="134"/>
      <c r="DT108" s="134"/>
      <c r="DU108" s="134"/>
      <c r="DV108" s="134"/>
      <c r="DW108" s="134"/>
      <c r="DX108" s="134"/>
      <c r="DY108" s="134"/>
      <c r="DZ108" s="134"/>
      <c r="EA108" s="134"/>
      <c r="EB108" s="134"/>
      <c r="EC108" s="134"/>
      <c r="ED108" s="134"/>
      <c r="EE108" s="134"/>
      <c r="EF108" s="134"/>
      <c r="EG108" s="134"/>
      <c r="EH108" s="134"/>
      <c r="EI108" s="134"/>
      <c r="EJ108" s="134"/>
      <c r="EK108" s="134"/>
      <c r="EL108" s="134"/>
      <c r="EM108" s="134"/>
      <c r="EN108" s="134"/>
      <c r="EO108" s="134"/>
      <c r="EP108" s="134"/>
      <c r="EQ108" s="134"/>
      <c r="ER108" s="134"/>
      <c r="ES108" s="134"/>
      <c r="ET108" s="134"/>
      <c r="EU108" s="134"/>
      <c r="EV108" s="134"/>
      <c r="EW108" s="134"/>
      <c r="EX108" s="134"/>
      <c r="EY108" s="134"/>
      <c r="EZ108" s="134"/>
      <c r="FA108" s="134"/>
      <c r="FB108" s="134"/>
      <c r="FC108" s="134"/>
      <c r="FD108" s="134"/>
      <c r="FE108" s="134"/>
      <c r="FF108" s="134"/>
      <c r="FG108" s="134"/>
      <c r="FH108" s="134"/>
      <c r="FI108" s="134"/>
      <c r="FJ108" s="134"/>
      <c r="FK108" s="134"/>
      <c r="FL108" s="134"/>
      <c r="FM108" s="134"/>
      <c r="FN108" s="134"/>
      <c r="FO108" s="134"/>
      <c r="FP108" s="134"/>
      <c r="FQ108" s="134"/>
      <c r="FR108" s="134"/>
      <c r="FS108" s="134"/>
      <c r="FT108" s="134"/>
      <c r="FU108" s="134"/>
      <c r="FV108" s="134"/>
      <c r="FW108" s="134"/>
      <c r="FX108" s="134"/>
      <c r="FY108" s="134"/>
      <c r="FZ108" s="134"/>
      <c r="GA108" s="134"/>
    </row>
    <row r="109">
      <c r="A109" s="135">
        <v>46197.0</v>
      </c>
      <c r="B109" s="12" t="s">
        <v>17</v>
      </c>
      <c r="C109" s="114" t="s">
        <v>273</v>
      </c>
      <c r="D109" s="114">
        <v>1.0</v>
      </c>
      <c r="E109" s="14">
        <v>25000.0</v>
      </c>
      <c r="F109" s="14">
        <f t="shared" si="5"/>
        <v>25000</v>
      </c>
      <c r="G109" s="15" t="s">
        <v>10</v>
      </c>
      <c r="H109" s="16"/>
      <c r="I109" s="28"/>
      <c r="J109" s="18"/>
      <c r="K109" s="111"/>
      <c r="L109" s="111"/>
      <c r="M109" s="20"/>
      <c r="N109" s="20"/>
      <c r="O109" s="21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</row>
    <row r="110">
      <c r="A110" s="136">
        <v>46197.0</v>
      </c>
      <c r="B110" s="18" t="s">
        <v>17</v>
      </c>
      <c r="C110" s="111" t="s">
        <v>67</v>
      </c>
      <c r="D110" s="111">
        <v>2.0</v>
      </c>
      <c r="E110" s="20">
        <v>25000.0</v>
      </c>
      <c r="F110" s="20">
        <f t="shared" si="5"/>
        <v>50000</v>
      </c>
      <c r="G110" s="21" t="s">
        <v>10</v>
      </c>
      <c r="H110" s="16"/>
      <c r="I110" s="28"/>
      <c r="J110" s="18"/>
      <c r="K110" s="111"/>
      <c r="L110" s="111"/>
      <c r="M110" s="20"/>
      <c r="N110" s="20"/>
      <c r="O110" s="21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  <c r="CY110" s="134"/>
      <c r="CZ110" s="134"/>
      <c r="DA110" s="134"/>
      <c r="DB110" s="134"/>
      <c r="DC110" s="134"/>
      <c r="DD110" s="134"/>
      <c r="DE110" s="134"/>
      <c r="DF110" s="134"/>
      <c r="DG110" s="134"/>
      <c r="DH110" s="134"/>
      <c r="DI110" s="134"/>
      <c r="DJ110" s="134"/>
      <c r="DK110" s="134"/>
      <c r="DL110" s="134"/>
      <c r="DM110" s="134"/>
      <c r="DN110" s="134"/>
      <c r="DO110" s="134"/>
      <c r="DP110" s="134"/>
      <c r="DQ110" s="134"/>
      <c r="DR110" s="134"/>
      <c r="DS110" s="134"/>
      <c r="DT110" s="134"/>
      <c r="DU110" s="134"/>
      <c r="DV110" s="134"/>
      <c r="DW110" s="134"/>
      <c r="DX110" s="134"/>
      <c r="DY110" s="134"/>
      <c r="DZ110" s="134"/>
      <c r="EA110" s="134"/>
      <c r="EB110" s="134"/>
      <c r="EC110" s="134"/>
      <c r="ED110" s="134"/>
      <c r="EE110" s="134"/>
      <c r="EF110" s="134"/>
      <c r="EG110" s="134"/>
      <c r="EH110" s="134"/>
      <c r="EI110" s="134"/>
      <c r="EJ110" s="134"/>
      <c r="EK110" s="134"/>
      <c r="EL110" s="134"/>
      <c r="EM110" s="134"/>
      <c r="EN110" s="134"/>
      <c r="EO110" s="134"/>
      <c r="EP110" s="134"/>
      <c r="EQ110" s="134"/>
      <c r="ER110" s="134"/>
      <c r="ES110" s="134"/>
      <c r="ET110" s="134"/>
      <c r="EU110" s="134"/>
      <c r="EV110" s="134"/>
      <c r="EW110" s="134"/>
      <c r="EX110" s="134"/>
      <c r="EY110" s="134"/>
      <c r="EZ110" s="134"/>
      <c r="FA110" s="134"/>
      <c r="FB110" s="134"/>
      <c r="FC110" s="134"/>
      <c r="FD110" s="134"/>
      <c r="FE110" s="134"/>
      <c r="FF110" s="134"/>
      <c r="FG110" s="134"/>
      <c r="FH110" s="134"/>
      <c r="FI110" s="134"/>
      <c r="FJ110" s="134"/>
      <c r="FK110" s="134"/>
      <c r="FL110" s="134"/>
      <c r="FM110" s="134"/>
      <c r="FN110" s="134"/>
      <c r="FO110" s="134"/>
      <c r="FP110" s="134"/>
      <c r="FQ110" s="134"/>
      <c r="FR110" s="134"/>
      <c r="FS110" s="134"/>
      <c r="FT110" s="134"/>
      <c r="FU110" s="134"/>
      <c r="FV110" s="134"/>
      <c r="FW110" s="134"/>
      <c r="FX110" s="134"/>
      <c r="FY110" s="134"/>
      <c r="FZ110" s="134"/>
      <c r="GA110" s="134"/>
    </row>
    <row r="111">
      <c r="A111" s="135">
        <v>46198.0</v>
      </c>
      <c r="B111" s="12" t="s">
        <v>17</v>
      </c>
      <c r="C111" s="114" t="s">
        <v>277</v>
      </c>
      <c r="D111" s="114">
        <v>2.0</v>
      </c>
      <c r="E111" s="14">
        <v>25000.0</v>
      </c>
      <c r="F111" s="14">
        <f t="shared" si="5"/>
        <v>50000</v>
      </c>
      <c r="G111" s="15" t="s">
        <v>10</v>
      </c>
      <c r="H111" s="16"/>
      <c r="I111" s="28"/>
      <c r="J111" s="18"/>
      <c r="K111" s="111"/>
      <c r="L111" s="111"/>
      <c r="M111" s="20"/>
      <c r="N111" s="20"/>
      <c r="O111" s="21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</row>
    <row r="112">
      <c r="A112" s="138">
        <v>46198.0</v>
      </c>
      <c r="B112" s="29" t="s">
        <v>17</v>
      </c>
      <c r="C112" s="73" t="s">
        <v>23</v>
      </c>
      <c r="D112" s="73">
        <v>2.0</v>
      </c>
      <c r="E112" s="32">
        <v>25000.0</v>
      </c>
      <c r="F112" s="32">
        <f t="shared" si="5"/>
        <v>50000</v>
      </c>
      <c r="G112" s="33" t="s">
        <v>10</v>
      </c>
      <c r="H112" s="110"/>
      <c r="I112" s="151"/>
      <c r="J112" s="151"/>
      <c r="K112" s="152"/>
      <c r="L112" s="153"/>
      <c r="M112" s="153"/>
      <c r="N112" s="153"/>
      <c r="O112" s="16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  <c r="CY112" s="134"/>
      <c r="CZ112" s="134"/>
      <c r="DA112" s="134"/>
      <c r="DB112" s="134"/>
      <c r="DC112" s="134"/>
      <c r="DD112" s="134"/>
      <c r="DE112" s="134"/>
      <c r="DF112" s="134"/>
      <c r="DG112" s="134"/>
      <c r="DH112" s="134"/>
      <c r="DI112" s="134"/>
      <c r="DJ112" s="134"/>
      <c r="DK112" s="134"/>
      <c r="DL112" s="134"/>
      <c r="DM112" s="134"/>
      <c r="DN112" s="134"/>
      <c r="DO112" s="134"/>
      <c r="DP112" s="134"/>
      <c r="DQ112" s="134"/>
      <c r="DR112" s="134"/>
      <c r="DS112" s="134"/>
      <c r="DT112" s="134"/>
      <c r="DU112" s="134"/>
      <c r="DV112" s="134"/>
      <c r="DW112" s="134"/>
      <c r="DX112" s="134"/>
      <c r="DY112" s="134"/>
      <c r="DZ112" s="134"/>
      <c r="EA112" s="134"/>
      <c r="EB112" s="134"/>
      <c r="EC112" s="134"/>
      <c r="ED112" s="134"/>
      <c r="EE112" s="134"/>
      <c r="EF112" s="134"/>
      <c r="EG112" s="134"/>
      <c r="EH112" s="134"/>
      <c r="EI112" s="134"/>
      <c r="EJ112" s="134"/>
      <c r="EK112" s="134"/>
      <c r="EL112" s="134"/>
      <c r="EM112" s="134"/>
      <c r="EN112" s="134"/>
      <c r="EO112" s="134"/>
      <c r="EP112" s="134"/>
      <c r="EQ112" s="134"/>
      <c r="ER112" s="134"/>
      <c r="ES112" s="134"/>
      <c r="ET112" s="134"/>
      <c r="EU112" s="134"/>
      <c r="EV112" s="134"/>
      <c r="EW112" s="134"/>
      <c r="EX112" s="134"/>
      <c r="EY112" s="134"/>
      <c r="EZ112" s="134"/>
      <c r="FA112" s="134"/>
      <c r="FB112" s="134"/>
      <c r="FC112" s="134"/>
      <c r="FD112" s="134"/>
      <c r="FE112" s="134"/>
      <c r="FF112" s="134"/>
      <c r="FG112" s="134"/>
      <c r="FH112" s="134"/>
      <c r="FI112" s="134"/>
      <c r="FJ112" s="134"/>
      <c r="FK112" s="134"/>
      <c r="FL112" s="134"/>
      <c r="FM112" s="134"/>
      <c r="FN112" s="134"/>
      <c r="FO112" s="134"/>
      <c r="FP112" s="134"/>
      <c r="FQ112" s="134"/>
      <c r="FR112" s="134"/>
      <c r="FS112" s="134"/>
      <c r="FT112" s="134"/>
      <c r="FU112" s="134"/>
      <c r="FV112" s="134"/>
      <c r="FW112" s="134"/>
      <c r="FX112" s="134"/>
      <c r="FY112" s="134"/>
      <c r="FZ112" s="134"/>
      <c r="GA112" s="134"/>
    </row>
    <row r="113">
      <c r="A113" s="136">
        <v>46198.0</v>
      </c>
      <c r="B113" s="18" t="s">
        <v>17</v>
      </c>
      <c r="C113" s="111" t="s">
        <v>273</v>
      </c>
      <c r="D113" s="111">
        <v>2.0</v>
      </c>
      <c r="E113" s="20">
        <v>25000.0</v>
      </c>
      <c r="F113" s="20">
        <f t="shared" si="5"/>
        <v>50000</v>
      </c>
      <c r="G113" s="21" t="s">
        <v>10</v>
      </c>
      <c r="H113" s="110"/>
      <c r="I113" s="28"/>
      <c r="J113" s="18"/>
      <c r="K113" s="111"/>
      <c r="L113" s="111"/>
      <c r="M113" s="20"/>
      <c r="N113" s="20"/>
      <c r="O113" s="21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  <c r="CY113" s="134"/>
      <c r="CZ113" s="134"/>
      <c r="DA113" s="134"/>
      <c r="DB113" s="134"/>
      <c r="DC113" s="134"/>
      <c r="DD113" s="134"/>
      <c r="DE113" s="134"/>
      <c r="DF113" s="134"/>
      <c r="DG113" s="134"/>
      <c r="DH113" s="134"/>
      <c r="DI113" s="134"/>
      <c r="DJ113" s="134"/>
      <c r="DK113" s="134"/>
      <c r="DL113" s="134"/>
      <c r="DM113" s="134"/>
      <c r="DN113" s="134"/>
      <c r="DO113" s="134"/>
      <c r="DP113" s="134"/>
      <c r="DQ113" s="134"/>
      <c r="DR113" s="134"/>
      <c r="DS113" s="134"/>
      <c r="DT113" s="134"/>
      <c r="DU113" s="134"/>
      <c r="DV113" s="134"/>
      <c r="DW113" s="134"/>
      <c r="DX113" s="134"/>
      <c r="DY113" s="134"/>
      <c r="DZ113" s="134"/>
      <c r="EA113" s="134"/>
      <c r="EB113" s="134"/>
      <c r="EC113" s="134"/>
      <c r="ED113" s="134"/>
      <c r="EE113" s="134"/>
      <c r="EF113" s="134"/>
      <c r="EG113" s="134"/>
      <c r="EH113" s="134"/>
      <c r="EI113" s="134"/>
      <c r="EJ113" s="134"/>
      <c r="EK113" s="134"/>
      <c r="EL113" s="134"/>
      <c r="EM113" s="134"/>
      <c r="EN113" s="134"/>
      <c r="EO113" s="134"/>
      <c r="EP113" s="134"/>
      <c r="EQ113" s="134"/>
      <c r="ER113" s="134"/>
      <c r="ES113" s="134"/>
      <c r="ET113" s="134"/>
      <c r="EU113" s="134"/>
      <c r="EV113" s="134"/>
      <c r="EW113" s="134"/>
      <c r="EX113" s="134"/>
      <c r="EY113" s="134"/>
      <c r="EZ113" s="134"/>
      <c r="FA113" s="134"/>
      <c r="FB113" s="134"/>
      <c r="FC113" s="134"/>
      <c r="FD113" s="134"/>
      <c r="FE113" s="134"/>
      <c r="FF113" s="134"/>
      <c r="FG113" s="134"/>
      <c r="FH113" s="134"/>
      <c r="FI113" s="134"/>
      <c r="FJ113" s="134"/>
      <c r="FK113" s="134"/>
      <c r="FL113" s="134"/>
      <c r="FM113" s="134"/>
      <c r="FN113" s="134"/>
      <c r="FO113" s="134"/>
      <c r="FP113" s="134"/>
      <c r="FQ113" s="134"/>
      <c r="FR113" s="134"/>
      <c r="FS113" s="134"/>
      <c r="FT113" s="134"/>
      <c r="FU113" s="134"/>
      <c r="FV113" s="134"/>
      <c r="FW113" s="134"/>
      <c r="FX113" s="134"/>
      <c r="FY113" s="134"/>
      <c r="FZ113" s="134"/>
      <c r="GA113" s="134"/>
    </row>
    <row r="114">
      <c r="A114" s="135">
        <v>46198.0</v>
      </c>
      <c r="B114" s="12" t="s">
        <v>17</v>
      </c>
      <c r="C114" s="114" t="s">
        <v>265</v>
      </c>
      <c r="D114" s="114">
        <v>1.0</v>
      </c>
      <c r="E114" s="14">
        <v>25000.0</v>
      </c>
      <c r="F114" s="14">
        <f t="shared" si="5"/>
        <v>25000</v>
      </c>
      <c r="G114" s="15" t="s">
        <v>10</v>
      </c>
      <c r="H114" s="110"/>
      <c r="I114" s="28"/>
      <c r="J114" s="18"/>
      <c r="K114" s="111"/>
      <c r="L114" s="111"/>
      <c r="M114" s="20"/>
      <c r="N114" s="20"/>
      <c r="O114" s="21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</row>
    <row r="115">
      <c r="A115" s="136">
        <v>46198.0</v>
      </c>
      <c r="B115" s="18" t="s">
        <v>17</v>
      </c>
      <c r="C115" s="111" t="s">
        <v>140</v>
      </c>
      <c r="D115" s="111">
        <v>7.0</v>
      </c>
      <c r="E115" s="20">
        <v>25000.0</v>
      </c>
      <c r="F115" s="20">
        <f t="shared" si="5"/>
        <v>175000</v>
      </c>
      <c r="G115" s="21" t="s">
        <v>10</v>
      </c>
      <c r="H115" s="110"/>
      <c r="I115" s="28"/>
      <c r="J115" s="18"/>
      <c r="K115" s="111"/>
      <c r="L115" s="111"/>
      <c r="M115" s="20"/>
      <c r="N115" s="20"/>
      <c r="O115" s="21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  <c r="CY115" s="134"/>
      <c r="CZ115" s="134"/>
      <c r="DA115" s="134"/>
      <c r="DB115" s="134"/>
      <c r="DC115" s="134"/>
      <c r="DD115" s="134"/>
      <c r="DE115" s="134"/>
      <c r="DF115" s="134"/>
      <c r="DG115" s="134"/>
      <c r="DH115" s="134"/>
      <c r="DI115" s="134"/>
      <c r="DJ115" s="134"/>
      <c r="DK115" s="134"/>
      <c r="DL115" s="134"/>
      <c r="DM115" s="134"/>
      <c r="DN115" s="134"/>
      <c r="DO115" s="134"/>
      <c r="DP115" s="134"/>
      <c r="DQ115" s="134"/>
      <c r="DR115" s="134"/>
      <c r="DS115" s="134"/>
      <c r="DT115" s="134"/>
      <c r="DU115" s="134"/>
      <c r="DV115" s="134"/>
      <c r="DW115" s="134"/>
      <c r="DX115" s="134"/>
      <c r="DY115" s="134"/>
      <c r="DZ115" s="134"/>
      <c r="EA115" s="134"/>
      <c r="EB115" s="134"/>
      <c r="EC115" s="134"/>
      <c r="ED115" s="134"/>
      <c r="EE115" s="134"/>
      <c r="EF115" s="134"/>
      <c r="EG115" s="134"/>
      <c r="EH115" s="134"/>
      <c r="EI115" s="134"/>
      <c r="EJ115" s="134"/>
      <c r="EK115" s="134"/>
      <c r="EL115" s="134"/>
      <c r="EM115" s="134"/>
      <c r="EN115" s="134"/>
      <c r="EO115" s="134"/>
      <c r="EP115" s="134"/>
      <c r="EQ115" s="134"/>
      <c r="ER115" s="134"/>
      <c r="ES115" s="134"/>
      <c r="ET115" s="134"/>
      <c r="EU115" s="134"/>
      <c r="EV115" s="134"/>
      <c r="EW115" s="134"/>
      <c r="EX115" s="134"/>
      <c r="EY115" s="134"/>
      <c r="EZ115" s="134"/>
      <c r="FA115" s="134"/>
      <c r="FB115" s="134"/>
      <c r="FC115" s="134"/>
      <c r="FD115" s="134"/>
      <c r="FE115" s="134"/>
      <c r="FF115" s="134"/>
      <c r="FG115" s="134"/>
      <c r="FH115" s="134"/>
      <c r="FI115" s="134"/>
      <c r="FJ115" s="134"/>
      <c r="FK115" s="134"/>
      <c r="FL115" s="134"/>
      <c r="FM115" s="134"/>
      <c r="FN115" s="134"/>
      <c r="FO115" s="134"/>
      <c r="FP115" s="134"/>
      <c r="FQ115" s="134"/>
      <c r="FR115" s="134"/>
      <c r="FS115" s="134"/>
      <c r="FT115" s="134"/>
      <c r="FU115" s="134"/>
      <c r="FV115" s="134"/>
      <c r="FW115" s="134"/>
      <c r="FX115" s="134"/>
      <c r="FY115" s="134"/>
      <c r="FZ115" s="134"/>
      <c r="GA115" s="134"/>
    </row>
    <row r="116">
      <c r="A116" s="135">
        <v>46198.0</v>
      </c>
      <c r="B116" s="12" t="s">
        <v>17</v>
      </c>
      <c r="C116" s="114" t="s">
        <v>278</v>
      </c>
      <c r="D116" s="114">
        <v>1.0</v>
      </c>
      <c r="E116" s="14">
        <v>25000.0</v>
      </c>
      <c r="F116" s="14">
        <f t="shared" si="5"/>
        <v>25000</v>
      </c>
      <c r="G116" s="15" t="s">
        <v>10</v>
      </c>
      <c r="H116" s="110"/>
      <c r="I116" s="28"/>
      <c r="J116" s="18"/>
      <c r="K116" s="111"/>
      <c r="L116" s="111"/>
      <c r="M116" s="20"/>
      <c r="N116" s="20"/>
      <c r="O116" s="21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</row>
    <row r="117">
      <c r="A117" s="136">
        <v>46199.0</v>
      </c>
      <c r="B117" s="18" t="s">
        <v>17</v>
      </c>
      <c r="C117" s="111" t="s">
        <v>140</v>
      </c>
      <c r="D117" s="111">
        <v>20.0</v>
      </c>
      <c r="E117" s="20">
        <v>25000.0</v>
      </c>
      <c r="F117" s="20">
        <f t="shared" si="5"/>
        <v>500000</v>
      </c>
      <c r="G117" s="21" t="s">
        <v>10</v>
      </c>
      <c r="H117" s="110"/>
      <c r="I117" s="28"/>
      <c r="J117" s="18"/>
      <c r="K117" s="111"/>
      <c r="L117" s="111"/>
      <c r="M117" s="20"/>
      <c r="N117" s="20"/>
      <c r="O117" s="21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  <c r="BY117" s="134"/>
      <c r="BZ117" s="134"/>
      <c r="CA117" s="134"/>
      <c r="CB117" s="134"/>
      <c r="CC117" s="134"/>
      <c r="CD117" s="134"/>
      <c r="CE117" s="134"/>
      <c r="CF117" s="134"/>
      <c r="CG117" s="134"/>
      <c r="CH117" s="134"/>
      <c r="CI117" s="134"/>
      <c r="CJ117" s="134"/>
      <c r="CK117" s="134"/>
      <c r="CL117" s="134"/>
      <c r="CM117" s="134"/>
      <c r="CN117" s="134"/>
      <c r="CO117" s="134"/>
      <c r="CP117" s="134"/>
      <c r="CQ117" s="134"/>
      <c r="CR117" s="134"/>
      <c r="CS117" s="134"/>
      <c r="CT117" s="134"/>
      <c r="CU117" s="134"/>
      <c r="CV117" s="134"/>
      <c r="CW117" s="134"/>
      <c r="CX117" s="134"/>
      <c r="CY117" s="134"/>
      <c r="CZ117" s="134"/>
      <c r="DA117" s="134"/>
      <c r="DB117" s="134"/>
      <c r="DC117" s="134"/>
      <c r="DD117" s="134"/>
      <c r="DE117" s="134"/>
      <c r="DF117" s="134"/>
      <c r="DG117" s="134"/>
      <c r="DH117" s="134"/>
      <c r="DI117" s="134"/>
      <c r="DJ117" s="134"/>
      <c r="DK117" s="134"/>
      <c r="DL117" s="134"/>
      <c r="DM117" s="134"/>
      <c r="DN117" s="134"/>
      <c r="DO117" s="134"/>
      <c r="DP117" s="134"/>
      <c r="DQ117" s="134"/>
      <c r="DR117" s="134"/>
      <c r="DS117" s="134"/>
      <c r="DT117" s="134"/>
      <c r="DU117" s="134"/>
      <c r="DV117" s="134"/>
      <c r="DW117" s="134"/>
      <c r="DX117" s="134"/>
      <c r="DY117" s="134"/>
      <c r="DZ117" s="134"/>
      <c r="EA117" s="134"/>
      <c r="EB117" s="134"/>
      <c r="EC117" s="134"/>
      <c r="ED117" s="134"/>
      <c r="EE117" s="134"/>
      <c r="EF117" s="134"/>
      <c r="EG117" s="134"/>
      <c r="EH117" s="134"/>
      <c r="EI117" s="134"/>
      <c r="EJ117" s="134"/>
      <c r="EK117" s="134"/>
      <c r="EL117" s="134"/>
      <c r="EM117" s="134"/>
      <c r="EN117" s="134"/>
      <c r="EO117" s="134"/>
      <c r="EP117" s="134"/>
      <c r="EQ117" s="134"/>
      <c r="ER117" s="134"/>
      <c r="ES117" s="134"/>
      <c r="ET117" s="134"/>
      <c r="EU117" s="134"/>
      <c r="EV117" s="134"/>
      <c r="EW117" s="134"/>
      <c r="EX117" s="134"/>
      <c r="EY117" s="134"/>
      <c r="EZ117" s="134"/>
      <c r="FA117" s="134"/>
      <c r="FB117" s="134"/>
      <c r="FC117" s="134"/>
      <c r="FD117" s="134"/>
      <c r="FE117" s="134"/>
      <c r="FF117" s="134"/>
      <c r="FG117" s="134"/>
      <c r="FH117" s="134"/>
      <c r="FI117" s="134"/>
      <c r="FJ117" s="134"/>
      <c r="FK117" s="134"/>
      <c r="FL117" s="134"/>
      <c r="FM117" s="134"/>
      <c r="FN117" s="134"/>
      <c r="FO117" s="134"/>
      <c r="FP117" s="134"/>
      <c r="FQ117" s="134"/>
      <c r="FR117" s="134"/>
      <c r="FS117" s="134"/>
      <c r="FT117" s="134"/>
      <c r="FU117" s="134"/>
      <c r="FV117" s="134"/>
      <c r="FW117" s="134"/>
      <c r="FX117" s="134"/>
      <c r="FY117" s="134"/>
      <c r="FZ117" s="134"/>
      <c r="GA117" s="134"/>
    </row>
    <row r="118">
      <c r="A118" s="135">
        <v>46199.0</v>
      </c>
      <c r="B118" s="12" t="s">
        <v>17</v>
      </c>
      <c r="C118" s="114" t="s">
        <v>23</v>
      </c>
      <c r="D118" s="114">
        <v>7.0</v>
      </c>
      <c r="E118" s="14">
        <v>25000.0</v>
      </c>
      <c r="F118" s="14">
        <f t="shared" si="5"/>
        <v>175000</v>
      </c>
      <c r="G118" s="15" t="s">
        <v>10</v>
      </c>
      <c r="H118" s="110"/>
      <c r="I118" s="28"/>
      <c r="J118" s="18"/>
      <c r="K118" s="111"/>
      <c r="L118" s="111"/>
      <c r="M118" s="20"/>
      <c r="N118" s="20"/>
      <c r="O118" s="21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</row>
    <row r="119">
      <c r="A119" s="136">
        <v>46199.0</v>
      </c>
      <c r="B119" s="18" t="s">
        <v>17</v>
      </c>
      <c r="C119" s="111" t="s">
        <v>275</v>
      </c>
      <c r="D119" s="111">
        <v>2.0</v>
      </c>
      <c r="E119" s="20">
        <v>25000.0</v>
      </c>
      <c r="F119" s="20">
        <f t="shared" si="5"/>
        <v>50000</v>
      </c>
      <c r="G119" s="21" t="s">
        <v>10</v>
      </c>
      <c r="H119" s="110"/>
      <c r="I119" s="28"/>
      <c r="J119" s="18"/>
      <c r="K119" s="111"/>
      <c r="L119" s="111"/>
      <c r="M119" s="20"/>
      <c r="N119" s="20"/>
      <c r="O119" s="21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  <c r="BY119" s="134"/>
      <c r="BZ119" s="134"/>
      <c r="CA119" s="134"/>
      <c r="CB119" s="134"/>
      <c r="CC119" s="134"/>
      <c r="CD119" s="134"/>
      <c r="CE119" s="134"/>
      <c r="CF119" s="134"/>
      <c r="CG119" s="134"/>
      <c r="CH119" s="134"/>
      <c r="CI119" s="134"/>
      <c r="CJ119" s="134"/>
      <c r="CK119" s="134"/>
      <c r="CL119" s="134"/>
      <c r="CM119" s="134"/>
      <c r="CN119" s="134"/>
      <c r="CO119" s="134"/>
      <c r="CP119" s="134"/>
      <c r="CQ119" s="134"/>
      <c r="CR119" s="134"/>
      <c r="CS119" s="134"/>
      <c r="CT119" s="134"/>
      <c r="CU119" s="134"/>
      <c r="CV119" s="134"/>
      <c r="CW119" s="134"/>
      <c r="CX119" s="134"/>
      <c r="CY119" s="134"/>
      <c r="CZ119" s="134"/>
      <c r="DA119" s="134"/>
      <c r="DB119" s="134"/>
      <c r="DC119" s="134"/>
      <c r="DD119" s="134"/>
      <c r="DE119" s="134"/>
      <c r="DF119" s="134"/>
      <c r="DG119" s="134"/>
      <c r="DH119" s="134"/>
      <c r="DI119" s="134"/>
      <c r="DJ119" s="134"/>
      <c r="DK119" s="134"/>
      <c r="DL119" s="134"/>
      <c r="DM119" s="134"/>
      <c r="DN119" s="134"/>
      <c r="DO119" s="134"/>
      <c r="DP119" s="134"/>
      <c r="DQ119" s="134"/>
      <c r="DR119" s="134"/>
      <c r="DS119" s="134"/>
      <c r="DT119" s="134"/>
      <c r="DU119" s="134"/>
      <c r="DV119" s="134"/>
      <c r="DW119" s="134"/>
      <c r="DX119" s="134"/>
      <c r="DY119" s="134"/>
      <c r="DZ119" s="134"/>
      <c r="EA119" s="134"/>
      <c r="EB119" s="134"/>
      <c r="EC119" s="134"/>
      <c r="ED119" s="134"/>
      <c r="EE119" s="134"/>
      <c r="EF119" s="134"/>
      <c r="EG119" s="134"/>
      <c r="EH119" s="134"/>
      <c r="EI119" s="134"/>
      <c r="EJ119" s="134"/>
      <c r="EK119" s="134"/>
      <c r="EL119" s="134"/>
      <c r="EM119" s="134"/>
      <c r="EN119" s="134"/>
      <c r="EO119" s="134"/>
      <c r="EP119" s="134"/>
      <c r="EQ119" s="134"/>
      <c r="ER119" s="134"/>
      <c r="ES119" s="134"/>
      <c r="ET119" s="134"/>
      <c r="EU119" s="134"/>
      <c r="EV119" s="134"/>
      <c r="EW119" s="134"/>
      <c r="EX119" s="134"/>
      <c r="EY119" s="134"/>
      <c r="EZ119" s="134"/>
      <c r="FA119" s="134"/>
      <c r="FB119" s="134"/>
      <c r="FC119" s="134"/>
      <c r="FD119" s="134"/>
      <c r="FE119" s="134"/>
      <c r="FF119" s="134"/>
      <c r="FG119" s="134"/>
      <c r="FH119" s="134"/>
      <c r="FI119" s="134"/>
      <c r="FJ119" s="134"/>
      <c r="FK119" s="134"/>
      <c r="FL119" s="134"/>
      <c r="FM119" s="134"/>
      <c r="FN119" s="134"/>
      <c r="FO119" s="134"/>
      <c r="FP119" s="134"/>
      <c r="FQ119" s="134"/>
      <c r="FR119" s="134"/>
      <c r="FS119" s="134"/>
      <c r="FT119" s="134"/>
      <c r="FU119" s="134"/>
      <c r="FV119" s="134"/>
      <c r="FW119" s="134"/>
      <c r="FX119" s="134"/>
      <c r="FY119" s="134"/>
      <c r="FZ119" s="134"/>
      <c r="GA119" s="134"/>
    </row>
    <row r="120">
      <c r="A120" s="135">
        <v>46199.0</v>
      </c>
      <c r="B120" s="12" t="s">
        <v>17</v>
      </c>
      <c r="C120" s="114" t="s">
        <v>60</v>
      </c>
      <c r="D120" s="114">
        <v>2.0</v>
      </c>
      <c r="E120" s="14">
        <v>25000.0</v>
      </c>
      <c r="F120" s="14">
        <f t="shared" si="5"/>
        <v>50000</v>
      </c>
      <c r="G120" s="15" t="s">
        <v>10</v>
      </c>
      <c r="H120" s="110"/>
      <c r="I120" s="28"/>
      <c r="J120" s="18"/>
      <c r="K120" s="111"/>
      <c r="L120" s="111"/>
      <c r="M120" s="20"/>
      <c r="N120" s="20"/>
      <c r="O120" s="21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</row>
    <row r="121">
      <c r="A121" s="136">
        <v>46199.0</v>
      </c>
      <c r="B121" s="18" t="s">
        <v>17</v>
      </c>
      <c r="C121" s="111" t="s">
        <v>256</v>
      </c>
      <c r="D121" s="111">
        <v>1.0</v>
      </c>
      <c r="E121" s="20">
        <v>25000.0</v>
      </c>
      <c r="F121" s="20">
        <f t="shared" si="5"/>
        <v>25000</v>
      </c>
      <c r="G121" s="21" t="s">
        <v>10</v>
      </c>
      <c r="H121" s="110"/>
      <c r="I121" s="28"/>
      <c r="J121" s="18"/>
      <c r="K121" s="111"/>
      <c r="L121" s="111"/>
      <c r="M121" s="20"/>
      <c r="N121" s="20"/>
      <c r="O121" s="21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4"/>
      <c r="CK121" s="134"/>
      <c r="CL121" s="134"/>
      <c r="CM121" s="134"/>
      <c r="CN121" s="134"/>
      <c r="CO121" s="134"/>
      <c r="CP121" s="134"/>
      <c r="CQ121" s="134"/>
      <c r="CR121" s="134"/>
      <c r="CS121" s="134"/>
      <c r="CT121" s="134"/>
      <c r="CU121" s="134"/>
      <c r="CV121" s="134"/>
      <c r="CW121" s="134"/>
      <c r="CX121" s="134"/>
      <c r="CY121" s="134"/>
      <c r="CZ121" s="134"/>
      <c r="DA121" s="134"/>
      <c r="DB121" s="134"/>
      <c r="DC121" s="134"/>
      <c r="DD121" s="134"/>
      <c r="DE121" s="134"/>
      <c r="DF121" s="134"/>
      <c r="DG121" s="134"/>
      <c r="DH121" s="134"/>
      <c r="DI121" s="134"/>
      <c r="DJ121" s="134"/>
      <c r="DK121" s="134"/>
      <c r="DL121" s="134"/>
      <c r="DM121" s="134"/>
      <c r="DN121" s="134"/>
      <c r="DO121" s="134"/>
      <c r="DP121" s="134"/>
      <c r="DQ121" s="134"/>
      <c r="DR121" s="134"/>
      <c r="DS121" s="134"/>
      <c r="DT121" s="134"/>
      <c r="DU121" s="134"/>
      <c r="DV121" s="134"/>
      <c r="DW121" s="134"/>
      <c r="DX121" s="134"/>
      <c r="DY121" s="134"/>
      <c r="DZ121" s="134"/>
      <c r="EA121" s="134"/>
      <c r="EB121" s="134"/>
      <c r="EC121" s="134"/>
      <c r="ED121" s="134"/>
      <c r="EE121" s="134"/>
      <c r="EF121" s="134"/>
      <c r="EG121" s="134"/>
      <c r="EH121" s="134"/>
      <c r="EI121" s="134"/>
      <c r="EJ121" s="134"/>
      <c r="EK121" s="134"/>
      <c r="EL121" s="134"/>
      <c r="EM121" s="134"/>
      <c r="EN121" s="134"/>
      <c r="EO121" s="134"/>
      <c r="EP121" s="134"/>
      <c r="EQ121" s="134"/>
      <c r="ER121" s="134"/>
      <c r="ES121" s="134"/>
      <c r="ET121" s="134"/>
      <c r="EU121" s="134"/>
      <c r="EV121" s="134"/>
      <c r="EW121" s="134"/>
      <c r="EX121" s="134"/>
      <c r="EY121" s="134"/>
      <c r="EZ121" s="134"/>
      <c r="FA121" s="134"/>
      <c r="FB121" s="134"/>
      <c r="FC121" s="134"/>
      <c r="FD121" s="134"/>
      <c r="FE121" s="134"/>
      <c r="FF121" s="134"/>
      <c r="FG121" s="134"/>
      <c r="FH121" s="134"/>
      <c r="FI121" s="134"/>
      <c r="FJ121" s="134"/>
      <c r="FK121" s="134"/>
      <c r="FL121" s="134"/>
      <c r="FM121" s="134"/>
      <c r="FN121" s="134"/>
      <c r="FO121" s="134"/>
      <c r="FP121" s="134"/>
      <c r="FQ121" s="134"/>
      <c r="FR121" s="134"/>
      <c r="FS121" s="134"/>
      <c r="FT121" s="134"/>
      <c r="FU121" s="134"/>
      <c r="FV121" s="134"/>
      <c r="FW121" s="134"/>
      <c r="FX121" s="134"/>
      <c r="FY121" s="134"/>
      <c r="FZ121" s="134"/>
      <c r="GA121" s="134"/>
    </row>
    <row r="122">
      <c r="A122" s="135">
        <v>46199.0</v>
      </c>
      <c r="B122" s="12" t="s">
        <v>17</v>
      </c>
      <c r="C122" s="114" t="s">
        <v>279</v>
      </c>
      <c r="D122" s="114">
        <v>1.0</v>
      </c>
      <c r="E122" s="14">
        <v>25000.0</v>
      </c>
      <c r="F122" s="14">
        <f t="shared" si="5"/>
        <v>25000</v>
      </c>
      <c r="G122" s="15" t="s">
        <v>10</v>
      </c>
      <c r="H122" s="110"/>
      <c r="I122" s="28"/>
      <c r="J122" s="18"/>
      <c r="K122" s="111"/>
      <c r="L122" s="111"/>
      <c r="M122" s="20"/>
      <c r="N122" s="20"/>
      <c r="O122" s="21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</row>
    <row r="123">
      <c r="A123" s="136">
        <v>46199.0</v>
      </c>
      <c r="B123" s="18" t="s">
        <v>17</v>
      </c>
      <c r="C123" s="111" t="s">
        <v>280</v>
      </c>
      <c r="D123" s="111">
        <v>1.0</v>
      </c>
      <c r="E123" s="20">
        <v>25000.0</v>
      </c>
      <c r="F123" s="20">
        <f t="shared" si="5"/>
        <v>25000</v>
      </c>
      <c r="G123" s="21" t="s">
        <v>10</v>
      </c>
      <c r="H123" s="110"/>
      <c r="I123" s="28"/>
      <c r="J123" s="18"/>
      <c r="K123" s="111"/>
      <c r="L123" s="111"/>
      <c r="M123" s="20"/>
      <c r="N123" s="20"/>
      <c r="O123" s="21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  <c r="BY123" s="134"/>
      <c r="BZ123" s="134"/>
      <c r="CA123" s="134"/>
      <c r="CB123" s="134"/>
      <c r="CC123" s="134"/>
      <c r="CD123" s="134"/>
      <c r="CE123" s="134"/>
      <c r="CF123" s="134"/>
      <c r="CG123" s="134"/>
      <c r="CH123" s="134"/>
      <c r="CI123" s="134"/>
      <c r="CJ123" s="134"/>
      <c r="CK123" s="134"/>
      <c r="CL123" s="134"/>
      <c r="CM123" s="134"/>
      <c r="CN123" s="134"/>
      <c r="CO123" s="134"/>
      <c r="CP123" s="134"/>
      <c r="CQ123" s="134"/>
      <c r="CR123" s="134"/>
      <c r="CS123" s="134"/>
      <c r="CT123" s="134"/>
      <c r="CU123" s="134"/>
      <c r="CV123" s="134"/>
      <c r="CW123" s="134"/>
      <c r="CX123" s="134"/>
      <c r="CY123" s="134"/>
      <c r="CZ123" s="134"/>
      <c r="DA123" s="134"/>
      <c r="DB123" s="134"/>
      <c r="DC123" s="134"/>
      <c r="DD123" s="134"/>
      <c r="DE123" s="134"/>
      <c r="DF123" s="134"/>
      <c r="DG123" s="134"/>
      <c r="DH123" s="134"/>
      <c r="DI123" s="134"/>
      <c r="DJ123" s="134"/>
      <c r="DK123" s="134"/>
      <c r="DL123" s="134"/>
      <c r="DM123" s="134"/>
      <c r="DN123" s="134"/>
      <c r="DO123" s="134"/>
      <c r="DP123" s="134"/>
      <c r="DQ123" s="134"/>
      <c r="DR123" s="134"/>
      <c r="DS123" s="134"/>
      <c r="DT123" s="134"/>
      <c r="DU123" s="134"/>
      <c r="DV123" s="134"/>
      <c r="DW123" s="134"/>
      <c r="DX123" s="134"/>
      <c r="DY123" s="134"/>
      <c r="DZ123" s="134"/>
      <c r="EA123" s="134"/>
      <c r="EB123" s="134"/>
      <c r="EC123" s="134"/>
      <c r="ED123" s="134"/>
      <c r="EE123" s="134"/>
      <c r="EF123" s="134"/>
      <c r="EG123" s="134"/>
      <c r="EH123" s="134"/>
      <c r="EI123" s="134"/>
      <c r="EJ123" s="134"/>
      <c r="EK123" s="134"/>
      <c r="EL123" s="134"/>
      <c r="EM123" s="134"/>
      <c r="EN123" s="134"/>
      <c r="EO123" s="134"/>
      <c r="EP123" s="134"/>
      <c r="EQ123" s="134"/>
      <c r="ER123" s="134"/>
      <c r="ES123" s="134"/>
      <c r="ET123" s="134"/>
      <c r="EU123" s="134"/>
      <c r="EV123" s="134"/>
      <c r="EW123" s="134"/>
      <c r="EX123" s="134"/>
      <c r="EY123" s="134"/>
      <c r="EZ123" s="134"/>
      <c r="FA123" s="134"/>
      <c r="FB123" s="134"/>
      <c r="FC123" s="134"/>
      <c r="FD123" s="134"/>
      <c r="FE123" s="134"/>
      <c r="FF123" s="134"/>
      <c r="FG123" s="134"/>
      <c r="FH123" s="134"/>
      <c r="FI123" s="134"/>
      <c r="FJ123" s="134"/>
      <c r="FK123" s="134"/>
      <c r="FL123" s="134"/>
      <c r="FM123" s="134"/>
      <c r="FN123" s="134"/>
      <c r="FO123" s="134"/>
      <c r="FP123" s="134"/>
      <c r="FQ123" s="134"/>
      <c r="FR123" s="134"/>
      <c r="FS123" s="134"/>
      <c r="FT123" s="134"/>
      <c r="FU123" s="134"/>
      <c r="FV123" s="134"/>
      <c r="FW123" s="134"/>
      <c r="FX123" s="134"/>
      <c r="FY123" s="134"/>
      <c r="FZ123" s="134"/>
      <c r="GA123" s="134"/>
    </row>
    <row r="124">
      <c r="A124" s="135">
        <v>46199.0</v>
      </c>
      <c r="B124" s="12" t="s">
        <v>17</v>
      </c>
      <c r="C124" s="114" t="s">
        <v>281</v>
      </c>
      <c r="D124" s="114">
        <v>1.0</v>
      </c>
      <c r="E124" s="14">
        <v>25000.0</v>
      </c>
      <c r="F124" s="14">
        <f t="shared" si="5"/>
        <v>25000</v>
      </c>
      <c r="G124" s="15" t="s">
        <v>10</v>
      </c>
      <c r="H124" s="110"/>
      <c r="I124" s="28"/>
      <c r="J124" s="18"/>
      <c r="K124" s="111"/>
      <c r="L124" s="111"/>
      <c r="M124" s="20"/>
      <c r="N124" s="20"/>
      <c r="O124" s="21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</row>
    <row r="125">
      <c r="A125" s="136">
        <v>46200.0</v>
      </c>
      <c r="B125" s="18" t="s">
        <v>17</v>
      </c>
      <c r="C125" s="19" t="s">
        <v>140</v>
      </c>
      <c r="D125" s="19">
        <v>20.0</v>
      </c>
      <c r="E125" s="20">
        <v>25000.0</v>
      </c>
      <c r="F125" s="20">
        <f t="shared" si="5"/>
        <v>500000</v>
      </c>
      <c r="G125" s="21" t="s">
        <v>10</v>
      </c>
      <c r="H125" s="110"/>
      <c r="I125" s="28"/>
      <c r="J125" s="18"/>
      <c r="K125" s="111"/>
      <c r="L125" s="111"/>
      <c r="M125" s="20"/>
      <c r="N125" s="20"/>
      <c r="O125" s="21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  <c r="CC125" s="134"/>
      <c r="CD125" s="134"/>
      <c r="CE125" s="134"/>
      <c r="CF125" s="134"/>
      <c r="CG125" s="134"/>
      <c r="CH125" s="134"/>
      <c r="CI125" s="134"/>
      <c r="CJ125" s="134"/>
      <c r="CK125" s="134"/>
      <c r="CL125" s="134"/>
      <c r="CM125" s="134"/>
      <c r="CN125" s="134"/>
      <c r="CO125" s="134"/>
      <c r="CP125" s="134"/>
      <c r="CQ125" s="134"/>
      <c r="CR125" s="134"/>
      <c r="CS125" s="134"/>
      <c r="CT125" s="134"/>
      <c r="CU125" s="134"/>
      <c r="CV125" s="134"/>
      <c r="CW125" s="134"/>
      <c r="CX125" s="134"/>
      <c r="CY125" s="134"/>
      <c r="CZ125" s="134"/>
      <c r="DA125" s="134"/>
      <c r="DB125" s="134"/>
      <c r="DC125" s="134"/>
      <c r="DD125" s="134"/>
      <c r="DE125" s="134"/>
      <c r="DF125" s="134"/>
      <c r="DG125" s="134"/>
      <c r="DH125" s="134"/>
      <c r="DI125" s="134"/>
      <c r="DJ125" s="134"/>
      <c r="DK125" s="134"/>
      <c r="DL125" s="134"/>
      <c r="DM125" s="134"/>
      <c r="DN125" s="134"/>
      <c r="DO125" s="134"/>
      <c r="DP125" s="134"/>
      <c r="DQ125" s="134"/>
      <c r="DR125" s="134"/>
      <c r="DS125" s="134"/>
      <c r="DT125" s="134"/>
      <c r="DU125" s="134"/>
      <c r="DV125" s="134"/>
      <c r="DW125" s="134"/>
      <c r="DX125" s="134"/>
      <c r="DY125" s="134"/>
      <c r="DZ125" s="134"/>
      <c r="EA125" s="134"/>
      <c r="EB125" s="134"/>
      <c r="EC125" s="134"/>
      <c r="ED125" s="134"/>
      <c r="EE125" s="134"/>
      <c r="EF125" s="134"/>
      <c r="EG125" s="134"/>
      <c r="EH125" s="134"/>
      <c r="EI125" s="134"/>
      <c r="EJ125" s="134"/>
      <c r="EK125" s="134"/>
      <c r="EL125" s="134"/>
      <c r="EM125" s="134"/>
      <c r="EN125" s="134"/>
      <c r="EO125" s="134"/>
      <c r="EP125" s="134"/>
      <c r="EQ125" s="134"/>
      <c r="ER125" s="134"/>
      <c r="ES125" s="134"/>
      <c r="ET125" s="134"/>
      <c r="EU125" s="134"/>
      <c r="EV125" s="134"/>
      <c r="EW125" s="134"/>
      <c r="EX125" s="134"/>
      <c r="EY125" s="134"/>
      <c r="EZ125" s="134"/>
      <c r="FA125" s="134"/>
      <c r="FB125" s="134"/>
      <c r="FC125" s="134"/>
      <c r="FD125" s="134"/>
      <c r="FE125" s="134"/>
      <c r="FF125" s="134"/>
      <c r="FG125" s="134"/>
      <c r="FH125" s="134"/>
      <c r="FI125" s="134"/>
      <c r="FJ125" s="134"/>
      <c r="FK125" s="134"/>
      <c r="FL125" s="134"/>
      <c r="FM125" s="134"/>
      <c r="FN125" s="134"/>
      <c r="FO125" s="134"/>
      <c r="FP125" s="134"/>
      <c r="FQ125" s="134"/>
      <c r="FR125" s="134"/>
      <c r="FS125" s="134"/>
      <c r="FT125" s="134"/>
      <c r="FU125" s="134"/>
      <c r="FV125" s="134"/>
      <c r="FW125" s="134"/>
      <c r="FX125" s="134"/>
      <c r="FY125" s="134"/>
      <c r="FZ125" s="134"/>
      <c r="GA125" s="134"/>
    </row>
    <row r="126">
      <c r="A126" s="135">
        <v>46200.0</v>
      </c>
      <c r="B126" s="12" t="s">
        <v>17</v>
      </c>
      <c r="C126" s="13" t="s">
        <v>50</v>
      </c>
      <c r="D126" s="13">
        <v>1.0</v>
      </c>
      <c r="E126" s="14">
        <v>25000.0</v>
      </c>
      <c r="F126" s="14">
        <f t="shared" si="5"/>
        <v>25000</v>
      </c>
      <c r="G126" s="15" t="s">
        <v>10</v>
      </c>
      <c r="H126" s="110"/>
      <c r="I126" s="28"/>
      <c r="J126" s="18"/>
      <c r="K126" s="111"/>
      <c r="L126" s="111"/>
      <c r="M126" s="20"/>
      <c r="N126" s="20"/>
      <c r="O126" s="21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</row>
    <row r="127">
      <c r="A127" s="136">
        <v>46200.0</v>
      </c>
      <c r="B127" s="18" t="s">
        <v>17</v>
      </c>
      <c r="C127" s="19" t="s">
        <v>60</v>
      </c>
      <c r="D127" s="19">
        <v>2.0</v>
      </c>
      <c r="E127" s="20">
        <v>25000.0</v>
      </c>
      <c r="F127" s="20">
        <f t="shared" si="5"/>
        <v>50000</v>
      </c>
      <c r="G127" s="21" t="s">
        <v>10</v>
      </c>
      <c r="H127" s="110"/>
      <c r="I127" s="28"/>
      <c r="J127" s="18"/>
      <c r="K127" s="111"/>
      <c r="L127" s="111"/>
      <c r="M127" s="20"/>
      <c r="N127" s="20"/>
      <c r="O127" s="21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34"/>
      <c r="BQ127" s="134"/>
      <c r="BR127" s="134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4"/>
      <c r="CK127" s="134"/>
      <c r="CL127" s="134"/>
      <c r="CM127" s="134"/>
      <c r="CN127" s="134"/>
      <c r="CO127" s="134"/>
      <c r="CP127" s="134"/>
      <c r="CQ127" s="134"/>
      <c r="CR127" s="134"/>
      <c r="CS127" s="134"/>
      <c r="CT127" s="134"/>
      <c r="CU127" s="134"/>
      <c r="CV127" s="134"/>
      <c r="CW127" s="134"/>
      <c r="CX127" s="134"/>
      <c r="CY127" s="134"/>
      <c r="CZ127" s="134"/>
      <c r="DA127" s="134"/>
      <c r="DB127" s="134"/>
      <c r="DC127" s="134"/>
      <c r="DD127" s="134"/>
      <c r="DE127" s="134"/>
      <c r="DF127" s="134"/>
      <c r="DG127" s="134"/>
      <c r="DH127" s="134"/>
      <c r="DI127" s="134"/>
      <c r="DJ127" s="134"/>
      <c r="DK127" s="134"/>
      <c r="DL127" s="134"/>
      <c r="DM127" s="134"/>
      <c r="DN127" s="134"/>
      <c r="DO127" s="134"/>
      <c r="DP127" s="134"/>
      <c r="DQ127" s="134"/>
      <c r="DR127" s="134"/>
      <c r="DS127" s="134"/>
      <c r="DT127" s="134"/>
      <c r="DU127" s="134"/>
      <c r="DV127" s="134"/>
      <c r="DW127" s="134"/>
      <c r="DX127" s="134"/>
      <c r="DY127" s="134"/>
      <c r="DZ127" s="134"/>
      <c r="EA127" s="134"/>
      <c r="EB127" s="134"/>
      <c r="EC127" s="134"/>
      <c r="ED127" s="134"/>
      <c r="EE127" s="134"/>
      <c r="EF127" s="134"/>
      <c r="EG127" s="134"/>
      <c r="EH127" s="134"/>
      <c r="EI127" s="134"/>
      <c r="EJ127" s="134"/>
      <c r="EK127" s="134"/>
      <c r="EL127" s="134"/>
      <c r="EM127" s="134"/>
      <c r="EN127" s="134"/>
      <c r="EO127" s="134"/>
      <c r="EP127" s="134"/>
      <c r="EQ127" s="134"/>
      <c r="ER127" s="134"/>
      <c r="ES127" s="134"/>
      <c r="ET127" s="134"/>
      <c r="EU127" s="134"/>
      <c r="EV127" s="134"/>
      <c r="EW127" s="134"/>
      <c r="EX127" s="134"/>
      <c r="EY127" s="134"/>
      <c r="EZ127" s="134"/>
      <c r="FA127" s="134"/>
      <c r="FB127" s="134"/>
      <c r="FC127" s="134"/>
      <c r="FD127" s="134"/>
      <c r="FE127" s="134"/>
      <c r="FF127" s="134"/>
      <c r="FG127" s="134"/>
      <c r="FH127" s="134"/>
      <c r="FI127" s="134"/>
      <c r="FJ127" s="134"/>
      <c r="FK127" s="134"/>
      <c r="FL127" s="134"/>
      <c r="FM127" s="134"/>
      <c r="FN127" s="134"/>
      <c r="FO127" s="134"/>
      <c r="FP127" s="134"/>
      <c r="FQ127" s="134"/>
      <c r="FR127" s="134"/>
      <c r="FS127" s="134"/>
      <c r="FT127" s="134"/>
      <c r="FU127" s="134"/>
      <c r="FV127" s="134"/>
      <c r="FW127" s="134"/>
      <c r="FX127" s="134"/>
      <c r="FY127" s="134"/>
      <c r="FZ127" s="134"/>
      <c r="GA127" s="134"/>
    </row>
    <row r="128">
      <c r="A128" s="135">
        <v>46200.0</v>
      </c>
      <c r="B128" s="12" t="s">
        <v>17</v>
      </c>
      <c r="C128" s="13" t="s">
        <v>268</v>
      </c>
      <c r="D128" s="13">
        <v>1.0</v>
      </c>
      <c r="E128" s="14">
        <v>25000.0</v>
      </c>
      <c r="F128" s="14">
        <f t="shared" si="5"/>
        <v>25000</v>
      </c>
      <c r="G128" s="15" t="s">
        <v>10</v>
      </c>
      <c r="H128" s="110"/>
      <c r="I128" s="28"/>
      <c r="J128" s="18"/>
      <c r="K128" s="111"/>
      <c r="L128" s="111"/>
      <c r="M128" s="20"/>
      <c r="N128" s="20"/>
      <c r="O128" s="21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</row>
    <row r="129">
      <c r="A129" s="136">
        <v>46200.0</v>
      </c>
      <c r="B129" s="18" t="s">
        <v>17</v>
      </c>
      <c r="C129" s="19" t="s">
        <v>282</v>
      </c>
      <c r="D129" s="19">
        <v>2.0</v>
      </c>
      <c r="E129" s="20">
        <v>25000.0</v>
      </c>
      <c r="F129" s="20">
        <f t="shared" si="5"/>
        <v>50000</v>
      </c>
      <c r="G129" s="21" t="s">
        <v>10</v>
      </c>
      <c r="H129" s="110"/>
      <c r="I129" s="28"/>
      <c r="J129" s="18"/>
      <c r="K129" s="111"/>
      <c r="L129" s="111"/>
      <c r="M129" s="20"/>
      <c r="N129" s="20"/>
      <c r="O129" s="21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  <c r="CI129" s="134"/>
      <c r="CJ129" s="134"/>
      <c r="CK129" s="134"/>
      <c r="CL129" s="134"/>
      <c r="CM129" s="134"/>
      <c r="CN129" s="134"/>
      <c r="CO129" s="134"/>
      <c r="CP129" s="134"/>
      <c r="CQ129" s="134"/>
      <c r="CR129" s="134"/>
      <c r="CS129" s="134"/>
      <c r="CT129" s="134"/>
      <c r="CU129" s="134"/>
      <c r="CV129" s="134"/>
      <c r="CW129" s="134"/>
      <c r="CX129" s="134"/>
      <c r="CY129" s="134"/>
      <c r="CZ129" s="134"/>
      <c r="DA129" s="134"/>
      <c r="DB129" s="134"/>
      <c r="DC129" s="134"/>
      <c r="DD129" s="134"/>
      <c r="DE129" s="134"/>
      <c r="DF129" s="134"/>
      <c r="DG129" s="134"/>
      <c r="DH129" s="134"/>
      <c r="DI129" s="134"/>
      <c r="DJ129" s="134"/>
      <c r="DK129" s="134"/>
      <c r="DL129" s="134"/>
      <c r="DM129" s="134"/>
      <c r="DN129" s="134"/>
      <c r="DO129" s="134"/>
      <c r="DP129" s="134"/>
      <c r="DQ129" s="134"/>
      <c r="DR129" s="134"/>
      <c r="DS129" s="134"/>
      <c r="DT129" s="134"/>
      <c r="DU129" s="134"/>
      <c r="DV129" s="134"/>
      <c r="DW129" s="134"/>
      <c r="DX129" s="134"/>
      <c r="DY129" s="134"/>
      <c r="DZ129" s="134"/>
      <c r="EA129" s="134"/>
      <c r="EB129" s="134"/>
      <c r="EC129" s="134"/>
      <c r="ED129" s="134"/>
      <c r="EE129" s="134"/>
      <c r="EF129" s="134"/>
      <c r="EG129" s="134"/>
      <c r="EH129" s="134"/>
      <c r="EI129" s="134"/>
      <c r="EJ129" s="134"/>
      <c r="EK129" s="134"/>
      <c r="EL129" s="134"/>
      <c r="EM129" s="134"/>
      <c r="EN129" s="134"/>
      <c r="EO129" s="134"/>
      <c r="EP129" s="134"/>
      <c r="EQ129" s="134"/>
      <c r="ER129" s="134"/>
      <c r="ES129" s="134"/>
      <c r="ET129" s="134"/>
      <c r="EU129" s="134"/>
      <c r="EV129" s="134"/>
      <c r="EW129" s="134"/>
      <c r="EX129" s="134"/>
      <c r="EY129" s="134"/>
      <c r="EZ129" s="134"/>
      <c r="FA129" s="134"/>
      <c r="FB129" s="134"/>
      <c r="FC129" s="134"/>
      <c r="FD129" s="134"/>
      <c r="FE129" s="134"/>
      <c r="FF129" s="134"/>
      <c r="FG129" s="134"/>
      <c r="FH129" s="134"/>
      <c r="FI129" s="134"/>
      <c r="FJ129" s="134"/>
      <c r="FK129" s="134"/>
      <c r="FL129" s="134"/>
      <c r="FM129" s="134"/>
      <c r="FN129" s="134"/>
      <c r="FO129" s="134"/>
      <c r="FP129" s="134"/>
      <c r="FQ129" s="134"/>
      <c r="FR129" s="134"/>
      <c r="FS129" s="134"/>
      <c r="FT129" s="134"/>
      <c r="FU129" s="134"/>
      <c r="FV129" s="134"/>
      <c r="FW129" s="134"/>
      <c r="FX129" s="134"/>
      <c r="FY129" s="134"/>
      <c r="FZ129" s="134"/>
      <c r="GA129" s="134"/>
    </row>
    <row r="130">
      <c r="A130" s="135">
        <v>46200.0</v>
      </c>
      <c r="B130" s="12" t="s">
        <v>17</v>
      </c>
      <c r="C130" s="13" t="s">
        <v>29</v>
      </c>
      <c r="D130" s="13">
        <v>2.0</v>
      </c>
      <c r="E130" s="14">
        <v>25000.0</v>
      </c>
      <c r="F130" s="14">
        <f t="shared" si="5"/>
        <v>50000</v>
      </c>
      <c r="G130" s="15" t="s">
        <v>10</v>
      </c>
      <c r="H130" s="110"/>
      <c r="I130" s="28"/>
      <c r="J130" s="18"/>
      <c r="K130" s="111"/>
      <c r="L130" s="111"/>
      <c r="M130" s="20"/>
      <c r="N130" s="20"/>
      <c r="O130" s="21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</row>
    <row r="131">
      <c r="A131" s="136">
        <v>46200.0</v>
      </c>
      <c r="B131" s="18" t="s">
        <v>17</v>
      </c>
      <c r="C131" s="19" t="s">
        <v>265</v>
      </c>
      <c r="D131" s="19">
        <v>2.0</v>
      </c>
      <c r="E131" s="20">
        <v>25000.0</v>
      </c>
      <c r="F131" s="20">
        <f t="shared" si="5"/>
        <v>50000</v>
      </c>
      <c r="G131" s="21" t="s">
        <v>10</v>
      </c>
      <c r="H131" s="110"/>
      <c r="I131" s="28"/>
      <c r="J131" s="18"/>
      <c r="K131" s="111"/>
      <c r="L131" s="111"/>
      <c r="M131" s="20"/>
      <c r="N131" s="20"/>
      <c r="O131" s="21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  <c r="BM131" s="134"/>
      <c r="BN131" s="134"/>
      <c r="BO131" s="134"/>
      <c r="BP131" s="134"/>
      <c r="BQ131" s="134"/>
      <c r="BR131" s="134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  <c r="CC131" s="134"/>
      <c r="CD131" s="134"/>
      <c r="CE131" s="134"/>
      <c r="CF131" s="134"/>
      <c r="CG131" s="134"/>
      <c r="CH131" s="134"/>
      <c r="CI131" s="134"/>
      <c r="CJ131" s="134"/>
      <c r="CK131" s="134"/>
      <c r="CL131" s="134"/>
      <c r="CM131" s="134"/>
      <c r="CN131" s="134"/>
      <c r="CO131" s="134"/>
      <c r="CP131" s="134"/>
      <c r="CQ131" s="134"/>
      <c r="CR131" s="134"/>
      <c r="CS131" s="134"/>
      <c r="CT131" s="134"/>
      <c r="CU131" s="134"/>
      <c r="CV131" s="134"/>
      <c r="CW131" s="134"/>
      <c r="CX131" s="134"/>
      <c r="CY131" s="134"/>
      <c r="CZ131" s="134"/>
      <c r="DA131" s="134"/>
      <c r="DB131" s="134"/>
      <c r="DC131" s="134"/>
      <c r="DD131" s="134"/>
      <c r="DE131" s="134"/>
      <c r="DF131" s="134"/>
      <c r="DG131" s="134"/>
      <c r="DH131" s="134"/>
      <c r="DI131" s="134"/>
      <c r="DJ131" s="134"/>
      <c r="DK131" s="134"/>
      <c r="DL131" s="134"/>
      <c r="DM131" s="134"/>
      <c r="DN131" s="134"/>
      <c r="DO131" s="134"/>
      <c r="DP131" s="134"/>
      <c r="DQ131" s="134"/>
      <c r="DR131" s="134"/>
      <c r="DS131" s="134"/>
      <c r="DT131" s="134"/>
      <c r="DU131" s="134"/>
      <c r="DV131" s="134"/>
      <c r="DW131" s="134"/>
      <c r="DX131" s="134"/>
      <c r="DY131" s="134"/>
      <c r="DZ131" s="134"/>
      <c r="EA131" s="134"/>
      <c r="EB131" s="134"/>
      <c r="EC131" s="134"/>
      <c r="ED131" s="134"/>
      <c r="EE131" s="134"/>
      <c r="EF131" s="134"/>
      <c r="EG131" s="134"/>
      <c r="EH131" s="134"/>
      <c r="EI131" s="134"/>
      <c r="EJ131" s="134"/>
      <c r="EK131" s="134"/>
      <c r="EL131" s="134"/>
      <c r="EM131" s="134"/>
      <c r="EN131" s="134"/>
      <c r="EO131" s="134"/>
      <c r="EP131" s="134"/>
      <c r="EQ131" s="134"/>
      <c r="ER131" s="134"/>
      <c r="ES131" s="134"/>
      <c r="ET131" s="134"/>
      <c r="EU131" s="134"/>
      <c r="EV131" s="134"/>
      <c r="EW131" s="134"/>
      <c r="EX131" s="134"/>
      <c r="EY131" s="134"/>
      <c r="EZ131" s="134"/>
      <c r="FA131" s="134"/>
      <c r="FB131" s="134"/>
      <c r="FC131" s="134"/>
      <c r="FD131" s="134"/>
      <c r="FE131" s="134"/>
      <c r="FF131" s="134"/>
      <c r="FG131" s="134"/>
      <c r="FH131" s="134"/>
      <c r="FI131" s="134"/>
      <c r="FJ131" s="134"/>
      <c r="FK131" s="134"/>
      <c r="FL131" s="134"/>
      <c r="FM131" s="134"/>
      <c r="FN131" s="134"/>
      <c r="FO131" s="134"/>
      <c r="FP131" s="134"/>
      <c r="FQ131" s="134"/>
      <c r="FR131" s="134"/>
      <c r="FS131" s="134"/>
      <c r="FT131" s="134"/>
      <c r="FU131" s="134"/>
      <c r="FV131" s="134"/>
      <c r="FW131" s="134"/>
      <c r="FX131" s="134"/>
      <c r="FY131" s="134"/>
      <c r="FZ131" s="134"/>
      <c r="GA131" s="134"/>
    </row>
    <row r="132">
      <c r="A132" s="135">
        <v>46200.0</v>
      </c>
      <c r="B132" s="12" t="s">
        <v>17</v>
      </c>
      <c r="C132" s="13" t="s">
        <v>23</v>
      </c>
      <c r="D132" s="13">
        <v>3.0</v>
      </c>
      <c r="E132" s="14">
        <v>25000.0</v>
      </c>
      <c r="F132" s="14">
        <f t="shared" si="5"/>
        <v>75000</v>
      </c>
      <c r="G132" s="15" t="s">
        <v>10</v>
      </c>
      <c r="H132" s="110"/>
      <c r="I132" s="28"/>
      <c r="J132" s="18"/>
      <c r="K132" s="111"/>
      <c r="L132" s="111"/>
      <c r="M132" s="20"/>
      <c r="N132" s="20"/>
      <c r="O132" s="21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</row>
    <row r="133">
      <c r="A133" s="115" t="s">
        <v>142</v>
      </c>
      <c r="C133" s="116"/>
      <c r="D133" s="117">
        <f>SUM(D87:D132)</f>
        <v>206</v>
      </c>
      <c r="E133" s="116"/>
      <c r="F133" s="118">
        <f>SUM(F87:F132)</f>
        <v>5150000</v>
      </c>
      <c r="G133" s="119"/>
      <c r="H133" s="110"/>
      <c r="I133" s="28"/>
      <c r="J133" s="18"/>
      <c r="K133" s="111"/>
      <c r="L133" s="111"/>
      <c r="M133" s="20"/>
      <c r="N133" s="20"/>
      <c r="O133" s="21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  <c r="BM133" s="134"/>
      <c r="BN133" s="134"/>
      <c r="BO133" s="134"/>
      <c r="BP133" s="134"/>
      <c r="BQ133" s="134"/>
      <c r="BR133" s="134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/>
      <c r="CI133" s="134"/>
      <c r="CJ133" s="134"/>
      <c r="CK133" s="134"/>
      <c r="CL133" s="134"/>
      <c r="CM133" s="134"/>
      <c r="CN133" s="134"/>
      <c r="CO133" s="134"/>
      <c r="CP133" s="134"/>
      <c r="CQ133" s="134"/>
      <c r="CR133" s="134"/>
      <c r="CS133" s="134"/>
      <c r="CT133" s="134"/>
      <c r="CU133" s="134"/>
      <c r="CV133" s="134"/>
      <c r="CW133" s="134"/>
      <c r="CX133" s="134"/>
      <c r="CY133" s="134"/>
      <c r="CZ133" s="134"/>
      <c r="DA133" s="134"/>
      <c r="DB133" s="134"/>
      <c r="DC133" s="134"/>
      <c r="DD133" s="134"/>
      <c r="DE133" s="134"/>
      <c r="DF133" s="134"/>
      <c r="DG133" s="134"/>
      <c r="DH133" s="134"/>
      <c r="DI133" s="134"/>
      <c r="DJ133" s="134"/>
      <c r="DK133" s="134"/>
      <c r="DL133" s="134"/>
      <c r="DM133" s="134"/>
      <c r="DN133" s="134"/>
      <c r="DO133" s="134"/>
      <c r="DP133" s="134"/>
      <c r="DQ133" s="134"/>
      <c r="DR133" s="134"/>
      <c r="DS133" s="134"/>
      <c r="DT133" s="134"/>
      <c r="DU133" s="134"/>
      <c r="DV133" s="134"/>
      <c r="DW133" s="134"/>
      <c r="DX133" s="134"/>
      <c r="DY133" s="134"/>
      <c r="DZ133" s="134"/>
      <c r="EA133" s="134"/>
      <c r="EB133" s="134"/>
      <c r="EC133" s="134"/>
      <c r="ED133" s="134"/>
      <c r="EE133" s="134"/>
      <c r="EF133" s="134"/>
      <c r="EG133" s="134"/>
      <c r="EH133" s="134"/>
      <c r="EI133" s="134"/>
      <c r="EJ133" s="134"/>
      <c r="EK133" s="134"/>
      <c r="EL133" s="134"/>
      <c r="EM133" s="134"/>
      <c r="EN133" s="134"/>
      <c r="EO133" s="134"/>
      <c r="EP133" s="134"/>
      <c r="EQ133" s="134"/>
      <c r="ER133" s="134"/>
      <c r="ES133" s="134"/>
      <c r="ET133" s="134"/>
      <c r="EU133" s="134"/>
      <c r="EV133" s="134"/>
      <c r="EW133" s="134"/>
      <c r="EX133" s="134"/>
      <c r="EY133" s="134"/>
      <c r="EZ133" s="134"/>
      <c r="FA133" s="134"/>
      <c r="FB133" s="134"/>
      <c r="FC133" s="134"/>
      <c r="FD133" s="134"/>
      <c r="FE133" s="134"/>
      <c r="FF133" s="134"/>
      <c r="FG133" s="134"/>
      <c r="FH133" s="134"/>
      <c r="FI133" s="134"/>
      <c r="FJ133" s="134"/>
      <c r="FK133" s="134"/>
      <c r="FL133" s="134"/>
      <c r="FM133" s="134"/>
      <c r="FN133" s="134"/>
      <c r="FO133" s="134"/>
      <c r="FP133" s="134"/>
      <c r="FQ133" s="134"/>
      <c r="FR133" s="134"/>
      <c r="FS133" s="134"/>
      <c r="FT133" s="134"/>
      <c r="FU133" s="134"/>
      <c r="FV133" s="134"/>
      <c r="FW133" s="134"/>
      <c r="FX133" s="134"/>
      <c r="FY133" s="134"/>
      <c r="FZ133" s="134"/>
      <c r="GA133" s="134"/>
    </row>
    <row r="134">
      <c r="A134" s="113"/>
      <c r="B134" s="12"/>
      <c r="C134" s="114"/>
      <c r="D134" s="114"/>
      <c r="E134" s="14"/>
      <c r="F134" s="14"/>
      <c r="G134" s="15"/>
      <c r="H134" s="110"/>
      <c r="I134" s="28"/>
      <c r="J134" s="18"/>
      <c r="K134" s="111"/>
      <c r="L134" s="111"/>
      <c r="M134" s="20"/>
      <c r="N134" s="20"/>
      <c r="O134" s="21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</row>
    <row r="135">
      <c r="A135" s="28"/>
      <c r="B135" s="18"/>
      <c r="C135" s="111"/>
      <c r="D135" s="111"/>
      <c r="E135" s="20"/>
      <c r="F135" s="20"/>
      <c r="G135" s="21"/>
      <c r="H135" s="110"/>
      <c r="I135" s="28"/>
      <c r="J135" s="18"/>
      <c r="K135" s="111"/>
      <c r="L135" s="111"/>
      <c r="M135" s="20"/>
      <c r="N135" s="20"/>
      <c r="O135" s="21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  <c r="BF135" s="134"/>
      <c r="BG135" s="134"/>
      <c r="BH135" s="134"/>
      <c r="BI135" s="134"/>
      <c r="BJ135" s="134"/>
      <c r="BK135" s="134"/>
      <c r="BL135" s="134"/>
      <c r="BM135" s="134"/>
      <c r="BN135" s="134"/>
      <c r="BO135" s="134"/>
      <c r="BP135" s="134"/>
      <c r="BQ135" s="134"/>
      <c r="BR135" s="134"/>
      <c r="BS135" s="134"/>
      <c r="BT135" s="134"/>
      <c r="BU135" s="134"/>
      <c r="BV135" s="134"/>
      <c r="BW135" s="134"/>
      <c r="BX135" s="134"/>
      <c r="BY135" s="134"/>
      <c r="BZ135" s="134"/>
      <c r="CA135" s="134"/>
      <c r="CB135" s="134"/>
      <c r="CC135" s="134"/>
      <c r="CD135" s="134"/>
      <c r="CE135" s="134"/>
      <c r="CF135" s="134"/>
      <c r="CG135" s="134"/>
      <c r="CH135" s="134"/>
      <c r="CI135" s="134"/>
      <c r="CJ135" s="134"/>
      <c r="CK135" s="134"/>
      <c r="CL135" s="134"/>
      <c r="CM135" s="134"/>
      <c r="CN135" s="134"/>
      <c r="CO135" s="134"/>
      <c r="CP135" s="134"/>
      <c r="CQ135" s="134"/>
      <c r="CR135" s="134"/>
      <c r="CS135" s="134"/>
      <c r="CT135" s="134"/>
      <c r="CU135" s="134"/>
      <c r="CV135" s="134"/>
      <c r="CW135" s="134"/>
      <c r="CX135" s="134"/>
      <c r="CY135" s="134"/>
      <c r="CZ135" s="134"/>
      <c r="DA135" s="134"/>
      <c r="DB135" s="134"/>
      <c r="DC135" s="134"/>
      <c r="DD135" s="134"/>
      <c r="DE135" s="134"/>
      <c r="DF135" s="134"/>
      <c r="DG135" s="134"/>
      <c r="DH135" s="134"/>
      <c r="DI135" s="134"/>
      <c r="DJ135" s="134"/>
      <c r="DK135" s="134"/>
      <c r="DL135" s="134"/>
      <c r="DM135" s="134"/>
      <c r="DN135" s="134"/>
      <c r="DO135" s="134"/>
      <c r="DP135" s="134"/>
      <c r="DQ135" s="134"/>
      <c r="DR135" s="134"/>
      <c r="DS135" s="134"/>
      <c r="DT135" s="134"/>
      <c r="DU135" s="134"/>
      <c r="DV135" s="134"/>
      <c r="DW135" s="134"/>
      <c r="DX135" s="134"/>
      <c r="DY135" s="134"/>
      <c r="DZ135" s="134"/>
      <c r="EA135" s="134"/>
      <c r="EB135" s="134"/>
      <c r="EC135" s="134"/>
      <c r="ED135" s="134"/>
      <c r="EE135" s="134"/>
      <c r="EF135" s="134"/>
      <c r="EG135" s="134"/>
      <c r="EH135" s="134"/>
      <c r="EI135" s="134"/>
      <c r="EJ135" s="134"/>
      <c r="EK135" s="134"/>
      <c r="EL135" s="134"/>
      <c r="EM135" s="134"/>
      <c r="EN135" s="134"/>
      <c r="EO135" s="134"/>
      <c r="EP135" s="134"/>
      <c r="EQ135" s="134"/>
      <c r="ER135" s="134"/>
      <c r="ES135" s="134"/>
      <c r="ET135" s="134"/>
      <c r="EU135" s="134"/>
      <c r="EV135" s="134"/>
      <c r="EW135" s="134"/>
      <c r="EX135" s="134"/>
      <c r="EY135" s="134"/>
      <c r="EZ135" s="134"/>
      <c r="FA135" s="134"/>
      <c r="FB135" s="134"/>
      <c r="FC135" s="134"/>
      <c r="FD135" s="134"/>
      <c r="FE135" s="134"/>
      <c r="FF135" s="134"/>
      <c r="FG135" s="134"/>
      <c r="FH135" s="134"/>
      <c r="FI135" s="134"/>
      <c r="FJ135" s="134"/>
      <c r="FK135" s="134"/>
      <c r="FL135" s="134"/>
      <c r="FM135" s="134"/>
      <c r="FN135" s="134"/>
      <c r="FO135" s="134"/>
      <c r="FP135" s="134"/>
      <c r="FQ135" s="134"/>
      <c r="FR135" s="134"/>
      <c r="FS135" s="134"/>
      <c r="FT135" s="134"/>
      <c r="FU135" s="134"/>
      <c r="FV135" s="134"/>
      <c r="FW135" s="134"/>
      <c r="FX135" s="134"/>
      <c r="FY135" s="134"/>
      <c r="FZ135" s="134"/>
      <c r="GA135" s="134"/>
    </row>
    <row r="136" ht="27.0" customHeight="1">
      <c r="A136" s="105" t="s">
        <v>1</v>
      </c>
      <c r="B136" s="105" t="s">
        <v>2</v>
      </c>
      <c r="C136" s="105" t="s">
        <v>3</v>
      </c>
      <c r="D136" s="106" t="s">
        <v>4</v>
      </c>
      <c r="E136" s="107" t="s">
        <v>5</v>
      </c>
      <c r="F136" s="108" t="s">
        <v>6</v>
      </c>
      <c r="G136" s="105" t="s">
        <v>84</v>
      </c>
      <c r="H136" s="110"/>
      <c r="I136" s="28"/>
      <c r="J136" s="18"/>
      <c r="K136" s="111"/>
      <c r="L136" s="111"/>
      <c r="M136" s="20"/>
      <c r="N136" s="20"/>
      <c r="O136" s="21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</row>
    <row r="137">
      <c r="A137" s="136">
        <v>46202.0</v>
      </c>
      <c r="B137" s="18" t="s">
        <v>17</v>
      </c>
      <c r="C137" s="19" t="s">
        <v>230</v>
      </c>
      <c r="D137" s="19">
        <v>20.0</v>
      </c>
      <c r="E137" s="20">
        <v>25000.0</v>
      </c>
      <c r="F137" s="20">
        <f t="shared" ref="F137:F192" si="7">D137*E137</f>
        <v>500000</v>
      </c>
      <c r="G137" s="21" t="s">
        <v>10</v>
      </c>
      <c r="H137" s="110"/>
      <c r="I137" s="135">
        <v>46202.0</v>
      </c>
      <c r="J137" s="12" t="s">
        <v>17</v>
      </c>
      <c r="K137" s="13" t="s">
        <v>16</v>
      </c>
      <c r="L137" s="13">
        <v>2.0</v>
      </c>
      <c r="M137" s="14">
        <v>25000.0</v>
      </c>
      <c r="N137" s="14">
        <f t="shared" ref="N137:N142" si="8">L137*M137</f>
        <v>50000</v>
      </c>
      <c r="O137" s="15" t="s">
        <v>10</v>
      </c>
      <c r="P137" s="110"/>
      <c r="Q137" s="28"/>
      <c r="R137" s="18"/>
      <c r="S137" s="111"/>
      <c r="T137" s="111"/>
      <c r="U137" s="20"/>
      <c r="V137" s="20"/>
      <c r="W137" s="21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  <c r="BF137" s="134"/>
      <c r="BG137" s="134"/>
      <c r="BH137" s="134"/>
      <c r="BI137" s="134"/>
      <c r="BJ137" s="134"/>
      <c r="BK137" s="134"/>
      <c r="BL137" s="134"/>
      <c r="BM137" s="134"/>
      <c r="BN137" s="134"/>
      <c r="BO137" s="134"/>
      <c r="BP137" s="134"/>
      <c r="BQ137" s="134"/>
      <c r="BR137" s="134"/>
      <c r="BS137" s="134"/>
      <c r="BT137" s="134"/>
      <c r="BU137" s="134"/>
      <c r="BV137" s="134"/>
      <c r="BW137" s="134"/>
      <c r="BX137" s="134"/>
      <c r="BY137" s="134"/>
      <c r="BZ137" s="134"/>
      <c r="CA137" s="134"/>
      <c r="CB137" s="134"/>
      <c r="CC137" s="134"/>
      <c r="CD137" s="134"/>
      <c r="CE137" s="134"/>
      <c r="CF137" s="134"/>
      <c r="CG137" s="134"/>
      <c r="CH137" s="134"/>
      <c r="CI137" s="134"/>
      <c r="CJ137" s="134"/>
      <c r="CK137" s="134"/>
      <c r="CL137" s="134"/>
      <c r="CM137" s="134"/>
      <c r="CN137" s="134"/>
      <c r="CO137" s="134"/>
      <c r="CP137" s="134"/>
      <c r="CQ137" s="134"/>
      <c r="CR137" s="134"/>
      <c r="CS137" s="134"/>
      <c r="CT137" s="134"/>
      <c r="CU137" s="134"/>
      <c r="CV137" s="134"/>
      <c r="CW137" s="134"/>
      <c r="CX137" s="134"/>
      <c r="CY137" s="134"/>
      <c r="CZ137" s="134"/>
      <c r="DA137" s="134"/>
      <c r="DB137" s="134"/>
      <c r="DC137" s="134"/>
      <c r="DD137" s="134"/>
      <c r="DE137" s="134"/>
      <c r="DF137" s="134"/>
      <c r="DG137" s="134"/>
      <c r="DH137" s="134"/>
      <c r="DI137" s="134"/>
      <c r="DJ137" s="134"/>
      <c r="DK137" s="134"/>
      <c r="DL137" s="134"/>
      <c r="DM137" s="134"/>
      <c r="DN137" s="134"/>
      <c r="DO137" s="134"/>
      <c r="DP137" s="134"/>
      <c r="DQ137" s="134"/>
      <c r="DR137" s="134"/>
      <c r="DS137" s="134"/>
      <c r="DT137" s="134"/>
      <c r="DU137" s="134"/>
      <c r="DV137" s="134"/>
      <c r="DW137" s="134"/>
      <c r="DX137" s="134"/>
      <c r="DY137" s="134"/>
      <c r="DZ137" s="134"/>
      <c r="EA137" s="134"/>
      <c r="EB137" s="134"/>
      <c r="EC137" s="134"/>
      <c r="ED137" s="134"/>
      <c r="EE137" s="134"/>
      <c r="EF137" s="134"/>
      <c r="EG137" s="134"/>
      <c r="EH137" s="134"/>
      <c r="EI137" s="134"/>
      <c r="EJ137" s="134"/>
      <c r="EK137" s="134"/>
      <c r="EL137" s="134"/>
      <c r="EM137" s="134"/>
      <c r="EN137" s="134"/>
      <c r="EO137" s="134"/>
      <c r="EP137" s="134"/>
      <c r="EQ137" s="134"/>
      <c r="ER137" s="134"/>
      <c r="ES137" s="134"/>
      <c r="ET137" s="134"/>
      <c r="EU137" s="134"/>
      <c r="EV137" s="134"/>
      <c r="EW137" s="134"/>
      <c r="EX137" s="134"/>
      <c r="EY137" s="134"/>
      <c r="EZ137" s="134"/>
      <c r="FA137" s="134"/>
      <c r="FB137" s="134"/>
      <c r="FC137" s="134"/>
      <c r="FD137" s="134"/>
      <c r="FE137" s="134"/>
      <c r="FF137" s="134"/>
      <c r="FG137" s="134"/>
      <c r="FH137" s="134"/>
      <c r="FI137" s="134"/>
      <c r="FJ137" s="134"/>
      <c r="FK137" s="134"/>
      <c r="FL137" s="134"/>
      <c r="FM137" s="134"/>
      <c r="FN137" s="134"/>
      <c r="FO137" s="134"/>
      <c r="FP137" s="134"/>
      <c r="FQ137" s="134"/>
      <c r="FR137" s="134"/>
      <c r="FS137" s="134"/>
      <c r="FT137" s="134"/>
      <c r="FU137" s="134"/>
      <c r="FV137" s="134"/>
      <c r="FW137" s="134"/>
      <c r="FX137" s="134"/>
      <c r="FY137" s="134"/>
      <c r="FZ137" s="134"/>
      <c r="GA137" s="134"/>
    </row>
    <row r="138">
      <c r="A138" s="135">
        <v>46202.0</v>
      </c>
      <c r="B138" s="12" t="s">
        <v>17</v>
      </c>
      <c r="C138" s="13" t="s">
        <v>274</v>
      </c>
      <c r="D138" s="13">
        <v>20.0</v>
      </c>
      <c r="E138" s="14">
        <v>25000.0</v>
      </c>
      <c r="F138" s="14">
        <f t="shared" si="7"/>
        <v>500000</v>
      </c>
      <c r="G138" s="15" t="s">
        <v>10</v>
      </c>
      <c r="H138" s="110"/>
      <c r="I138" s="17">
        <v>46203.0</v>
      </c>
      <c r="J138" s="18" t="s">
        <v>17</v>
      </c>
      <c r="K138" s="19" t="s">
        <v>16</v>
      </c>
      <c r="L138" s="19">
        <v>1.0</v>
      </c>
      <c r="M138" s="20">
        <v>25000.0</v>
      </c>
      <c r="N138" s="20">
        <f t="shared" si="8"/>
        <v>25000</v>
      </c>
      <c r="O138" s="21" t="s">
        <v>10</v>
      </c>
      <c r="P138" s="110"/>
      <c r="Q138" s="28"/>
      <c r="R138" s="18"/>
      <c r="S138" s="111"/>
      <c r="T138" s="111"/>
      <c r="U138" s="20"/>
      <c r="V138" s="20"/>
      <c r="W138" s="21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</row>
    <row r="139">
      <c r="A139" s="136">
        <v>46202.0</v>
      </c>
      <c r="B139" s="18" t="s">
        <v>17</v>
      </c>
      <c r="C139" s="19" t="s">
        <v>67</v>
      </c>
      <c r="D139" s="19">
        <v>2.0</v>
      </c>
      <c r="E139" s="20">
        <v>25000.0</v>
      </c>
      <c r="F139" s="20">
        <f t="shared" si="7"/>
        <v>50000</v>
      </c>
      <c r="G139" s="21" t="s">
        <v>10</v>
      </c>
      <c r="H139" s="110"/>
      <c r="I139" s="11">
        <v>46204.0</v>
      </c>
      <c r="J139" s="12" t="s">
        <v>17</v>
      </c>
      <c r="K139" s="13" t="s">
        <v>16</v>
      </c>
      <c r="L139" s="13">
        <v>1.4</v>
      </c>
      <c r="M139" s="14">
        <v>25000.0</v>
      </c>
      <c r="N139" s="14">
        <f t="shared" si="8"/>
        <v>35000</v>
      </c>
      <c r="O139" s="15" t="s">
        <v>10</v>
      </c>
      <c r="P139" s="110"/>
      <c r="Q139" s="28"/>
      <c r="R139" s="18"/>
      <c r="S139" s="111"/>
      <c r="T139" s="111"/>
      <c r="U139" s="20"/>
      <c r="V139" s="20"/>
      <c r="W139" s="21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4"/>
      <c r="BG139" s="134"/>
      <c r="BH139" s="134"/>
      <c r="BI139" s="134"/>
      <c r="BJ139" s="134"/>
      <c r="BK139" s="134"/>
      <c r="BL139" s="134"/>
      <c r="BM139" s="134"/>
      <c r="BN139" s="134"/>
      <c r="BO139" s="134"/>
      <c r="BP139" s="134"/>
      <c r="BQ139" s="134"/>
      <c r="BR139" s="134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  <c r="CC139" s="134"/>
      <c r="CD139" s="134"/>
      <c r="CE139" s="134"/>
      <c r="CF139" s="134"/>
      <c r="CG139" s="134"/>
      <c r="CH139" s="134"/>
      <c r="CI139" s="134"/>
      <c r="CJ139" s="134"/>
      <c r="CK139" s="134"/>
      <c r="CL139" s="134"/>
      <c r="CM139" s="134"/>
      <c r="CN139" s="134"/>
      <c r="CO139" s="134"/>
      <c r="CP139" s="134"/>
      <c r="CQ139" s="134"/>
      <c r="CR139" s="134"/>
      <c r="CS139" s="134"/>
      <c r="CT139" s="134"/>
      <c r="CU139" s="134"/>
      <c r="CV139" s="134"/>
      <c r="CW139" s="134"/>
      <c r="CX139" s="134"/>
      <c r="CY139" s="134"/>
      <c r="CZ139" s="134"/>
      <c r="DA139" s="134"/>
      <c r="DB139" s="134"/>
      <c r="DC139" s="134"/>
      <c r="DD139" s="134"/>
      <c r="DE139" s="134"/>
      <c r="DF139" s="134"/>
      <c r="DG139" s="134"/>
      <c r="DH139" s="134"/>
      <c r="DI139" s="134"/>
      <c r="DJ139" s="134"/>
      <c r="DK139" s="134"/>
      <c r="DL139" s="134"/>
      <c r="DM139" s="134"/>
      <c r="DN139" s="134"/>
      <c r="DO139" s="134"/>
      <c r="DP139" s="134"/>
      <c r="DQ139" s="134"/>
      <c r="DR139" s="134"/>
      <c r="DS139" s="134"/>
      <c r="DT139" s="134"/>
      <c r="DU139" s="134"/>
      <c r="DV139" s="134"/>
      <c r="DW139" s="134"/>
      <c r="DX139" s="134"/>
      <c r="DY139" s="134"/>
      <c r="DZ139" s="134"/>
      <c r="EA139" s="134"/>
      <c r="EB139" s="134"/>
      <c r="EC139" s="134"/>
      <c r="ED139" s="134"/>
      <c r="EE139" s="134"/>
      <c r="EF139" s="134"/>
      <c r="EG139" s="134"/>
      <c r="EH139" s="134"/>
      <c r="EI139" s="134"/>
      <c r="EJ139" s="134"/>
      <c r="EK139" s="134"/>
      <c r="EL139" s="134"/>
      <c r="EM139" s="134"/>
      <c r="EN139" s="134"/>
      <c r="EO139" s="134"/>
      <c r="EP139" s="134"/>
      <c r="EQ139" s="134"/>
      <c r="ER139" s="134"/>
      <c r="ES139" s="134"/>
      <c r="ET139" s="134"/>
      <c r="EU139" s="134"/>
      <c r="EV139" s="134"/>
      <c r="EW139" s="134"/>
      <c r="EX139" s="134"/>
      <c r="EY139" s="134"/>
      <c r="EZ139" s="134"/>
      <c r="FA139" s="134"/>
      <c r="FB139" s="134"/>
      <c r="FC139" s="134"/>
      <c r="FD139" s="134"/>
      <c r="FE139" s="134"/>
      <c r="FF139" s="134"/>
      <c r="FG139" s="134"/>
      <c r="FH139" s="134"/>
      <c r="FI139" s="134"/>
      <c r="FJ139" s="134"/>
      <c r="FK139" s="134"/>
      <c r="FL139" s="134"/>
      <c r="FM139" s="134"/>
      <c r="FN139" s="134"/>
      <c r="FO139" s="134"/>
      <c r="FP139" s="134"/>
      <c r="FQ139" s="134"/>
      <c r="FR139" s="134"/>
      <c r="FS139" s="134"/>
      <c r="FT139" s="134"/>
      <c r="FU139" s="134"/>
      <c r="FV139" s="134"/>
      <c r="FW139" s="134"/>
      <c r="FX139" s="134"/>
      <c r="FY139" s="134"/>
      <c r="FZ139" s="134"/>
      <c r="GA139" s="134"/>
    </row>
    <row r="140">
      <c r="A140" s="135">
        <v>46202.0</v>
      </c>
      <c r="B140" s="12" t="s">
        <v>17</v>
      </c>
      <c r="C140" s="13" t="s">
        <v>60</v>
      </c>
      <c r="D140" s="13">
        <v>2.0</v>
      </c>
      <c r="E140" s="14">
        <v>25000.0</v>
      </c>
      <c r="F140" s="14">
        <f t="shared" si="7"/>
        <v>50000</v>
      </c>
      <c r="G140" s="15" t="s">
        <v>10</v>
      </c>
      <c r="H140" s="110"/>
      <c r="I140" s="17">
        <v>46205.0</v>
      </c>
      <c r="J140" s="18" t="s">
        <v>17</v>
      </c>
      <c r="K140" s="19" t="s">
        <v>16</v>
      </c>
      <c r="L140" s="19">
        <v>1.2</v>
      </c>
      <c r="M140" s="20">
        <v>25000.0</v>
      </c>
      <c r="N140" s="20">
        <f t="shared" si="8"/>
        <v>30000</v>
      </c>
      <c r="O140" s="21" t="s">
        <v>10</v>
      </c>
      <c r="P140" s="110"/>
    </row>
    <row r="141">
      <c r="A141" s="136">
        <v>46202.0</v>
      </c>
      <c r="B141" s="18" t="s">
        <v>17</v>
      </c>
      <c r="C141" s="19" t="s">
        <v>283</v>
      </c>
      <c r="D141" s="19">
        <v>1.0</v>
      </c>
      <c r="E141" s="20">
        <v>25000.0</v>
      </c>
      <c r="F141" s="20">
        <f t="shared" si="7"/>
        <v>25000</v>
      </c>
      <c r="G141" s="21" t="s">
        <v>10</v>
      </c>
      <c r="H141" s="110"/>
      <c r="I141" s="11">
        <v>46206.0</v>
      </c>
      <c r="J141" s="12" t="s">
        <v>17</v>
      </c>
      <c r="K141" s="13" t="s">
        <v>16</v>
      </c>
      <c r="L141" s="13">
        <v>0.9</v>
      </c>
      <c r="M141" s="14">
        <v>25000.0</v>
      </c>
      <c r="N141" s="14">
        <f t="shared" si="8"/>
        <v>22500</v>
      </c>
      <c r="O141" s="15" t="s">
        <v>10</v>
      </c>
      <c r="P141" s="110"/>
    </row>
    <row r="142">
      <c r="A142" s="135">
        <v>46202.0</v>
      </c>
      <c r="B142" s="12" t="s">
        <v>17</v>
      </c>
      <c r="C142" s="13" t="s">
        <v>23</v>
      </c>
      <c r="D142" s="13">
        <v>3.0</v>
      </c>
      <c r="E142" s="14">
        <v>25000.0</v>
      </c>
      <c r="F142" s="14">
        <f t="shared" si="7"/>
        <v>75000</v>
      </c>
      <c r="G142" s="15" t="s">
        <v>10</v>
      </c>
      <c r="H142" s="110"/>
      <c r="I142" s="17">
        <v>46207.0</v>
      </c>
      <c r="J142" s="18" t="s">
        <v>17</v>
      </c>
      <c r="K142" s="19" t="s">
        <v>16</v>
      </c>
      <c r="L142" s="19">
        <v>0.7</v>
      </c>
      <c r="M142" s="20">
        <v>25000.0</v>
      </c>
      <c r="N142" s="20">
        <f t="shared" si="8"/>
        <v>17500</v>
      </c>
      <c r="O142" s="21" t="s">
        <v>10</v>
      </c>
      <c r="P142" s="110"/>
    </row>
    <row r="143">
      <c r="A143" s="136">
        <v>46202.0</v>
      </c>
      <c r="B143" s="18" t="s">
        <v>17</v>
      </c>
      <c r="C143" s="19" t="s">
        <v>284</v>
      </c>
      <c r="D143" s="19">
        <v>1.0</v>
      </c>
      <c r="E143" s="20">
        <v>25000.0</v>
      </c>
      <c r="F143" s="20">
        <f t="shared" si="7"/>
        <v>25000</v>
      </c>
      <c r="G143" s="21" t="s">
        <v>10</v>
      </c>
      <c r="H143" s="110"/>
      <c r="I143" s="115" t="s">
        <v>142</v>
      </c>
      <c r="K143" s="116"/>
      <c r="L143" s="117">
        <f>SUM(L137:L142)</f>
        <v>7.2</v>
      </c>
      <c r="M143" s="116"/>
      <c r="N143" s="118">
        <f>SUM(N137:N142)</f>
        <v>180000</v>
      </c>
      <c r="O143" s="119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  <c r="CC143" s="134"/>
      <c r="CD143" s="134"/>
      <c r="CE143" s="134"/>
      <c r="CF143" s="134"/>
      <c r="CG143" s="134"/>
      <c r="CH143" s="134"/>
      <c r="CI143" s="134"/>
      <c r="CJ143" s="134"/>
      <c r="CK143" s="134"/>
      <c r="CL143" s="134"/>
      <c r="CM143" s="134"/>
      <c r="CN143" s="134"/>
      <c r="CO143" s="134"/>
      <c r="CP143" s="134"/>
      <c r="CQ143" s="134"/>
      <c r="CR143" s="134"/>
      <c r="CS143" s="134"/>
      <c r="CT143" s="134"/>
      <c r="CU143" s="134"/>
      <c r="CV143" s="134"/>
      <c r="CW143" s="134"/>
      <c r="CX143" s="134"/>
      <c r="CY143" s="134"/>
      <c r="CZ143" s="134"/>
      <c r="DA143" s="134"/>
      <c r="DB143" s="134"/>
      <c r="DC143" s="134"/>
      <c r="DD143" s="134"/>
      <c r="DE143" s="134"/>
      <c r="DF143" s="134"/>
      <c r="DG143" s="134"/>
      <c r="DH143" s="134"/>
      <c r="DI143" s="134"/>
      <c r="DJ143" s="134"/>
      <c r="DK143" s="134"/>
      <c r="DL143" s="134"/>
      <c r="DM143" s="134"/>
      <c r="DN143" s="134"/>
      <c r="DO143" s="134"/>
      <c r="DP143" s="134"/>
      <c r="DQ143" s="134"/>
      <c r="DR143" s="134"/>
      <c r="DS143" s="134"/>
      <c r="DT143" s="134"/>
      <c r="DU143" s="134"/>
      <c r="DV143" s="134"/>
      <c r="DW143" s="134"/>
      <c r="DX143" s="134"/>
      <c r="DY143" s="134"/>
      <c r="DZ143" s="134"/>
      <c r="EA143" s="134"/>
      <c r="EB143" s="134"/>
      <c r="EC143" s="134"/>
      <c r="ED143" s="134"/>
      <c r="EE143" s="134"/>
      <c r="EF143" s="134"/>
      <c r="EG143" s="134"/>
      <c r="EH143" s="134"/>
      <c r="EI143" s="134"/>
      <c r="EJ143" s="134"/>
      <c r="EK143" s="134"/>
      <c r="EL143" s="134"/>
      <c r="EM143" s="134"/>
      <c r="EN143" s="134"/>
      <c r="EO143" s="134"/>
      <c r="EP143" s="134"/>
      <c r="EQ143" s="134"/>
      <c r="ER143" s="134"/>
      <c r="ES143" s="134"/>
      <c r="ET143" s="134"/>
      <c r="EU143" s="134"/>
      <c r="EV143" s="134"/>
      <c r="EW143" s="134"/>
      <c r="EX143" s="134"/>
      <c r="EY143" s="134"/>
      <c r="EZ143" s="134"/>
      <c r="FA143" s="134"/>
      <c r="FB143" s="134"/>
      <c r="FC143" s="134"/>
      <c r="FD143" s="134"/>
      <c r="FE143" s="134"/>
      <c r="FF143" s="134"/>
      <c r="FG143" s="134"/>
      <c r="FH143" s="134"/>
      <c r="FI143" s="134"/>
      <c r="FJ143" s="134"/>
      <c r="FK143" s="134"/>
      <c r="FL143" s="134"/>
      <c r="FM143" s="134"/>
      <c r="FN143" s="134"/>
      <c r="FO143" s="134"/>
      <c r="FP143" s="134"/>
      <c r="FQ143" s="134"/>
      <c r="FR143" s="134"/>
      <c r="FS143" s="134"/>
      <c r="FT143" s="134"/>
      <c r="FU143" s="134"/>
      <c r="FV143" s="134"/>
      <c r="FW143" s="134"/>
      <c r="FX143" s="134"/>
      <c r="FY143" s="134"/>
      <c r="FZ143" s="134"/>
      <c r="GA143" s="134"/>
    </row>
    <row r="144">
      <c r="A144" s="11">
        <v>46203.0</v>
      </c>
      <c r="B144" s="12" t="s">
        <v>17</v>
      </c>
      <c r="C144" s="13" t="s">
        <v>140</v>
      </c>
      <c r="D144" s="13">
        <v>10.0</v>
      </c>
      <c r="E144" s="14">
        <v>25000.0</v>
      </c>
      <c r="F144" s="14">
        <f t="shared" si="7"/>
        <v>250000</v>
      </c>
      <c r="G144" s="15" t="s">
        <v>10</v>
      </c>
      <c r="H144" s="110"/>
      <c r="I144" s="115" t="s">
        <v>142</v>
      </c>
      <c r="K144" s="116"/>
      <c r="L144" s="117">
        <f>SUM(D193,L143)</f>
        <v>214.2</v>
      </c>
      <c r="M144" s="116"/>
      <c r="N144" s="123">
        <f>SUM(F193,N143)</f>
        <v>5355000</v>
      </c>
      <c r="O144" s="119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</row>
    <row r="145">
      <c r="A145" s="17">
        <v>46203.0</v>
      </c>
      <c r="B145" s="18" t="s">
        <v>17</v>
      </c>
      <c r="C145" s="19" t="s">
        <v>274</v>
      </c>
      <c r="D145" s="19">
        <v>10.0</v>
      </c>
      <c r="E145" s="20">
        <v>25000.0</v>
      </c>
      <c r="F145" s="20">
        <f t="shared" si="7"/>
        <v>250000</v>
      </c>
      <c r="G145" s="21" t="s">
        <v>10</v>
      </c>
      <c r="H145" s="110"/>
      <c r="I145" s="28"/>
      <c r="J145" s="18"/>
      <c r="K145" s="111"/>
      <c r="L145" s="111"/>
      <c r="M145" s="20"/>
      <c r="N145" s="20"/>
      <c r="O145" s="21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/>
      <c r="BK145" s="134"/>
      <c r="BL145" s="134"/>
      <c r="BM145" s="134"/>
      <c r="BN145" s="134"/>
      <c r="BO145" s="134"/>
      <c r="BP145" s="134"/>
      <c r="BQ145" s="134"/>
      <c r="BR145" s="134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  <c r="CC145" s="134"/>
      <c r="CD145" s="134"/>
      <c r="CE145" s="134"/>
      <c r="CF145" s="134"/>
      <c r="CG145" s="134"/>
      <c r="CH145" s="134"/>
      <c r="CI145" s="134"/>
      <c r="CJ145" s="134"/>
      <c r="CK145" s="134"/>
      <c r="CL145" s="134"/>
      <c r="CM145" s="134"/>
      <c r="CN145" s="134"/>
      <c r="CO145" s="134"/>
      <c r="CP145" s="134"/>
      <c r="CQ145" s="134"/>
      <c r="CR145" s="134"/>
      <c r="CS145" s="134"/>
      <c r="CT145" s="134"/>
      <c r="CU145" s="134"/>
      <c r="CV145" s="134"/>
      <c r="CW145" s="134"/>
      <c r="CX145" s="134"/>
      <c r="CY145" s="134"/>
      <c r="CZ145" s="134"/>
      <c r="DA145" s="134"/>
      <c r="DB145" s="134"/>
      <c r="DC145" s="134"/>
      <c r="DD145" s="134"/>
      <c r="DE145" s="134"/>
      <c r="DF145" s="134"/>
      <c r="DG145" s="134"/>
      <c r="DH145" s="134"/>
      <c r="DI145" s="134"/>
      <c r="DJ145" s="134"/>
      <c r="DK145" s="134"/>
      <c r="DL145" s="134"/>
      <c r="DM145" s="134"/>
      <c r="DN145" s="134"/>
      <c r="DO145" s="134"/>
      <c r="DP145" s="134"/>
      <c r="DQ145" s="134"/>
      <c r="DR145" s="134"/>
      <c r="DS145" s="134"/>
      <c r="DT145" s="134"/>
      <c r="DU145" s="134"/>
      <c r="DV145" s="134"/>
      <c r="DW145" s="134"/>
      <c r="DX145" s="134"/>
      <c r="DY145" s="134"/>
      <c r="DZ145" s="134"/>
      <c r="EA145" s="134"/>
      <c r="EB145" s="134"/>
      <c r="EC145" s="134"/>
      <c r="ED145" s="134"/>
      <c r="EE145" s="134"/>
      <c r="EF145" s="134"/>
      <c r="EG145" s="134"/>
      <c r="EH145" s="134"/>
      <c r="EI145" s="134"/>
      <c r="EJ145" s="134"/>
      <c r="EK145" s="134"/>
      <c r="EL145" s="134"/>
      <c r="EM145" s="134"/>
      <c r="EN145" s="134"/>
      <c r="EO145" s="134"/>
      <c r="EP145" s="134"/>
      <c r="EQ145" s="134"/>
      <c r="ER145" s="134"/>
      <c r="ES145" s="134"/>
      <c r="ET145" s="134"/>
      <c r="EU145" s="134"/>
      <c r="EV145" s="134"/>
      <c r="EW145" s="134"/>
      <c r="EX145" s="134"/>
      <c r="EY145" s="134"/>
      <c r="EZ145" s="134"/>
      <c r="FA145" s="134"/>
      <c r="FB145" s="134"/>
      <c r="FC145" s="134"/>
      <c r="FD145" s="134"/>
      <c r="FE145" s="134"/>
      <c r="FF145" s="134"/>
      <c r="FG145" s="134"/>
      <c r="FH145" s="134"/>
      <c r="FI145" s="134"/>
      <c r="FJ145" s="134"/>
      <c r="FK145" s="134"/>
      <c r="FL145" s="134"/>
      <c r="FM145" s="134"/>
      <c r="FN145" s="134"/>
      <c r="FO145" s="134"/>
      <c r="FP145" s="134"/>
      <c r="FQ145" s="134"/>
      <c r="FR145" s="134"/>
      <c r="FS145" s="134"/>
      <c r="FT145" s="134"/>
      <c r="FU145" s="134"/>
      <c r="FV145" s="134"/>
      <c r="FW145" s="134"/>
      <c r="FX145" s="134"/>
      <c r="FY145" s="134"/>
      <c r="FZ145" s="134"/>
      <c r="GA145" s="134"/>
    </row>
    <row r="146">
      <c r="A146" s="11">
        <v>46203.0</v>
      </c>
      <c r="B146" s="12" t="s">
        <v>17</v>
      </c>
      <c r="C146" s="13" t="s">
        <v>60</v>
      </c>
      <c r="D146" s="13">
        <v>2.0</v>
      </c>
      <c r="E146" s="14">
        <v>25000.0</v>
      </c>
      <c r="F146" s="14">
        <f t="shared" si="7"/>
        <v>50000</v>
      </c>
      <c r="G146" s="15" t="s">
        <v>10</v>
      </c>
      <c r="H146" s="110"/>
      <c r="I146" s="28"/>
      <c r="J146" s="18"/>
      <c r="K146" s="111"/>
      <c r="L146" s="111"/>
      <c r="M146" s="20"/>
      <c r="N146" s="20"/>
      <c r="O146" s="21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</row>
    <row r="147">
      <c r="A147" s="17">
        <v>46203.0</v>
      </c>
      <c r="B147" s="18" t="s">
        <v>17</v>
      </c>
      <c r="C147" s="19" t="s">
        <v>285</v>
      </c>
      <c r="D147" s="19">
        <v>2.0</v>
      </c>
      <c r="E147" s="20">
        <v>25000.0</v>
      </c>
      <c r="F147" s="20">
        <f t="shared" si="7"/>
        <v>50000</v>
      </c>
      <c r="G147" s="21" t="s">
        <v>10</v>
      </c>
      <c r="H147" s="110"/>
      <c r="I147" s="28"/>
      <c r="J147" s="18"/>
      <c r="K147" s="111"/>
      <c r="L147" s="111"/>
      <c r="M147" s="20"/>
      <c r="N147" s="20"/>
      <c r="O147" s="21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  <c r="BM147" s="134"/>
      <c r="BN147" s="134"/>
      <c r="BO147" s="134"/>
      <c r="BP147" s="134"/>
      <c r="BQ147" s="134"/>
      <c r="BR147" s="134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  <c r="CC147" s="134"/>
      <c r="CD147" s="134"/>
      <c r="CE147" s="134"/>
      <c r="CF147" s="134"/>
      <c r="CG147" s="134"/>
      <c r="CH147" s="134"/>
      <c r="CI147" s="134"/>
      <c r="CJ147" s="134"/>
      <c r="CK147" s="134"/>
      <c r="CL147" s="134"/>
      <c r="CM147" s="134"/>
      <c r="CN147" s="134"/>
      <c r="CO147" s="134"/>
      <c r="CP147" s="134"/>
      <c r="CQ147" s="134"/>
      <c r="CR147" s="134"/>
      <c r="CS147" s="134"/>
      <c r="CT147" s="134"/>
      <c r="CU147" s="134"/>
      <c r="CV147" s="134"/>
      <c r="CW147" s="134"/>
      <c r="CX147" s="134"/>
      <c r="CY147" s="134"/>
      <c r="CZ147" s="134"/>
      <c r="DA147" s="134"/>
      <c r="DB147" s="134"/>
      <c r="DC147" s="134"/>
      <c r="DD147" s="134"/>
      <c r="DE147" s="134"/>
      <c r="DF147" s="134"/>
      <c r="DG147" s="134"/>
      <c r="DH147" s="134"/>
      <c r="DI147" s="134"/>
      <c r="DJ147" s="134"/>
      <c r="DK147" s="134"/>
      <c r="DL147" s="134"/>
      <c r="DM147" s="134"/>
      <c r="DN147" s="134"/>
      <c r="DO147" s="134"/>
      <c r="DP147" s="134"/>
      <c r="DQ147" s="134"/>
      <c r="DR147" s="134"/>
      <c r="DS147" s="134"/>
      <c r="DT147" s="134"/>
      <c r="DU147" s="134"/>
      <c r="DV147" s="134"/>
      <c r="DW147" s="134"/>
      <c r="DX147" s="134"/>
      <c r="DY147" s="134"/>
      <c r="DZ147" s="134"/>
      <c r="EA147" s="134"/>
      <c r="EB147" s="134"/>
      <c r="EC147" s="134"/>
      <c r="ED147" s="134"/>
      <c r="EE147" s="134"/>
      <c r="EF147" s="134"/>
      <c r="EG147" s="134"/>
      <c r="EH147" s="134"/>
      <c r="EI147" s="134"/>
      <c r="EJ147" s="134"/>
      <c r="EK147" s="134"/>
      <c r="EL147" s="134"/>
      <c r="EM147" s="134"/>
      <c r="EN147" s="134"/>
      <c r="EO147" s="134"/>
      <c r="EP147" s="134"/>
      <c r="EQ147" s="134"/>
      <c r="ER147" s="134"/>
      <c r="ES147" s="134"/>
      <c r="ET147" s="134"/>
      <c r="EU147" s="134"/>
      <c r="EV147" s="134"/>
      <c r="EW147" s="134"/>
      <c r="EX147" s="134"/>
      <c r="EY147" s="134"/>
      <c r="EZ147" s="134"/>
      <c r="FA147" s="134"/>
      <c r="FB147" s="134"/>
      <c r="FC147" s="134"/>
      <c r="FD147" s="134"/>
      <c r="FE147" s="134"/>
      <c r="FF147" s="134"/>
      <c r="FG147" s="134"/>
      <c r="FH147" s="134"/>
      <c r="FI147" s="134"/>
      <c r="FJ147" s="134"/>
      <c r="FK147" s="134"/>
      <c r="FL147" s="134"/>
      <c r="FM147" s="134"/>
      <c r="FN147" s="134"/>
      <c r="FO147" s="134"/>
      <c r="FP147" s="134"/>
      <c r="FQ147" s="134"/>
      <c r="FR147" s="134"/>
      <c r="FS147" s="134"/>
      <c r="FT147" s="134"/>
      <c r="FU147" s="134"/>
      <c r="FV147" s="134"/>
      <c r="FW147" s="134"/>
      <c r="FX147" s="134"/>
      <c r="FY147" s="134"/>
      <c r="FZ147" s="134"/>
      <c r="GA147" s="134"/>
    </row>
    <row r="148">
      <c r="A148" s="11">
        <v>46203.0</v>
      </c>
      <c r="B148" s="12" t="s">
        <v>17</v>
      </c>
      <c r="C148" s="13" t="s">
        <v>286</v>
      </c>
      <c r="D148" s="13">
        <v>1.0</v>
      </c>
      <c r="E148" s="14">
        <v>25000.0</v>
      </c>
      <c r="F148" s="14">
        <f t="shared" si="7"/>
        <v>25000</v>
      </c>
      <c r="G148" s="15" t="s">
        <v>10</v>
      </c>
      <c r="H148" s="110"/>
      <c r="I148" s="28"/>
      <c r="J148" s="18"/>
      <c r="K148" s="111"/>
      <c r="L148" s="111"/>
      <c r="M148" s="20"/>
      <c r="N148" s="20"/>
      <c r="O148" s="21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</row>
    <row r="149">
      <c r="A149" s="17">
        <v>46203.0</v>
      </c>
      <c r="B149" s="18" t="s">
        <v>17</v>
      </c>
      <c r="C149" s="19" t="s">
        <v>23</v>
      </c>
      <c r="D149" s="19">
        <v>3.0</v>
      </c>
      <c r="E149" s="20">
        <v>25000.0</v>
      </c>
      <c r="F149" s="20">
        <f t="shared" si="7"/>
        <v>75000</v>
      </c>
      <c r="G149" s="21" t="s">
        <v>10</v>
      </c>
      <c r="H149" s="110"/>
      <c r="I149" s="28"/>
      <c r="J149" s="18"/>
      <c r="K149" s="111"/>
      <c r="L149" s="111"/>
      <c r="M149" s="20"/>
      <c r="N149" s="20"/>
      <c r="O149" s="21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  <c r="CL149" s="134"/>
      <c r="CM149" s="134"/>
      <c r="CN149" s="134"/>
      <c r="CO149" s="134"/>
      <c r="CP149" s="134"/>
      <c r="CQ149" s="134"/>
      <c r="CR149" s="134"/>
      <c r="CS149" s="134"/>
      <c r="CT149" s="134"/>
      <c r="CU149" s="134"/>
      <c r="CV149" s="134"/>
      <c r="CW149" s="134"/>
      <c r="CX149" s="134"/>
      <c r="CY149" s="134"/>
      <c r="CZ149" s="134"/>
      <c r="DA149" s="134"/>
      <c r="DB149" s="134"/>
      <c r="DC149" s="134"/>
      <c r="DD149" s="134"/>
      <c r="DE149" s="134"/>
      <c r="DF149" s="134"/>
      <c r="DG149" s="134"/>
      <c r="DH149" s="134"/>
      <c r="DI149" s="134"/>
      <c r="DJ149" s="134"/>
      <c r="DK149" s="134"/>
      <c r="DL149" s="134"/>
      <c r="DM149" s="134"/>
      <c r="DN149" s="134"/>
      <c r="DO149" s="134"/>
      <c r="DP149" s="134"/>
      <c r="DQ149" s="134"/>
      <c r="DR149" s="134"/>
      <c r="DS149" s="134"/>
      <c r="DT149" s="134"/>
      <c r="DU149" s="134"/>
      <c r="DV149" s="134"/>
      <c r="DW149" s="134"/>
      <c r="DX149" s="134"/>
      <c r="DY149" s="134"/>
      <c r="DZ149" s="134"/>
      <c r="EA149" s="134"/>
      <c r="EB149" s="134"/>
      <c r="EC149" s="134"/>
      <c r="ED149" s="134"/>
      <c r="EE149" s="134"/>
      <c r="EF149" s="134"/>
      <c r="EG149" s="134"/>
      <c r="EH149" s="134"/>
      <c r="EI149" s="134"/>
      <c r="EJ149" s="134"/>
      <c r="EK149" s="134"/>
      <c r="EL149" s="134"/>
      <c r="EM149" s="134"/>
      <c r="EN149" s="134"/>
      <c r="EO149" s="134"/>
      <c r="EP149" s="134"/>
      <c r="EQ149" s="134"/>
      <c r="ER149" s="134"/>
      <c r="ES149" s="134"/>
      <c r="ET149" s="134"/>
      <c r="EU149" s="134"/>
      <c r="EV149" s="134"/>
      <c r="EW149" s="134"/>
      <c r="EX149" s="134"/>
      <c r="EY149" s="134"/>
      <c r="EZ149" s="134"/>
      <c r="FA149" s="134"/>
      <c r="FB149" s="134"/>
      <c r="FC149" s="134"/>
      <c r="FD149" s="134"/>
      <c r="FE149" s="134"/>
      <c r="FF149" s="134"/>
      <c r="FG149" s="134"/>
      <c r="FH149" s="134"/>
      <c r="FI149" s="134"/>
      <c r="FJ149" s="134"/>
      <c r="FK149" s="134"/>
      <c r="FL149" s="134"/>
      <c r="FM149" s="134"/>
      <c r="FN149" s="134"/>
      <c r="FO149" s="134"/>
      <c r="FP149" s="134"/>
      <c r="FQ149" s="134"/>
      <c r="FR149" s="134"/>
      <c r="FS149" s="134"/>
      <c r="FT149" s="134"/>
      <c r="FU149" s="134"/>
      <c r="FV149" s="134"/>
      <c r="FW149" s="134"/>
      <c r="FX149" s="134"/>
      <c r="FY149" s="134"/>
      <c r="FZ149" s="134"/>
      <c r="GA149" s="134"/>
    </row>
    <row r="150">
      <c r="A150" s="11">
        <v>46203.0</v>
      </c>
      <c r="B150" s="12" t="s">
        <v>17</v>
      </c>
      <c r="C150" s="13" t="s">
        <v>287</v>
      </c>
      <c r="D150" s="13">
        <v>1.0</v>
      </c>
      <c r="E150" s="14">
        <v>25000.0</v>
      </c>
      <c r="F150" s="14">
        <f t="shared" si="7"/>
        <v>25000</v>
      </c>
      <c r="G150" s="15" t="s">
        <v>10</v>
      </c>
      <c r="H150" s="110"/>
      <c r="I150" s="28"/>
      <c r="J150" s="18"/>
      <c r="K150" s="111"/>
      <c r="L150" s="111"/>
      <c r="M150" s="20"/>
      <c r="N150" s="20"/>
      <c r="O150" s="21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</row>
    <row r="151">
      <c r="A151" s="17">
        <v>46203.0</v>
      </c>
      <c r="B151" s="18" t="s">
        <v>17</v>
      </c>
      <c r="C151" s="19" t="s">
        <v>288</v>
      </c>
      <c r="D151" s="19">
        <v>1.0</v>
      </c>
      <c r="E151" s="20">
        <v>25000.0</v>
      </c>
      <c r="F151" s="20">
        <f t="shared" si="7"/>
        <v>25000</v>
      </c>
      <c r="G151" s="21" t="s">
        <v>10</v>
      </c>
      <c r="H151" s="110"/>
      <c r="I151" s="28"/>
      <c r="J151" s="18"/>
      <c r="K151" s="111"/>
      <c r="L151" s="111"/>
      <c r="M151" s="20"/>
      <c r="N151" s="20"/>
      <c r="O151" s="21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  <c r="CL151" s="134"/>
      <c r="CM151" s="134"/>
      <c r="CN151" s="134"/>
      <c r="CO151" s="134"/>
      <c r="CP151" s="134"/>
      <c r="CQ151" s="134"/>
      <c r="CR151" s="134"/>
      <c r="CS151" s="134"/>
      <c r="CT151" s="134"/>
      <c r="CU151" s="134"/>
      <c r="CV151" s="134"/>
      <c r="CW151" s="134"/>
      <c r="CX151" s="134"/>
      <c r="CY151" s="134"/>
      <c r="CZ151" s="134"/>
      <c r="DA151" s="134"/>
      <c r="DB151" s="134"/>
      <c r="DC151" s="134"/>
      <c r="DD151" s="134"/>
      <c r="DE151" s="134"/>
      <c r="DF151" s="134"/>
      <c r="DG151" s="134"/>
      <c r="DH151" s="134"/>
      <c r="DI151" s="134"/>
      <c r="DJ151" s="134"/>
      <c r="DK151" s="134"/>
      <c r="DL151" s="134"/>
      <c r="DM151" s="134"/>
      <c r="DN151" s="134"/>
      <c r="DO151" s="134"/>
      <c r="DP151" s="134"/>
      <c r="DQ151" s="134"/>
      <c r="DR151" s="134"/>
      <c r="DS151" s="134"/>
      <c r="DT151" s="134"/>
      <c r="DU151" s="134"/>
      <c r="DV151" s="134"/>
      <c r="DW151" s="134"/>
      <c r="DX151" s="134"/>
      <c r="DY151" s="134"/>
      <c r="DZ151" s="134"/>
      <c r="EA151" s="134"/>
      <c r="EB151" s="134"/>
      <c r="EC151" s="134"/>
      <c r="ED151" s="134"/>
      <c r="EE151" s="134"/>
      <c r="EF151" s="134"/>
      <c r="EG151" s="134"/>
      <c r="EH151" s="134"/>
      <c r="EI151" s="134"/>
      <c r="EJ151" s="134"/>
      <c r="EK151" s="134"/>
      <c r="EL151" s="134"/>
      <c r="EM151" s="134"/>
      <c r="EN151" s="134"/>
      <c r="EO151" s="134"/>
      <c r="EP151" s="134"/>
      <c r="EQ151" s="134"/>
      <c r="ER151" s="134"/>
      <c r="ES151" s="134"/>
      <c r="ET151" s="134"/>
      <c r="EU151" s="134"/>
      <c r="EV151" s="134"/>
      <c r="EW151" s="134"/>
      <c r="EX151" s="134"/>
      <c r="EY151" s="134"/>
      <c r="EZ151" s="134"/>
      <c r="FA151" s="134"/>
      <c r="FB151" s="134"/>
      <c r="FC151" s="134"/>
      <c r="FD151" s="134"/>
      <c r="FE151" s="134"/>
      <c r="FF151" s="134"/>
      <c r="FG151" s="134"/>
      <c r="FH151" s="134"/>
      <c r="FI151" s="134"/>
      <c r="FJ151" s="134"/>
      <c r="FK151" s="134"/>
      <c r="FL151" s="134"/>
      <c r="FM151" s="134"/>
      <c r="FN151" s="134"/>
      <c r="FO151" s="134"/>
      <c r="FP151" s="134"/>
      <c r="FQ151" s="134"/>
      <c r="FR151" s="134"/>
      <c r="FS151" s="134"/>
      <c r="FT151" s="134"/>
      <c r="FU151" s="134"/>
      <c r="FV151" s="134"/>
      <c r="FW151" s="134"/>
      <c r="FX151" s="134"/>
      <c r="FY151" s="134"/>
      <c r="FZ151" s="134"/>
      <c r="GA151" s="134"/>
    </row>
    <row r="152">
      <c r="A152" s="11">
        <v>46203.0</v>
      </c>
      <c r="B152" s="12" t="s">
        <v>17</v>
      </c>
      <c r="C152" s="13" t="s">
        <v>19</v>
      </c>
      <c r="D152" s="13">
        <v>1.0</v>
      </c>
      <c r="E152" s="14">
        <v>25000.0</v>
      </c>
      <c r="F152" s="14">
        <f t="shared" si="7"/>
        <v>25000</v>
      </c>
      <c r="G152" s="15" t="s">
        <v>10</v>
      </c>
      <c r="H152" s="110"/>
      <c r="I152" s="28"/>
      <c r="J152" s="18"/>
      <c r="K152" s="111"/>
      <c r="L152" s="111"/>
      <c r="M152" s="20"/>
      <c r="N152" s="20"/>
      <c r="O152" s="21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</row>
    <row r="153">
      <c r="A153" s="17">
        <v>46204.0</v>
      </c>
      <c r="B153" s="18" t="s">
        <v>17</v>
      </c>
      <c r="C153" s="19" t="s">
        <v>140</v>
      </c>
      <c r="D153" s="19">
        <v>20.0</v>
      </c>
      <c r="E153" s="20">
        <v>25000.0</v>
      </c>
      <c r="F153" s="20">
        <f t="shared" si="7"/>
        <v>500000</v>
      </c>
      <c r="G153" s="21" t="s">
        <v>10</v>
      </c>
      <c r="H153" s="110"/>
      <c r="I153" s="28"/>
      <c r="J153" s="18"/>
      <c r="K153" s="111"/>
      <c r="L153" s="111"/>
      <c r="M153" s="20"/>
      <c r="N153" s="20"/>
      <c r="O153" s="21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134"/>
      <c r="CK153" s="134"/>
      <c r="CL153" s="134"/>
      <c r="CM153" s="134"/>
      <c r="CN153" s="134"/>
      <c r="CO153" s="134"/>
      <c r="CP153" s="134"/>
      <c r="CQ153" s="134"/>
      <c r="CR153" s="134"/>
      <c r="CS153" s="134"/>
      <c r="CT153" s="134"/>
      <c r="CU153" s="134"/>
      <c r="CV153" s="134"/>
      <c r="CW153" s="134"/>
      <c r="CX153" s="134"/>
      <c r="CY153" s="134"/>
      <c r="CZ153" s="134"/>
      <c r="DA153" s="134"/>
      <c r="DB153" s="134"/>
      <c r="DC153" s="134"/>
      <c r="DD153" s="134"/>
      <c r="DE153" s="134"/>
      <c r="DF153" s="134"/>
      <c r="DG153" s="134"/>
      <c r="DH153" s="134"/>
      <c r="DI153" s="134"/>
      <c r="DJ153" s="134"/>
      <c r="DK153" s="134"/>
      <c r="DL153" s="134"/>
      <c r="DM153" s="134"/>
      <c r="DN153" s="134"/>
      <c r="DO153" s="134"/>
      <c r="DP153" s="134"/>
      <c r="DQ153" s="134"/>
      <c r="DR153" s="134"/>
      <c r="DS153" s="134"/>
      <c r="DT153" s="134"/>
      <c r="DU153" s="134"/>
      <c r="DV153" s="134"/>
      <c r="DW153" s="134"/>
      <c r="DX153" s="134"/>
      <c r="DY153" s="134"/>
      <c r="DZ153" s="134"/>
      <c r="EA153" s="134"/>
      <c r="EB153" s="134"/>
      <c r="EC153" s="134"/>
      <c r="ED153" s="134"/>
      <c r="EE153" s="134"/>
      <c r="EF153" s="134"/>
      <c r="EG153" s="134"/>
      <c r="EH153" s="134"/>
      <c r="EI153" s="134"/>
      <c r="EJ153" s="134"/>
      <c r="EK153" s="134"/>
      <c r="EL153" s="134"/>
      <c r="EM153" s="134"/>
      <c r="EN153" s="134"/>
      <c r="EO153" s="134"/>
      <c r="EP153" s="134"/>
      <c r="EQ153" s="134"/>
      <c r="ER153" s="134"/>
      <c r="ES153" s="134"/>
      <c r="ET153" s="134"/>
      <c r="EU153" s="134"/>
      <c r="EV153" s="134"/>
      <c r="EW153" s="134"/>
      <c r="EX153" s="134"/>
      <c r="EY153" s="134"/>
      <c r="EZ153" s="134"/>
      <c r="FA153" s="134"/>
      <c r="FB153" s="134"/>
      <c r="FC153" s="134"/>
      <c r="FD153" s="134"/>
      <c r="FE153" s="134"/>
      <c r="FF153" s="134"/>
      <c r="FG153" s="134"/>
      <c r="FH153" s="134"/>
      <c r="FI153" s="134"/>
      <c r="FJ153" s="134"/>
      <c r="FK153" s="134"/>
      <c r="FL153" s="134"/>
      <c r="FM153" s="134"/>
      <c r="FN153" s="134"/>
      <c r="FO153" s="134"/>
      <c r="FP153" s="134"/>
      <c r="FQ153" s="134"/>
      <c r="FR153" s="134"/>
      <c r="FS153" s="134"/>
      <c r="FT153" s="134"/>
      <c r="FU153" s="134"/>
      <c r="FV153" s="134"/>
      <c r="FW153" s="134"/>
      <c r="FX153" s="134"/>
      <c r="FY153" s="134"/>
      <c r="FZ153" s="134"/>
      <c r="GA153" s="134"/>
    </row>
    <row r="154">
      <c r="A154" s="11">
        <v>46204.0</v>
      </c>
      <c r="B154" s="12" t="s">
        <v>17</v>
      </c>
      <c r="C154" s="13" t="s">
        <v>50</v>
      </c>
      <c r="D154" s="13">
        <v>1.0</v>
      </c>
      <c r="E154" s="14">
        <v>25000.0</v>
      </c>
      <c r="F154" s="14">
        <f t="shared" si="7"/>
        <v>25000</v>
      </c>
      <c r="G154" s="15" t="s">
        <v>10</v>
      </c>
      <c r="H154" s="110"/>
      <c r="I154" s="28"/>
      <c r="J154" s="18"/>
      <c r="K154" s="111"/>
      <c r="L154" s="111"/>
      <c r="M154" s="20"/>
      <c r="N154" s="20"/>
      <c r="O154" s="21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</row>
    <row r="155">
      <c r="A155" s="17">
        <v>46204.0</v>
      </c>
      <c r="B155" s="18" t="s">
        <v>17</v>
      </c>
      <c r="C155" s="19" t="s">
        <v>23</v>
      </c>
      <c r="D155" s="19">
        <v>2.0</v>
      </c>
      <c r="E155" s="20">
        <v>25000.0</v>
      </c>
      <c r="F155" s="20">
        <f t="shared" si="7"/>
        <v>50000</v>
      </c>
      <c r="G155" s="21" t="s">
        <v>10</v>
      </c>
      <c r="H155" s="110"/>
      <c r="I155" s="28"/>
      <c r="J155" s="18"/>
      <c r="K155" s="111"/>
      <c r="L155" s="111"/>
      <c r="M155" s="20"/>
      <c r="N155" s="20"/>
      <c r="O155" s="21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134"/>
      <c r="DE155" s="134"/>
      <c r="DF155" s="134"/>
      <c r="DG155" s="134"/>
      <c r="DH155" s="134"/>
      <c r="DI155" s="134"/>
      <c r="DJ155" s="134"/>
      <c r="DK155" s="134"/>
      <c r="DL155" s="134"/>
      <c r="DM155" s="134"/>
      <c r="DN155" s="134"/>
      <c r="DO155" s="134"/>
      <c r="DP155" s="134"/>
      <c r="DQ155" s="134"/>
      <c r="DR155" s="134"/>
      <c r="DS155" s="134"/>
      <c r="DT155" s="134"/>
      <c r="DU155" s="134"/>
      <c r="DV155" s="134"/>
      <c r="DW155" s="134"/>
      <c r="DX155" s="134"/>
      <c r="DY155" s="134"/>
      <c r="DZ155" s="134"/>
      <c r="EA155" s="134"/>
      <c r="EB155" s="134"/>
      <c r="EC155" s="134"/>
      <c r="ED155" s="134"/>
      <c r="EE155" s="134"/>
      <c r="EF155" s="134"/>
      <c r="EG155" s="134"/>
      <c r="EH155" s="134"/>
      <c r="EI155" s="134"/>
      <c r="EJ155" s="134"/>
      <c r="EK155" s="134"/>
      <c r="EL155" s="134"/>
      <c r="EM155" s="134"/>
      <c r="EN155" s="134"/>
      <c r="EO155" s="134"/>
      <c r="EP155" s="134"/>
      <c r="EQ155" s="134"/>
      <c r="ER155" s="134"/>
      <c r="ES155" s="134"/>
      <c r="ET155" s="134"/>
      <c r="EU155" s="134"/>
      <c r="EV155" s="134"/>
      <c r="EW155" s="134"/>
      <c r="EX155" s="134"/>
      <c r="EY155" s="134"/>
      <c r="EZ155" s="134"/>
      <c r="FA155" s="134"/>
      <c r="FB155" s="134"/>
      <c r="FC155" s="134"/>
      <c r="FD155" s="134"/>
      <c r="FE155" s="134"/>
      <c r="FF155" s="134"/>
      <c r="FG155" s="134"/>
      <c r="FH155" s="134"/>
      <c r="FI155" s="134"/>
      <c r="FJ155" s="134"/>
      <c r="FK155" s="134"/>
      <c r="FL155" s="134"/>
      <c r="FM155" s="134"/>
      <c r="FN155" s="134"/>
      <c r="FO155" s="134"/>
      <c r="FP155" s="134"/>
      <c r="FQ155" s="134"/>
      <c r="FR155" s="134"/>
      <c r="FS155" s="134"/>
      <c r="FT155" s="134"/>
      <c r="FU155" s="134"/>
      <c r="FV155" s="134"/>
      <c r="FW155" s="134"/>
      <c r="FX155" s="134"/>
      <c r="FY155" s="134"/>
      <c r="FZ155" s="134"/>
      <c r="GA155" s="134"/>
    </row>
    <row r="156">
      <c r="A156" s="11">
        <v>46204.0</v>
      </c>
      <c r="B156" s="12" t="s">
        <v>17</v>
      </c>
      <c r="C156" s="13" t="s">
        <v>289</v>
      </c>
      <c r="D156" s="13">
        <v>1.0</v>
      </c>
      <c r="E156" s="14">
        <v>25000.0</v>
      </c>
      <c r="F156" s="14">
        <f t="shared" si="7"/>
        <v>25000</v>
      </c>
      <c r="G156" s="15" t="s">
        <v>10</v>
      </c>
      <c r="H156" s="110"/>
      <c r="I156" s="28"/>
      <c r="J156" s="18"/>
      <c r="K156" s="111"/>
      <c r="L156" s="111"/>
      <c r="M156" s="20"/>
      <c r="N156" s="20"/>
      <c r="O156" s="21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</row>
    <row r="157">
      <c r="A157" s="17">
        <v>46204.0</v>
      </c>
      <c r="B157" s="18" t="s">
        <v>17</v>
      </c>
      <c r="C157" s="19" t="s">
        <v>285</v>
      </c>
      <c r="D157" s="19">
        <v>2.0</v>
      </c>
      <c r="E157" s="20">
        <v>25000.0</v>
      </c>
      <c r="F157" s="20">
        <f t="shared" si="7"/>
        <v>50000</v>
      </c>
      <c r="G157" s="21" t="s">
        <v>10</v>
      </c>
      <c r="H157" s="110"/>
      <c r="I157" s="28"/>
      <c r="J157" s="18"/>
      <c r="K157" s="111"/>
      <c r="L157" s="111"/>
      <c r="M157" s="20"/>
      <c r="N157" s="20"/>
      <c r="O157" s="21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  <c r="BM157" s="134"/>
      <c r="BN157" s="134"/>
      <c r="BO157" s="134"/>
      <c r="BP157" s="134"/>
      <c r="BQ157" s="134"/>
      <c r="BR157" s="134"/>
      <c r="BS157" s="134"/>
      <c r="BT157" s="134"/>
      <c r="BU157" s="134"/>
      <c r="BV157" s="134"/>
      <c r="BW157" s="134"/>
      <c r="BX157" s="134"/>
      <c r="BY157" s="134"/>
      <c r="BZ157" s="134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134"/>
      <c r="CK157" s="134"/>
      <c r="CL157" s="134"/>
      <c r="CM157" s="134"/>
      <c r="CN157" s="134"/>
      <c r="CO157" s="134"/>
      <c r="CP157" s="134"/>
      <c r="CQ157" s="134"/>
      <c r="CR157" s="134"/>
      <c r="CS157" s="134"/>
      <c r="CT157" s="134"/>
      <c r="CU157" s="134"/>
      <c r="CV157" s="134"/>
      <c r="CW157" s="134"/>
      <c r="CX157" s="134"/>
      <c r="CY157" s="134"/>
      <c r="CZ157" s="134"/>
      <c r="DA157" s="134"/>
      <c r="DB157" s="134"/>
      <c r="DC157" s="134"/>
      <c r="DD157" s="134"/>
      <c r="DE157" s="134"/>
      <c r="DF157" s="134"/>
      <c r="DG157" s="134"/>
      <c r="DH157" s="134"/>
      <c r="DI157" s="134"/>
      <c r="DJ157" s="134"/>
      <c r="DK157" s="134"/>
      <c r="DL157" s="134"/>
      <c r="DM157" s="134"/>
      <c r="DN157" s="134"/>
      <c r="DO157" s="134"/>
      <c r="DP157" s="134"/>
      <c r="DQ157" s="134"/>
      <c r="DR157" s="134"/>
      <c r="DS157" s="134"/>
      <c r="DT157" s="134"/>
      <c r="DU157" s="134"/>
      <c r="DV157" s="134"/>
      <c r="DW157" s="134"/>
      <c r="DX157" s="134"/>
      <c r="DY157" s="134"/>
      <c r="DZ157" s="134"/>
      <c r="EA157" s="134"/>
      <c r="EB157" s="134"/>
      <c r="EC157" s="134"/>
      <c r="ED157" s="134"/>
      <c r="EE157" s="134"/>
      <c r="EF157" s="134"/>
      <c r="EG157" s="134"/>
      <c r="EH157" s="134"/>
      <c r="EI157" s="134"/>
      <c r="EJ157" s="134"/>
      <c r="EK157" s="134"/>
      <c r="EL157" s="134"/>
      <c r="EM157" s="134"/>
      <c r="EN157" s="134"/>
      <c r="EO157" s="134"/>
      <c r="EP157" s="134"/>
      <c r="EQ157" s="134"/>
      <c r="ER157" s="134"/>
      <c r="ES157" s="134"/>
      <c r="ET157" s="134"/>
      <c r="EU157" s="134"/>
      <c r="EV157" s="134"/>
      <c r="EW157" s="134"/>
      <c r="EX157" s="134"/>
      <c r="EY157" s="134"/>
      <c r="EZ157" s="134"/>
      <c r="FA157" s="134"/>
      <c r="FB157" s="134"/>
      <c r="FC157" s="134"/>
      <c r="FD157" s="134"/>
      <c r="FE157" s="134"/>
      <c r="FF157" s="134"/>
      <c r="FG157" s="134"/>
      <c r="FH157" s="134"/>
      <c r="FI157" s="134"/>
      <c r="FJ157" s="134"/>
      <c r="FK157" s="134"/>
      <c r="FL157" s="134"/>
      <c r="FM157" s="134"/>
      <c r="FN157" s="134"/>
      <c r="FO157" s="134"/>
      <c r="FP157" s="134"/>
      <c r="FQ157" s="134"/>
      <c r="FR157" s="134"/>
      <c r="FS157" s="134"/>
      <c r="FT157" s="134"/>
      <c r="FU157" s="134"/>
      <c r="FV157" s="134"/>
      <c r="FW157" s="134"/>
      <c r="FX157" s="134"/>
      <c r="FY157" s="134"/>
      <c r="FZ157" s="134"/>
      <c r="GA157" s="134"/>
    </row>
    <row r="158">
      <c r="A158" s="11">
        <v>46204.0</v>
      </c>
      <c r="B158" s="12" t="s">
        <v>17</v>
      </c>
      <c r="C158" s="13" t="s">
        <v>290</v>
      </c>
      <c r="D158" s="13">
        <v>1.0</v>
      </c>
      <c r="E158" s="14">
        <v>25000.0</v>
      </c>
      <c r="F158" s="14">
        <f t="shared" si="7"/>
        <v>25000</v>
      </c>
      <c r="G158" s="15" t="s">
        <v>10</v>
      </c>
      <c r="H158" s="110"/>
      <c r="I158" s="28"/>
      <c r="J158" s="18"/>
      <c r="K158" s="111"/>
      <c r="L158" s="111"/>
      <c r="M158" s="20"/>
      <c r="N158" s="20"/>
      <c r="O158" s="21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</row>
    <row r="159">
      <c r="A159" s="17">
        <v>46204.0</v>
      </c>
      <c r="B159" s="18" t="s">
        <v>17</v>
      </c>
      <c r="C159" s="19" t="s">
        <v>60</v>
      </c>
      <c r="D159" s="19">
        <v>3.0</v>
      </c>
      <c r="E159" s="20">
        <v>25000.0</v>
      </c>
      <c r="F159" s="20">
        <f t="shared" si="7"/>
        <v>75000</v>
      </c>
      <c r="G159" s="21" t="s">
        <v>10</v>
      </c>
      <c r="H159" s="110"/>
      <c r="I159" s="28"/>
      <c r="J159" s="18"/>
      <c r="K159" s="111"/>
      <c r="L159" s="111"/>
      <c r="M159" s="20"/>
      <c r="N159" s="20"/>
      <c r="O159" s="21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  <c r="BM159" s="134"/>
      <c r="BN159" s="134"/>
      <c r="BO159" s="134"/>
      <c r="BP159" s="134"/>
      <c r="BQ159" s="134"/>
      <c r="BR159" s="134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134"/>
      <c r="CK159" s="134"/>
      <c r="CL159" s="134"/>
      <c r="CM159" s="134"/>
      <c r="CN159" s="134"/>
      <c r="CO159" s="134"/>
      <c r="CP159" s="134"/>
      <c r="CQ159" s="134"/>
      <c r="CR159" s="134"/>
      <c r="CS159" s="134"/>
      <c r="CT159" s="134"/>
      <c r="CU159" s="134"/>
      <c r="CV159" s="134"/>
      <c r="CW159" s="134"/>
      <c r="CX159" s="134"/>
      <c r="CY159" s="134"/>
      <c r="CZ159" s="134"/>
      <c r="DA159" s="134"/>
      <c r="DB159" s="134"/>
      <c r="DC159" s="134"/>
      <c r="DD159" s="134"/>
      <c r="DE159" s="134"/>
      <c r="DF159" s="134"/>
      <c r="DG159" s="134"/>
      <c r="DH159" s="134"/>
      <c r="DI159" s="134"/>
      <c r="DJ159" s="134"/>
      <c r="DK159" s="134"/>
      <c r="DL159" s="134"/>
      <c r="DM159" s="134"/>
      <c r="DN159" s="134"/>
      <c r="DO159" s="134"/>
      <c r="DP159" s="134"/>
      <c r="DQ159" s="134"/>
      <c r="DR159" s="134"/>
      <c r="DS159" s="134"/>
      <c r="DT159" s="134"/>
      <c r="DU159" s="134"/>
      <c r="DV159" s="134"/>
      <c r="DW159" s="134"/>
      <c r="DX159" s="134"/>
      <c r="DY159" s="134"/>
      <c r="DZ159" s="134"/>
      <c r="EA159" s="134"/>
      <c r="EB159" s="134"/>
      <c r="EC159" s="134"/>
      <c r="ED159" s="134"/>
      <c r="EE159" s="134"/>
      <c r="EF159" s="134"/>
      <c r="EG159" s="134"/>
      <c r="EH159" s="134"/>
      <c r="EI159" s="134"/>
      <c r="EJ159" s="134"/>
      <c r="EK159" s="134"/>
      <c r="EL159" s="134"/>
      <c r="EM159" s="134"/>
      <c r="EN159" s="134"/>
      <c r="EO159" s="134"/>
      <c r="EP159" s="134"/>
      <c r="EQ159" s="134"/>
      <c r="ER159" s="134"/>
      <c r="ES159" s="134"/>
      <c r="ET159" s="134"/>
      <c r="EU159" s="134"/>
      <c r="EV159" s="134"/>
      <c r="EW159" s="134"/>
      <c r="EX159" s="134"/>
      <c r="EY159" s="134"/>
      <c r="EZ159" s="134"/>
      <c r="FA159" s="134"/>
      <c r="FB159" s="134"/>
      <c r="FC159" s="134"/>
      <c r="FD159" s="134"/>
      <c r="FE159" s="134"/>
      <c r="FF159" s="134"/>
      <c r="FG159" s="134"/>
      <c r="FH159" s="134"/>
      <c r="FI159" s="134"/>
      <c r="FJ159" s="134"/>
      <c r="FK159" s="134"/>
      <c r="FL159" s="134"/>
      <c r="FM159" s="134"/>
      <c r="FN159" s="134"/>
      <c r="FO159" s="134"/>
      <c r="FP159" s="134"/>
      <c r="FQ159" s="134"/>
      <c r="FR159" s="134"/>
      <c r="FS159" s="134"/>
      <c r="FT159" s="134"/>
      <c r="FU159" s="134"/>
      <c r="FV159" s="134"/>
      <c r="FW159" s="134"/>
      <c r="FX159" s="134"/>
      <c r="FY159" s="134"/>
      <c r="FZ159" s="134"/>
      <c r="GA159" s="134"/>
    </row>
    <row r="160">
      <c r="A160" s="11">
        <v>46204.0</v>
      </c>
      <c r="B160" s="12" t="s">
        <v>17</v>
      </c>
      <c r="C160" s="13" t="s">
        <v>274</v>
      </c>
      <c r="D160" s="13">
        <v>5.0</v>
      </c>
      <c r="E160" s="14">
        <v>25000.0</v>
      </c>
      <c r="F160" s="14">
        <f t="shared" si="7"/>
        <v>125000</v>
      </c>
      <c r="G160" s="15" t="s">
        <v>10</v>
      </c>
      <c r="H160" s="110"/>
      <c r="I160" s="28"/>
      <c r="J160" s="18"/>
      <c r="K160" s="111"/>
      <c r="L160" s="111"/>
      <c r="M160" s="20"/>
      <c r="N160" s="20"/>
      <c r="O160" s="21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</row>
    <row r="161">
      <c r="A161" s="17">
        <v>46204.0</v>
      </c>
      <c r="B161" s="18" t="s">
        <v>17</v>
      </c>
      <c r="C161" s="19" t="s">
        <v>291</v>
      </c>
      <c r="D161" s="19">
        <v>1.0</v>
      </c>
      <c r="E161" s="20">
        <v>25000.0</v>
      </c>
      <c r="F161" s="20">
        <f t="shared" si="7"/>
        <v>25000</v>
      </c>
      <c r="G161" s="21" t="s">
        <v>10</v>
      </c>
      <c r="H161" s="110"/>
      <c r="I161" s="28"/>
      <c r="J161" s="18"/>
      <c r="K161" s="111"/>
      <c r="L161" s="111"/>
      <c r="M161" s="20"/>
      <c r="N161" s="20"/>
      <c r="O161" s="21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  <c r="BM161" s="134"/>
      <c r="BN161" s="134"/>
      <c r="BO161" s="134"/>
      <c r="BP161" s="134"/>
      <c r="BQ161" s="134"/>
      <c r="BR161" s="134"/>
      <c r="BS161" s="134"/>
      <c r="BT161" s="134"/>
      <c r="BU161" s="134"/>
      <c r="BV161" s="134"/>
      <c r="BW161" s="134"/>
      <c r="BX161" s="134"/>
      <c r="BY161" s="134"/>
      <c r="BZ161" s="134"/>
      <c r="CA161" s="134"/>
      <c r="CB161" s="134"/>
      <c r="CC161" s="134"/>
      <c r="CD161" s="134"/>
      <c r="CE161" s="134"/>
      <c r="CF161" s="134"/>
      <c r="CG161" s="134"/>
      <c r="CH161" s="134"/>
      <c r="CI161" s="134"/>
      <c r="CJ161" s="134"/>
      <c r="CK161" s="134"/>
      <c r="CL161" s="134"/>
      <c r="CM161" s="134"/>
      <c r="CN161" s="134"/>
      <c r="CO161" s="134"/>
      <c r="CP161" s="134"/>
      <c r="CQ161" s="134"/>
      <c r="CR161" s="134"/>
      <c r="CS161" s="134"/>
      <c r="CT161" s="134"/>
      <c r="CU161" s="134"/>
      <c r="CV161" s="134"/>
      <c r="CW161" s="134"/>
      <c r="CX161" s="134"/>
      <c r="CY161" s="134"/>
      <c r="CZ161" s="134"/>
      <c r="DA161" s="134"/>
      <c r="DB161" s="134"/>
      <c r="DC161" s="134"/>
      <c r="DD161" s="134"/>
      <c r="DE161" s="134"/>
      <c r="DF161" s="134"/>
      <c r="DG161" s="134"/>
      <c r="DH161" s="134"/>
      <c r="DI161" s="134"/>
      <c r="DJ161" s="134"/>
      <c r="DK161" s="134"/>
      <c r="DL161" s="134"/>
      <c r="DM161" s="134"/>
      <c r="DN161" s="134"/>
      <c r="DO161" s="134"/>
      <c r="DP161" s="134"/>
      <c r="DQ161" s="134"/>
      <c r="DR161" s="134"/>
      <c r="DS161" s="134"/>
      <c r="DT161" s="134"/>
      <c r="DU161" s="134"/>
      <c r="DV161" s="134"/>
      <c r="DW161" s="134"/>
      <c r="DX161" s="134"/>
      <c r="DY161" s="134"/>
      <c r="DZ161" s="134"/>
      <c r="EA161" s="134"/>
      <c r="EB161" s="134"/>
      <c r="EC161" s="134"/>
      <c r="ED161" s="134"/>
      <c r="EE161" s="134"/>
      <c r="EF161" s="134"/>
      <c r="EG161" s="134"/>
      <c r="EH161" s="134"/>
      <c r="EI161" s="134"/>
      <c r="EJ161" s="134"/>
      <c r="EK161" s="134"/>
      <c r="EL161" s="134"/>
      <c r="EM161" s="134"/>
      <c r="EN161" s="134"/>
      <c r="EO161" s="134"/>
      <c r="EP161" s="134"/>
      <c r="EQ161" s="134"/>
      <c r="ER161" s="134"/>
      <c r="ES161" s="134"/>
      <c r="ET161" s="134"/>
      <c r="EU161" s="134"/>
      <c r="EV161" s="134"/>
      <c r="EW161" s="134"/>
      <c r="EX161" s="134"/>
      <c r="EY161" s="134"/>
      <c r="EZ161" s="134"/>
      <c r="FA161" s="134"/>
      <c r="FB161" s="134"/>
      <c r="FC161" s="134"/>
      <c r="FD161" s="134"/>
      <c r="FE161" s="134"/>
      <c r="FF161" s="134"/>
      <c r="FG161" s="134"/>
      <c r="FH161" s="134"/>
      <c r="FI161" s="134"/>
      <c r="FJ161" s="134"/>
      <c r="FK161" s="134"/>
      <c r="FL161" s="134"/>
      <c r="FM161" s="134"/>
      <c r="FN161" s="134"/>
      <c r="FO161" s="134"/>
      <c r="FP161" s="134"/>
      <c r="FQ161" s="134"/>
      <c r="FR161" s="134"/>
      <c r="FS161" s="134"/>
      <c r="FT161" s="134"/>
      <c r="FU161" s="134"/>
      <c r="FV161" s="134"/>
      <c r="FW161" s="134"/>
      <c r="FX161" s="134"/>
      <c r="FY161" s="134"/>
      <c r="FZ161" s="134"/>
      <c r="GA161" s="134"/>
    </row>
    <row r="162">
      <c r="A162" s="11">
        <v>46204.0</v>
      </c>
      <c r="B162" s="12" t="s">
        <v>17</v>
      </c>
      <c r="C162" s="13" t="s">
        <v>54</v>
      </c>
      <c r="D162" s="13">
        <v>1.0</v>
      </c>
      <c r="E162" s="14">
        <v>25000.0</v>
      </c>
      <c r="F162" s="14">
        <f t="shared" si="7"/>
        <v>25000</v>
      </c>
      <c r="G162" s="15" t="s">
        <v>10</v>
      </c>
      <c r="H162" s="110"/>
      <c r="I162" s="28"/>
      <c r="J162" s="18"/>
      <c r="K162" s="111"/>
      <c r="L162" s="111"/>
      <c r="M162" s="20"/>
      <c r="N162" s="20"/>
      <c r="O162" s="21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</row>
    <row r="163">
      <c r="A163" s="17">
        <v>46204.0</v>
      </c>
      <c r="B163" s="18" t="s">
        <v>17</v>
      </c>
      <c r="C163" s="19" t="s">
        <v>292</v>
      </c>
      <c r="D163" s="19">
        <v>3.0</v>
      </c>
      <c r="E163" s="20">
        <v>25000.0</v>
      </c>
      <c r="F163" s="20">
        <f t="shared" si="7"/>
        <v>75000</v>
      </c>
      <c r="G163" s="21" t="s">
        <v>10</v>
      </c>
      <c r="H163" s="110"/>
      <c r="I163" s="28"/>
      <c r="J163" s="18"/>
      <c r="K163" s="111"/>
      <c r="L163" s="111"/>
      <c r="M163" s="20"/>
      <c r="N163" s="20"/>
      <c r="O163" s="21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  <c r="CL163" s="134"/>
      <c r="CM163" s="134"/>
      <c r="CN163" s="134"/>
      <c r="CO163" s="134"/>
      <c r="CP163" s="134"/>
      <c r="CQ163" s="134"/>
      <c r="CR163" s="134"/>
      <c r="CS163" s="134"/>
      <c r="CT163" s="134"/>
      <c r="CU163" s="134"/>
      <c r="CV163" s="134"/>
      <c r="CW163" s="134"/>
      <c r="CX163" s="134"/>
      <c r="CY163" s="134"/>
      <c r="CZ163" s="134"/>
      <c r="DA163" s="134"/>
      <c r="DB163" s="134"/>
      <c r="DC163" s="134"/>
      <c r="DD163" s="134"/>
      <c r="DE163" s="134"/>
      <c r="DF163" s="134"/>
      <c r="DG163" s="134"/>
      <c r="DH163" s="134"/>
      <c r="DI163" s="134"/>
      <c r="DJ163" s="134"/>
      <c r="DK163" s="134"/>
      <c r="DL163" s="134"/>
      <c r="DM163" s="134"/>
      <c r="DN163" s="134"/>
      <c r="DO163" s="134"/>
      <c r="DP163" s="134"/>
      <c r="DQ163" s="134"/>
      <c r="DR163" s="134"/>
      <c r="DS163" s="134"/>
      <c r="DT163" s="134"/>
      <c r="DU163" s="134"/>
      <c r="DV163" s="134"/>
      <c r="DW163" s="134"/>
      <c r="DX163" s="134"/>
      <c r="DY163" s="134"/>
      <c r="DZ163" s="134"/>
      <c r="EA163" s="134"/>
      <c r="EB163" s="134"/>
      <c r="EC163" s="134"/>
      <c r="ED163" s="134"/>
      <c r="EE163" s="134"/>
      <c r="EF163" s="134"/>
      <c r="EG163" s="134"/>
      <c r="EH163" s="134"/>
      <c r="EI163" s="134"/>
      <c r="EJ163" s="134"/>
      <c r="EK163" s="134"/>
      <c r="EL163" s="134"/>
      <c r="EM163" s="134"/>
      <c r="EN163" s="134"/>
      <c r="EO163" s="134"/>
      <c r="EP163" s="134"/>
      <c r="EQ163" s="134"/>
      <c r="ER163" s="134"/>
      <c r="ES163" s="134"/>
      <c r="ET163" s="134"/>
      <c r="EU163" s="134"/>
      <c r="EV163" s="134"/>
      <c r="EW163" s="134"/>
      <c r="EX163" s="134"/>
      <c r="EY163" s="134"/>
      <c r="EZ163" s="134"/>
      <c r="FA163" s="134"/>
      <c r="FB163" s="134"/>
      <c r="FC163" s="134"/>
      <c r="FD163" s="134"/>
      <c r="FE163" s="134"/>
      <c r="FF163" s="134"/>
      <c r="FG163" s="134"/>
      <c r="FH163" s="134"/>
      <c r="FI163" s="134"/>
      <c r="FJ163" s="134"/>
      <c r="FK163" s="134"/>
      <c r="FL163" s="134"/>
      <c r="FM163" s="134"/>
      <c r="FN163" s="134"/>
      <c r="FO163" s="134"/>
      <c r="FP163" s="134"/>
      <c r="FQ163" s="134"/>
      <c r="FR163" s="134"/>
      <c r="FS163" s="134"/>
      <c r="FT163" s="134"/>
      <c r="FU163" s="134"/>
      <c r="FV163" s="134"/>
      <c r="FW163" s="134"/>
      <c r="FX163" s="134"/>
      <c r="FY163" s="134"/>
      <c r="FZ163" s="134"/>
      <c r="GA163" s="134"/>
    </row>
    <row r="164">
      <c r="A164" s="11">
        <v>46205.0</v>
      </c>
      <c r="B164" s="12" t="s">
        <v>17</v>
      </c>
      <c r="C164" s="13" t="s">
        <v>293</v>
      </c>
      <c r="D164" s="13">
        <v>15.0</v>
      </c>
      <c r="E164" s="14">
        <v>25000.0</v>
      </c>
      <c r="F164" s="14">
        <f t="shared" si="7"/>
        <v>375000</v>
      </c>
      <c r="G164" s="15" t="s">
        <v>10</v>
      </c>
      <c r="H164" s="110"/>
    </row>
    <row r="165">
      <c r="A165" s="17">
        <v>46205.0</v>
      </c>
      <c r="B165" s="18" t="s">
        <v>17</v>
      </c>
      <c r="C165" s="19" t="s">
        <v>23</v>
      </c>
      <c r="D165" s="19">
        <v>5.0</v>
      </c>
      <c r="E165" s="20">
        <v>25000.0</v>
      </c>
      <c r="F165" s="20">
        <f t="shared" si="7"/>
        <v>125000</v>
      </c>
      <c r="G165" s="21" t="s">
        <v>10</v>
      </c>
      <c r="H165" s="110"/>
    </row>
    <row r="166">
      <c r="A166" s="11">
        <v>46205.0</v>
      </c>
      <c r="B166" s="12" t="s">
        <v>17</v>
      </c>
      <c r="C166" s="13" t="s">
        <v>60</v>
      </c>
      <c r="D166" s="13">
        <v>2.0</v>
      </c>
      <c r="E166" s="14">
        <v>25000.0</v>
      </c>
      <c r="F166" s="14">
        <f t="shared" si="7"/>
        <v>50000</v>
      </c>
      <c r="G166" s="15" t="s">
        <v>10</v>
      </c>
      <c r="H166" s="110"/>
    </row>
    <row r="167">
      <c r="A167" s="17">
        <v>46205.0</v>
      </c>
      <c r="B167" s="18" t="s">
        <v>17</v>
      </c>
      <c r="C167" s="19" t="s">
        <v>279</v>
      </c>
      <c r="D167" s="19">
        <v>1.0</v>
      </c>
      <c r="E167" s="20">
        <v>25000.0</v>
      </c>
      <c r="F167" s="20">
        <f t="shared" si="7"/>
        <v>25000</v>
      </c>
      <c r="G167" s="21" t="s">
        <v>10</v>
      </c>
      <c r="H167" s="110"/>
    </row>
    <row r="168">
      <c r="A168" s="11">
        <v>46205.0</v>
      </c>
      <c r="B168" s="12" t="s">
        <v>17</v>
      </c>
      <c r="C168" s="13" t="s">
        <v>280</v>
      </c>
      <c r="D168" s="13">
        <v>1.0</v>
      </c>
      <c r="E168" s="14">
        <v>25000.0</v>
      </c>
      <c r="F168" s="14">
        <f t="shared" si="7"/>
        <v>25000</v>
      </c>
      <c r="G168" s="15" t="s">
        <v>10</v>
      </c>
      <c r="H168" s="110"/>
    </row>
    <row r="169">
      <c r="A169" s="17">
        <v>46205.0</v>
      </c>
      <c r="B169" s="18" t="s">
        <v>17</v>
      </c>
      <c r="C169" s="19" t="s">
        <v>67</v>
      </c>
      <c r="D169" s="19">
        <v>1.0</v>
      </c>
      <c r="E169" s="20">
        <v>25000.0</v>
      </c>
      <c r="F169" s="20">
        <f t="shared" si="7"/>
        <v>25000</v>
      </c>
      <c r="G169" s="21" t="s">
        <v>10</v>
      </c>
      <c r="H169" s="110"/>
    </row>
    <row r="170">
      <c r="A170" s="11">
        <v>46205.0</v>
      </c>
      <c r="B170" s="12" t="s">
        <v>17</v>
      </c>
      <c r="C170" s="13" t="s">
        <v>289</v>
      </c>
      <c r="D170" s="13">
        <v>1.0</v>
      </c>
      <c r="E170" s="14">
        <v>25000.0</v>
      </c>
      <c r="F170" s="14">
        <f t="shared" si="7"/>
        <v>25000</v>
      </c>
      <c r="G170" s="15" t="s">
        <v>10</v>
      </c>
      <c r="H170" s="110"/>
    </row>
    <row r="171">
      <c r="A171" s="17">
        <v>46206.0</v>
      </c>
      <c r="B171" s="18" t="s">
        <v>17</v>
      </c>
      <c r="C171" s="19" t="s">
        <v>140</v>
      </c>
      <c r="D171" s="19">
        <v>7.0</v>
      </c>
      <c r="E171" s="20">
        <v>25000.0</v>
      </c>
      <c r="F171" s="20">
        <f t="shared" si="7"/>
        <v>175000</v>
      </c>
      <c r="G171" s="21" t="s">
        <v>10</v>
      </c>
      <c r="H171" s="110"/>
    </row>
    <row r="172">
      <c r="A172" s="97">
        <v>46206.0</v>
      </c>
      <c r="B172" s="29" t="s">
        <v>17</v>
      </c>
      <c r="C172" s="98" t="s">
        <v>287</v>
      </c>
      <c r="D172" s="98">
        <v>2.0</v>
      </c>
      <c r="E172" s="32">
        <v>25000.0</v>
      </c>
      <c r="F172" s="32">
        <f t="shared" si="7"/>
        <v>50000</v>
      </c>
      <c r="G172" s="33" t="s">
        <v>10</v>
      </c>
      <c r="H172" s="110"/>
    </row>
    <row r="173">
      <c r="A173" s="11">
        <v>46206.0</v>
      </c>
      <c r="B173" s="12" t="s">
        <v>17</v>
      </c>
      <c r="C173" s="13" t="s">
        <v>289</v>
      </c>
      <c r="D173" s="13">
        <v>1.0</v>
      </c>
      <c r="E173" s="14">
        <v>25000.0</v>
      </c>
      <c r="F173" s="14">
        <f t="shared" si="7"/>
        <v>25000</v>
      </c>
      <c r="G173" s="15" t="s">
        <v>10</v>
      </c>
      <c r="H173" s="110"/>
      <c r="I173" s="249"/>
      <c r="J173" s="249"/>
      <c r="K173" s="250"/>
      <c r="L173" s="250"/>
      <c r="M173" s="251"/>
      <c r="N173" s="251"/>
      <c r="O173" s="188"/>
    </row>
    <row r="174">
      <c r="A174" s="17">
        <v>46206.0</v>
      </c>
      <c r="B174" s="18" t="s">
        <v>17</v>
      </c>
      <c r="C174" s="19" t="s">
        <v>23</v>
      </c>
      <c r="D174" s="19">
        <v>4.0</v>
      </c>
      <c r="E174" s="20">
        <v>25000.0</v>
      </c>
      <c r="F174" s="20">
        <f t="shared" si="7"/>
        <v>100000</v>
      </c>
      <c r="G174" s="21" t="s">
        <v>10</v>
      </c>
      <c r="H174" s="110"/>
    </row>
    <row r="175">
      <c r="A175" s="11">
        <v>46206.0</v>
      </c>
      <c r="B175" s="12" t="s">
        <v>17</v>
      </c>
      <c r="C175" s="13" t="s">
        <v>60</v>
      </c>
      <c r="D175" s="13">
        <v>2.0</v>
      </c>
      <c r="E175" s="14">
        <v>25000.0</v>
      </c>
      <c r="F175" s="14">
        <f t="shared" si="7"/>
        <v>50000</v>
      </c>
      <c r="G175" s="15" t="s">
        <v>10</v>
      </c>
      <c r="H175" s="110"/>
    </row>
    <row r="176">
      <c r="A176" s="17">
        <v>46206.0</v>
      </c>
      <c r="B176" s="18" t="s">
        <v>17</v>
      </c>
      <c r="C176" s="19" t="s">
        <v>293</v>
      </c>
      <c r="D176" s="19">
        <v>7.0</v>
      </c>
      <c r="E176" s="20">
        <v>25000.0</v>
      </c>
      <c r="F176" s="20">
        <f t="shared" si="7"/>
        <v>175000</v>
      </c>
      <c r="G176" s="21" t="s">
        <v>10</v>
      </c>
      <c r="H176" s="110"/>
    </row>
    <row r="177">
      <c r="A177" s="11">
        <v>46206.0</v>
      </c>
      <c r="B177" s="12" t="s">
        <v>17</v>
      </c>
      <c r="C177" s="13" t="s">
        <v>50</v>
      </c>
      <c r="D177" s="13">
        <v>1.0</v>
      </c>
      <c r="E177" s="14">
        <v>25000.0</v>
      </c>
      <c r="F177" s="14">
        <f t="shared" si="7"/>
        <v>25000</v>
      </c>
      <c r="G177" s="15" t="s">
        <v>10</v>
      </c>
      <c r="H177" s="110"/>
    </row>
    <row r="178">
      <c r="A178" s="17">
        <v>46206.0</v>
      </c>
      <c r="B178" s="18" t="s">
        <v>17</v>
      </c>
      <c r="C178" s="19" t="s">
        <v>61</v>
      </c>
      <c r="D178" s="19">
        <v>2.0</v>
      </c>
      <c r="E178" s="20">
        <v>25000.0</v>
      </c>
      <c r="F178" s="20">
        <f t="shared" si="7"/>
        <v>50000</v>
      </c>
      <c r="G178" s="21" t="s">
        <v>10</v>
      </c>
      <c r="H178" s="110"/>
    </row>
    <row r="179">
      <c r="A179" s="11">
        <v>46206.0</v>
      </c>
      <c r="B179" s="12" t="s">
        <v>17</v>
      </c>
      <c r="C179" s="13" t="s">
        <v>294</v>
      </c>
      <c r="D179" s="13">
        <v>1.0</v>
      </c>
      <c r="E179" s="14">
        <v>25000.0</v>
      </c>
      <c r="F179" s="14">
        <f t="shared" si="7"/>
        <v>25000</v>
      </c>
      <c r="G179" s="15" t="s">
        <v>10</v>
      </c>
      <c r="H179" s="110"/>
    </row>
    <row r="180">
      <c r="A180" s="17">
        <v>46206.0</v>
      </c>
      <c r="B180" s="18" t="s">
        <v>17</v>
      </c>
      <c r="C180" s="19" t="s">
        <v>295</v>
      </c>
      <c r="D180" s="19">
        <v>1.0</v>
      </c>
      <c r="E180" s="20">
        <v>25000.0</v>
      </c>
      <c r="F180" s="20">
        <f t="shared" si="7"/>
        <v>25000</v>
      </c>
      <c r="G180" s="21" t="s">
        <v>10</v>
      </c>
      <c r="H180" s="110"/>
    </row>
    <row r="181">
      <c r="A181" s="11">
        <v>46206.0</v>
      </c>
      <c r="B181" s="12" t="s">
        <v>17</v>
      </c>
      <c r="C181" s="13" t="s">
        <v>256</v>
      </c>
      <c r="D181" s="13">
        <v>1.0</v>
      </c>
      <c r="E181" s="14">
        <v>25000.0</v>
      </c>
      <c r="F181" s="14">
        <f t="shared" si="7"/>
        <v>25000</v>
      </c>
      <c r="G181" s="15" t="s">
        <v>10</v>
      </c>
      <c r="H181" s="110"/>
    </row>
    <row r="182">
      <c r="A182" s="17">
        <v>46207.0</v>
      </c>
      <c r="B182" s="18" t="s">
        <v>17</v>
      </c>
      <c r="C182" s="19" t="s">
        <v>140</v>
      </c>
      <c r="D182" s="19">
        <v>10.0</v>
      </c>
      <c r="E182" s="20">
        <v>25000.0</v>
      </c>
      <c r="F182" s="20">
        <f t="shared" si="7"/>
        <v>250000</v>
      </c>
      <c r="G182" s="21" t="s">
        <v>10</v>
      </c>
      <c r="H182" s="110"/>
    </row>
    <row r="183">
      <c r="A183" s="11">
        <v>46207.0</v>
      </c>
      <c r="B183" s="12" t="s">
        <v>17</v>
      </c>
      <c r="C183" s="13" t="s">
        <v>293</v>
      </c>
      <c r="D183" s="13">
        <v>10.0</v>
      </c>
      <c r="E183" s="14">
        <v>25000.0</v>
      </c>
      <c r="F183" s="14">
        <f t="shared" si="7"/>
        <v>250000</v>
      </c>
      <c r="G183" s="15" t="s">
        <v>10</v>
      </c>
      <c r="H183" s="110"/>
    </row>
    <row r="184">
      <c r="A184" s="17">
        <v>46207.0</v>
      </c>
      <c r="B184" s="18" t="s">
        <v>17</v>
      </c>
      <c r="C184" s="19" t="s">
        <v>296</v>
      </c>
      <c r="D184" s="19">
        <v>1.0</v>
      </c>
      <c r="E184" s="20">
        <v>25000.0</v>
      </c>
      <c r="F184" s="20">
        <f t="shared" si="7"/>
        <v>25000</v>
      </c>
      <c r="G184" s="21" t="s">
        <v>10</v>
      </c>
      <c r="H184" s="110"/>
    </row>
    <row r="185">
      <c r="A185" s="11">
        <v>46207.0</v>
      </c>
      <c r="B185" s="12" t="s">
        <v>17</v>
      </c>
      <c r="C185" s="13" t="s">
        <v>297</v>
      </c>
      <c r="D185" s="13">
        <v>1.0</v>
      </c>
      <c r="E185" s="14">
        <v>25000.0</v>
      </c>
      <c r="F185" s="14">
        <f t="shared" si="7"/>
        <v>25000</v>
      </c>
      <c r="G185" s="15" t="s">
        <v>10</v>
      </c>
      <c r="H185" s="110"/>
    </row>
    <row r="186">
      <c r="A186" s="17">
        <v>46207.0</v>
      </c>
      <c r="B186" s="18" t="s">
        <v>17</v>
      </c>
      <c r="C186" s="19" t="s">
        <v>298</v>
      </c>
      <c r="D186" s="19">
        <v>1.0</v>
      </c>
      <c r="E186" s="20">
        <v>25000.0</v>
      </c>
      <c r="F186" s="20">
        <f t="shared" si="7"/>
        <v>25000</v>
      </c>
      <c r="G186" s="21" t="s">
        <v>10</v>
      </c>
      <c r="H186" s="110"/>
    </row>
    <row r="187">
      <c r="A187" s="11">
        <v>46207.0</v>
      </c>
      <c r="B187" s="12" t="s">
        <v>17</v>
      </c>
      <c r="C187" s="13" t="s">
        <v>299</v>
      </c>
      <c r="D187" s="13">
        <v>1.0</v>
      </c>
      <c r="E187" s="14">
        <v>25000.0</v>
      </c>
      <c r="F187" s="14">
        <f t="shared" si="7"/>
        <v>25000</v>
      </c>
      <c r="G187" s="15" t="s">
        <v>10</v>
      </c>
      <c r="H187" s="110"/>
    </row>
    <row r="188">
      <c r="A188" s="17">
        <v>46207.0</v>
      </c>
      <c r="B188" s="18" t="s">
        <v>17</v>
      </c>
      <c r="C188" s="19" t="s">
        <v>50</v>
      </c>
      <c r="D188" s="19">
        <v>1.0</v>
      </c>
      <c r="E188" s="20">
        <v>25000.0</v>
      </c>
      <c r="F188" s="20">
        <f t="shared" si="7"/>
        <v>25000</v>
      </c>
      <c r="G188" s="21" t="s">
        <v>10</v>
      </c>
      <c r="H188" s="110"/>
    </row>
    <row r="189">
      <c r="A189" s="11">
        <v>46207.0</v>
      </c>
      <c r="B189" s="12" t="s">
        <v>17</v>
      </c>
      <c r="C189" s="13" t="s">
        <v>300</v>
      </c>
      <c r="D189" s="13">
        <v>1.0</v>
      </c>
      <c r="E189" s="14">
        <v>25000.0</v>
      </c>
      <c r="F189" s="14">
        <f t="shared" si="7"/>
        <v>25000</v>
      </c>
      <c r="G189" s="15" t="s">
        <v>10</v>
      </c>
      <c r="H189" s="110"/>
    </row>
    <row r="190">
      <c r="A190" s="17">
        <v>46207.0</v>
      </c>
      <c r="B190" s="18" t="s">
        <v>17</v>
      </c>
      <c r="C190" s="19" t="s">
        <v>25</v>
      </c>
      <c r="D190" s="19">
        <v>2.0</v>
      </c>
      <c r="E190" s="20">
        <v>25000.0</v>
      </c>
      <c r="F190" s="20">
        <f t="shared" si="7"/>
        <v>50000</v>
      </c>
      <c r="G190" s="21" t="s">
        <v>10</v>
      </c>
      <c r="H190" s="110"/>
    </row>
    <row r="191">
      <c r="A191" s="11">
        <v>46207.0</v>
      </c>
      <c r="B191" s="12" t="s">
        <v>17</v>
      </c>
      <c r="C191" s="13" t="s">
        <v>23</v>
      </c>
      <c r="D191" s="13">
        <v>3.0</v>
      </c>
      <c r="E191" s="14">
        <v>25000.0</v>
      </c>
      <c r="F191" s="14">
        <f t="shared" si="7"/>
        <v>75000</v>
      </c>
      <c r="G191" s="15" t="s">
        <v>10</v>
      </c>
      <c r="H191" s="110"/>
    </row>
    <row r="192">
      <c r="A192" s="17">
        <v>46207.0</v>
      </c>
      <c r="B192" s="18" t="s">
        <v>17</v>
      </c>
      <c r="C192" s="19" t="s">
        <v>301</v>
      </c>
      <c r="D192" s="19">
        <v>1.0</v>
      </c>
      <c r="E192" s="20">
        <v>25000.0</v>
      </c>
      <c r="F192" s="20">
        <f t="shared" si="7"/>
        <v>25000</v>
      </c>
      <c r="G192" s="21" t="s">
        <v>10</v>
      </c>
      <c r="H192" s="110"/>
    </row>
    <row r="193">
      <c r="A193" s="115" t="s">
        <v>142</v>
      </c>
      <c r="C193" s="116"/>
      <c r="D193" s="117">
        <f>SUM(D137:D192)</f>
        <v>207</v>
      </c>
      <c r="E193" s="116"/>
      <c r="F193" s="118">
        <f>SUM(F137:F192)</f>
        <v>5175000</v>
      </c>
      <c r="G193" s="119"/>
      <c r="H193" s="110"/>
    </row>
    <row r="194">
      <c r="A194" s="28"/>
      <c r="B194" s="18"/>
      <c r="C194" s="111"/>
      <c r="D194" s="111"/>
      <c r="E194" s="20"/>
      <c r="F194" s="20"/>
      <c r="G194" s="21"/>
      <c r="H194" s="110"/>
    </row>
    <row r="195">
      <c r="A195" s="113"/>
      <c r="B195" s="12"/>
      <c r="C195" s="114"/>
      <c r="D195" s="114"/>
      <c r="E195" s="14"/>
      <c r="F195" s="14"/>
      <c r="G195" s="15"/>
      <c r="H195" s="110"/>
    </row>
    <row r="196">
      <c r="A196" s="28"/>
      <c r="B196" s="18"/>
      <c r="C196" s="111"/>
      <c r="D196" s="111"/>
      <c r="E196" s="20"/>
      <c r="F196" s="20"/>
      <c r="G196" s="21"/>
      <c r="H196" s="110"/>
    </row>
    <row r="197">
      <c r="A197" s="113"/>
      <c r="B197" s="12"/>
      <c r="C197" s="114"/>
      <c r="D197" s="114"/>
      <c r="E197" s="14"/>
      <c r="F197" s="14"/>
      <c r="G197" s="15"/>
      <c r="H197" s="110"/>
    </row>
    <row r="198">
      <c r="A198" s="28"/>
      <c r="B198" s="18"/>
      <c r="C198" s="111"/>
      <c r="D198" s="111"/>
      <c r="E198" s="20"/>
      <c r="F198" s="20"/>
      <c r="G198" s="21"/>
      <c r="H198" s="110"/>
    </row>
    <row r="199">
      <c r="A199" s="113"/>
      <c r="B199" s="12"/>
      <c r="C199" s="114"/>
      <c r="D199" s="114"/>
      <c r="E199" s="14"/>
      <c r="F199" s="14"/>
      <c r="G199" s="15"/>
      <c r="H199" s="110"/>
    </row>
    <row r="200">
      <c r="A200" s="28"/>
      <c r="B200" s="18"/>
      <c r="C200" s="111"/>
      <c r="D200" s="111"/>
      <c r="E200" s="20"/>
      <c r="F200" s="20"/>
      <c r="G200" s="21"/>
      <c r="H200" s="110"/>
    </row>
    <row r="201">
      <c r="A201" s="113"/>
      <c r="B201" s="12"/>
      <c r="C201" s="114"/>
      <c r="D201" s="114"/>
      <c r="E201" s="14"/>
      <c r="F201" s="14"/>
      <c r="G201" s="15"/>
      <c r="H201" s="110"/>
    </row>
    <row r="202">
      <c r="A202" s="28"/>
      <c r="B202" s="18"/>
      <c r="C202" s="111"/>
      <c r="D202" s="111"/>
      <c r="E202" s="20"/>
      <c r="F202" s="20"/>
      <c r="G202" s="21"/>
      <c r="H202" s="110"/>
    </row>
    <row r="203">
      <c r="A203" s="113"/>
      <c r="B203" s="12"/>
      <c r="C203" s="114"/>
      <c r="D203" s="114"/>
      <c r="E203" s="14"/>
      <c r="F203" s="14"/>
      <c r="G203" s="15"/>
      <c r="H203" s="110"/>
    </row>
    <row r="204">
      <c r="A204" s="28"/>
      <c r="B204" s="18"/>
      <c r="C204" s="111"/>
      <c r="D204" s="111"/>
      <c r="E204" s="20"/>
      <c r="F204" s="20"/>
      <c r="G204" s="21"/>
      <c r="H204" s="110"/>
    </row>
    <row r="205">
      <c r="A205" s="113"/>
      <c r="B205" s="12"/>
      <c r="C205" s="114"/>
      <c r="D205" s="114"/>
      <c r="E205" s="14"/>
      <c r="F205" s="14"/>
      <c r="G205" s="15"/>
      <c r="H205" s="110"/>
    </row>
    <row r="206">
      <c r="A206" s="28"/>
      <c r="B206" s="18"/>
      <c r="C206" s="111"/>
      <c r="D206" s="111"/>
      <c r="E206" s="20"/>
      <c r="F206" s="20"/>
      <c r="G206" s="21"/>
      <c r="H206" s="110"/>
    </row>
    <row r="207">
      <c r="A207" s="113"/>
      <c r="B207" s="12"/>
      <c r="C207" s="114"/>
      <c r="D207" s="114"/>
      <c r="E207" s="14"/>
      <c r="F207" s="14"/>
      <c r="G207" s="15"/>
      <c r="H207" s="110"/>
    </row>
    <row r="208">
      <c r="A208" s="28"/>
      <c r="B208" s="18"/>
      <c r="C208" s="111"/>
      <c r="D208" s="111"/>
      <c r="E208" s="20"/>
      <c r="F208" s="20"/>
      <c r="G208" s="21"/>
      <c r="H208" s="110"/>
    </row>
    <row r="209">
      <c r="A209" s="113"/>
      <c r="B209" s="12"/>
      <c r="C209" s="114"/>
      <c r="D209" s="114"/>
      <c r="E209" s="14"/>
      <c r="F209" s="14"/>
      <c r="G209" s="15"/>
      <c r="H209" s="110"/>
    </row>
    <row r="210">
      <c r="A210" s="28"/>
      <c r="B210" s="18"/>
      <c r="C210" s="111"/>
      <c r="D210" s="111"/>
      <c r="E210" s="20"/>
      <c r="F210" s="20"/>
      <c r="G210" s="21"/>
      <c r="H210" s="110"/>
    </row>
    <row r="211">
      <c r="A211" s="113"/>
      <c r="B211" s="12"/>
      <c r="C211" s="114"/>
      <c r="D211" s="114"/>
      <c r="E211" s="14"/>
      <c r="F211" s="14"/>
      <c r="G211" s="15"/>
      <c r="H211" s="110"/>
    </row>
    <row r="212">
      <c r="A212" s="28"/>
      <c r="B212" s="18"/>
      <c r="C212" s="111"/>
      <c r="D212" s="111"/>
      <c r="E212" s="20"/>
      <c r="F212" s="20"/>
      <c r="G212" s="21"/>
      <c r="H212" s="110"/>
    </row>
    <row r="213">
      <c r="A213" s="113"/>
      <c r="B213" s="12"/>
      <c r="C213" s="114"/>
      <c r="D213" s="114"/>
      <c r="E213" s="14"/>
      <c r="F213" s="14"/>
      <c r="G213" s="15"/>
      <c r="H213" s="110"/>
    </row>
    <row r="214">
      <c r="A214" s="28"/>
      <c r="B214" s="18"/>
      <c r="C214" s="111"/>
      <c r="D214" s="111"/>
      <c r="E214" s="20"/>
      <c r="F214" s="20"/>
      <c r="G214" s="21"/>
      <c r="H214" s="110"/>
    </row>
    <row r="215">
      <c r="A215" s="113"/>
      <c r="B215" s="12"/>
      <c r="C215" s="114"/>
      <c r="D215" s="114"/>
      <c r="E215" s="14"/>
      <c r="F215" s="14"/>
      <c r="G215" s="15"/>
      <c r="H215" s="110"/>
    </row>
    <row r="216">
      <c r="A216" s="28"/>
      <c r="B216" s="18"/>
      <c r="C216" s="111"/>
      <c r="D216" s="111"/>
      <c r="E216" s="20"/>
      <c r="F216" s="20"/>
      <c r="G216" s="21"/>
      <c r="H216" s="110"/>
    </row>
    <row r="217">
      <c r="A217" s="113"/>
      <c r="B217" s="12"/>
      <c r="C217" s="114"/>
      <c r="D217" s="114"/>
      <c r="E217" s="14"/>
      <c r="F217" s="14"/>
      <c r="G217" s="15"/>
      <c r="H217" s="110"/>
    </row>
    <row r="218">
      <c r="A218" s="115"/>
      <c r="C218" s="116"/>
      <c r="D218" s="115"/>
      <c r="E218" s="116"/>
      <c r="F218" s="252"/>
      <c r="G218" s="115"/>
      <c r="H218" s="110"/>
    </row>
    <row r="219">
      <c r="H219" s="110"/>
    </row>
    <row r="220" ht="29.25" customHeight="1">
      <c r="A220" s="105" t="s">
        <v>1</v>
      </c>
      <c r="B220" s="105" t="s">
        <v>2</v>
      </c>
      <c r="C220" s="105" t="s">
        <v>3</v>
      </c>
      <c r="D220" s="105" t="s">
        <v>4</v>
      </c>
      <c r="E220" s="107" t="s">
        <v>5</v>
      </c>
      <c r="F220" s="107" t="s">
        <v>6</v>
      </c>
      <c r="G220" s="105" t="s">
        <v>84</v>
      </c>
      <c r="H220" s="110"/>
      <c r="I220" s="28"/>
      <c r="J220" s="18"/>
      <c r="K220" s="111"/>
      <c r="L220" s="111"/>
      <c r="M220" s="20"/>
      <c r="N220" s="20"/>
      <c r="O220" s="21"/>
    </row>
    <row r="221">
      <c r="A221" s="28">
        <v>46160.0</v>
      </c>
      <c r="B221" s="18" t="s">
        <v>17</v>
      </c>
      <c r="C221" s="111" t="s">
        <v>140</v>
      </c>
      <c r="D221" s="111">
        <v>50.0</v>
      </c>
      <c r="E221" s="20">
        <v>25000.0</v>
      </c>
      <c r="F221" s="20">
        <f t="shared" ref="F221:F254" si="9">D221*E221</f>
        <v>1250000</v>
      </c>
      <c r="G221" s="21" t="s">
        <v>10</v>
      </c>
      <c r="H221" s="110"/>
    </row>
    <row r="222">
      <c r="A222" s="113">
        <v>46160.0</v>
      </c>
      <c r="B222" s="12" t="s">
        <v>17</v>
      </c>
      <c r="C222" s="114" t="s">
        <v>302</v>
      </c>
      <c r="D222" s="114">
        <v>2.0</v>
      </c>
      <c r="E222" s="14">
        <v>25000.0</v>
      </c>
      <c r="F222" s="14">
        <f t="shared" si="9"/>
        <v>50000</v>
      </c>
      <c r="G222" s="15" t="s">
        <v>10</v>
      </c>
      <c r="H222" s="110"/>
    </row>
    <row r="223">
      <c r="A223" s="28">
        <v>46160.0</v>
      </c>
      <c r="B223" s="18" t="s">
        <v>17</v>
      </c>
      <c r="C223" s="111" t="s">
        <v>303</v>
      </c>
      <c r="D223" s="111">
        <v>1.0</v>
      </c>
      <c r="E223" s="20">
        <v>25000.0</v>
      </c>
      <c r="F223" s="20">
        <f t="shared" si="9"/>
        <v>25000</v>
      </c>
      <c r="G223" s="21" t="s">
        <v>10</v>
      </c>
      <c r="H223" s="110"/>
    </row>
    <row r="224">
      <c r="A224" s="113">
        <v>46160.0</v>
      </c>
      <c r="B224" s="12" t="s">
        <v>17</v>
      </c>
      <c r="C224" s="114" t="s">
        <v>304</v>
      </c>
      <c r="D224" s="114">
        <v>2.0</v>
      </c>
      <c r="E224" s="14">
        <v>25000.0</v>
      </c>
      <c r="F224" s="14">
        <f t="shared" si="9"/>
        <v>50000</v>
      </c>
      <c r="G224" s="15" t="s">
        <v>10</v>
      </c>
      <c r="H224" s="110"/>
    </row>
    <row r="225">
      <c r="A225" s="28">
        <v>46160.0</v>
      </c>
      <c r="B225" s="18" t="s">
        <v>17</v>
      </c>
      <c r="C225" s="111" t="s">
        <v>305</v>
      </c>
      <c r="D225" s="111">
        <v>2.0</v>
      </c>
      <c r="E225" s="20">
        <v>25000.0</v>
      </c>
      <c r="F225" s="20">
        <f t="shared" si="9"/>
        <v>50000</v>
      </c>
      <c r="G225" s="21" t="s">
        <v>10</v>
      </c>
      <c r="H225" s="110"/>
    </row>
    <row r="226">
      <c r="A226" s="113">
        <v>46160.0</v>
      </c>
      <c r="B226" s="12" t="s">
        <v>17</v>
      </c>
      <c r="C226" s="114" t="s">
        <v>16</v>
      </c>
      <c r="D226" s="114">
        <v>8.0</v>
      </c>
      <c r="E226" s="14">
        <v>25000.0</v>
      </c>
      <c r="F226" s="14">
        <f t="shared" si="9"/>
        <v>200000</v>
      </c>
      <c r="G226" s="15" t="s">
        <v>10</v>
      </c>
      <c r="H226" s="110"/>
    </row>
    <row r="227">
      <c r="A227" s="28">
        <v>46161.0</v>
      </c>
      <c r="B227" s="18" t="s">
        <v>17</v>
      </c>
      <c r="C227" s="111" t="s">
        <v>140</v>
      </c>
      <c r="D227" s="111">
        <v>80.0</v>
      </c>
      <c r="E227" s="20">
        <v>25000.0</v>
      </c>
      <c r="F227" s="20">
        <f t="shared" si="9"/>
        <v>2000000</v>
      </c>
      <c r="G227" s="21" t="s">
        <v>10</v>
      </c>
      <c r="H227" s="110"/>
    </row>
    <row r="228">
      <c r="A228" s="113">
        <v>46161.0</v>
      </c>
      <c r="B228" s="12" t="s">
        <v>17</v>
      </c>
      <c r="C228" s="114" t="s">
        <v>16</v>
      </c>
      <c r="D228" s="114">
        <v>8.5</v>
      </c>
      <c r="E228" s="14">
        <v>25000.0</v>
      </c>
      <c r="F228" s="14">
        <f t="shared" si="9"/>
        <v>212500</v>
      </c>
      <c r="G228" s="15" t="s">
        <v>10</v>
      </c>
      <c r="H228" s="110"/>
    </row>
    <row r="229">
      <c r="A229" s="28">
        <v>46162.0</v>
      </c>
      <c r="B229" s="18" t="s">
        <v>17</v>
      </c>
      <c r="C229" s="111" t="s">
        <v>140</v>
      </c>
      <c r="D229" s="111">
        <v>70.0</v>
      </c>
      <c r="E229" s="20">
        <v>25000.0</v>
      </c>
      <c r="F229" s="20">
        <f t="shared" si="9"/>
        <v>1750000</v>
      </c>
      <c r="G229" s="21" t="s">
        <v>10</v>
      </c>
      <c r="H229" s="110"/>
    </row>
    <row r="230">
      <c r="A230" s="113">
        <v>46162.0</v>
      </c>
      <c r="B230" s="12" t="s">
        <v>17</v>
      </c>
      <c r="C230" s="114" t="s">
        <v>256</v>
      </c>
      <c r="D230" s="114">
        <v>2.0</v>
      </c>
      <c r="E230" s="14">
        <v>25000.0</v>
      </c>
      <c r="F230" s="14">
        <f t="shared" si="9"/>
        <v>50000</v>
      </c>
      <c r="G230" s="15" t="s">
        <v>10</v>
      </c>
      <c r="H230" s="110"/>
    </row>
    <row r="231">
      <c r="A231" s="28">
        <v>46162.0</v>
      </c>
      <c r="B231" s="18" t="s">
        <v>17</v>
      </c>
      <c r="C231" s="111" t="s">
        <v>306</v>
      </c>
      <c r="D231" s="111">
        <v>2.0</v>
      </c>
      <c r="E231" s="20">
        <v>25000.0</v>
      </c>
      <c r="F231" s="20">
        <f t="shared" si="9"/>
        <v>50000</v>
      </c>
      <c r="G231" s="21" t="s">
        <v>10</v>
      </c>
      <c r="H231" s="110"/>
    </row>
    <row r="232">
      <c r="A232" s="113">
        <v>46162.0</v>
      </c>
      <c r="B232" s="12" t="s">
        <v>17</v>
      </c>
      <c r="C232" s="114" t="s">
        <v>307</v>
      </c>
      <c r="D232" s="114">
        <v>2.0</v>
      </c>
      <c r="E232" s="14">
        <v>25000.0</v>
      </c>
      <c r="F232" s="14">
        <f t="shared" si="9"/>
        <v>50000</v>
      </c>
      <c r="G232" s="15" t="s">
        <v>10</v>
      </c>
      <c r="H232" s="110"/>
    </row>
    <row r="233">
      <c r="A233" s="28">
        <v>46162.0</v>
      </c>
      <c r="B233" s="141" t="s">
        <v>17</v>
      </c>
      <c r="C233" s="18" t="s">
        <v>305</v>
      </c>
      <c r="D233" s="18">
        <v>1.0</v>
      </c>
      <c r="E233" s="20">
        <v>25000.0</v>
      </c>
      <c r="F233" s="20">
        <f t="shared" si="9"/>
        <v>25000</v>
      </c>
      <c r="G233" s="24" t="s">
        <v>10</v>
      </c>
      <c r="H233" s="110"/>
    </row>
    <row r="234">
      <c r="A234" s="113">
        <v>46162.0</v>
      </c>
      <c r="B234" s="12" t="s">
        <v>17</v>
      </c>
      <c r="C234" s="114" t="s">
        <v>16</v>
      </c>
      <c r="D234" s="114">
        <v>7.7</v>
      </c>
      <c r="E234" s="14">
        <v>25000.0</v>
      </c>
      <c r="F234" s="14">
        <f t="shared" si="9"/>
        <v>192500</v>
      </c>
      <c r="G234" s="15" t="s">
        <v>10</v>
      </c>
      <c r="H234" s="110"/>
    </row>
    <row r="235">
      <c r="A235" s="28">
        <v>46163.0</v>
      </c>
      <c r="B235" s="18" t="s">
        <v>17</v>
      </c>
      <c r="C235" s="111" t="s">
        <v>140</v>
      </c>
      <c r="D235" s="111">
        <v>50.0</v>
      </c>
      <c r="E235" s="20">
        <v>25000.0</v>
      </c>
      <c r="F235" s="20">
        <f t="shared" si="9"/>
        <v>1250000</v>
      </c>
      <c r="G235" s="21" t="s">
        <v>10</v>
      </c>
      <c r="H235" s="110"/>
    </row>
    <row r="236">
      <c r="A236" s="113">
        <v>46163.0</v>
      </c>
      <c r="B236" s="12" t="s">
        <v>17</v>
      </c>
      <c r="C236" s="114" t="s">
        <v>308</v>
      </c>
      <c r="D236" s="114">
        <v>2.0</v>
      </c>
      <c r="E236" s="14">
        <v>25000.0</v>
      </c>
      <c r="F236" s="14">
        <f t="shared" si="9"/>
        <v>50000</v>
      </c>
      <c r="G236" s="15" t="s">
        <v>10</v>
      </c>
      <c r="H236" s="110"/>
    </row>
    <row r="237">
      <c r="A237" s="28">
        <v>46163.0</v>
      </c>
      <c r="B237" s="18" t="s">
        <v>17</v>
      </c>
      <c r="C237" s="111" t="s">
        <v>309</v>
      </c>
      <c r="D237" s="111">
        <v>1.0</v>
      </c>
      <c r="E237" s="20">
        <v>25000.0</v>
      </c>
      <c r="F237" s="20">
        <f t="shared" si="9"/>
        <v>25000</v>
      </c>
      <c r="G237" s="21" t="s">
        <v>10</v>
      </c>
      <c r="H237" s="110"/>
    </row>
    <row r="238">
      <c r="A238" s="113">
        <v>46163.0</v>
      </c>
      <c r="B238" s="12" t="s">
        <v>17</v>
      </c>
      <c r="C238" s="114" t="s">
        <v>310</v>
      </c>
      <c r="D238" s="114">
        <v>1.0</v>
      </c>
      <c r="E238" s="14">
        <v>25000.0</v>
      </c>
      <c r="F238" s="14">
        <f t="shared" si="9"/>
        <v>25000</v>
      </c>
      <c r="G238" s="15" t="s">
        <v>10</v>
      </c>
      <c r="H238" s="110"/>
    </row>
    <row r="239">
      <c r="A239" s="28">
        <v>46163.0</v>
      </c>
      <c r="B239" s="18" t="s">
        <v>17</v>
      </c>
      <c r="C239" s="111" t="s">
        <v>16</v>
      </c>
      <c r="D239" s="111">
        <v>7.2</v>
      </c>
      <c r="E239" s="20">
        <v>25000.0</v>
      </c>
      <c r="F239" s="20">
        <f t="shared" si="9"/>
        <v>180000</v>
      </c>
      <c r="G239" s="21" t="s">
        <v>10</v>
      </c>
      <c r="H239" s="110"/>
    </row>
    <row r="240">
      <c r="A240" s="113">
        <v>46164.0</v>
      </c>
      <c r="B240" s="12" t="s">
        <v>17</v>
      </c>
      <c r="C240" s="114" t="s">
        <v>140</v>
      </c>
      <c r="D240" s="114">
        <v>100.0</v>
      </c>
      <c r="E240" s="14">
        <v>25000.0</v>
      </c>
      <c r="F240" s="14">
        <f t="shared" si="9"/>
        <v>2500000</v>
      </c>
      <c r="G240" s="15" t="s">
        <v>10</v>
      </c>
      <c r="H240" s="110"/>
    </row>
    <row r="241">
      <c r="A241" s="28">
        <v>46164.0</v>
      </c>
      <c r="B241" s="18" t="s">
        <v>17</v>
      </c>
      <c r="C241" s="111" t="s">
        <v>16</v>
      </c>
      <c r="D241" s="111">
        <v>8.3</v>
      </c>
      <c r="E241" s="20">
        <v>25000.0</v>
      </c>
      <c r="F241" s="20">
        <f t="shared" si="9"/>
        <v>207500</v>
      </c>
      <c r="G241" s="21" t="s">
        <v>10</v>
      </c>
      <c r="H241" s="110"/>
    </row>
    <row r="242">
      <c r="A242" s="113">
        <v>46164.0</v>
      </c>
      <c r="B242" s="12" t="s">
        <v>17</v>
      </c>
      <c r="C242" s="114" t="s">
        <v>311</v>
      </c>
      <c r="D242" s="114">
        <v>2.0</v>
      </c>
      <c r="E242" s="14">
        <v>25000.0</v>
      </c>
      <c r="F242" s="14">
        <f t="shared" si="9"/>
        <v>50000</v>
      </c>
      <c r="G242" s="15" t="s">
        <v>10</v>
      </c>
      <c r="H242" s="110"/>
    </row>
    <row r="243">
      <c r="A243" s="28">
        <v>46164.0</v>
      </c>
      <c r="B243" s="18" t="s">
        <v>17</v>
      </c>
      <c r="C243" s="111" t="s">
        <v>54</v>
      </c>
      <c r="D243" s="111">
        <v>2.0</v>
      </c>
      <c r="E243" s="20">
        <v>25000.0</v>
      </c>
      <c r="F243" s="20">
        <f t="shared" si="9"/>
        <v>50000</v>
      </c>
      <c r="G243" s="21" t="s">
        <v>10</v>
      </c>
      <c r="H243" s="110"/>
    </row>
    <row r="244">
      <c r="A244" s="113">
        <v>46164.0</v>
      </c>
      <c r="B244" s="12" t="s">
        <v>17</v>
      </c>
      <c r="C244" s="114" t="s">
        <v>312</v>
      </c>
      <c r="D244" s="114">
        <v>2.0</v>
      </c>
      <c r="E244" s="14">
        <v>25000.0</v>
      </c>
      <c r="F244" s="14">
        <f t="shared" si="9"/>
        <v>50000</v>
      </c>
      <c r="G244" s="15" t="s">
        <v>10</v>
      </c>
      <c r="H244" s="110"/>
    </row>
    <row r="245">
      <c r="A245" s="28">
        <v>46165.0</v>
      </c>
      <c r="B245" s="18" t="s">
        <v>17</v>
      </c>
      <c r="C245" s="111" t="s">
        <v>140</v>
      </c>
      <c r="D245" s="111">
        <v>50.0</v>
      </c>
      <c r="E245" s="20">
        <v>25000.0</v>
      </c>
      <c r="F245" s="20">
        <f t="shared" si="9"/>
        <v>1250000</v>
      </c>
      <c r="G245" s="21" t="s">
        <v>10</v>
      </c>
      <c r="H245" s="110"/>
    </row>
    <row r="246">
      <c r="A246" s="113">
        <v>46165.0</v>
      </c>
      <c r="B246" s="12" t="s">
        <v>17</v>
      </c>
      <c r="C246" s="114" t="s">
        <v>269</v>
      </c>
      <c r="D246" s="114">
        <v>2.0</v>
      </c>
      <c r="E246" s="14">
        <v>25000.0</v>
      </c>
      <c r="F246" s="14">
        <f t="shared" si="9"/>
        <v>50000</v>
      </c>
      <c r="G246" s="15" t="s">
        <v>10</v>
      </c>
      <c r="H246" s="110"/>
    </row>
    <row r="247">
      <c r="A247" s="28">
        <v>46165.0</v>
      </c>
      <c r="B247" s="18" t="s">
        <v>17</v>
      </c>
      <c r="C247" s="111" t="s">
        <v>306</v>
      </c>
      <c r="D247" s="111">
        <v>2.0</v>
      </c>
      <c r="E247" s="20">
        <v>25000.0</v>
      </c>
      <c r="F247" s="20">
        <f t="shared" si="9"/>
        <v>50000</v>
      </c>
      <c r="G247" s="21" t="s">
        <v>10</v>
      </c>
      <c r="H247" s="110"/>
    </row>
    <row r="248">
      <c r="A248" s="113">
        <v>46165.0</v>
      </c>
      <c r="B248" s="12" t="s">
        <v>17</v>
      </c>
      <c r="C248" s="114" t="s">
        <v>313</v>
      </c>
      <c r="D248" s="114">
        <v>2.0</v>
      </c>
      <c r="E248" s="14">
        <v>25000.0</v>
      </c>
      <c r="F248" s="14">
        <f t="shared" si="9"/>
        <v>50000</v>
      </c>
      <c r="G248" s="15" t="s">
        <v>10</v>
      </c>
      <c r="H248" s="110"/>
    </row>
    <row r="249">
      <c r="A249" s="28">
        <v>46165.0</v>
      </c>
      <c r="B249" s="18" t="s">
        <v>17</v>
      </c>
      <c r="C249" s="111" t="s">
        <v>314</v>
      </c>
      <c r="D249" s="111">
        <v>2.0</v>
      </c>
      <c r="E249" s="20">
        <v>25000.0</v>
      </c>
      <c r="F249" s="20">
        <f t="shared" si="9"/>
        <v>50000</v>
      </c>
      <c r="G249" s="21" t="s">
        <v>10</v>
      </c>
      <c r="H249" s="110"/>
    </row>
    <row r="250">
      <c r="A250" s="113">
        <v>46165.0</v>
      </c>
      <c r="B250" s="12" t="s">
        <v>17</v>
      </c>
      <c r="C250" s="114" t="s">
        <v>16</v>
      </c>
      <c r="D250" s="114">
        <v>7.6</v>
      </c>
      <c r="E250" s="14">
        <v>25000.0</v>
      </c>
      <c r="F250" s="14">
        <f t="shared" si="9"/>
        <v>190000</v>
      </c>
      <c r="G250" s="15" t="s">
        <v>10</v>
      </c>
      <c r="H250" s="110"/>
    </row>
    <row r="251">
      <c r="A251" s="28">
        <v>46166.0</v>
      </c>
      <c r="B251" s="18" t="s">
        <v>17</v>
      </c>
      <c r="C251" s="111" t="s">
        <v>140</v>
      </c>
      <c r="D251" s="111">
        <v>100.0</v>
      </c>
      <c r="E251" s="20">
        <v>25000.0</v>
      </c>
      <c r="F251" s="20">
        <f t="shared" si="9"/>
        <v>2500000</v>
      </c>
      <c r="G251" s="21" t="s">
        <v>10</v>
      </c>
      <c r="H251" s="110"/>
    </row>
    <row r="252">
      <c r="A252" s="113">
        <v>46166.0</v>
      </c>
      <c r="B252" s="12" t="s">
        <v>17</v>
      </c>
      <c r="C252" s="114" t="s">
        <v>312</v>
      </c>
      <c r="D252" s="114">
        <v>2.0</v>
      </c>
      <c r="E252" s="14">
        <v>25000.0</v>
      </c>
      <c r="F252" s="14">
        <f t="shared" si="9"/>
        <v>50000</v>
      </c>
      <c r="G252" s="15" t="s">
        <v>10</v>
      </c>
      <c r="H252" s="110"/>
    </row>
    <row r="253">
      <c r="A253" s="28">
        <v>46166.0</v>
      </c>
      <c r="B253" s="18" t="s">
        <v>17</v>
      </c>
      <c r="C253" s="111" t="s">
        <v>54</v>
      </c>
      <c r="D253" s="111">
        <v>2.0</v>
      </c>
      <c r="E253" s="20">
        <v>25000.0</v>
      </c>
      <c r="F253" s="20">
        <f t="shared" si="9"/>
        <v>50000</v>
      </c>
      <c r="G253" s="21" t="s">
        <v>10</v>
      </c>
      <c r="H253" s="110"/>
    </row>
    <row r="254">
      <c r="A254" s="113">
        <v>46166.0</v>
      </c>
      <c r="B254" s="12" t="s">
        <v>17</v>
      </c>
      <c r="C254" s="114" t="s">
        <v>16</v>
      </c>
      <c r="D254" s="114">
        <v>7.2</v>
      </c>
      <c r="E254" s="14">
        <v>25000.0</v>
      </c>
      <c r="F254" s="14">
        <f t="shared" si="9"/>
        <v>180000</v>
      </c>
      <c r="G254" s="15" t="s">
        <v>10</v>
      </c>
      <c r="H254" s="110"/>
    </row>
    <row r="255">
      <c r="A255" s="115" t="s">
        <v>142</v>
      </c>
      <c r="C255" s="116"/>
      <c r="D255" s="115">
        <f>SUM(D221:D254)</f>
        <v>590.5</v>
      </c>
      <c r="E255" s="116"/>
      <c r="F255" s="118">
        <f>SUM(F221:F254)</f>
        <v>14762500</v>
      </c>
      <c r="G255" s="115"/>
      <c r="H255" s="110"/>
    </row>
    <row r="256">
      <c r="H256" s="110"/>
    </row>
    <row r="257">
      <c r="A257" s="253" t="s">
        <v>1</v>
      </c>
      <c r="B257" s="253" t="s">
        <v>2</v>
      </c>
      <c r="C257" s="253" t="s">
        <v>3</v>
      </c>
      <c r="D257" s="253" t="s">
        <v>4</v>
      </c>
      <c r="E257" s="254" t="s">
        <v>5</v>
      </c>
      <c r="F257" s="254" t="s">
        <v>6</v>
      </c>
      <c r="G257" s="253" t="s">
        <v>84</v>
      </c>
      <c r="H257" s="255"/>
      <c r="I257" s="256"/>
      <c r="J257" s="255"/>
      <c r="K257" s="257"/>
      <c r="L257" s="255"/>
      <c r="M257" s="258"/>
      <c r="N257" s="258"/>
      <c r="O257" s="259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  <c r="AD257" s="260"/>
      <c r="AE257" s="260"/>
      <c r="AF257" s="260"/>
      <c r="AG257" s="260"/>
      <c r="AH257" s="260"/>
      <c r="AI257" s="260"/>
      <c r="AJ257" s="260"/>
      <c r="AK257" s="260"/>
      <c r="AL257" s="260"/>
      <c r="AM257" s="260"/>
      <c r="AN257" s="260"/>
      <c r="AO257" s="260"/>
      <c r="AP257" s="260"/>
      <c r="AQ257" s="260"/>
      <c r="AR257" s="260"/>
      <c r="AS257" s="260"/>
      <c r="AT257" s="260"/>
      <c r="AU257" s="260"/>
      <c r="AV257" s="260"/>
      <c r="AW257" s="260"/>
      <c r="AX257" s="260"/>
      <c r="AY257" s="260"/>
      <c r="AZ257" s="260"/>
      <c r="BA257" s="260"/>
      <c r="BB257" s="260"/>
      <c r="BC257" s="260"/>
      <c r="BD257" s="260"/>
      <c r="BE257" s="260"/>
      <c r="BF257" s="260"/>
      <c r="BG257" s="260"/>
      <c r="BH257" s="260"/>
      <c r="BI257" s="260"/>
      <c r="BJ257" s="260"/>
      <c r="BK257" s="260"/>
      <c r="BL257" s="260"/>
      <c r="BM257" s="260"/>
      <c r="BN257" s="260"/>
      <c r="BO257" s="260"/>
      <c r="BP257" s="260"/>
      <c r="BQ257" s="260"/>
      <c r="BR257" s="260"/>
      <c r="BS257" s="260"/>
      <c r="BT257" s="260"/>
      <c r="BU257" s="260"/>
      <c r="BV257" s="260"/>
      <c r="BW257" s="260"/>
      <c r="BX257" s="260"/>
      <c r="BY257" s="260"/>
      <c r="BZ257" s="260"/>
      <c r="CA257" s="260"/>
      <c r="CB257" s="260"/>
      <c r="CC257" s="260"/>
      <c r="CD257" s="260"/>
      <c r="CE257" s="260"/>
      <c r="CF257" s="260"/>
      <c r="CG257" s="260"/>
      <c r="CH257" s="260"/>
      <c r="CI257" s="260"/>
      <c r="CJ257" s="260"/>
      <c r="CK257" s="260"/>
      <c r="CL257" s="260"/>
      <c r="CM257" s="260"/>
      <c r="CN257" s="260"/>
      <c r="CO257" s="260"/>
      <c r="CP257" s="260"/>
      <c r="CQ257" s="260"/>
      <c r="CR257" s="260"/>
      <c r="CS257" s="260"/>
      <c r="CT257" s="260"/>
      <c r="CU257" s="260"/>
      <c r="CV257" s="260"/>
      <c r="CW257" s="260"/>
      <c r="CX257" s="260"/>
      <c r="CY257" s="260"/>
      <c r="CZ257" s="260"/>
      <c r="DA257" s="260"/>
      <c r="DB257" s="260"/>
      <c r="DC257" s="260"/>
      <c r="DD257" s="260"/>
      <c r="DE257" s="260"/>
      <c r="DF257" s="260"/>
      <c r="DG257" s="260"/>
      <c r="DH257" s="260"/>
      <c r="DI257" s="260"/>
      <c r="DJ257" s="260"/>
      <c r="DK257" s="260"/>
      <c r="DL257" s="260"/>
      <c r="DM257" s="260"/>
      <c r="DN257" s="260"/>
      <c r="DO257" s="260"/>
      <c r="DP257" s="260"/>
      <c r="DQ257" s="260"/>
      <c r="DR257" s="260"/>
      <c r="DS257" s="260"/>
      <c r="DT257" s="260"/>
      <c r="DU257" s="260"/>
      <c r="DV257" s="260"/>
      <c r="DW257" s="260"/>
      <c r="DX257" s="260"/>
      <c r="DY257" s="260"/>
      <c r="DZ257" s="260"/>
      <c r="EA257" s="260"/>
      <c r="EB257" s="260"/>
      <c r="EC257" s="260"/>
      <c r="ED257" s="260"/>
      <c r="EE257" s="260"/>
      <c r="EF257" s="260"/>
      <c r="EG257" s="260"/>
      <c r="EH257" s="260"/>
      <c r="EI257" s="260"/>
      <c r="EJ257" s="260"/>
      <c r="EK257" s="260"/>
      <c r="EL257" s="260"/>
      <c r="EM257" s="260"/>
      <c r="EN257" s="260"/>
      <c r="EO257" s="260"/>
      <c r="EP257" s="260"/>
      <c r="EQ257" s="260"/>
      <c r="ER257" s="260"/>
      <c r="ES257" s="260"/>
      <c r="ET257" s="260"/>
      <c r="EU257" s="260"/>
      <c r="EV257" s="260"/>
      <c r="EW257" s="260"/>
      <c r="EX257" s="260"/>
      <c r="EY257" s="260"/>
      <c r="EZ257" s="260"/>
      <c r="FA257" s="260"/>
      <c r="FB257" s="260"/>
      <c r="FC257" s="260"/>
      <c r="FD257" s="260"/>
      <c r="FE257" s="260"/>
      <c r="FF257" s="260"/>
      <c r="FG257" s="260"/>
      <c r="FH257" s="260"/>
      <c r="FI257" s="260"/>
      <c r="FJ257" s="260"/>
      <c r="FK257" s="260"/>
      <c r="FL257" s="260"/>
      <c r="FM257" s="260"/>
      <c r="FN257" s="260"/>
      <c r="FO257" s="260"/>
      <c r="FP257" s="260"/>
      <c r="FQ257" s="260"/>
      <c r="FR257" s="260"/>
      <c r="FS257" s="260"/>
      <c r="FT257" s="260"/>
      <c r="FU257" s="260"/>
      <c r="FV257" s="260"/>
      <c r="FW257" s="260"/>
      <c r="FX257" s="260"/>
      <c r="FY257" s="260"/>
      <c r="FZ257" s="260"/>
      <c r="GA257" s="260"/>
    </row>
    <row r="258">
      <c r="A258" s="28">
        <v>46167.0</v>
      </c>
      <c r="B258" s="18" t="s">
        <v>17</v>
      </c>
      <c r="C258" s="111" t="s">
        <v>140</v>
      </c>
      <c r="D258" s="111">
        <v>100.0</v>
      </c>
      <c r="E258" s="20">
        <v>25000.0</v>
      </c>
      <c r="F258" s="20">
        <f t="shared" ref="F258:F286" si="10">D258*E258</f>
        <v>2500000</v>
      </c>
      <c r="G258" s="21" t="s">
        <v>10</v>
      </c>
      <c r="H258" s="110"/>
      <c r="I258" s="261"/>
      <c r="J258" s="261"/>
      <c r="K258" s="79"/>
      <c r="L258" s="261"/>
      <c r="M258" s="261"/>
      <c r="N258" s="261"/>
      <c r="O258" s="262"/>
    </row>
    <row r="259">
      <c r="A259" s="113">
        <v>46167.0</v>
      </c>
      <c r="B259" s="12" t="s">
        <v>17</v>
      </c>
      <c r="C259" s="114" t="s">
        <v>16</v>
      </c>
      <c r="D259" s="114">
        <v>12.0</v>
      </c>
      <c r="E259" s="14">
        <v>25000.0</v>
      </c>
      <c r="F259" s="14">
        <f t="shared" si="10"/>
        <v>300000</v>
      </c>
      <c r="G259" s="15" t="s">
        <v>10</v>
      </c>
      <c r="H259" s="110"/>
      <c r="J259" s="261"/>
      <c r="K259" s="79"/>
    </row>
    <row r="260">
      <c r="A260" s="28">
        <v>46167.0</v>
      </c>
      <c r="B260" s="18" t="s">
        <v>17</v>
      </c>
      <c r="C260" s="111" t="s">
        <v>54</v>
      </c>
      <c r="D260" s="111">
        <v>4.0</v>
      </c>
      <c r="E260" s="20">
        <v>25000.0</v>
      </c>
      <c r="F260" s="20">
        <f t="shared" si="10"/>
        <v>100000</v>
      </c>
      <c r="G260" s="21" t="s">
        <v>10</v>
      </c>
      <c r="H260" s="110"/>
      <c r="J260" s="261"/>
      <c r="K260" s="79"/>
    </row>
    <row r="261">
      <c r="A261" s="113">
        <v>46167.0</v>
      </c>
      <c r="B261" s="12" t="s">
        <v>17</v>
      </c>
      <c r="C261" s="114" t="s">
        <v>312</v>
      </c>
      <c r="D261" s="114">
        <v>3.0</v>
      </c>
      <c r="E261" s="14">
        <v>25000.0</v>
      </c>
      <c r="F261" s="14">
        <f t="shared" si="10"/>
        <v>75000</v>
      </c>
      <c r="G261" s="15" t="s">
        <v>10</v>
      </c>
      <c r="H261" s="110"/>
      <c r="J261" s="261"/>
      <c r="K261" s="79"/>
    </row>
    <row r="262">
      <c r="A262" s="28">
        <v>46168.0</v>
      </c>
      <c r="B262" s="18" t="s">
        <v>17</v>
      </c>
      <c r="C262" s="111" t="s">
        <v>140</v>
      </c>
      <c r="D262" s="111">
        <v>50.0</v>
      </c>
      <c r="E262" s="20">
        <v>25000.0</v>
      </c>
      <c r="F262" s="20">
        <f t="shared" si="10"/>
        <v>1250000</v>
      </c>
      <c r="G262" s="21" t="s">
        <v>10</v>
      </c>
      <c r="H262" s="110"/>
      <c r="J262" s="261"/>
      <c r="K262" s="79"/>
    </row>
    <row r="263">
      <c r="A263" s="113">
        <v>46168.0</v>
      </c>
      <c r="B263" s="12" t="s">
        <v>17</v>
      </c>
      <c r="C263" s="114" t="s">
        <v>312</v>
      </c>
      <c r="D263" s="114">
        <v>3.0</v>
      </c>
      <c r="E263" s="14">
        <v>25000.0</v>
      </c>
      <c r="F263" s="14">
        <f t="shared" si="10"/>
        <v>75000</v>
      </c>
      <c r="G263" s="15" t="s">
        <v>10</v>
      </c>
      <c r="H263" s="110"/>
      <c r="J263" s="261"/>
      <c r="K263" s="79"/>
    </row>
    <row r="264">
      <c r="A264" s="28">
        <v>46168.0</v>
      </c>
      <c r="B264" s="18" t="s">
        <v>17</v>
      </c>
      <c r="C264" s="111" t="s">
        <v>315</v>
      </c>
      <c r="D264" s="111">
        <v>3.0</v>
      </c>
      <c r="E264" s="20">
        <v>25000.0</v>
      </c>
      <c r="F264" s="20">
        <f t="shared" si="10"/>
        <v>75000</v>
      </c>
      <c r="G264" s="21" t="s">
        <v>10</v>
      </c>
      <c r="H264" s="110"/>
      <c r="J264" s="261"/>
      <c r="K264" s="79"/>
    </row>
    <row r="265">
      <c r="A265" s="113">
        <v>46168.0</v>
      </c>
      <c r="B265" s="12" t="s">
        <v>17</v>
      </c>
      <c r="C265" s="114" t="s">
        <v>313</v>
      </c>
      <c r="D265" s="114">
        <v>3.0</v>
      </c>
      <c r="E265" s="14">
        <v>25000.0</v>
      </c>
      <c r="F265" s="14">
        <f t="shared" si="10"/>
        <v>75000</v>
      </c>
      <c r="G265" s="15" t="s">
        <v>10</v>
      </c>
      <c r="H265" s="110"/>
      <c r="J265" s="261"/>
      <c r="K265" s="79"/>
    </row>
    <row r="266">
      <c r="A266" s="28">
        <v>46168.0</v>
      </c>
      <c r="B266" s="18" t="s">
        <v>17</v>
      </c>
      <c r="C266" s="111" t="s">
        <v>223</v>
      </c>
      <c r="D266" s="111">
        <v>1.0</v>
      </c>
      <c r="E266" s="20">
        <v>25000.0</v>
      </c>
      <c r="F266" s="20">
        <f t="shared" si="10"/>
        <v>25000</v>
      </c>
      <c r="G266" s="21" t="s">
        <v>10</v>
      </c>
      <c r="H266" s="110"/>
      <c r="J266" s="261"/>
      <c r="K266" s="79"/>
    </row>
    <row r="267">
      <c r="A267" s="113">
        <v>46168.0</v>
      </c>
      <c r="B267" s="12" t="s">
        <v>17</v>
      </c>
      <c r="C267" s="114" t="s">
        <v>50</v>
      </c>
      <c r="D267" s="114">
        <v>1.0</v>
      </c>
      <c r="E267" s="14">
        <v>25000.0</v>
      </c>
      <c r="F267" s="14">
        <f t="shared" si="10"/>
        <v>25000</v>
      </c>
      <c r="G267" s="15" t="s">
        <v>10</v>
      </c>
      <c r="H267" s="110"/>
      <c r="J267" s="261"/>
      <c r="K267" s="79"/>
    </row>
    <row r="268">
      <c r="A268" s="28">
        <v>46168.0</v>
      </c>
      <c r="B268" s="18" t="s">
        <v>17</v>
      </c>
      <c r="C268" s="111" t="s">
        <v>16</v>
      </c>
      <c r="D268" s="111">
        <v>8.2</v>
      </c>
      <c r="E268" s="20">
        <v>25000.0</v>
      </c>
      <c r="F268" s="20">
        <f t="shared" si="10"/>
        <v>205000</v>
      </c>
      <c r="G268" s="21" t="s">
        <v>10</v>
      </c>
      <c r="H268" s="110"/>
      <c r="J268" s="261"/>
      <c r="K268" s="79"/>
    </row>
    <row r="269">
      <c r="A269" s="113">
        <v>46170.0</v>
      </c>
      <c r="B269" s="12" t="s">
        <v>17</v>
      </c>
      <c r="C269" s="114" t="s">
        <v>140</v>
      </c>
      <c r="D269" s="114">
        <v>50.0</v>
      </c>
      <c r="E269" s="14">
        <v>25000.0</v>
      </c>
      <c r="F269" s="14">
        <f t="shared" si="10"/>
        <v>1250000</v>
      </c>
      <c r="G269" s="15" t="s">
        <v>10</v>
      </c>
      <c r="H269" s="110"/>
    </row>
    <row r="270">
      <c r="A270" s="28">
        <v>46170.0</v>
      </c>
      <c r="B270" s="18" t="s">
        <v>17</v>
      </c>
      <c r="C270" s="111" t="s">
        <v>54</v>
      </c>
      <c r="D270" s="111">
        <v>9.0</v>
      </c>
      <c r="E270" s="20">
        <v>25000.0</v>
      </c>
      <c r="F270" s="20">
        <f t="shared" si="10"/>
        <v>225000</v>
      </c>
      <c r="G270" s="21" t="s">
        <v>10</v>
      </c>
      <c r="H270" s="110"/>
    </row>
    <row r="271">
      <c r="A271" s="113">
        <v>46170.0</v>
      </c>
      <c r="B271" s="12" t="s">
        <v>17</v>
      </c>
      <c r="C271" s="114" t="s">
        <v>312</v>
      </c>
      <c r="D271" s="114">
        <v>2.0</v>
      </c>
      <c r="E271" s="14">
        <v>25000.0</v>
      </c>
      <c r="F271" s="14">
        <f t="shared" si="10"/>
        <v>50000</v>
      </c>
      <c r="G271" s="15" t="s">
        <v>10</v>
      </c>
      <c r="H271" s="110"/>
    </row>
    <row r="272">
      <c r="A272" s="28">
        <v>46170.0</v>
      </c>
      <c r="B272" s="18" t="s">
        <v>17</v>
      </c>
      <c r="C272" s="111" t="s">
        <v>16</v>
      </c>
      <c r="D272" s="111">
        <v>8.0</v>
      </c>
      <c r="E272" s="20">
        <v>25000.0</v>
      </c>
      <c r="F272" s="20">
        <f t="shared" si="10"/>
        <v>200000</v>
      </c>
      <c r="G272" s="21" t="s">
        <v>10</v>
      </c>
      <c r="H272" s="110"/>
    </row>
    <row r="273">
      <c r="A273" s="113">
        <v>46171.0</v>
      </c>
      <c r="B273" s="12" t="s">
        <v>17</v>
      </c>
      <c r="C273" s="114" t="s">
        <v>140</v>
      </c>
      <c r="D273" s="114">
        <v>50.0</v>
      </c>
      <c r="E273" s="14">
        <v>25000.0</v>
      </c>
      <c r="F273" s="14">
        <f t="shared" si="10"/>
        <v>1250000</v>
      </c>
      <c r="G273" s="15" t="s">
        <v>10</v>
      </c>
      <c r="H273" s="110"/>
    </row>
    <row r="274">
      <c r="A274" s="28">
        <v>46171.0</v>
      </c>
      <c r="B274" s="18" t="s">
        <v>17</v>
      </c>
      <c r="C274" s="111" t="s">
        <v>313</v>
      </c>
      <c r="D274" s="111">
        <v>2.0</v>
      </c>
      <c r="E274" s="20">
        <v>25000.0</v>
      </c>
      <c r="F274" s="20">
        <f t="shared" si="10"/>
        <v>50000</v>
      </c>
      <c r="G274" s="21" t="s">
        <v>10</v>
      </c>
      <c r="H274" s="110"/>
    </row>
    <row r="275">
      <c r="A275" s="113">
        <v>46171.0</v>
      </c>
      <c r="B275" s="12" t="s">
        <v>17</v>
      </c>
      <c r="C275" s="114" t="s">
        <v>312</v>
      </c>
      <c r="D275" s="114">
        <v>3.0</v>
      </c>
      <c r="E275" s="14">
        <v>25000.0</v>
      </c>
      <c r="F275" s="14">
        <f t="shared" si="10"/>
        <v>75000</v>
      </c>
      <c r="G275" s="15" t="s">
        <v>10</v>
      </c>
      <c r="H275" s="110"/>
    </row>
    <row r="276">
      <c r="A276" s="28">
        <v>46171.0</v>
      </c>
      <c r="B276" s="18" t="s">
        <v>17</v>
      </c>
      <c r="C276" s="111" t="s">
        <v>316</v>
      </c>
      <c r="D276" s="111">
        <v>1.0</v>
      </c>
      <c r="E276" s="20">
        <v>25000.0</v>
      </c>
      <c r="F276" s="20">
        <f t="shared" si="10"/>
        <v>25000</v>
      </c>
      <c r="G276" s="21" t="s">
        <v>10</v>
      </c>
      <c r="H276" s="110"/>
    </row>
    <row r="277">
      <c r="A277" s="113">
        <v>46171.0</v>
      </c>
      <c r="B277" s="12" t="s">
        <v>17</v>
      </c>
      <c r="C277" s="114" t="s">
        <v>16</v>
      </c>
      <c r="D277" s="114">
        <v>5.8</v>
      </c>
      <c r="E277" s="14">
        <v>25000.0</v>
      </c>
      <c r="F277" s="14">
        <f t="shared" si="10"/>
        <v>145000</v>
      </c>
      <c r="G277" s="15" t="s">
        <v>10</v>
      </c>
      <c r="H277" s="110"/>
    </row>
    <row r="278">
      <c r="A278" s="28">
        <v>46172.0</v>
      </c>
      <c r="B278" s="18" t="s">
        <v>17</v>
      </c>
      <c r="C278" s="111" t="s">
        <v>140</v>
      </c>
      <c r="D278" s="111">
        <v>50.0</v>
      </c>
      <c r="E278" s="20">
        <v>25000.0</v>
      </c>
      <c r="F278" s="20">
        <f t="shared" si="10"/>
        <v>1250000</v>
      </c>
      <c r="G278" s="21" t="s">
        <v>10</v>
      </c>
      <c r="H278" s="110"/>
    </row>
    <row r="279">
      <c r="A279" s="113">
        <v>46172.0</v>
      </c>
      <c r="B279" s="12" t="s">
        <v>17</v>
      </c>
      <c r="C279" s="114" t="s">
        <v>312</v>
      </c>
      <c r="D279" s="114">
        <v>3.0</v>
      </c>
      <c r="E279" s="14">
        <v>25000.0</v>
      </c>
      <c r="F279" s="14">
        <f t="shared" si="10"/>
        <v>75000</v>
      </c>
      <c r="G279" s="15" t="s">
        <v>10</v>
      </c>
      <c r="H279" s="110"/>
    </row>
    <row r="280">
      <c r="A280" s="28">
        <v>46172.0</v>
      </c>
      <c r="B280" s="18" t="s">
        <v>17</v>
      </c>
      <c r="C280" s="111" t="s">
        <v>317</v>
      </c>
      <c r="D280" s="111">
        <v>1.0</v>
      </c>
      <c r="E280" s="20">
        <v>25000.0</v>
      </c>
      <c r="F280" s="20">
        <f t="shared" si="10"/>
        <v>25000</v>
      </c>
      <c r="G280" s="21" t="s">
        <v>10</v>
      </c>
      <c r="H280" s="110"/>
    </row>
    <row r="281">
      <c r="A281" s="113">
        <v>46172.0</v>
      </c>
      <c r="B281" s="12" t="s">
        <v>17</v>
      </c>
      <c r="C281" s="114" t="s">
        <v>16</v>
      </c>
      <c r="D281" s="114">
        <v>6.0</v>
      </c>
      <c r="E281" s="14">
        <v>25000.0</v>
      </c>
      <c r="F281" s="14">
        <f t="shared" si="10"/>
        <v>150000</v>
      </c>
      <c r="G281" s="15" t="s">
        <v>10</v>
      </c>
      <c r="H281" s="110"/>
    </row>
    <row r="282">
      <c r="A282" s="28">
        <v>46173.0</v>
      </c>
      <c r="B282" s="18" t="s">
        <v>17</v>
      </c>
      <c r="C282" s="111" t="s">
        <v>140</v>
      </c>
      <c r="D282" s="111">
        <v>50.0</v>
      </c>
      <c r="E282" s="20">
        <v>25000.0</v>
      </c>
      <c r="F282" s="20">
        <f t="shared" si="10"/>
        <v>1250000</v>
      </c>
      <c r="G282" s="21" t="s">
        <v>10</v>
      </c>
      <c r="H282" s="110"/>
    </row>
    <row r="283">
      <c r="A283" s="113">
        <v>46173.0</v>
      </c>
      <c r="B283" s="12" t="s">
        <v>17</v>
      </c>
      <c r="C283" s="114" t="s">
        <v>253</v>
      </c>
      <c r="D283" s="114">
        <v>3.0</v>
      </c>
      <c r="E283" s="14">
        <v>25000.0</v>
      </c>
      <c r="F283" s="14">
        <f t="shared" si="10"/>
        <v>75000</v>
      </c>
      <c r="G283" s="15" t="s">
        <v>10</v>
      </c>
      <c r="H283" s="110"/>
    </row>
    <row r="284">
      <c r="A284" s="28">
        <v>46173.0</v>
      </c>
      <c r="B284" s="18" t="s">
        <v>17</v>
      </c>
      <c r="C284" s="111" t="s">
        <v>54</v>
      </c>
      <c r="D284" s="111">
        <v>3.0</v>
      </c>
      <c r="E284" s="20">
        <v>25000.0</v>
      </c>
      <c r="F284" s="20">
        <f t="shared" si="10"/>
        <v>75000</v>
      </c>
      <c r="G284" s="21" t="s">
        <v>10</v>
      </c>
      <c r="H284" s="110"/>
    </row>
    <row r="285">
      <c r="A285" s="113">
        <v>46173.0</v>
      </c>
      <c r="B285" s="12" t="s">
        <v>17</v>
      </c>
      <c r="C285" s="114" t="s">
        <v>25</v>
      </c>
      <c r="D285" s="114">
        <v>1.0</v>
      </c>
      <c r="E285" s="14">
        <v>25000.0</v>
      </c>
      <c r="F285" s="14">
        <f t="shared" si="10"/>
        <v>25000</v>
      </c>
      <c r="G285" s="15" t="s">
        <v>10</v>
      </c>
      <c r="H285" s="110"/>
    </row>
    <row r="286">
      <c r="A286" s="28">
        <v>46173.0</v>
      </c>
      <c r="B286" s="18" t="s">
        <v>17</v>
      </c>
      <c r="C286" s="111" t="s">
        <v>16</v>
      </c>
      <c r="D286" s="111">
        <v>3.0</v>
      </c>
      <c r="E286" s="20">
        <v>25000.0</v>
      </c>
      <c r="F286" s="20">
        <f t="shared" si="10"/>
        <v>75000</v>
      </c>
      <c r="G286" s="21" t="s">
        <v>10</v>
      </c>
      <c r="H286" s="110"/>
    </row>
    <row r="287">
      <c r="A287" s="115" t="s">
        <v>142</v>
      </c>
      <c r="C287" s="116"/>
      <c r="D287" s="115">
        <f>SUM(D258:D286)</f>
        <v>439</v>
      </c>
      <c r="E287" s="116"/>
      <c r="F287" s="118">
        <f>SUM(F258:F286)</f>
        <v>10975000</v>
      </c>
      <c r="G287" s="115"/>
      <c r="H287" s="110"/>
    </row>
    <row r="288">
      <c r="H288" s="110"/>
    </row>
    <row r="289">
      <c r="A289" s="253" t="s">
        <v>1</v>
      </c>
      <c r="B289" s="253" t="s">
        <v>2</v>
      </c>
      <c r="C289" s="253" t="s">
        <v>3</v>
      </c>
      <c r="D289" s="253" t="s">
        <v>4</v>
      </c>
      <c r="E289" s="254" t="s">
        <v>5</v>
      </c>
      <c r="F289" s="254" t="s">
        <v>6</v>
      </c>
      <c r="G289" s="253" t="s">
        <v>84</v>
      </c>
      <c r="H289" s="255"/>
      <c r="I289" s="256"/>
      <c r="J289" s="255"/>
      <c r="K289" s="257"/>
      <c r="L289" s="255"/>
      <c r="M289" s="258"/>
      <c r="N289" s="258"/>
      <c r="O289" s="259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  <c r="AA289" s="260"/>
      <c r="AB289" s="260"/>
      <c r="AC289" s="260"/>
      <c r="AD289" s="260"/>
      <c r="AE289" s="260"/>
      <c r="AF289" s="260"/>
      <c r="AG289" s="260"/>
      <c r="AH289" s="260"/>
      <c r="AI289" s="260"/>
      <c r="AJ289" s="260"/>
      <c r="AK289" s="260"/>
      <c r="AL289" s="260"/>
      <c r="AM289" s="260"/>
      <c r="AN289" s="260"/>
      <c r="AO289" s="260"/>
      <c r="AP289" s="260"/>
      <c r="AQ289" s="260"/>
      <c r="AR289" s="260"/>
      <c r="AS289" s="260"/>
      <c r="AT289" s="260"/>
      <c r="AU289" s="260"/>
      <c r="AV289" s="260"/>
      <c r="AW289" s="260"/>
      <c r="AX289" s="260"/>
      <c r="AY289" s="260"/>
      <c r="AZ289" s="260"/>
      <c r="BA289" s="260"/>
      <c r="BB289" s="260"/>
      <c r="BC289" s="260"/>
      <c r="BD289" s="260"/>
      <c r="BE289" s="260"/>
      <c r="BF289" s="260"/>
      <c r="BG289" s="260"/>
      <c r="BH289" s="260"/>
      <c r="BI289" s="260"/>
      <c r="BJ289" s="260"/>
      <c r="BK289" s="260"/>
      <c r="BL289" s="260"/>
      <c r="BM289" s="260"/>
      <c r="BN289" s="260"/>
      <c r="BO289" s="260"/>
      <c r="BP289" s="260"/>
      <c r="BQ289" s="260"/>
      <c r="BR289" s="260"/>
      <c r="BS289" s="260"/>
      <c r="BT289" s="260"/>
      <c r="BU289" s="260"/>
      <c r="BV289" s="260"/>
      <c r="BW289" s="260"/>
      <c r="BX289" s="260"/>
      <c r="BY289" s="260"/>
      <c r="BZ289" s="260"/>
      <c r="CA289" s="260"/>
      <c r="CB289" s="260"/>
      <c r="CC289" s="260"/>
      <c r="CD289" s="260"/>
      <c r="CE289" s="260"/>
      <c r="CF289" s="260"/>
      <c r="CG289" s="260"/>
      <c r="CH289" s="260"/>
      <c r="CI289" s="260"/>
      <c r="CJ289" s="260"/>
      <c r="CK289" s="260"/>
      <c r="CL289" s="260"/>
      <c r="CM289" s="260"/>
      <c r="CN289" s="260"/>
      <c r="CO289" s="260"/>
      <c r="CP289" s="260"/>
      <c r="CQ289" s="260"/>
      <c r="CR289" s="260"/>
      <c r="CS289" s="260"/>
      <c r="CT289" s="260"/>
      <c r="CU289" s="260"/>
      <c r="CV289" s="260"/>
      <c r="CW289" s="260"/>
      <c r="CX289" s="260"/>
      <c r="CY289" s="260"/>
      <c r="CZ289" s="260"/>
      <c r="DA289" s="260"/>
      <c r="DB289" s="260"/>
      <c r="DC289" s="260"/>
      <c r="DD289" s="260"/>
      <c r="DE289" s="260"/>
      <c r="DF289" s="260"/>
      <c r="DG289" s="260"/>
      <c r="DH289" s="260"/>
      <c r="DI289" s="260"/>
      <c r="DJ289" s="260"/>
      <c r="DK289" s="260"/>
      <c r="DL289" s="260"/>
      <c r="DM289" s="260"/>
      <c r="DN289" s="260"/>
      <c r="DO289" s="260"/>
      <c r="DP289" s="260"/>
      <c r="DQ289" s="260"/>
      <c r="DR289" s="260"/>
      <c r="DS289" s="260"/>
      <c r="DT289" s="260"/>
      <c r="DU289" s="260"/>
      <c r="DV289" s="260"/>
      <c r="DW289" s="260"/>
      <c r="DX289" s="260"/>
      <c r="DY289" s="260"/>
      <c r="DZ289" s="260"/>
      <c r="EA289" s="260"/>
      <c r="EB289" s="260"/>
      <c r="EC289" s="260"/>
      <c r="ED289" s="260"/>
      <c r="EE289" s="260"/>
      <c r="EF289" s="260"/>
      <c r="EG289" s="260"/>
      <c r="EH289" s="260"/>
      <c r="EI289" s="260"/>
      <c r="EJ289" s="260"/>
      <c r="EK289" s="260"/>
      <c r="EL289" s="260"/>
      <c r="EM289" s="260"/>
      <c r="EN289" s="260"/>
      <c r="EO289" s="260"/>
      <c r="EP289" s="260"/>
      <c r="EQ289" s="260"/>
      <c r="ER289" s="260"/>
      <c r="ES289" s="260"/>
      <c r="ET289" s="260"/>
      <c r="EU289" s="260"/>
      <c r="EV289" s="260"/>
      <c r="EW289" s="260"/>
      <c r="EX289" s="260"/>
      <c r="EY289" s="260"/>
      <c r="EZ289" s="260"/>
      <c r="FA289" s="260"/>
      <c r="FB289" s="260"/>
      <c r="FC289" s="260"/>
      <c r="FD289" s="260"/>
      <c r="FE289" s="260"/>
      <c r="FF289" s="260"/>
      <c r="FG289" s="260"/>
      <c r="FH289" s="260"/>
      <c r="FI289" s="260"/>
      <c r="FJ289" s="260"/>
      <c r="FK289" s="260"/>
      <c r="FL289" s="260"/>
      <c r="FM289" s="260"/>
      <c r="FN289" s="260"/>
      <c r="FO289" s="260"/>
      <c r="FP289" s="260"/>
      <c r="FQ289" s="260"/>
      <c r="FR289" s="260"/>
      <c r="FS289" s="260"/>
      <c r="FT289" s="260"/>
      <c r="FU289" s="260"/>
      <c r="FV289" s="260"/>
      <c r="FW289" s="260"/>
      <c r="FX289" s="260"/>
      <c r="FY289" s="260"/>
      <c r="FZ289" s="260"/>
      <c r="GA289" s="260"/>
    </row>
    <row r="290">
      <c r="A290" s="142">
        <v>46174.0</v>
      </c>
      <c r="B290" s="143" t="s">
        <v>17</v>
      </c>
      <c r="C290" s="143" t="s">
        <v>140</v>
      </c>
      <c r="D290" s="143">
        <v>50.0</v>
      </c>
      <c r="E290" s="14">
        <v>25000.0</v>
      </c>
      <c r="F290" s="14">
        <f t="shared" ref="F290:F324" si="11">D290*E290</f>
        <v>1250000</v>
      </c>
      <c r="G290" s="144" t="s">
        <v>10</v>
      </c>
      <c r="H290" s="110"/>
    </row>
    <row r="291">
      <c r="A291" s="140">
        <v>46174.0</v>
      </c>
      <c r="B291" s="141" t="s">
        <v>17</v>
      </c>
      <c r="C291" s="141" t="s">
        <v>256</v>
      </c>
      <c r="D291" s="141">
        <v>1.0</v>
      </c>
      <c r="E291" s="20">
        <v>25000.0</v>
      </c>
      <c r="F291" s="20">
        <f t="shared" si="11"/>
        <v>25000</v>
      </c>
      <c r="G291" s="24" t="s">
        <v>10</v>
      </c>
      <c r="H291" s="110"/>
    </row>
    <row r="292">
      <c r="A292" s="142">
        <v>46174.0</v>
      </c>
      <c r="B292" s="143" t="s">
        <v>17</v>
      </c>
      <c r="C292" s="143" t="s">
        <v>311</v>
      </c>
      <c r="D292" s="143">
        <v>3.0</v>
      </c>
      <c r="E292" s="14">
        <v>25000.0</v>
      </c>
      <c r="F292" s="14">
        <f t="shared" si="11"/>
        <v>75000</v>
      </c>
      <c r="G292" s="144" t="s">
        <v>10</v>
      </c>
      <c r="H292" s="110"/>
    </row>
    <row r="293">
      <c r="A293" s="140">
        <v>46174.0</v>
      </c>
      <c r="B293" s="141" t="s">
        <v>17</v>
      </c>
      <c r="C293" s="141" t="s">
        <v>313</v>
      </c>
      <c r="D293" s="141">
        <v>2.0</v>
      </c>
      <c r="E293" s="20">
        <v>25000.0</v>
      </c>
      <c r="F293" s="20">
        <f t="shared" si="11"/>
        <v>50000</v>
      </c>
      <c r="G293" s="24" t="s">
        <v>10</v>
      </c>
      <c r="H293" s="110"/>
    </row>
    <row r="294">
      <c r="A294" s="142">
        <v>46174.0</v>
      </c>
      <c r="B294" s="143" t="s">
        <v>17</v>
      </c>
      <c r="C294" s="143" t="s">
        <v>223</v>
      </c>
      <c r="D294" s="143">
        <v>1.0</v>
      </c>
      <c r="E294" s="14">
        <v>25000.0</v>
      </c>
      <c r="F294" s="14">
        <f t="shared" si="11"/>
        <v>25000</v>
      </c>
      <c r="G294" s="144" t="s">
        <v>10</v>
      </c>
      <c r="H294" s="110"/>
    </row>
    <row r="295">
      <c r="A295" s="140">
        <v>46174.0</v>
      </c>
      <c r="B295" s="141" t="s">
        <v>17</v>
      </c>
      <c r="C295" s="141" t="s">
        <v>312</v>
      </c>
      <c r="D295" s="141">
        <v>3.0</v>
      </c>
      <c r="E295" s="20">
        <v>25000.0</v>
      </c>
      <c r="F295" s="20">
        <f t="shared" si="11"/>
        <v>75000</v>
      </c>
      <c r="G295" s="24" t="s">
        <v>10</v>
      </c>
      <c r="H295" s="110"/>
    </row>
    <row r="296">
      <c r="A296" s="142">
        <v>46174.0</v>
      </c>
      <c r="B296" s="143" t="s">
        <v>17</v>
      </c>
      <c r="C296" s="143" t="s">
        <v>16</v>
      </c>
      <c r="D296" s="143">
        <v>5.4</v>
      </c>
      <c r="E296" s="14">
        <v>25000.0</v>
      </c>
      <c r="F296" s="14">
        <f t="shared" si="11"/>
        <v>135000</v>
      </c>
      <c r="G296" s="144" t="s">
        <v>10</v>
      </c>
      <c r="H296" s="110"/>
    </row>
    <row r="297">
      <c r="A297" s="28">
        <v>46175.0</v>
      </c>
      <c r="B297" s="18" t="s">
        <v>17</v>
      </c>
      <c r="C297" s="111" t="s">
        <v>312</v>
      </c>
      <c r="D297" s="111">
        <v>8.0</v>
      </c>
      <c r="E297" s="20">
        <v>25000.0</v>
      </c>
      <c r="F297" s="20">
        <f t="shared" si="11"/>
        <v>200000</v>
      </c>
      <c r="G297" s="21" t="s">
        <v>10</v>
      </c>
      <c r="H297" s="110"/>
    </row>
    <row r="298">
      <c r="A298" s="113">
        <v>46175.0</v>
      </c>
      <c r="B298" s="12" t="s">
        <v>17</v>
      </c>
      <c r="C298" s="114" t="s">
        <v>318</v>
      </c>
      <c r="D298" s="114">
        <v>1.0</v>
      </c>
      <c r="E298" s="14">
        <v>25000.0</v>
      </c>
      <c r="F298" s="14">
        <f t="shared" si="11"/>
        <v>25000</v>
      </c>
      <c r="G298" s="15" t="s">
        <v>10</v>
      </c>
      <c r="H298" s="110"/>
    </row>
    <row r="299">
      <c r="A299" s="28">
        <v>46175.0</v>
      </c>
      <c r="B299" s="18" t="s">
        <v>17</v>
      </c>
      <c r="C299" s="111" t="s">
        <v>54</v>
      </c>
      <c r="D299" s="111">
        <v>3.0</v>
      </c>
      <c r="E299" s="20">
        <v>25000.0</v>
      </c>
      <c r="F299" s="20">
        <f t="shared" si="11"/>
        <v>75000</v>
      </c>
      <c r="G299" s="21" t="s">
        <v>10</v>
      </c>
      <c r="H299" s="110"/>
    </row>
    <row r="300">
      <c r="A300" s="113">
        <v>46175.0</v>
      </c>
      <c r="B300" s="12" t="s">
        <v>17</v>
      </c>
      <c r="C300" s="114" t="s">
        <v>16</v>
      </c>
      <c r="D300" s="114">
        <v>5.7</v>
      </c>
      <c r="E300" s="14">
        <v>25000.0</v>
      </c>
      <c r="F300" s="14">
        <f t="shared" si="11"/>
        <v>142500</v>
      </c>
      <c r="G300" s="15" t="s">
        <v>10</v>
      </c>
      <c r="H300" s="110"/>
    </row>
    <row r="301">
      <c r="A301" s="28">
        <v>46176.0</v>
      </c>
      <c r="B301" s="18" t="s">
        <v>17</v>
      </c>
      <c r="C301" s="111" t="s">
        <v>312</v>
      </c>
      <c r="D301" s="111">
        <v>5.0</v>
      </c>
      <c r="E301" s="20">
        <v>25000.0</v>
      </c>
      <c r="F301" s="20">
        <f t="shared" si="11"/>
        <v>125000</v>
      </c>
      <c r="G301" s="21" t="s">
        <v>10</v>
      </c>
      <c r="H301" s="110"/>
    </row>
    <row r="302">
      <c r="A302" s="113">
        <v>46176.0</v>
      </c>
      <c r="B302" s="12" t="s">
        <v>17</v>
      </c>
      <c r="C302" s="114" t="s">
        <v>313</v>
      </c>
      <c r="D302" s="114">
        <v>2.0</v>
      </c>
      <c r="E302" s="14">
        <v>25000.0</v>
      </c>
      <c r="F302" s="14">
        <f t="shared" si="11"/>
        <v>50000</v>
      </c>
      <c r="G302" s="15" t="s">
        <v>10</v>
      </c>
      <c r="H302" s="110"/>
    </row>
    <row r="303">
      <c r="A303" s="28">
        <v>46176.0</v>
      </c>
      <c r="B303" s="18" t="s">
        <v>17</v>
      </c>
      <c r="C303" s="111" t="s">
        <v>140</v>
      </c>
      <c r="D303" s="111">
        <v>40.0</v>
      </c>
      <c r="E303" s="20">
        <v>25000.0</v>
      </c>
      <c r="F303" s="20">
        <f t="shared" si="11"/>
        <v>1000000</v>
      </c>
      <c r="G303" s="21" t="s">
        <v>10</v>
      </c>
      <c r="H303" s="110"/>
    </row>
    <row r="304">
      <c r="A304" s="113">
        <v>46176.0</v>
      </c>
      <c r="B304" s="12" t="s">
        <v>17</v>
      </c>
      <c r="C304" s="114" t="s">
        <v>319</v>
      </c>
      <c r="D304" s="114">
        <v>8.0</v>
      </c>
      <c r="E304" s="14">
        <v>25000.0</v>
      </c>
      <c r="F304" s="14">
        <f t="shared" si="11"/>
        <v>200000</v>
      </c>
      <c r="G304" s="15" t="s">
        <v>10</v>
      </c>
      <c r="H304" s="110"/>
    </row>
    <row r="305">
      <c r="A305" s="28">
        <v>46176.0</v>
      </c>
      <c r="B305" s="18" t="s">
        <v>17</v>
      </c>
      <c r="C305" s="111" t="s">
        <v>16</v>
      </c>
      <c r="D305" s="111">
        <v>3.8</v>
      </c>
      <c r="E305" s="20">
        <v>25000.0</v>
      </c>
      <c r="F305" s="20">
        <f t="shared" si="11"/>
        <v>95000</v>
      </c>
      <c r="G305" s="21" t="s">
        <v>10</v>
      </c>
      <c r="H305" s="110"/>
    </row>
    <row r="306">
      <c r="A306" s="113">
        <v>46177.0</v>
      </c>
      <c r="B306" s="12" t="s">
        <v>17</v>
      </c>
      <c r="C306" s="114" t="s">
        <v>140</v>
      </c>
      <c r="D306" s="114">
        <v>20.0</v>
      </c>
      <c r="E306" s="14">
        <v>25000.0</v>
      </c>
      <c r="F306" s="14">
        <f t="shared" si="11"/>
        <v>500000</v>
      </c>
      <c r="G306" s="15" t="s">
        <v>10</v>
      </c>
      <c r="H306" s="110"/>
    </row>
    <row r="307">
      <c r="A307" s="28">
        <v>46177.0</v>
      </c>
      <c r="B307" s="18" t="s">
        <v>17</v>
      </c>
      <c r="C307" s="111" t="s">
        <v>312</v>
      </c>
      <c r="D307" s="111">
        <v>5.0</v>
      </c>
      <c r="E307" s="20">
        <v>25000.0</v>
      </c>
      <c r="F307" s="20">
        <f t="shared" si="11"/>
        <v>125000</v>
      </c>
      <c r="G307" s="21" t="s">
        <v>10</v>
      </c>
      <c r="H307" s="110"/>
    </row>
    <row r="308">
      <c r="A308" s="113">
        <v>46177.0</v>
      </c>
      <c r="B308" s="12" t="s">
        <v>17</v>
      </c>
      <c r="C308" s="114" t="s">
        <v>320</v>
      </c>
      <c r="D308" s="114">
        <v>6.0</v>
      </c>
      <c r="E308" s="14">
        <v>25000.0</v>
      </c>
      <c r="F308" s="14">
        <f t="shared" si="11"/>
        <v>150000</v>
      </c>
      <c r="G308" s="15" t="s">
        <v>10</v>
      </c>
      <c r="H308" s="110"/>
    </row>
    <row r="309">
      <c r="A309" s="28">
        <v>46177.0</v>
      </c>
      <c r="B309" s="18" t="s">
        <v>17</v>
      </c>
      <c r="C309" s="111" t="s">
        <v>50</v>
      </c>
      <c r="D309" s="111">
        <v>1.0</v>
      </c>
      <c r="E309" s="20">
        <v>25000.0</v>
      </c>
      <c r="F309" s="20">
        <f t="shared" si="11"/>
        <v>25000</v>
      </c>
      <c r="G309" s="21" t="s">
        <v>10</v>
      </c>
      <c r="H309" s="110"/>
    </row>
    <row r="310">
      <c r="A310" s="113">
        <v>46177.0</v>
      </c>
      <c r="B310" s="12" t="s">
        <v>17</v>
      </c>
      <c r="C310" s="114" t="s">
        <v>23</v>
      </c>
      <c r="D310" s="114">
        <v>1.0</v>
      </c>
      <c r="E310" s="14">
        <v>25000.0</v>
      </c>
      <c r="F310" s="14">
        <f t="shared" si="11"/>
        <v>25000</v>
      </c>
      <c r="G310" s="15" t="s">
        <v>10</v>
      </c>
      <c r="H310" s="110"/>
    </row>
    <row r="311">
      <c r="A311" s="28">
        <v>46177.0</v>
      </c>
      <c r="B311" s="18" t="s">
        <v>17</v>
      </c>
      <c r="C311" s="111" t="s">
        <v>256</v>
      </c>
      <c r="D311" s="111">
        <v>1.0</v>
      </c>
      <c r="E311" s="20">
        <v>25000.0</v>
      </c>
      <c r="F311" s="20">
        <f t="shared" si="11"/>
        <v>25000</v>
      </c>
      <c r="G311" s="21" t="s">
        <v>10</v>
      </c>
      <c r="H311" s="110"/>
    </row>
    <row r="312">
      <c r="A312" s="113">
        <v>46177.0</v>
      </c>
      <c r="B312" s="12" t="s">
        <v>17</v>
      </c>
      <c r="C312" s="114" t="s">
        <v>16</v>
      </c>
      <c r="D312" s="114">
        <v>3.0</v>
      </c>
      <c r="E312" s="14">
        <v>25000.0</v>
      </c>
      <c r="F312" s="14">
        <f t="shared" si="11"/>
        <v>75000</v>
      </c>
      <c r="G312" s="15" t="s">
        <v>10</v>
      </c>
      <c r="H312" s="110"/>
    </row>
    <row r="313">
      <c r="A313" s="28">
        <v>46178.0</v>
      </c>
      <c r="B313" s="18" t="s">
        <v>17</v>
      </c>
      <c r="C313" s="111" t="s">
        <v>312</v>
      </c>
      <c r="D313" s="111">
        <v>5.0</v>
      </c>
      <c r="E313" s="20">
        <v>25000.0</v>
      </c>
      <c r="F313" s="20">
        <f t="shared" si="11"/>
        <v>125000</v>
      </c>
      <c r="G313" s="21" t="s">
        <v>10</v>
      </c>
      <c r="H313" s="110"/>
    </row>
    <row r="314">
      <c r="A314" s="113">
        <v>46178.0</v>
      </c>
      <c r="B314" s="12" t="s">
        <v>17</v>
      </c>
      <c r="C314" s="114" t="s">
        <v>200</v>
      </c>
      <c r="D314" s="114">
        <v>20.0</v>
      </c>
      <c r="E314" s="14">
        <v>25000.0</v>
      </c>
      <c r="F314" s="14">
        <f t="shared" si="11"/>
        <v>500000</v>
      </c>
      <c r="G314" s="15" t="s">
        <v>10</v>
      </c>
      <c r="H314" s="110"/>
    </row>
    <row r="315">
      <c r="A315" s="28">
        <v>46178.0</v>
      </c>
      <c r="B315" s="18" t="s">
        <v>17</v>
      </c>
      <c r="C315" s="111" t="s">
        <v>310</v>
      </c>
      <c r="D315" s="111">
        <v>1.0</v>
      </c>
      <c r="E315" s="20">
        <v>25000.0</v>
      </c>
      <c r="F315" s="20">
        <f t="shared" si="11"/>
        <v>25000</v>
      </c>
      <c r="G315" s="21" t="s">
        <v>10</v>
      </c>
      <c r="H315" s="110"/>
    </row>
    <row r="316">
      <c r="A316" s="113">
        <v>46178.0</v>
      </c>
      <c r="B316" s="12" t="s">
        <v>17</v>
      </c>
      <c r="C316" s="114" t="s">
        <v>54</v>
      </c>
      <c r="D316" s="114">
        <v>3.0</v>
      </c>
      <c r="E316" s="14">
        <v>25000.0</v>
      </c>
      <c r="F316" s="14">
        <f t="shared" si="11"/>
        <v>75000</v>
      </c>
      <c r="G316" s="15" t="s">
        <v>10</v>
      </c>
      <c r="H316" s="110"/>
    </row>
    <row r="317">
      <c r="A317" s="28">
        <v>46178.0</v>
      </c>
      <c r="B317" s="18" t="s">
        <v>17</v>
      </c>
      <c r="C317" s="111" t="s">
        <v>321</v>
      </c>
      <c r="D317" s="111">
        <v>1.0</v>
      </c>
      <c r="E317" s="20">
        <v>25000.0</v>
      </c>
      <c r="F317" s="20">
        <f t="shared" si="11"/>
        <v>25000</v>
      </c>
      <c r="G317" s="21" t="s">
        <v>10</v>
      </c>
      <c r="H317" s="110"/>
    </row>
    <row r="318">
      <c r="A318" s="113">
        <v>46178.0</v>
      </c>
      <c r="B318" s="12" t="s">
        <v>17</v>
      </c>
      <c r="C318" s="114" t="s">
        <v>223</v>
      </c>
      <c r="D318" s="114">
        <v>1.0</v>
      </c>
      <c r="E318" s="14">
        <v>25000.0</v>
      </c>
      <c r="F318" s="14">
        <f t="shared" si="11"/>
        <v>25000</v>
      </c>
      <c r="G318" s="15" t="s">
        <v>10</v>
      </c>
      <c r="H318" s="110"/>
    </row>
    <row r="319">
      <c r="A319" s="28">
        <v>46178.0</v>
      </c>
      <c r="B319" s="18" t="s">
        <v>17</v>
      </c>
      <c r="C319" s="111" t="s">
        <v>16</v>
      </c>
      <c r="D319" s="111">
        <v>3.0</v>
      </c>
      <c r="E319" s="20">
        <v>25000.0</v>
      </c>
      <c r="F319" s="20">
        <f t="shared" si="11"/>
        <v>75000</v>
      </c>
      <c r="G319" s="21" t="s">
        <v>10</v>
      </c>
      <c r="H319" s="110"/>
    </row>
    <row r="320">
      <c r="A320" s="113">
        <v>46179.0</v>
      </c>
      <c r="B320" s="12" t="s">
        <v>17</v>
      </c>
      <c r="C320" s="114" t="s">
        <v>140</v>
      </c>
      <c r="D320" s="114">
        <v>40.0</v>
      </c>
      <c r="E320" s="14">
        <v>25000.0</v>
      </c>
      <c r="F320" s="14">
        <f t="shared" si="11"/>
        <v>1000000</v>
      </c>
      <c r="G320" s="15" t="s">
        <v>10</v>
      </c>
      <c r="H320" s="110"/>
    </row>
    <row r="321">
      <c r="A321" s="28">
        <v>46179.0</v>
      </c>
      <c r="B321" s="18" t="s">
        <v>17</v>
      </c>
      <c r="C321" s="111" t="s">
        <v>312</v>
      </c>
      <c r="D321" s="111">
        <v>9.0</v>
      </c>
      <c r="E321" s="20">
        <v>25000.0</v>
      </c>
      <c r="F321" s="20">
        <f t="shared" si="11"/>
        <v>225000</v>
      </c>
      <c r="G321" s="21" t="s">
        <v>10</v>
      </c>
      <c r="H321" s="110"/>
    </row>
    <row r="322">
      <c r="A322" s="113">
        <v>46179.0</v>
      </c>
      <c r="B322" s="12" t="s">
        <v>17</v>
      </c>
      <c r="C322" s="114" t="s">
        <v>311</v>
      </c>
      <c r="D322" s="114">
        <v>2.0</v>
      </c>
      <c r="E322" s="14">
        <v>25000.0</v>
      </c>
      <c r="F322" s="14">
        <f t="shared" si="11"/>
        <v>50000</v>
      </c>
      <c r="G322" s="15" t="s">
        <v>10</v>
      </c>
      <c r="H322" s="110"/>
    </row>
    <row r="323">
      <c r="A323" s="140">
        <v>46179.0</v>
      </c>
      <c r="B323" s="141" t="s">
        <v>17</v>
      </c>
      <c r="C323" s="18" t="s">
        <v>292</v>
      </c>
      <c r="D323" s="18">
        <v>9.0</v>
      </c>
      <c r="E323" s="20">
        <v>25000.0</v>
      </c>
      <c r="F323" s="20">
        <f t="shared" si="11"/>
        <v>225000</v>
      </c>
      <c r="G323" s="24" t="s">
        <v>10</v>
      </c>
      <c r="H323" s="110"/>
    </row>
    <row r="324">
      <c r="A324" s="113">
        <v>46179.0</v>
      </c>
      <c r="B324" s="12" t="s">
        <v>17</v>
      </c>
      <c r="C324" s="114" t="s">
        <v>16</v>
      </c>
      <c r="D324" s="114">
        <v>1.95</v>
      </c>
      <c r="E324" s="14">
        <v>25000.0</v>
      </c>
      <c r="F324" s="14">
        <f t="shared" si="11"/>
        <v>48750</v>
      </c>
      <c r="G324" s="15" t="s">
        <v>10</v>
      </c>
      <c r="H324" s="110"/>
    </row>
    <row r="325">
      <c r="A325" s="115" t="s">
        <v>142</v>
      </c>
      <c r="C325" s="116"/>
      <c r="D325" s="115">
        <f>SUM(D290:D324)</f>
        <v>274.85</v>
      </c>
      <c r="E325" s="116"/>
      <c r="F325" s="118">
        <f>SUM(F290:F324)</f>
        <v>6871250</v>
      </c>
      <c r="G325" s="115"/>
      <c r="H325" s="110"/>
    </row>
    <row r="326">
      <c r="H326" s="110"/>
    </row>
    <row r="327">
      <c r="H327" s="110"/>
    </row>
    <row r="328">
      <c r="H328" s="110"/>
    </row>
    <row r="329">
      <c r="H329" s="110"/>
    </row>
    <row r="330">
      <c r="H330" s="110"/>
    </row>
    <row r="331">
      <c r="H331" s="110"/>
    </row>
    <row r="332">
      <c r="H332" s="110"/>
    </row>
    <row r="333">
      <c r="H333" s="110"/>
    </row>
    <row r="334">
      <c r="H334" s="110"/>
    </row>
    <row r="335">
      <c r="H335" s="110"/>
    </row>
    <row r="336">
      <c r="H336" s="110"/>
    </row>
    <row r="337">
      <c r="H337" s="110"/>
    </row>
    <row r="338">
      <c r="H338" s="110"/>
    </row>
    <row r="339">
      <c r="H339" s="110"/>
    </row>
    <row r="340">
      <c r="H340" s="110"/>
    </row>
    <row r="341">
      <c r="H341" s="110"/>
    </row>
    <row r="342">
      <c r="H342" s="110"/>
    </row>
    <row r="343">
      <c r="H343" s="110"/>
    </row>
    <row r="344">
      <c r="H344" s="110"/>
    </row>
    <row r="345">
      <c r="H345" s="110"/>
    </row>
    <row r="346">
      <c r="H346" s="110"/>
    </row>
    <row r="347">
      <c r="H347" s="110"/>
    </row>
    <row r="348">
      <c r="H348" s="110"/>
    </row>
    <row r="349">
      <c r="H349" s="110"/>
    </row>
    <row r="350">
      <c r="H350" s="110"/>
    </row>
    <row r="351">
      <c r="H351" s="110"/>
    </row>
    <row r="352">
      <c r="H352" s="110"/>
    </row>
    <row r="353">
      <c r="H353" s="110"/>
    </row>
    <row r="354">
      <c r="H354" s="110"/>
    </row>
    <row r="355">
      <c r="H355" s="110"/>
    </row>
    <row r="356">
      <c r="H356" s="110"/>
    </row>
    <row r="357">
      <c r="H357" s="110"/>
    </row>
    <row r="358">
      <c r="H358" s="110"/>
    </row>
    <row r="359">
      <c r="H359" s="110"/>
    </row>
    <row r="360">
      <c r="H360" s="110"/>
    </row>
    <row r="361">
      <c r="H361" s="110"/>
    </row>
    <row r="362">
      <c r="H362" s="110"/>
    </row>
    <row r="363">
      <c r="H363" s="110"/>
    </row>
    <row r="364">
      <c r="H364" s="110"/>
    </row>
    <row r="365">
      <c r="H365" s="110"/>
    </row>
    <row r="366">
      <c r="H366" s="110"/>
    </row>
    <row r="367">
      <c r="H367" s="110"/>
    </row>
    <row r="368">
      <c r="H368" s="110"/>
    </row>
    <row r="369">
      <c r="H369" s="110"/>
    </row>
    <row r="370">
      <c r="H370" s="110"/>
    </row>
    <row r="371">
      <c r="H371" s="110"/>
    </row>
    <row r="372">
      <c r="H372" s="110"/>
    </row>
    <row r="373">
      <c r="H373" s="110"/>
    </row>
    <row r="374">
      <c r="H374" s="110"/>
    </row>
    <row r="375">
      <c r="H375" s="110"/>
    </row>
    <row r="376">
      <c r="H376" s="110"/>
    </row>
    <row r="377">
      <c r="H377" s="110"/>
    </row>
    <row r="378">
      <c r="H378" s="110"/>
    </row>
    <row r="379">
      <c r="H379" s="110"/>
    </row>
    <row r="380">
      <c r="H380" s="110"/>
    </row>
    <row r="381">
      <c r="H381" s="110"/>
    </row>
    <row r="382">
      <c r="H382" s="110"/>
    </row>
    <row r="383">
      <c r="H383" s="110"/>
    </row>
    <row r="384">
      <c r="H384" s="110"/>
    </row>
    <row r="385">
      <c r="H385" s="110"/>
    </row>
    <row r="386">
      <c r="H386" s="110"/>
    </row>
    <row r="387">
      <c r="H387" s="110"/>
    </row>
    <row r="388">
      <c r="H388" s="110"/>
    </row>
    <row r="389">
      <c r="H389" s="110"/>
    </row>
    <row r="390">
      <c r="H390" s="110"/>
    </row>
    <row r="391">
      <c r="H391" s="110"/>
    </row>
    <row r="392">
      <c r="H392" s="110"/>
    </row>
    <row r="393">
      <c r="H393" s="110"/>
    </row>
    <row r="394">
      <c r="H394" s="110"/>
    </row>
    <row r="395">
      <c r="H395" s="110"/>
    </row>
    <row r="396">
      <c r="H396" s="110"/>
    </row>
    <row r="397">
      <c r="H397" s="110"/>
    </row>
    <row r="398">
      <c r="H398" s="110"/>
    </row>
    <row r="399">
      <c r="H399" s="110"/>
    </row>
    <row r="400">
      <c r="H400" s="110"/>
    </row>
    <row r="401">
      <c r="H401" s="110"/>
    </row>
    <row r="402">
      <c r="H402" s="110"/>
    </row>
    <row r="403">
      <c r="H403" s="110"/>
    </row>
    <row r="404">
      <c r="H404" s="110"/>
    </row>
    <row r="405">
      <c r="H405" s="110"/>
    </row>
    <row r="406">
      <c r="H406" s="110"/>
    </row>
    <row r="407">
      <c r="H407" s="110"/>
    </row>
    <row r="408">
      <c r="H408" s="110"/>
    </row>
    <row r="409">
      <c r="H409" s="110"/>
    </row>
    <row r="410">
      <c r="H410" s="110"/>
    </row>
    <row r="411">
      <c r="H411" s="110"/>
    </row>
    <row r="412">
      <c r="H412" s="110"/>
    </row>
    <row r="413">
      <c r="H413" s="110"/>
    </row>
    <row r="414">
      <c r="H414" s="110"/>
    </row>
    <row r="415">
      <c r="H415" s="110"/>
    </row>
    <row r="416">
      <c r="H416" s="110"/>
    </row>
    <row r="417">
      <c r="H417" s="110"/>
    </row>
    <row r="418">
      <c r="H418" s="110"/>
    </row>
    <row r="419">
      <c r="H419" s="110"/>
    </row>
    <row r="420">
      <c r="H420" s="110"/>
    </row>
    <row r="421">
      <c r="H421" s="110"/>
    </row>
    <row r="422">
      <c r="H422" s="110"/>
    </row>
    <row r="423">
      <c r="H423" s="110"/>
    </row>
    <row r="424">
      <c r="H424" s="110"/>
    </row>
    <row r="425">
      <c r="H425" s="110"/>
    </row>
    <row r="426">
      <c r="H426" s="110"/>
    </row>
    <row r="427">
      <c r="H427" s="110"/>
    </row>
    <row r="428">
      <c r="H428" s="110"/>
    </row>
    <row r="429">
      <c r="H429" s="110"/>
    </row>
    <row r="430">
      <c r="H430" s="110"/>
    </row>
    <row r="431">
      <c r="H431" s="110"/>
    </row>
    <row r="432">
      <c r="H432" s="110"/>
    </row>
    <row r="433">
      <c r="H433" s="110"/>
    </row>
    <row r="434">
      <c r="H434" s="110"/>
    </row>
    <row r="435">
      <c r="H435" s="110"/>
    </row>
    <row r="436">
      <c r="H436" s="110"/>
    </row>
    <row r="437">
      <c r="H437" s="110"/>
    </row>
    <row r="438">
      <c r="H438" s="110"/>
    </row>
    <row r="439">
      <c r="H439" s="110"/>
    </row>
    <row r="440">
      <c r="H440" s="110"/>
    </row>
    <row r="441">
      <c r="H441" s="110"/>
    </row>
    <row r="442">
      <c r="H442" s="110"/>
    </row>
    <row r="443">
      <c r="H443" s="110"/>
    </row>
    <row r="444">
      <c r="H444" s="110"/>
    </row>
    <row r="445">
      <c r="H445" s="110"/>
    </row>
    <row r="446">
      <c r="H446" s="110"/>
    </row>
    <row r="447">
      <c r="H447" s="110"/>
    </row>
    <row r="448">
      <c r="H448" s="110"/>
    </row>
    <row r="449">
      <c r="H449" s="110"/>
    </row>
    <row r="450">
      <c r="H450" s="110"/>
    </row>
    <row r="451">
      <c r="H451" s="110"/>
    </row>
    <row r="452">
      <c r="H452" s="110"/>
    </row>
    <row r="453">
      <c r="H453" s="110"/>
    </row>
    <row r="454">
      <c r="H454" s="110"/>
    </row>
    <row r="455">
      <c r="H455" s="110"/>
    </row>
    <row r="456">
      <c r="H456" s="110"/>
    </row>
    <row r="457">
      <c r="H457" s="110"/>
    </row>
    <row r="458">
      <c r="H458" s="110"/>
    </row>
    <row r="459">
      <c r="H459" s="110"/>
    </row>
    <row r="460">
      <c r="H460" s="110"/>
    </row>
    <row r="461">
      <c r="H461" s="110"/>
    </row>
    <row r="462">
      <c r="H462" s="110"/>
    </row>
    <row r="463">
      <c r="H463" s="110"/>
    </row>
    <row r="464">
      <c r="H464" s="110"/>
    </row>
    <row r="465">
      <c r="H465" s="110"/>
    </row>
    <row r="466">
      <c r="H466" s="110"/>
    </row>
    <row r="467">
      <c r="H467" s="110"/>
    </row>
    <row r="468">
      <c r="H468" s="110"/>
    </row>
    <row r="469">
      <c r="H469" s="110"/>
    </row>
    <row r="470">
      <c r="H470" s="110"/>
    </row>
    <row r="471">
      <c r="H471" s="110"/>
    </row>
    <row r="472">
      <c r="H472" s="110"/>
    </row>
    <row r="473">
      <c r="H473" s="110"/>
    </row>
    <row r="474">
      <c r="H474" s="110"/>
    </row>
    <row r="475">
      <c r="H475" s="110"/>
    </row>
    <row r="476">
      <c r="H476" s="110"/>
    </row>
    <row r="477">
      <c r="H477" s="110"/>
    </row>
    <row r="478">
      <c r="H478" s="110"/>
    </row>
    <row r="479">
      <c r="H479" s="110"/>
    </row>
    <row r="480">
      <c r="H480" s="110"/>
    </row>
    <row r="481">
      <c r="H481" s="110"/>
    </row>
    <row r="482">
      <c r="H482" s="110"/>
    </row>
    <row r="483">
      <c r="H483" s="110"/>
    </row>
    <row r="484">
      <c r="H484" s="110"/>
    </row>
    <row r="485">
      <c r="H485" s="110"/>
    </row>
    <row r="486">
      <c r="H486" s="110"/>
    </row>
    <row r="487">
      <c r="H487" s="110"/>
    </row>
    <row r="488">
      <c r="H488" s="110"/>
    </row>
    <row r="489">
      <c r="H489" s="110"/>
    </row>
    <row r="490">
      <c r="H490" s="110"/>
    </row>
    <row r="491">
      <c r="H491" s="110"/>
    </row>
    <row r="492">
      <c r="H492" s="110"/>
    </row>
    <row r="493">
      <c r="H493" s="110"/>
    </row>
    <row r="494">
      <c r="H494" s="110"/>
    </row>
    <row r="495">
      <c r="H495" s="110"/>
    </row>
    <row r="496">
      <c r="H496" s="110"/>
    </row>
    <row r="497">
      <c r="H497" s="110"/>
    </row>
    <row r="498">
      <c r="H498" s="110"/>
    </row>
    <row r="499">
      <c r="H499" s="110"/>
    </row>
    <row r="500">
      <c r="H500" s="110"/>
    </row>
    <row r="501">
      <c r="H501" s="110"/>
    </row>
    <row r="502">
      <c r="H502" s="110"/>
    </row>
    <row r="503">
      <c r="H503" s="110"/>
    </row>
    <row r="504">
      <c r="H504" s="110"/>
    </row>
    <row r="505">
      <c r="H505" s="110"/>
    </row>
    <row r="506">
      <c r="H506" s="110"/>
    </row>
    <row r="507">
      <c r="H507" s="110"/>
    </row>
    <row r="508">
      <c r="H508" s="110"/>
    </row>
    <row r="509">
      <c r="H509" s="110"/>
    </row>
    <row r="510">
      <c r="H510" s="110"/>
    </row>
    <row r="511">
      <c r="H511" s="110"/>
    </row>
    <row r="512">
      <c r="H512" s="110"/>
    </row>
    <row r="513">
      <c r="H513" s="110"/>
    </row>
    <row r="514">
      <c r="H514" s="110"/>
    </row>
    <row r="515">
      <c r="H515" s="110"/>
    </row>
    <row r="516">
      <c r="H516" s="110"/>
    </row>
    <row r="517">
      <c r="H517" s="110"/>
    </row>
    <row r="518">
      <c r="H518" s="110"/>
    </row>
    <row r="519">
      <c r="H519" s="110"/>
    </row>
    <row r="520">
      <c r="H520" s="110"/>
    </row>
    <row r="521">
      <c r="H521" s="110"/>
    </row>
    <row r="522">
      <c r="H522" s="110"/>
    </row>
    <row r="523">
      <c r="H523" s="110"/>
    </row>
    <row r="524">
      <c r="H524" s="110"/>
    </row>
    <row r="525">
      <c r="H525" s="110"/>
    </row>
    <row r="526">
      <c r="H526" s="110"/>
    </row>
    <row r="527">
      <c r="H527" s="110"/>
    </row>
    <row r="528">
      <c r="H528" s="110"/>
    </row>
    <row r="529">
      <c r="H529" s="110"/>
    </row>
    <row r="530">
      <c r="H530" s="110"/>
    </row>
    <row r="531">
      <c r="H531" s="110"/>
    </row>
    <row r="532">
      <c r="H532" s="110"/>
    </row>
    <row r="533">
      <c r="H533" s="110"/>
    </row>
    <row r="534">
      <c r="H534" s="110"/>
    </row>
    <row r="535">
      <c r="H535" s="110"/>
    </row>
    <row r="536">
      <c r="H536" s="110"/>
    </row>
    <row r="537">
      <c r="H537" s="110"/>
    </row>
    <row r="538">
      <c r="H538" s="110"/>
    </row>
    <row r="539">
      <c r="H539" s="110"/>
    </row>
    <row r="540">
      <c r="H540" s="110"/>
    </row>
    <row r="541">
      <c r="H541" s="110"/>
    </row>
    <row r="542">
      <c r="H542" s="110"/>
    </row>
    <row r="543">
      <c r="H543" s="110"/>
    </row>
    <row r="544">
      <c r="H544" s="110"/>
    </row>
    <row r="545">
      <c r="H545" s="110"/>
    </row>
    <row r="546">
      <c r="H546" s="110"/>
    </row>
    <row r="547">
      <c r="H547" s="110"/>
    </row>
    <row r="548">
      <c r="H548" s="110"/>
    </row>
    <row r="549">
      <c r="H549" s="110"/>
    </row>
    <row r="550">
      <c r="H550" s="110"/>
    </row>
    <row r="551">
      <c r="H551" s="110"/>
    </row>
    <row r="552">
      <c r="H552" s="110"/>
    </row>
    <row r="553">
      <c r="H553" s="110"/>
    </row>
    <row r="554">
      <c r="H554" s="110"/>
    </row>
    <row r="555">
      <c r="H555" s="110"/>
    </row>
    <row r="556">
      <c r="H556" s="110"/>
    </row>
    <row r="557">
      <c r="H557" s="110"/>
    </row>
    <row r="558">
      <c r="H558" s="110"/>
    </row>
    <row r="559">
      <c r="H559" s="110"/>
    </row>
    <row r="560">
      <c r="H560" s="110"/>
    </row>
    <row r="561">
      <c r="H561" s="110"/>
    </row>
    <row r="562">
      <c r="H562" s="110"/>
    </row>
    <row r="563">
      <c r="H563" s="110"/>
    </row>
    <row r="564">
      <c r="H564" s="110"/>
    </row>
    <row r="565">
      <c r="H565" s="110"/>
    </row>
    <row r="566">
      <c r="H566" s="110"/>
    </row>
    <row r="567">
      <c r="H567" s="110"/>
    </row>
    <row r="568">
      <c r="H568" s="110"/>
    </row>
    <row r="569">
      <c r="H569" s="110"/>
    </row>
    <row r="570">
      <c r="H570" s="110"/>
    </row>
    <row r="571">
      <c r="H571" s="110"/>
    </row>
    <row r="572">
      <c r="H572" s="110"/>
    </row>
    <row r="573">
      <c r="H573" s="110"/>
    </row>
    <row r="574">
      <c r="H574" s="110"/>
    </row>
    <row r="575">
      <c r="H575" s="110"/>
    </row>
    <row r="576">
      <c r="H576" s="110"/>
    </row>
    <row r="577">
      <c r="H577" s="110"/>
    </row>
    <row r="578">
      <c r="H578" s="110"/>
    </row>
    <row r="579">
      <c r="H579" s="110"/>
    </row>
    <row r="580">
      <c r="H580" s="110"/>
    </row>
    <row r="581">
      <c r="H581" s="110"/>
    </row>
    <row r="582">
      <c r="H582" s="110"/>
    </row>
    <row r="583">
      <c r="H583" s="110"/>
    </row>
    <row r="584">
      <c r="H584" s="110"/>
    </row>
    <row r="585">
      <c r="H585" s="110"/>
    </row>
    <row r="586">
      <c r="H586" s="110"/>
    </row>
    <row r="587">
      <c r="H587" s="110"/>
    </row>
    <row r="588">
      <c r="H588" s="110"/>
    </row>
    <row r="589">
      <c r="H589" s="110"/>
    </row>
    <row r="590">
      <c r="H590" s="110"/>
    </row>
    <row r="591">
      <c r="H591" s="110"/>
    </row>
    <row r="592">
      <c r="H592" s="110"/>
    </row>
    <row r="593">
      <c r="H593" s="110"/>
    </row>
    <row r="594">
      <c r="H594" s="110"/>
    </row>
    <row r="595">
      <c r="H595" s="110"/>
    </row>
    <row r="596">
      <c r="H596" s="110"/>
    </row>
    <row r="597">
      <c r="H597" s="110"/>
    </row>
    <row r="598">
      <c r="H598" s="110"/>
    </row>
    <row r="599">
      <c r="H599" s="110"/>
    </row>
    <row r="600">
      <c r="H600" s="110"/>
    </row>
    <row r="601">
      <c r="H601" s="110"/>
    </row>
    <row r="602">
      <c r="H602" s="110"/>
    </row>
    <row r="603">
      <c r="H603" s="110"/>
    </row>
    <row r="604">
      <c r="H604" s="110"/>
    </row>
    <row r="605">
      <c r="H605" s="110"/>
    </row>
    <row r="606">
      <c r="H606" s="110"/>
    </row>
    <row r="607">
      <c r="H607" s="110"/>
    </row>
    <row r="608">
      <c r="H608" s="110"/>
    </row>
    <row r="609">
      <c r="H609" s="110"/>
    </row>
    <row r="610">
      <c r="H610" s="110"/>
    </row>
    <row r="611">
      <c r="H611" s="110"/>
    </row>
    <row r="612">
      <c r="H612" s="110"/>
    </row>
    <row r="613">
      <c r="H613" s="110"/>
    </row>
    <row r="614">
      <c r="H614" s="110"/>
    </row>
    <row r="615">
      <c r="H615" s="110"/>
    </row>
    <row r="616">
      <c r="H616" s="110"/>
    </row>
    <row r="617">
      <c r="H617" s="110"/>
    </row>
    <row r="618">
      <c r="H618" s="110"/>
    </row>
    <row r="619">
      <c r="H619" s="110"/>
    </row>
    <row r="620">
      <c r="H620" s="110"/>
    </row>
    <row r="621">
      <c r="H621" s="110"/>
    </row>
    <row r="622">
      <c r="H622" s="110"/>
    </row>
    <row r="623">
      <c r="H623" s="110"/>
    </row>
    <row r="624">
      <c r="H624" s="110"/>
    </row>
    <row r="625">
      <c r="H625" s="110"/>
    </row>
    <row r="626">
      <c r="H626" s="110"/>
    </row>
    <row r="627">
      <c r="H627" s="110"/>
    </row>
    <row r="628">
      <c r="H628" s="110"/>
    </row>
    <row r="629">
      <c r="H629" s="110"/>
    </row>
    <row r="630">
      <c r="H630" s="110"/>
    </row>
    <row r="631">
      <c r="H631" s="110"/>
    </row>
    <row r="632">
      <c r="H632" s="110"/>
    </row>
    <row r="633">
      <c r="H633" s="110"/>
    </row>
    <row r="634">
      <c r="H634" s="110"/>
    </row>
    <row r="635">
      <c r="H635" s="110"/>
    </row>
    <row r="636">
      <c r="H636" s="110"/>
    </row>
    <row r="637">
      <c r="H637" s="110"/>
    </row>
    <row r="638">
      <c r="H638" s="110"/>
    </row>
    <row r="639">
      <c r="H639" s="110"/>
    </row>
    <row r="640">
      <c r="H640" s="110"/>
    </row>
    <row r="641">
      <c r="H641" s="110"/>
    </row>
    <row r="642">
      <c r="H642" s="110"/>
    </row>
    <row r="643">
      <c r="H643" s="110"/>
    </row>
    <row r="644">
      <c r="H644" s="110"/>
    </row>
    <row r="645">
      <c r="H645" s="110"/>
    </row>
    <row r="646">
      <c r="H646" s="110"/>
    </row>
    <row r="647">
      <c r="H647" s="110"/>
    </row>
    <row r="648">
      <c r="H648" s="110"/>
    </row>
    <row r="649">
      <c r="H649" s="110"/>
    </row>
    <row r="650">
      <c r="H650" s="110"/>
    </row>
    <row r="651">
      <c r="H651" s="110"/>
    </row>
    <row r="652">
      <c r="H652" s="110"/>
    </row>
    <row r="653">
      <c r="H653" s="110"/>
    </row>
    <row r="654">
      <c r="H654" s="110"/>
    </row>
    <row r="655">
      <c r="H655" s="110"/>
    </row>
    <row r="656">
      <c r="H656" s="110"/>
    </row>
    <row r="657">
      <c r="H657" s="110"/>
    </row>
    <row r="658">
      <c r="H658" s="110"/>
    </row>
    <row r="659">
      <c r="H659" s="110"/>
    </row>
    <row r="660">
      <c r="H660" s="110"/>
    </row>
    <row r="661">
      <c r="H661" s="110"/>
    </row>
    <row r="662">
      <c r="H662" s="110"/>
    </row>
    <row r="663">
      <c r="H663" s="110"/>
    </row>
    <row r="664">
      <c r="H664" s="110"/>
    </row>
    <row r="665">
      <c r="H665" s="110"/>
    </row>
    <row r="666">
      <c r="H666" s="110"/>
    </row>
    <row r="667">
      <c r="H667" s="110"/>
    </row>
    <row r="668">
      <c r="H668" s="110"/>
    </row>
    <row r="669">
      <c r="H669" s="110"/>
    </row>
    <row r="670">
      <c r="H670" s="110"/>
    </row>
    <row r="671">
      <c r="H671" s="110"/>
    </row>
    <row r="672">
      <c r="H672" s="110"/>
    </row>
    <row r="673">
      <c r="H673" s="110"/>
    </row>
    <row r="674">
      <c r="H674" s="110"/>
    </row>
    <row r="675">
      <c r="H675" s="110"/>
    </row>
    <row r="676">
      <c r="H676" s="110"/>
    </row>
    <row r="677">
      <c r="H677" s="110"/>
    </row>
    <row r="678">
      <c r="H678" s="110"/>
    </row>
    <row r="679">
      <c r="H679" s="110"/>
    </row>
    <row r="680">
      <c r="H680" s="110"/>
    </row>
    <row r="681">
      <c r="H681" s="110"/>
    </row>
    <row r="682">
      <c r="H682" s="110"/>
    </row>
    <row r="683">
      <c r="H683" s="110"/>
    </row>
    <row r="684">
      <c r="H684" s="110"/>
    </row>
    <row r="685">
      <c r="H685" s="110"/>
    </row>
    <row r="686">
      <c r="H686" s="110"/>
    </row>
    <row r="687">
      <c r="H687" s="110"/>
    </row>
    <row r="688">
      <c r="H688" s="110"/>
    </row>
    <row r="689">
      <c r="H689" s="110"/>
    </row>
    <row r="690">
      <c r="H690" s="110"/>
    </row>
    <row r="691">
      <c r="H691" s="110"/>
    </row>
    <row r="692">
      <c r="H692" s="110"/>
    </row>
    <row r="693">
      <c r="H693" s="110"/>
    </row>
    <row r="694">
      <c r="H694" s="110"/>
    </row>
    <row r="695">
      <c r="H695" s="110"/>
    </row>
    <row r="696">
      <c r="H696" s="110"/>
    </row>
    <row r="697">
      <c r="H697" s="110"/>
    </row>
    <row r="698">
      <c r="H698" s="110"/>
    </row>
    <row r="699">
      <c r="H699" s="110"/>
    </row>
  </sheetData>
  <mergeCells count="14">
    <mergeCell ref="I143:J143"/>
    <mergeCell ref="I144:J144"/>
    <mergeCell ref="A193:B193"/>
    <mergeCell ref="A218:B218"/>
    <mergeCell ref="A255:B255"/>
    <mergeCell ref="A287:B287"/>
    <mergeCell ref="A325:B325"/>
    <mergeCell ref="J8:K8"/>
    <mergeCell ref="A37:B37"/>
    <mergeCell ref="I48:J48"/>
    <mergeCell ref="A81:B81"/>
    <mergeCell ref="I93:J93"/>
    <mergeCell ref="I94:J94"/>
    <mergeCell ref="A133:B133"/>
  </mergeCells>
  <conditionalFormatting sqref="C2:C36 L2:L7 C42:C80 K42:K47 C87:C132 K87:K92 C137:C192 K137:K142 C290:C324">
    <cfRule type="expression" dxfId="1" priority="1">
      <formula>s</formula>
    </cfRule>
  </conditionalFormatting>
  <dataValidations>
    <dataValidation type="list" allowBlank="1" showErrorMessage="1" sqref="B221:B254">
      <formula1>"SS,BOS Ogi,AMR ,NIA,BOS Andris"</formula1>
    </dataValidation>
    <dataValidation type="list" allowBlank="1" showErrorMessage="1" sqref="J87 J89:J92 B87:B95 B105:B116 B123:B124 B129:B132 J137 J142 B137:B143 B198:B213">
      <formula1>"SS,BOS Ogi,AMR 1,AMR 2,BOS Andris"</formula1>
    </dataValidation>
    <dataValidation type="list" allowBlank="1" showErrorMessage="1" sqref="K2:K7 B2:B36 J42:J47 B42:B80 J88 B96:B104 B117:B122 B125:B128 J138:J141 B144:B192">
      <formula1>"SS,BOS Ogi,AMR ,NIA"</formula1>
    </dataValidation>
    <dataValidation type="list" allowBlank="1" showErrorMessage="1" sqref="B258:B286 B290:B324">
      <formula1>"SS,BOS Ogi,AMR ,AMR 2,NIA,BOS Andris"</formula1>
    </dataValidation>
    <dataValidation type="list" allowBlank="1" showErrorMessage="1" sqref="B82:B85 B134:B135 B194:B197 B214:B217">
      <formula1>"SS,BOS Ogi,AMR ,AMR 2,BOS Andris"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20.0"/>
    <col customWidth="1" min="4" max="4" width="16.86"/>
    <col customWidth="1" min="5" max="5" width="11.86"/>
    <col customWidth="1" min="6" max="6" width="17.29"/>
    <col customWidth="1" min="7" max="7" width="16.29"/>
    <col customWidth="1" min="8" max="26" width="8.71"/>
  </cols>
  <sheetData>
    <row r="1">
      <c r="A1" s="263" t="s">
        <v>84</v>
      </c>
      <c r="B1" s="264" t="s">
        <v>322</v>
      </c>
      <c r="C1" s="265"/>
      <c r="D1" s="265"/>
      <c r="E1" s="5"/>
      <c r="F1" s="5"/>
      <c r="G1" s="26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67" t="s">
        <v>323</v>
      </c>
      <c r="B2" s="265">
        <f>Pemasukan!F1</f>
        <v>13288250</v>
      </c>
      <c r="C2" s="265"/>
      <c r="D2" s="268"/>
      <c r="E2" s="83"/>
      <c r="F2" s="74"/>
      <c r="G2" s="26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67" t="s">
        <v>324</v>
      </c>
      <c r="B3" s="265">
        <f>Pengeluaran!G1</f>
        <v>12984836</v>
      </c>
      <c r="C3" s="265"/>
      <c r="D3" s="265"/>
      <c r="E3" s="5"/>
      <c r="F3" s="5"/>
      <c r="G3" s="26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67" t="s">
        <v>325</v>
      </c>
      <c r="B4" s="265">
        <f>B2-B3</f>
        <v>303414</v>
      </c>
      <c r="C4" s="265">
        <f>B4/3</f>
        <v>101138</v>
      </c>
      <c r="D4" s="265"/>
      <c r="E4" s="5"/>
      <c r="F4" s="5"/>
      <c r="G4" s="26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265"/>
      <c r="D5" s="265"/>
      <c r="E5" s="5"/>
      <c r="F5" s="5"/>
      <c r="G5" s="26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265"/>
      <c r="D6" s="265"/>
      <c r="E6" s="5"/>
      <c r="F6" s="5"/>
      <c r="G6" s="26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265"/>
      <c r="D7" s="265"/>
      <c r="E7" s="5"/>
      <c r="F7" s="5"/>
      <c r="G7" s="26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70" t="s">
        <v>326</v>
      </c>
      <c r="B8" s="270"/>
      <c r="C8" s="271"/>
      <c r="D8" s="271">
        <f>SUM(D10:D15)</f>
        <v>6720000</v>
      </c>
      <c r="E8" s="5"/>
      <c r="F8" s="5"/>
      <c r="G8" s="26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2" t="s">
        <v>327</v>
      </c>
      <c r="B9" s="272" t="s">
        <v>328</v>
      </c>
      <c r="C9" s="273" t="s">
        <v>329</v>
      </c>
      <c r="D9" s="273" t="s">
        <v>142</v>
      </c>
      <c r="E9" s="5"/>
      <c r="F9" s="5"/>
      <c r="G9" s="26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74" t="s">
        <v>330</v>
      </c>
      <c r="B10" s="275">
        <v>0.0</v>
      </c>
      <c r="C10" s="276">
        <v>90000.0</v>
      </c>
      <c r="D10" s="277">
        <f t="shared" ref="D10:D15" si="1">B10*C10</f>
        <v>0</v>
      </c>
      <c r="E10" s="5"/>
      <c r="F10" s="75"/>
      <c r="G10" s="26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74" t="s">
        <v>331</v>
      </c>
      <c r="B11" s="275">
        <v>18.5</v>
      </c>
      <c r="C11" s="277">
        <v>80000.0</v>
      </c>
      <c r="D11" s="277">
        <f t="shared" si="1"/>
        <v>1480000</v>
      </c>
      <c r="E11" s="5"/>
      <c r="F11" s="75"/>
      <c r="G11" s="26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74" t="s">
        <v>332</v>
      </c>
      <c r="B12" s="275">
        <v>7.5</v>
      </c>
      <c r="C12" s="276">
        <v>225000.0</v>
      </c>
      <c r="D12" s="277">
        <f t="shared" si="1"/>
        <v>1687500</v>
      </c>
      <c r="E12" s="5"/>
      <c r="F12" s="75"/>
      <c r="G12" s="26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74" t="s">
        <v>333</v>
      </c>
      <c r="B13" s="275">
        <v>7.75</v>
      </c>
      <c r="C13" s="276">
        <v>225000.0</v>
      </c>
      <c r="D13" s="277">
        <f t="shared" si="1"/>
        <v>1743750</v>
      </c>
      <c r="E13" s="5"/>
      <c r="F13" s="75"/>
      <c r="G13" s="26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74" t="s">
        <v>334</v>
      </c>
      <c r="B14" s="275">
        <v>2.8</v>
      </c>
      <c r="C14" s="276">
        <v>550000.0</v>
      </c>
      <c r="D14" s="277">
        <f t="shared" si="1"/>
        <v>1540000</v>
      </c>
      <c r="E14" s="5"/>
      <c r="F14" s="75"/>
      <c r="G14" s="26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4" t="s">
        <v>335</v>
      </c>
      <c r="B15" s="275">
        <v>1.25</v>
      </c>
      <c r="C15" s="276">
        <v>215000.0</v>
      </c>
      <c r="D15" s="277">
        <f t="shared" si="1"/>
        <v>268750</v>
      </c>
      <c r="E15" s="5"/>
      <c r="F15" s="5"/>
      <c r="G15" s="26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75" t="s">
        <v>102</v>
      </c>
      <c r="C16" s="265"/>
      <c r="D16" s="265"/>
      <c r="E16" s="5"/>
      <c r="F16" s="75"/>
      <c r="G16" s="26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265"/>
      <c r="D17" s="265"/>
      <c r="E17" s="5"/>
      <c r="F17" s="5"/>
      <c r="G17" s="26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67" t="s">
        <v>336</v>
      </c>
      <c r="B18" s="278">
        <v>2.0E7</v>
      </c>
      <c r="C18" s="265">
        <f>B18-D8</f>
        <v>13280000</v>
      </c>
      <c r="D18" s="268">
        <v>2.0661882E7</v>
      </c>
      <c r="E18" s="5"/>
      <c r="F18" s="268"/>
      <c r="G18" s="8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67" t="s">
        <v>337</v>
      </c>
      <c r="B19" s="279">
        <f t="shared" ref="B19:B20" si="2">B2</f>
        <v>13288250</v>
      </c>
      <c r="C19" s="265"/>
      <c r="D19" s="265">
        <f>D18-C18</f>
        <v>7381882</v>
      </c>
      <c r="E19" s="5"/>
      <c r="F19" s="75"/>
      <c r="G19" s="6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67" t="s">
        <v>338</v>
      </c>
      <c r="B20" s="279">
        <f t="shared" si="2"/>
        <v>12984836</v>
      </c>
      <c r="C20" s="265"/>
      <c r="D20" s="265"/>
      <c r="E20" s="5"/>
      <c r="F20" s="266"/>
      <c r="G20" s="8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67" t="s">
        <v>339</v>
      </c>
      <c r="B21" s="279">
        <f>C18+B4</f>
        <v>13583414</v>
      </c>
      <c r="C21" s="265"/>
      <c r="D21" s="265">
        <f>B4-D19</f>
        <v>-7078468</v>
      </c>
      <c r="E21" s="5"/>
      <c r="F21" s="266"/>
      <c r="G21" s="8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67" t="s">
        <v>340</v>
      </c>
      <c r="B22" s="266">
        <v>4.5850922E7</v>
      </c>
      <c r="C22" s="265"/>
      <c r="D22" s="265"/>
      <c r="E22" s="5"/>
      <c r="F22" s="266"/>
      <c r="G22" s="8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67" t="s">
        <v>341</v>
      </c>
      <c r="B23" s="279">
        <f>B22-B21</f>
        <v>32267508</v>
      </c>
      <c r="C23" s="265"/>
      <c r="D23" s="265"/>
      <c r="E23" s="5"/>
      <c r="F23" s="83"/>
      <c r="G23" s="26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279"/>
      <c r="C24" s="265"/>
      <c r="D24" s="265"/>
      <c r="E24" s="5"/>
      <c r="F24" s="83"/>
      <c r="G24" s="26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279"/>
      <c r="C25" s="265"/>
      <c r="D25" s="265"/>
      <c r="E25" s="5"/>
      <c r="F25" s="83"/>
      <c r="G25" s="8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279"/>
      <c r="C26" s="268">
        <v>2.4292172E7</v>
      </c>
      <c r="D26" s="265"/>
      <c r="E26" s="5"/>
      <c r="F26" s="83"/>
      <c r="G26" s="26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279"/>
      <c r="C27" s="268">
        <v>6871250.0</v>
      </c>
      <c r="D27" s="265"/>
      <c r="E27" s="5"/>
      <c r="F27" s="5"/>
      <c r="G27" s="83"/>
      <c r="H27" s="7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279"/>
      <c r="C28" s="265">
        <f>SUM(C26:C27)</f>
        <v>31163422</v>
      </c>
      <c r="D28" s="265"/>
      <c r="E28" s="5"/>
      <c r="F28" s="5"/>
      <c r="G28" s="8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279"/>
      <c r="C29" s="265"/>
      <c r="D29" s="265"/>
      <c r="E29" s="5"/>
      <c r="F29" s="5"/>
      <c r="G29" s="8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67" t="s">
        <v>342</v>
      </c>
      <c r="B30" s="279">
        <f>F42</f>
        <v>50000</v>
      </c>
      <c r="C30" s="265"/>
      <c r="D30" s="265"/>
      <c r="E30" s="5"/>
      <c r="F30" s="5"/>
      <c r="G30" s="8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279">
        <f>B22+B30-B21</f>
        <v>32317508</v>
      </c>
      <c r="C31" s="265"/>
      <c r="D31" s="265"/>
      <c r="E31" s="5"/>
      <c r="F31" s="5"/>
      <c r="G31" s="8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279"/>
      <c r="C32" s="265"/>
      <c r="D32" s="265"/>
      <c r="E32" s="5"/>
      <c r="F32" s="5"/>
      <c r="G32" s="8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279"/>
      <c r="C33" s="265"/>
      <c r="D33" s="265"/>
      <c r="E33" s="5"/>
      <c r="F33" s="5"/>
      <c r="G33" s="8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67" t="s">
        <v>343</v>
      </c>
      <c r="B34" s="265">
        <v>1837500.0</v>
      </c>
      <c r="C34" s="265"/>
      <c r="D34" s="265"/>
      <c r="E34" s="5"/>
      <c r="F34" s="5"/>
      <c r="G34" s="8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279"/>
      <c r="C35" s="265"/>
      <c r="D35" s="265"/>
      <c r="E35" s="5"/>
      <c r="F35" s="5"/>
      <c r="G35" s="8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279"/>
      <c r="C36" s="265"/>
      <c r="D36" s="265"/>
      <c r="E36" s="5"/>
      <c r="F36" s="5"/>
      <c r="G36" s="8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279"/>
      <c r="C37" s="265"/>
      <c r="D37" s="265"/>
      <c r="E37" s="5"/>
      <c r="F37" s="5"/>
      <c r="G37" s="83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279"/>
      <c r="C38" s="265"/>
      <c r="D38" s="265"/>
      <c r="E38" s="5"/>
      <c r="F38" s="5"/>
      <c r="G38" s="8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279"/>
      <c r="C39" s="265"/>
      <c r="D39" s="265"/>
      <c r="E39" s="280">
        <f t="shared" ref="E39:F39" si="3">SUM(E40:E126)</f>
        <v>2175000</v>
      </c>
      <c r="F39" s="280">
        <f t="shared" si="3"/>
        <v>11375000</v>
      </c>
      <c r="G39" s="83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1">
        <v>46146.0</v>
      </c>
      <c r="B40" s="282" t="s">
        <v>17</v>
      </c>
      <c r="C40" s="282" t="s">
        <v>344</v>
      </c>
      <c r="D40" s="282">
        <v>3.0</v>
      </c>
      <c r="E40" s="280">
        <v>25000.0</v>
      </c>
      <c r="F40" s="265">
        <v>75000.0</v>
      </c>
      <c r="G40" s="8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1">
        <v>46146.0</v>
      </c>
      <c r="B41" s="282" t="s">
        <v>17</v>
      </c>
      <c r="C41" s="282" t="s">
        <v>140</v>
      </c>
      <c r="D41" s="282">
        <v>1.0</v>
      </c>
      <c r="E41" s="280">
        <v>25000.0</v>
      </c>
      <c r="F41" s="280">
        <v>25000.0</v>
      </c>
      <c r="G41" s="8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1">
        <v>46146.0</v>
      </c>
      <c r="B42" s="282" t="s">
        <v>17</v>
      </c>
      <c r="C42" s="282" t="s">
        <v>345</v>
      </c>
      <c r="D42" s="282">
        <v>2.0</v>
      </c>
      <c r="E42" s="265">
        <v>25000.0</v>
      </c>
      <c r="F42" s="265">
        <v>50000.0</v>
      </c>
      <c r="G42" s="8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3">
        <v>46146.0</v>
      </c>
      <c r="B43" s="282" t="s">
        <v>17</v>
      </c>
      <c r="C43" s="282" t="s">
        <v>346</v>
      </c>
      <c r="D43" s="282">
        <v>1.0</v>
      </c>
      <c r="E43" s="265">
        <v>25000.0</v>
      </c>
      <c r="F43" s="265">
        <v>25000.0</v>
      </c>
      <c r="G43" s="28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3">
        <v>46146.0</v>
      </c>
      <c r="B44" s="282" t="s">
        <v>17</v>
      </c>
      <c r="C44" s="282" t="s">
        <v>347</v>
      </c>
      <c r="D44" s="282">
        <v>4.0</v>
      </c>
      <c r="E44" s="265">
        <v>25000.0</v>
      </c>
      <c r="F44" s="265">
        <v>100000.0</v>
      </c>
      <c r="G44" s="28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3">
        <v>46146.0</v>
      </c>
      <c r="B45" s="282" t="s">
        <v>17</v>
      </c>
      <c r="C45" s="282" t="s">
        <v>348</v>
      </c>
      <c r="D45" s="282">
        <v>4.0</v>
      </c>
      <c r="E45" s="265">
        <v>25000.0</v>
      </c>
      <c r="F45" s="265">
        <v>100000.0</v>
      </c>
      <c r="G45" s="28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3">
        <v>46146.0</v>
      </c>
      <c r="B46" s="282" t="s">
        <v>17</v>
      </c>
      <c r="C46" s="282" t="s">
        <v>349</v>
      </c>
      <c r="D46" s="282">
        <v>2.0</v>
      </c>
      <c r="E46" s="265">
        <v>25000.0</v>
      </c>
      <c r="F46" s="265">
        <v>50000.0</v>
      </c>
      <c r="G46" s="28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3">
        <v>46146.0</v>
      </c>
      <c r="B47" s="282" t="s">
        <v>17</v>
      </c>
      <c r="C47" s="282" t="s">
        <v>16</v>
      </c>
      <c r="D47" s="282">
        <v>1.0</v>
      </c>
      <c r="E47" s="265">
        <v>25000.0</v>
      </c>
      <c r="F47" s="265">
        <v>25000.0</v>
      </c>
      <c r="G47" s="28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3">
        <v>46146.0</v>
      </c>
      <c r="B48" s="282" t="s">
        <v>27</v>
      </c>
      <c r="C48" s="282" t="s">
        <v>16</v>
      </c>
      <c r="D48" s="282">
        <v>16.0</v>
      </c>
      <c r="E48" s="265">
        <v>25000.0</v>
      </c>
      <c r="F48" s="265">
        <v>400000.0</v>
      </c>
      <c r="G48" s="28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83">
        <v>46146.0</v>
      </c>
      <c r="B49" s="282" t="s">
        <v>27</v>
      </c>
      <c r="C49" s="282" t="s">
        <v>223</v>
      </c>
      <c r="D49" s="282">
        <v>50.0</v>
      </c>
      <c r="E49" s="265">
        <v>25000.0</v>
      </c>
      <c r="F49" s="265">
        <v>1250000.0</v>
      </c>
      <c r="G49" s="28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83">
        <v>46146.0</v>
      </c>
      <c r="B50" s="282" t="s">
        <v>8</v>
      </c>
      <c r="C50" s="282" t="s">
        <v>169</v>
      </c>
      <c r="D50" s="282">
        <v>3.0</v>
      </c>
      <c r="E50" s="265">
        <v>25000.0</v>
      </c>
      <c r="F50" s="265">
        <v>75000.0</v>
      </c>
      <c r="G50" s="28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83">
        <v>46146.0</v>
      </c>
      <c r="B51" s="282" t="s">
        <v>8</v>
      </c>
      <c r="C51" s="282" t="s">
        <v>170</v>
      </c>
      <c r="D51" s="282">
        <v>3.0</v>
      </c>
      <c r="E51" s="265">
        <v>25000.0</v>
      </c>
      <c r="F51" s="265">
        <v>75000.0</v>
      </c>
      <c r="G51" s="28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83">
        <v>46146.0</v>
      </c>
      <c r="B52" s="282" t="s">
        <v>8</v>
      </c>
      <c r="C52" s="282" t="s">
        <v>145</v>
      </c>
      <c r="D52" s="282">
        <v>3.0</v>
      </c>
      <c r="E52" s="265">
        <v>25000.0</v>
      </c>
      <c r="F52" s="265">
        <v>75000.0</v>
      </c>
      <c r="G52" s="28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3">
        <v>46146.0</v>
      </c>
      <c r="B53" s="282" t="s">
        <v>8</v>
      </c>
      <c r="C53" s="282" t="s">
        <v>191</v>
      </c>
      <c r="D53" s="282">
        <v>3.0</v>
      </c>
      <c r="E53" s="265">
        <v>25000.0</v>
      </c>
      <c r="F53" s="265">
        <v>75000.0</v>
      </c>
      <c r="G53" s="28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83">
        <v>46146.0</v>
      </c>
      <c r="B54" s="282" t="s">
        <v>8</v>
      </c>
      <c r="C54" s="282" t="s">
        <v>141</v>
      </c>
      <c r="D54" s="282">
        <v>3.0</v>
      </c>
      <c r="E54" s="265">
        <v>25000.0</v>
      </c>
      <c r="F54" s="265">
        <v>75000.0</v>
      </c>
      <c r="G54" s="28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83">
        <v>46146.0</v>
      </c>
      <c r="B55" s="282" t="s">
        <v>8</v>
      </c>
      <c r="C55" s="282" t="s">
        <v>147</v>
      </c>
      <c r="D55" s="282">
        <v>2.0</v>
      </c>
      <c r="E55" s="265">
        <v>25000.0</v>
      </c>
      <c r="F55" s="265">
        <v>50000.0</v>
      </c>
      <c r="G55" s="28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83">
        <v>46146.0</v>
      </c>
      <c r="B56" s="282" t="s">
        <v>8</v>
      </c>
      <c r="C56" s="282" t="s">
        <v>350</v>
      </c>
      <c r="D56" s="282">
        <v>1.0</v>
      </c>
      <c r="E56" s="265">
        <v>25000.0</v>
      </c>
      <c r="F56" s="265">
        <v>25000.0</v>
      </c>
      <c r="G56" s="28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83">
        <v>46146.0</v>
      </c>
      <c r="B57" s="282" t="s">
        <v>8</v>
      </c>
      <c r="C57" s="282" t="s">
        <v>182</v>
      </c>
      <c r="D57" s="282">
        <v>3.0</v>
      </c>
      <c r="E57" s="265">
        <v>25000.0</v>
      </c>
      <c r="F57" s="265">
        <v>75000.0</v>
      </c>
      <c r="G57" s="28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83">
        <v>46146.0</v>
      </c>
      <c r="B58" s="282" t="s">
        <v>8</v>
      </c>
      <c r="C58" s="282" t="s">
        <v>351</v>
      </c>
      <c r="D58" s="282">
        <v>1.0</v>
      </c>
      <c r="E58" s="265">
        <v>25000.0</v>
      </c>
      <c r="F58" s="265">
        <v>25000.0</v>
      </c>
      <c r="G58" s="28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83">
        <v>46146.0</v>
      </c>
      <c r="B59" s="282" t="s">
        <v>8</v>
      </c>
      <c r="C59" s="282" t="s">
        <v>352</v>
      </c>
      <c r="D59" s="282">
        <v>1.0</v>
      </c>
      <c r="E59" s="265">
        <v>25000.0</v>
      </c>
      <c r="F59" s="265">
        <v>25000.0</v>
      </c>
      <c r="G59" s="28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83">
        <v>46146.0</v>
      </c>
      <c r="B60" s="282" t="s">
        <v>8</v>
      </c>
      <c r="C60" s="282" t="s">
        <v>204</v>
      </c>
      <c r="D60" s="282">
        <v>1.0</v>
      </c>
      <c r="E60" s="265">
        <v>25000.0</v>
      </c>
      <c r="F60" s="265">
        <v>25000.0</v>
      </c>
      <c r="G60" s="28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83">
        <v>46146.0</v>
      </c>
      <c r="B61" s="282" t="s">
        <v>8</v>
      </c>
      <c r="C61" s="282" t="s">
        <v>176</v>
      </c>
      <c r="D61" s="282">
        <v>1.0</v>
      </c>
      <c r="E61" s="265">
        <v>25000.0</v>
      </c>
      <c r="F61" s="265">
        <v>25000.0</v>
      </c>
      <c r="G61" s="28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83">
        <v>46146.0</v>
      </c>
      <c r="B62" s="282" t="s">
        <v>353</v>
      </c>
      <c r="C62" s="282" t="s">
        <v>354</v>
      </c>
      <c r="D62" s="282">
        <v>5.0</v>
      </c>
      <c r="E62" s="265">
        <v>25000.0</v>
      </c>
      <c r="F62" s="265">
        <v>125000.0</v>
      </c>
      <c r="G62" s="28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83">
        <v>46146.0</v>
      </c>
      <c r="B63" s="282" t="s">
        <v>353</v>
      </c>
      <c r="C63" s="282" t="s">
        <v>355</v>
      </c>
      <c r="D63" s="282">
        <v>2.0</v>
      </c>
      <c r="E63" s="265">
        <v>25000.0</v>
      </c>
      <c r="F63" s="265">
        <v>50000.0</v>
      </c>
      <c r="G63" s="28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83">
        <v>46147.0</v>
      </c>
      <c r="B64" s="282" t="s">
        <v>353</v>
      </c>
      <c r="C64" s="282" t="s">
        <v>356</v>
      </c>
      <c r="D64" s="282">
        <v>4.0</v>
      </c>
      <c r="E64" s="265">
        <v>25000.0</v>
      </c>
      <c r="F64" s="265">
        <v>100000.0</v>
      </c>
      <c r="G64" s="28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83">
        <v>46147.0</v>
      </c>
      <c r="B65" s="282" t="s">
        <v>353</v>
      </c>
      <c r="C65" s="282" t="s">
        <v>357</v>
      </c>
      <c r="D65" s="282">
        <v>5.0</v>
      </c>
      <c r="E65" s="265">
        <v>25000.0</v>
      </c>
      <c r="F65" s="265">
        <v>125000.0</v>
      </c>
      <c r="G65" s="28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83">
        <v>46147.0</v>
      </c>
      <c r="B66" s="282" t="s">
        <v>353</v>
      </c>
      <c r="C66" s="282" t="s">
        <v>358</v>
      </c>
      <c r="D66" s="282">
        <v>4.0</v>
      </c>
      <c r="E66" s="265">
        <v>25000.0</v>
      </c>
      <c r="F66" s="265">
        <v>100000.0</v>
      </c>
      <c r="G66" s="28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83">
        <v>46147.0</v>
      </c>
      <c r="B67" s="282" t="s">
        <v>353</v>
      </c>
      <c r="C67" s="282" t="s">
        <v>359</v>
      </c>
      <c r="D67" s="282">
        <v>1.0</v>
      </c>
      <c r="E67" s="265">
        <v>25000.0</v>
      </c>
      <c r="F67" s="265">
        <v>25000.0</v>
      </c>
      <c r="G67" s="28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83">
        <v>46147.0</v>
      </c>
      <c r="B68" s="282" t="s">
        <v>353</v>
      </c>
      <c r="C68" s="282" t="s">
        <v>360</v>
      </c>
      <c r="D68" s="282">
        <v>1.0</v>
      </c>
      <c r="E68" s="265">
        <v>25000.0</v>
      </c>
      <c r="F68" s="265">
        <v>25000.0</v>
      </c>
      <c r="G68" s="28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83">
        <v>46147.0</v>
      </c>
      <c r="B69" s="282" t="s">
        <v>353</v>
      </c>
      <c r="C69" s="282" t="s">
        <v>361</v>
      </c>
      <c r="D69" s="282">
        <v>1.0</v>
      </c>
      <c r="E69" s="265">
        <v>25000.0</v>
      </c>
      <c r="F69" s="265">
        <v>25000.0</v>
      </c>
      <c r="G69" s="28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83">
        <v>46147.0</v>
      </c>
      <c r="B70" s="282" t="s">
        <v>8</v>
      </c>
      <c r="C70" s="282" t="s">
        <v>143</v>
      </c>
      <c r="D70" s="282">
        <v>2.0</v>
      </c>
      <c r="E70" s="265">
        <v>25000.0</v>
      </c>
      <c r="F70" s="265">
        <v>50000.0</v>
      </c>
      <c r="G70" s="28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83">
        <v>46147.0</v>
      </c>
      <c r="B71" s="282" t="s">
        <v>8</v>
      </c>
      <c r="C71" s="282" t="s">
        <v>362</v>
      </c>
      <c r="D71" s="282">
        <v>1.0</v>
      </c>
      <c r="E71" s="265">
        <v>25000.0</v>
      </c>
      <c r="F71" s="265">
        <v>25000.0</v>
      </c>
      <c r="G71" s="28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83">
        <v>46147.0</v>
      </c>
      <c r="B72" s="282" t="s">
        <v>8</v>
      </c>
      <c r="C72" s="282" t="s">
        <v>176</v>
      </c>
      <c r="D72" s="282">
        <v>1.0</v>
      </c>
      <c r="E72" s="265">
        <v>25000.0</v>
      </c>
      <c r="F72" s="265">
        <v>25000.0</v>
      </c>
      <c r="G72" s="28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83">
        <v>46147.0</v>
      </c>
      <c r="B73" s="282" t="s">
        <v>8</v>
      </c>
      <c r="C73" s="282" t="s">
        <v>363</v>
      </c>
      <c r="D73" s="282">
        <v>1.0</v>
      </c>
      <c r="E73" s="265">
        <v>25000.0</v>
      </c>
      <c r="F73" s="265">
        <v>25000.0</v>
      </c>
      <c r="G73" s="28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83">
        <v>46147.0</v>
      </c>
      <c r="B74" s="282" t="s">
        <v>8</v>
      </c>
      <c r="C74" s="282" t="s">
        <v>364</v>
      </c>
      <c r="D74" s="282">
        <v>1.0</v>
      </c>
      <c r="E74" s="265">
        <v>25000.0</v>
      </c>
      <c r="F74" s="265">
        <v>25000.0</v>
      </c>
      <c r="G74" s="28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83">
        <v>46147.0</v>
      </c>
      <c r="B75" s="282" t="s">
        <v>8</v>
      </c>
      <c r="C75" s="282" t="s">
        <v>205</v>
      </c>
      <c r="D75" s="282">
        <v>1.0</v>
      </c>
      <c r="E75" s="265">
        <v>25000.0</v>
      </c>
      <c r="F75" s="265">
        <v>25000.0</v>
      </c>
      <c r="G75" s="28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83">
        <v>46147.0</v>
      </c>
      <c r="B76" s="282" t="s">
        <v>8</v>
      </c>
      <c r="C76" s="282" t="s">
        <v>365</v>
      </c>
      <c r="D76" s="282">
        <v>1.0</v>
      </c>
      <c r="E76" s="265">
        <v>25000.0</v>
      </c>
      <c r="F76" s="265">
        <v>25000.0</v>
      </c>
      <c r="G76" s="28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83">
        <v>46147.0</v>
      </c>
      <c r="B77" s="282" t="s">
        <v>8</v>
      </c>
      <c r="C77" s="282" t="s">
        <v>366</v>
      </c>
      <c r="D77" s="282">
        <v>1.0</v>
      </c>
      <c r="E77" s="265">
        <v>25000.0</v>
      </c>
      <c r="F77" s="265">
        <v>25000.0</v>
      </c>
      <c r="G77" s="28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83">
        <v>46147.0</v>
      </c>
      <c r="B78" s="282" t="s">
        <v>8</v>
      </c>
      <c r="C78" s="282" t="s">
        <v>367</v>
      </c>
      <c r="D78" s="282">
        <v>1.0</v>
      </c>
      <c r="E78" s="265">
        <v>25000.0</v>
      </c>
      <c r="F78" s="265">
        <v>25000.0</v>
      </c>
      <c r="G78" s="28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83">
        <v>46147.0</v>
      </c>
      <c r="B79" s="282" t="s">
        <v>8</v>
      </c>
      <c r="C79" s="282" t="s">
        <v>145</v>
      </c>
      <c r="D79" s="282">
        <v>3.0</v>
      </c>
      <c r="E79" s="265">
        <v>25000.0</v>
      </c>
      <c r="F79" s="265">
        <v>75000.0</v>
      </c>
      <c r="G79" s="28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83">
        <v>46147.0</v>
      </c>
      <c r="B80" s="282" t="s">
        <v>27</v>
      </c>
      <c r="C80" s="282" t="s">
        <v>223</v>
      </c>
      <c r="D80" s="282">
        <v>105.0</v>
      </c>
      <c r="E80" s="265">
        <v>25000.0</v>
      </c>
      <c r="F80" s="265">
        <v>2625000.0</v>
      </c>
      <c r="G80" s="28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83">
        <v>46147.0</v>
      </c>
      <c r="B81" s="282" t="s">
        <v>27</v>
      </c>
      <c r="C81" s="282" t="s">
        <v>223</v>
      </c>
      <c r="D81" s="282">
        <v>100.0</v>
      </c>
      <c r="E81" s="265">
        <v>25000.0</v>
      </c>
      <c r="F81" s="265">
        <v>2500000.0</v>
      </c>
      <c r="G81" s="28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83">
        <v>46147.0</v>
      </c>
      <c r="B82" s="282" t="s">
        <v>27</v>
      </c>
      <c r="C82" s="282" t="s">
        <v>16</v>
      </c>
      <c r="D82" s="282">
        <v>15.0</v>
      </c>
      <c r="E82" s="265">
        <v>25000.0</v>
      </c>
      <c r="F82" s="265">
        <v>375000.0</v>
      </c>
      <c r="G82" s="28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83">
        <v>46147.0</v>
      </c>
      <c r="B83" s="282" t="s">
        <v>27</v>
      </c>
      <c r="C83" s="282" t="s">
        <v>368</v>
      </c>
      <c r="D83" s="282">
        <v>1.0</v>
      </c>
      <c r="E83" s="265">
        <v>25000.0</v>
      </c>
      <c r="F83" s="265">
        <v>25000.0</v>
      </c>
      <c r="G83" s="28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83">
        <v>46147.0</v>
      </c>
      <c r="B84" s="282" t="s">
        <v>27</v>
      </c>
      <c r="C84" s="282" t="s">
        <v>369</v>
      </c>
      <c r="D84" s="282">
        <v>1.0</v>
      </c>
      <c r="E84" s="265">
        <v>25000.0</v>
      </c>
      <c r="F84" s="265">
        <v>25000.0</v>
      </c>
      <c r="G84" s="28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83">
        <v>46147.0</v>
      </c>
      <c r="B85" s="282" t="s">
        <v>27</v>
      </c>
      <c r="C85" s="282" t="s">
        <v>370</v>
      </c>
      <c r="D85" s="282">
        <v>1.0</v>
      </c>
      <c r="E85" s="265">
        <v>25000.0</v>
      </c>
      <c r="F85" s="265">
        <v>25000.0</v>
      </c>
      <c r="G85" s="28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83">
        <v>46147.0</v>
      </c>
      <c r="B86" s="282" t="s">
        <v>27</v>
      </c>
      <c r="C86" s="282" t="s">
        <v>371</v>
      </c>
      <c r="D86" s="282">
        <v>2.0</v>
      </c>
      <c r="E86" s="265">
        <v>25000.0</v>
      </c>
      <c r="F86" s="265">
        <v>50000.0</v>
      </c>
      <c r="G86" s="28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83">
        <v>46147.0</v>
      </c>
      <c r="B87" s="282" t="s">
        <v>17</v>
      </c>
      <c r="C87" s="282" t="s">
        <v>372</v>
      </c>
      <c r="D87" s="282">
        <v>3.0</v>
      </c>
      <c r="E87" s="265">
        <v>25000.0</v>
      </c>
      <c r="F87" s="265">
        <v>75000.0</v>
      </c>
      <c r="G87" s="28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83">
        <v>46147.0</v>
      </c>
      <c r="B88" s="282" t="s">
        <v>17</v>
      </c>
      <c r="C88" s="282" t="s">
        <v>373</v>
      </c>
      <c r="D88" s="282">
        <v>3.0</v>
      </c>
      <c r="E88" s="265">
        <v>25000.0</v>
      </c>
      <c r="F88" s="265">
        <v>75000.0</v>
      </c>
      <c r="G88" s="28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83">
        <v>46147.0</v>
      </c>
      <c r="B89" s="282" t="s">
        <v>17</v>
      </c>
      <c r="C89" s="282" t="s">
        <v>140</v>
      </c>
      <c r="D89" s="282">
        <v>1.0</v>
      </c>
      <c r="E89" s="265">
        <v>25000.0</v>
      </c>
      <c r="F89" s="265">
        <v>25000.0</v>
      </c>
      <c r="G89" s="28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83">
        <v>46147.0</v>
      </c>
      <c r="B90" s="282" t="s">
        <v>17</v>
      </c>
      <c r="C90" s="282" t="s">
        <v>374</v>
      </c>
      <c r="D90" s="282">
        <v>6.0</v>
      </c>
      <c r="E90" s="265">
        <v>25000.0</v>
      </c>
      <c r="F90" s="265">
        <v>150000.0</v>
      </c>
      <c r="G90" s="28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83">
        <v>46147.0</v>
      </c>
      <c r="B91" s="282" t="s">
        <v>17</v>
      </c>
      <c r="C91" s="282" t="s">
        <v>375</v>
      </c>
      <c r="D91" s="282">
        <v>2.0</v>
      </c>
      <c r="E91" s="265">
        <v>25000.0</v>
      </c>
      <c r="F91" s="265">
        <v>50000.0</v>
      </c>
      <c r="G91" s="28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83">
        <v>46147.0</v>
      </c>
      <c r="B92" s="282" t="s">
        <v>17</v>
      </c>
      <c r="C92" s="282" t="s">
        <v>376</v>
      </c>
      <c r="D92" s="282">
        <v>2.0</v>
      </c>
      <c r="E92" s="265">
        <v>25000.0</v>
      </c>
      <c r="F92" s="265">
        <v>50000.0</v>
      </c>
      <c r="G92" s="28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83">
        <v>46147.0</v>
      </c>
      <c r="B93" s="282" t="s">
        <v>17</v>
      </c>
      <c r="C93" s="282" t="s">
        <v>377</v>
      </c>
      <c r="D93" s="282">
        <v>2.0</v>
      </c>
      <c r="E93" s="265">
        <v>25000.0</v>
      </c>
      <c r="F93" s="265">
        <v>50000.0</v>
      </c>
      <c r="G93" s="28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83">
        <v>46147.0</v>
      </c>
      <c r="B94" s="282" t="s">
        <v>17</v>
      </c>
      <c r="C94" s="282" t="s">
        <v>378</v>
      </c>
      <c r="D94" s="282">
        <v>2.0</v>
      </c>
      <c r="E94" s="265">
        <v>25000.0</v>
      </c>
      <c r="F94" s="265">
        <v>50000.0</v>
      </c>
      <c r="G94" s="28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83">
        <v>46147.0</v>
      </c>
      <c r="B95" s="282" t="s">
        <v>17</v>
      </c>
      <c r="C95" s="282" t="s">
        <v>379</v>
      </c>
      <c r="D95" s="282">
        <v>2.0</v>
      </c>
      <c r="E95" s="265">
        <v>25000.0</v>
      </c>
      <c r="F95" s="265">
        <v>50000.0</v>
      </c>
      <c r="G95" s="28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83">
        <v>46147.0</v>
      </c>
      <c r="B96" s="282" t="s">
        <v>17</v>
      </c>
      <c r="C96" s="282" t="s">
        <v>16</v>
      </c>
      <c r="D96" s="282">
        <v>0.5</v>
      </c>
      <c r="E96" s="265">
        <v>25000.0</v>
      </c>
      <c r="F96" s="265">
        <v>12500.0</v>
      </c>
      <c r="G96" s="28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83">
        <v>46148.0</v>
      </c>
      <c r="B97" s="282" t="s">
        <v>17</v>
      </c>
      <c r="C97" s="282" t="s">
        <v>347</v>
      </c>
      <c r="D97" s="282">
        <v>2.0</v>
      </c>
      <c r="E97" s="265">
        <v>25000.0</v>
      </c>
      <c r="F97" s="265">
        <v>50000.0</v>
      </c>
      <c r="G97" s="28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83">
        <v>46148.0</v>
      </c>
      <c r="B98" s="282" t="s">
        <v>17</v>
      </c>
      <c r="C98" s="282" t="s">
        <v>140</v>
      </c>
      <c r="D98" s="282">
        <v>11.0</v>
      </c>
      <c r="E98" s="265">
        <v>25000.0</v>
      </c>
      <c r="F98" s="265">
        <v>275000.0</v>
      </c>
      <c r="G98" s="28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83">
        <v>46148.0</v>
      </c>
      <c r="B99" s="282" t="s">
        <v>17</v>
      </c>
      <c r="C99" s="282" t="s">
        <v>348</v>
      </c>
      <c r="D99" s="282">
        <v>2.0</v>
      </c>
      <c r="E99" s="265">
        <v>25000.0</v>
      </c>
      <c r="F99" s="265">
        <v>50000.0</v>
      </c>
      <c r="G99" s="28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83">
        <v>46148.0</v>
      </c>
      <c r="B100" s="282" t="s">
        <v>17</v>
      </c>
      <c r="C100" s="282" t="s">
        <v>268</v>
      </c>
      <c r="D100" s="282">
        <v>1.0</v>
      </c>
      <c r="E100" s="265">
        <v>25000.0</v>
      </c>
      <c r="F100" s="265">
        <v>25000.0</v>
      </c>
      <c r="G100" s="28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83">
        <v>46148.0</v>
      </c>
      <c r="B101" s="282" t="s">
        <v>17</v>
      </c>
      <c r="C101" s="282" t="s">
        <v>269</v>
      </c>
      <c r="D101" s="282">
        <v>1.0</v>
      </c>
      <c r="E101" s="265">
        <v>25000.0</v>
      </c>
      <c r="F101" s="265">
        <v>25000.0</v>
      </c>
      <c r="G101" s="28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83">
        <v>46148.0</v>
      </c>
      <c r="B102" s="282" t="s">
        <v>17</v>
      </c>
      <c r="C102" s="282" t="s">
        <v>380</v>
      </c>
      <c r="D102" s="282">
        <v>2.0</v>
      </c>
      <c r="E102" s="265">
        <v>25000.0</v>
      </c>
      <c r="F102" s="265">
        <v>50000.0</v>
      </c>
      <c r="G102" s="28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83">
        <v>46148.0</v>
      </c>
      <c r="B103" s="282" t="s">
        <v>17</v>
      </c>
      <c r="C103" s="282" t="s">
        <v>381</v>
      </c>
      <c r="D103" s="282">
        <v>2.0</v>
      </c>
      <c r="E103" s="265">
        <v>25000.0</v>
      </c>
      <c r="F103" s="265">
        <v>50000.0</v>
      </c>
      <c r="G103" s="28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83">
        <v>46148.0</v>
      </c>
      <c r="B104" s="282" t="s">
        <v>17</v>
      </c>
      <c r="C104" s="282" t="s">
        <v>382</v>
      </c>
      <c r="D104" s="282">
        <v>2.0</v>
      </c>
      <c r="E104" s="265">
        <v>25000.0</v>
      </c>
      <c r="F104" s="265">
        <v>50000.0</v>
      </c>
      <c r="G104" s="28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83">
        <v>46148.0</v>
      </c>
      <c r="B105" s="282" t="s">
        <v>17</v>
      </c>
      <c r="C105" s="282" t="s">
        <v>345</v>
      </c>
      <c r="D105" s="282">
        <v>2.0</v>
      </c>
      <c r="E105" s="265">
        <v>25000.0</v>
      </c>
      <c r="F105" s="265">
        <v>50000.0</v>
      </c>
      <c r="G105" s="28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83">
        <v>46148.0</v>
      </c>
      <c r="B106" s="282" t="s">
        <v>17</v>
      </c>
      <c r="C106" s="282" t="s">
        <v>383</v>
      </c>
      <c r="D106" s="282">
        <v>1.0</v>
      </c>
      <c r="E106" s="265">
        <v>25000.0</v>
      </c>
      <c r="F106" s="265">
        <v>25000.0</v>
      </c>
      <c r="G106" s="28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83">
        <v>46148.0</v>
      </c>
      <c r="B107" s="282" t="s">
        <v>17</v>
      </c>
      <c r="C107" s="282" t="s">
        <v>384</v>
      </c>
      <c r="D107" s="282">
        <v>2.0</v>
      </c>
      <c r="E107" s="265">
        <v>25000.0</v>
      </c>
      <c r="F107" s="265">
        <v>50000.0</v>
      </c>
      <c r="G107" s="28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83">
        <v>46148.0</v>
      </c>
      <c r="B108" s="282" t="s">
        <v>17</v>
      </c>
      <c r="C108" s="282" t="s">
        <v>16</v>
      </c>
      <c r="D108" s="282">
        <v>0.75</v>
      </c>
      <c r="E108" s="265">
        <v>25000.0</v>
      </c>
      <c r="F108" s="265">
        <v>18750.0</v>
      </c>
      <c r="G108" s="28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85">
        <v>46148.0</v>
      </c>
      <c r="B109" s="286" t="s">
        <v>17</v>
      </c>
      <c r="C109" s="282" t="s">
        <v>305</v>
      </c>
      <c r="D109" s="282">
        <v>1.0</v>
      </c>
      <c r="E109" s="265">
        <v>25000.0</v>
      </c>
      <c r="F109" s="265">
        <v>25000.0</v>
      </c>
      <c r="G109" s="28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83">
        <v>46148.0</v>
      </c>
      <c r="B110" s="282" t="s">
        <v>8</v>
      </c>
      <c r="C110" s="282" t="s">
        <v>169</v>
      </c>
      <c r="D110" s="282">
        <v>3.0</v>
      </c>
      <c r="E110" s="265">
        <v>25000.0</v>
      </c>
      <c r="F110" s="265">
        <v>75000.0</v>
      </c>
      <c r="G110" s="28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83">
        <v>46148.0</v>
      </c>
      <c r="B111" s="282" t="s">
        <v>8</v>
      </c>
      <c r="C111" s="282" t="s">
        <v>385</v>
      </c>
      <c r="D111" s="282">
        <v>1.0</v>
      </c>
      <c r="E111" s="265">
        <v>25000.0</v>
      </c>
      <c r="F111" s="265">
        <v>25000.0</v>
      </c>
      <c r="G111" s="28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83">
        <v>46148.0</v>
      </c>
      <c r="B112" s="282" t="s">
        <v>8</v>
      </c>
      <c r="C112" s="282" t="s">
        <v>386</v>
      </c>
      <c r="D112" s="282">
        <v>1.0</v>
      </c>
      <c r="E112" s="265">
        <v>25000.0</v>
      </c>
      <c r="F112" s="265">
        <v>25000.0</v>
      </c>
      <c r="G112" s="28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83">
        <v>46148.0</v>
      </c>
      <c r="B113" s="282" t="s">
        <v>8</v>
      </c>
      <c r="C113" s="282" t="s">
        <v>387</v>
      </c>
      <c r="D113" s="282">
        <v>1.0</v>
      </c>
      <c r="E113" s="265">
        <v>25000.0</v>
      </c>
      <c r="F113" s="265">
        <v>25000.0</v>
      </c>
      <c r="G113" s="28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83">
        <v>46148.0</v>
      </c>
      <c r="B114" s="282" t="s">
        <v>8</v>
      </c>
      <c r="C114" s="282" t="s">
        <v>388</v>
      </c>
      <c r="D114" s="282">
        <v>1.0</v>
      </c>
      <c r="E114" s="265">
        <v>25000.0</v>
      </c>
      <c r="F114" s="265">
        <v>25000.0</v>
      </c>
      <c r="G114" s="28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83">
        <v>46148.0</v>
      </c>
      <c r="B115" s="282" t="s">
        <v>8</v>
      </c>
      <c r="C115" s="282" t="s">
        <v>389</v>
      </c>
      <c r="D115" s="282">
        <v>1.0</v>
      </c>
      <c r="E115" s="265">
        <v>25000.0</v>
      </c>
      <c r="F115" s="265">
        <v>25000.0</v>
      </c>
      <c r="G115" s="28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83">
        <v>46148.0</v>
      </c>
      <c r="B116" s="282" t="s">
        <v>8</v>
      </c>
      <c r="C116" s="282" t="s">
        <v>208</v>
      </c>
      <c r="D116" s="282">
        <v>1.0</v>
      </c>
      <c r="E116" s="265">
        <v>25000.0</v>
      </c>
      <c r="F116" s="265">
        <v>25000.0</v>
      </c>
      <c r="G116" s="28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83">
        <v>46148.0</v>
      </c>
      <c r="B117" s="282" t="s">
        <v>8</v>
      </c>
      <c r="C117" s="282" t="s">
        <v>390</v>
      </c>
      <c r="D117" s="282">
        <v>1.0</v>
      </c>
      <c r="E117" s="265">
        <v>25000.0</v>
      </c>
      <c r="F117" s="265">
        <v>25000.0</v>
      </c>
      <c r="G117" s="28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83">
        <v>46148.0</v>
      </c>
      <c r="B118" s="282" t="s">
        <v>8</v>
      </c>
      <c r="C118" s="282" t="s">
        <v>16</v>
      </c>
      <c r="D118" s="282">
        <v>0.5</v>
      </c>
      <c r="E118" s="265">
        <v>25000.0</v>
      </c>
      <c r="F118" s="265">
        <v>12500.0</v>
      </c>
      <c r="G118" s="28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83">
        <v>46148.0</v>
      </c>
      <c r="B119" s="282" t="s">
        <v>8</v>
      </c>
      <c r="C119" s="282" t="s">
        <v>391</v>
      </c>
      <c r="D119" s="282">
        <v>1.0</v>
      </c>
      <c r="E119" s="265">
        <v>25000.0</v>
      </c>
      <c r="F119" s="265">
        <v>25000.0</v>
      </c>
      <c r="G119" s="28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83">
        <v>46148.0</v>
      </c>
      <c r="B120" s="282" t="s">
        <v>8</v>
      </c>
      <c r="C120" s="282" t="s">
        <v>392</v>
      </c>
      <c r="D120" s="282">
        <v>1.0</v>
      </c>
      <c r="E120" s="265">
        <v>25000.0</v>
      </c>
      <c r="F120" s="265">
        <v>25000.0</v>
      </c>
      <c r="G120" s="28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83">
        <v>46148.0</v>
      </c>
      <c r="B121" s="282" t="s">
        <v>27</v>
      </c>
      <c r="C121" s="282" t="s">
        <v>393</v>
      </c>
      <c r="D121" s="282">
        <v>1.0</v>
      </c>
      <c r="E121" s="265">
        <v>25000.0</v>
      </c>
      <c r="F121" s="265">
        <v>25000.0</v>
      </c>
      <c r="G121" s="28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83">
        <v>46148.0</v>
      </c>
      <c r="B122" s="282" t="s">
        <v>27</v>
      </c>
      <c r="C122" s="282" t="s">
        <v>16</v>
      </c>
      <c r="D122" s="282">
        <v>9.25</v>
      </c>
      <c r="E122" s="265">
        <v>25000.0</v>
      </c>
      <c r="F122" s="265">
        <v>231250.0</v>
      </c>
      <c r="G122" s="28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83">
        <v>46148.0</v>
      </c>
      <c r="B123" s="282" t="s">
        <v>353</v>
      </c>
      <c r="C123" s="282">
        <v>4.0</v>
      </c>
      <c r="D123" s="282">
        <v>4.0</v>
      </c>
      <c r="E123" s="265">
        <v>25000.0</v>
      </c>
      <c r="F123" s="265">
        <v>100000.0</v>
      </c>
      <c r="G123" s="28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83">
        <v>46148.0</v>
      </c>
      <c r="B124" s="282" t="s">
        <v>353</v>
      </c>
      <c r="C124" s="282" t="s">
        <v>394</v>
      </c>
      <c r="D124" s="282">
        <v>1.0</v>
      </c>
      <c r="E124" s="265">
        <v>25000.0</v>
      </c>
      <c r="F124" s="265">
        <v>25000.0</v>
      </c>
      <c r="G124" s="28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83">
        <v>46148.0</v>
      </c>
      <c r="B125" s="282" t="s">
        <v>353</v>
      </c>
      <c r="C125" s="282">
        <v>3.0</v>
      </c>
      <c r="D125" s="282">
        <v>3.0</v>
      </c>
      <c r="E125" s="265">
        <v>25000.0</v>
      </c>
      <c r="F125" s="265">
        <v>75000.0</v>
      </c>
      <c r="G125" s="28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83">
        <v>46148.0</v>
      </c>
      <c r="B126" s="282" t="s">
        <v>353</v>
      </c>
      <c r="C126" s="282" t="s">
        <v>395</v>
      </c>
      <c r="D126" s="282">
        <v>1.0</v>
      </c>
      <c r="E126" s="265">
        <v>25000.0</v>
      </c>
      <c r="F126" s="265">
        <v>25000.0</v>
      </c>
      <c r="G126" s="28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83">
        <v>46149.0</v>
      </c>
      <c r="B127" s="282" t="s">
        <v>353</v>
      </c>
      <c r="C127" s="282" t="s">
        <v>396</v>
      </c>
      <c r="D127" s="282">
        <v>1.0</v>
      </c>
      <c r="E127" s="265">
        <v>25000.0</v>
      </c>
      <c r="F127" s="265">
        <v>25000.0</v>
      </c>
      <c r="G127" s="28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83">
        <v>46149.0</v>
      </c>
      <c r="B128" s="282" t="s">
        <v>353</v>
      </c>
      <c r="C128" s="282" t="s">
        <v>397</v>
      </c>
      <c r="D128" s="282">
        <v>3.0</v>
      </c>
      <c r="E128" s="265">
        <v>25000.0</v>
      </c>
      <c r="F128" s="265">
        <v>75000.0</v>
      </c>
      <c r="G128" s="28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83">
        <v>46149.0</v>
      </c>
      <c r="B129" s="282" t="s">
        <v>353</v>
      </c>
      <c r="C129" s="282" t="s">
        <v>398</v>
      </c>
      <c r="D129" s="282">
        <v>1.0</v>
      </c>
      <c r="E129" s="265">
        <v>25000.0</v>
      </c>
      <c r="F129" s="265">
        <v>25000.0</v>
      </c>
      <c r="G129" s="28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83">
        <v>46149.0</v>
      </c>
      <c r="B130" s="282" t="s">
        <v>353</v>
      </c>
      <c r="C130" s="282" t="s">
        <v>399</v>
      </c>
      <c r="D130" s="282">
        <v>2.0</v>
      </c>
      <c r="E130" s="265">
        <v>25000.0</v>
      </c>
      <c r="F130" s="265">
        <v>50000.0</v>
      </c>
      <c r="G130" s="28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83">
        <v>46149.0</v>
      </c>
      <c r="B131" s="282" t="s">
        <v>353</v>
      </c>
      <c r="C131" s="282" t="s">
        <v>68</v>
      </c>
      <c r="D131" s="282">
        <v>1.0</v>
      </c>
      <c r="E131" s="265">
        <v>25000.0</v>
      </c>
      <c r="F131" s="265">
        <v>25000.0</v>
      </c>
      <c r="G131" s="28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83">
        <v>46149.0</v>
      </c>
      <c r="B132" s="282" t="s">
        <v>353</v>
      </c>
      <c r="C132" s="282" t="s">
        <v>357</v>
      </c>
      <c r="D132" s="282">
        <v>5.0</v>
      </c>
      <c r="E132" s="265">
        <v>25000.0</v>
      </c>
      <c r="F132" s="265">
        <v>125000.0</v>
      </c>
      <c r="G132" s="28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83">
        <v>46149.0</v>
      </c>
      <c r="B133" s="282" t="s">
        <v>353</v>
      </c>
      <c r="C133" s="282" t="s">
        <v>400</v>
      </c>
      <c r="D133" s="282">
        <v>1.0</v>
      </c>
      <c r="E133" s="265">
        <v>25000.0</v>
      </c>
      <c r="F133" s="265">
        <v>25000.0</v>
      </c>
      <c r="G133" s="28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83">
        <v>46149.0</v>
      </c>
      <c r="B134" s="282" t="s">
        <v>353</v>
      </c>
      <c r="C134" s="282" t="s">
        <v>401</v>
      </c>
      <c r="D134" s="282">
        <v>1.0</v>
      </c>
      <c r="E134" s="265">
        <v>25000.0</v>
      </c>
      <c r="F134" s="265">
        <v>25000.0</v>
      </c>
      <c r="G134" s="28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83">
        <v>46149.0</v>
      </c>
      <c r="B135" s="282" t="s">
        <v>353</v>
      </c>
      <c r="C135" s="282" t="s">
        <v>16</v>
      </c>
      <c r="D135" s="282">
        <v>1.0</v>
      </c>
      <c r="E135" s="265">
        <v>25000.0</v>
      </c>
      <c r="F135" s="265">
        <v>25000.0</v>
      </c>
      <c r="G135" s="28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83">
        <v>46149.0</v>
      </c>
      <c r="B136" s="282" t="s">
        <v>402</v>
      </c>
      <c r="C136" s="282" t="s">
        <v>223</v>
      </c>
      <c r="D136" s="282">
        <v>155.0</v>
      </c>
      <c r="E136" s="265">
        <v>25000.0</v>
      </c>
      <c r="F136" s="265">
        <v>3875000.0</v>
      </c>
      <c r="G136" s="28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83">
        <v>46149.0</v>
      </c>
      <c r="B137" s="282" t="s">
        <v>402</v>
      </c>
      <c r="C137" s="282" t="s">
        <v>16</v>
      </c>
      <c r="D137" s="282">
        <v>6.3</v>
      </c>
      <c r="E137" s="265">
        <v>25000.0</v>
      </c>
      <c r="F137" s="265">
        <v>157500.0</v>
      </c>
      <c r="G137" s="28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83">
        <v>46149.0</v>
      </c>
      <c r="B138" s="282" t="s">
        <v>8</v>
      </c>
      <c r="C138" s="282" t="s">
        <v>169</v>
      </c>
      <c r="D138" s="282">
        <v>2.0</v>
      </c>
      <c r="E138" s="265">
        <v>25000.0</v>
      </c>
      <c r="F138" s="265">
        <v>50000.0</v>
      </c>
      <c r="G138" s="28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83">
        <v>46149.0</v>
      </c>
      <c r="B139" s="282" t="s">
        <v>8</v>
      </c>
      <c r="C139" s="282" t="s">
        <v>403</v>
      </c>
      <c r="D139" s="282">
        <v>1.0</v>
      </c>
      <c r="E139" s="265">
        <v>25000.0</v>
      </c>
      <c r="F139" s="265">
        <v>25000.0</v>
      </c>
      <c r="G139" s="28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83">
        <v>46149.0</v>
      </c>
      <c r="B140" s="282" t="s">
        <v>8</v>
      </c>
      <c r="C140" s="282" t="s">
        <v>404</v>
      </c>
      <c r="D140" s="282">
        <v>1.0</v>
      </c>
      <c r="E140" s="265">
        <v>25000.0</v>
      </c>
      <c r="F140" s="265">
        <v>25000.0</v>
      </c>
      <c r="G140" s="28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83">
        <v>46149.0</v>
      </c>
      <c r="B141" s="282" t="s">
        <v>8</v>
      </c>
      <c r="C141" s="282" t="s">
        <v>195</v>
      </c>
      <c r="D141" s="282">
        <v>1.0</v>
      </c>
      <c r="E141" s="265">
        <v>25000.0</v>
      </c>
      <c r="F141" s="265">
        <v>25000.0</v>
      </c>
      <c r="G141" s="28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83">
        <v>46149.0</v>
      </c>
      <c r="B142" s="282" t="s">
        <v>8</v>
      </c>
      <c r="C142" s="282" t="s">
        <v>405</v>
      </c>
      <c r="D142" s="282">
        <v>1.0</v>
      </c>
      <c r="E142" s="265">
        <v>25000.0</v>
      </c>
      <c r="F142" s="265">
        <v>25000.0</v>
      </c>
      <c r="G142" s="28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83">
        <v>46149.0</v>
      </c>
      <c r="B143" s="282" t="s">
        <v>8</v>
      </c>
      <c r="C143" s="282" t="s">
        <v>406</v>
      </c>
      <c r="D143" s="282">
        <v>1.0</v>
      </c>
      <c r="E143" s="265">
        <v>25000.0</v>
      </c>
      <c r="F143" s="265">
        <v>25000.0</v>
      </c>
      <c r="G143" s="28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83">
        <v>46149.0</v>
      </c>
      <c r="B144" s="282" t="s">
        <v>8</v>
      </c>
      <c r="C144" s="282" t="s">
        <v>407</v>
      </c>
      <c r="D144" s="282">
        <v>1.0</v>
      </c>
      <c r="E144" s="265">
        <v>25000.0</v>
      </c>
      <c r="F144" s="265">
        <v>25000.0</v>
      </c>
      <c r="G144" s="28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85">
        <v>46149.0</v>
      </c>
      <c r="B145" s="286" t="s">
        <v>8</v>
      </c>
      <c r="C145" s="282" t="s">
        <v>170</v>
      </c>
      <c r="D145" s="282">
        <v>3.0</v>
      </c>
      <c r="E145" s="265">
        <v>25000.0</v>
      </c>
      <c r="F145" s="265">
        <v>75000.0</v>
      </c>
      <c r="G145" s="28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85">
        <v>46149.0</v>
      </c>
      <c r="B146" s="286" t="s">
        <v>8</v>
      </c>
      <c r="C146" s="282" t="s">
        <v>233</v>
      </c>
      <c r="D146" s="282">
        <v>1.0</v>
      </c>
      <c r="E146" s="265">
        <v>25000.0</v>
      </c>
      <c r="F146" s="265">
        <v>25000.0</v>
      </c>
      <c r="G146" s="28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83">
        <v>46149.0</v>
      </c>
      <c r="B147" s="282" t="s">
        <v>8</v>
      </c>
      <c r="C147" s="282" t="s">
        <v>16</v>
      </c>
      <c r="D147" s="282">
        <v>0.5</v>
      </c>
      <c r="E147" s="265">
        <v>25000.0</v>
      </c>
      <c r="F147" s="265">
        <v>12500.0</v>
      </c>
      <c r="G147" s="28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83">
        <v>46149.0</v>
      </c>
      <c r="B148" s="282" t="s">
        <v>17</v>
      </c>
      <c r="C148" s="282" t="s">
        <v>140</v>
      </c>
      <c r="D148" s="282">
        <v>50.0</v>
      </c>
      <c r="E148" s="265">
        <v>25000.0</v>
      </c>
      <c r="F148" s="265">
        <v>1250000.0</v>
      </c>
      <c r="G148" s="28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83">
        <v>46149.0</v>
      </c>
      <c r="B149" s="282" t="s">
        <v>17</v>
      </c>
      <c r="C149" s="282" t="s">
        <v>303</v>
      </c>
      <c r="D149" s="282">
        <v>2.0</v>
      </c>
      <c r="E149" s="265">
        <v>25000.0</v>
      </c>
      <c r="F149" s="265">
        <v>50000.0</v>
      </c>
      <c r="G149" s="28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83">
        <v>46149.0</v>
      </c>
      <c r="B150" s="282" t="s">
        <v>17</v>
      </c>
      <c r="C150" s="282" t="s">
        <v>348</v>
      </c>
      <c r="D150" s="282">
        <v>4.0</v>
      </c>
      <c r="E150" s="265">
        <v>25000.0</v>
      </c>
      <c r="F150" s="265">
        <v>100000.0</v>
      </c>
      <c r="G150" s="28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83">
        <v>46149.0</v>
      </c>
      <c r="B151" s="282" t="s">
        <v>17</v>
      </c>
      <c r="C151" s="282" t="s">
        <v>408</v>
      </c>
      <c r="D151" s="282">
        <v>2.0</v>
      </c>
      <c r="E151" s="265">
        <v>25000.0</v>
      </c>
      <c r="F151" s="265">
        <v>50000.0</v>
      </c>
      <c r="G151" s="28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83">
        <v>46149.0</v>
      </c>
      <c r="B152" s="282" t="s">
        <v>17</v>
      </c>
      <c r="C152" s="282" t="s">
        <v>281</v>
      </c>
      <c r="D152" s="282">
        <v>1.0</v>
      </c>
      <c r="E152" s="265">
        <v>25000.0</v>
      </c>
      <c r="F152" s="265">
        <v>25000.0</v>
      </c>
      <c r="G152" s="28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83">
        <v>46149.0</v>
      </c>
      <c r="B153" s="282" t="s">
        <v>17</v>
      </c>
      <c r="C153" s="282" t="s">
        <v>409</v>
      </c>
      <c r="D153" s="282">
        <v>1.0</v>
      </c>
      <c r="E153" s="265">
        <v>25000.0</v>
      </c>
      <c r="F153" s="265">
        <v>25000.0</v>
      </c>
      <c r="G153" s="28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83">
        <v>46149.0</v>
      </c>
      <c r="B154" s="282" t="s">
        <v>17</v>
      </c>
      <c r="C154" s="282" t="s">
        <v>410</v>
      </c>
      <c r="D154" s="282">
        <v>3.0</v>
      </c>
      <c r="E154" s="265">
        <v>25000.0</v>
      </c>
      <c r="F154" s="265">
        <v>75000.0</v>
      </c>
      <c r="G154" s="28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83">
        <v>46149.0</v>
      </c>
      <c r="B155" s="75" t="s">
        <v>17</v>
      </c>
      <c r="C155" s="75" t="s">
        <v>16</v>
      </c>
      <c r="D155" s="75">
        <v>3.0</v>
      </c>
      <c r="E155" s="265">
        <v>25000.0</v>
      </c>
      <c r="F155" s="265">
        <v>75000.0</v>
      </c>
      <c r="G155" s="83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83">
        <v>46150.0</v>
      </c>
      <c r="B156" s="75" t="s">
        <v>17</v>
      </c>
      <c r="C156" s="75" t="s">
        <v>348</v>
      </c>
      <c r="D156" s="75">
        <v>2.0</v>
      </c>
      <c r="E156" s="265">
        <v>25000.0</v>
      </c>
      <c r="F156" s="265">
        <v>50000.0</v>
      </c>
      <c r="G156" s="83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83">
        <v>46150.0</v>
      </c>
      <c r="B157" s="75" t="s">
        <v>17</v>
      </c>
      <c r="C157" s="75" t="s">
        <v>140</v>
      </c>
      <c r="D157" s="75">
        <v>80.0</v>
      </c>
      <c r="E157" s="265">
        <v>25000.0</v>
      </c>
      <c r="F157" s="265">
        <v>2000000.0</v>
      </c>
      <c r="G157" s="83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83">
        <v>46150.0</v>
      </c>
      <c r="B158" s="75" t="s">
        <v>17</v>
      </c>
      <c r="C158" s="75" t="s">
        <v>223</v>
      </c>
      <c r="D158" s="75">
        <v>1.0</v>
      </c>
      <c r="E158" s="265">
        <v>25000.0</v>
      </c>
      <c r="F158" s="265">
        <v>25000.0</v>
      </c>
      <c r="G158" s="83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83">
        <v>46150.0</v>
      </c>
      <c r="B159" s="75" t="s">
        <v>17</v>
      </c>
      <c r="C159" s="75" t="s">
        <v>16</v>
      </c>
      <c r="D159" s="75">
        <v>11.0</v>
      </c>
      <c r="E159" s="265">
        <v>25000.0</v>
      </c>
      <c r="F159" s="265">
        <v>275000.0</v>
      </c>
      <c r="G159" s="83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83">
        <v>46150.0</v>
      </c>
      <c r="B160" s="75" t="s">
        <v>353</v>
      </c>
      <c r="C160" s="75" t="s">
        <v>411</v>
      </c>
      <c r="D160" s="75">
        <v>2.0</v>
      </c>
      <c r="E160" s="265">
        <v>25000.0</v>
      </c>
      <c r="F160" s="265">
        <v>50000.0</v>
      </c>
      <c r="G160" s="8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83">
        <v>46150.0</v>
      </c>
      <c r="B161" s="75" t="s">
        <v>353</v>
      </c>
      <c r="C161" s="75" t="s">
        <v>412</v>
      </c>
      <c r="D161" s="75">
        <v>1.0</v>
      </c>
      <c r="E161" s="265">
        <v>25000.0</v>
      </c>
      <c r="F161" s="265">
        <v>25000.0</v>
      </c>
      <c r="G161" s="83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83">
        <v>46150.0</v>
      </c>
      <c r="B162" s="75" t="s">
        <v>402</v>
      </c>
      <c r="C162" s="75" t="s">
        <v>16</v>
      </c>
      <c r="D162" s="75">
        <v>7.0</v>
      </c>
      <c r="E162" s="265">
        <v>25000.0</v>
      </c>
      <c r="F162" s="265">
        <v>175000.0</v>
      </c>
      <c r="G162" s="83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83">
        <v>46150.0</v>
      </c>
      <c r="B163" s="75" t="s">
        <v>8</v>
      </c>
      <c r="C163" s="75" t="s">
        <v>140</v>
      </c>
      <c r="D163" s="75">
        <v>1.0</v>
      </c>
      <c r="E163" s="265">
        <v>25000.0</v>
      </c>
      <c r="F163" s="265">
        <v>25000.0</v>
      </c>
      <c r="G163" s="83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83">
        <v>46150.0</v>
      </c>
      <c r="B164" s="75" t="s">
        <v>8</v>
      </c>
      <c r="C164" s="75" t="s">
        <v>144</v>
      </c>
      <c r="D164" s="75">
        <v>2.0</v>
      </c>
      <c r="E164" s="265">
        <v>25000.0</v>
      </c>
      <c r="F164" s="265">
        <v>50000.0</v>
      </c>
      <c r="G164" s="83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83">
        <v>46150.0</v>
      </c>
      <c r="B165" s="75" t="s">
        <v>8</v>
      </c>
      <c r="C165" s="75" t="s">
        <v>176</v>
      </c>
      <c r="D165" s="75">
        <v>1.0</v>
      </c>
      <c r="E165" s="265">
        <v>25000.0</v>
      </c>
      <c r="F165" s="265">
        <v>25000.0</v>
      </c>
      <c r="G165" s="83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83">
        <v>46150.0</v>
      </c>
      <c r="B166" s="75" t="s">
        <v>8</v>
      </c>
      <c r="C166" s="75" t="s">
        <v>145</v>
      </c>
      <c r="D166" s="75">
        <v>2.0</v>
      </c>
      <c r="E166" s="265">
        <v>25000.0</v>
      </c>
      <c r="F166" s="265">
        <v>50000.0</v>
      </c>
      <c r="G166" s="83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83">
        <v>46150.0</v>
      </c>
      <c r="B167" s="75" t="s">
        <v>8</v>
      </c>
      <c r="C167" s="75" t="s">
        <v>413</v>
      </c>
      <c r="D167" s="75">
        <v>1.0</v>
      </c>
      <c r="E167" s="265">
        <v>25000.0</v>
      </c>
      <c r="F167" s="265">
        <v>25000.0</v>
      </c>
      <c r="G167" s="83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83">
        <v>46150.0</v>
      </c>
      <c r="B168" s="75" t="s">
        <v>8</v>
      </c>
      <c r="C168" s="75" t="s">
        <v>16</v>
      </c>
      <c r="D168" s="75">
        <v>0.5</v>
      </c>
      <c r="E168" s="265">
        <v>25000.0</v>
      </c>
      <c r="F168" s="265">
        <v>12500.0</v>
      </c>
      <c r="G168" s="83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83">
        <v>46151.0</v>
      </c>
      <c r="B169" s="75" t="s">
        <v>8</v>
      </c>
      <c r="C169" s="75" t="s">
        <v>169</v>
      </c>
      <c r="D169" s="75">
        <v>3.0</v>
      </c>
      <c r="E169" s="265">
        <v>25000.0</v>
      </c>
      <c r="F169" s="265">
        <v>75000.0</v>
      </c>
      <c r="G169" s="83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83">
        <v>46151.0</v>
      </c>
      <c r="B170" s="75" t="s">
        <v>8</v>
      </c>
      <c r="C170" s="75" t="s">
        <v>140</v>
      </c>
      <c r="D170" s="75">
        <v>2.0</v>
      </c>
      <c r="E170" s="265">
        <v>25000.0</v>
      </c>
      <c r="F170" s="265">
        <v>50000.0</v>
      </c>
      <c r="G170" s="8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83">
        <v>46151.0</v>
      </c>
      <c r="B171" s="75" t="s">
        <v>8</v>
      </c>
      <c r="C171" s="75" t="s">
        <v>202</v>
      </c>
      <c r="D171" s="75">
        <v>1.0</v>
      </c>
      <c r="E171" s="265">
        <v>25000.0</v>
      </c>
      <c r="F171" s="265">
        <v>25000.0</v>
      </c>
      <c r="G171" s="83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83">
        <v>46151.0</v>
      </c>
      <c r="B172" s="75" t="s">
        <v>8</v>
      </c>
      <c r="C172" s="75" t="s">
        <v>176</v>
      </c>
      <c r="D172" s="75">
        <v>1.0</v>
      </c>
      <c r="E172" s="265">
        <v>25000.0</v>
      </c>
      <c r="F172" s="265">
        <v>25000.0</v>
      </c>
      <c r="G172" s="83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83">
        <v>46151.0</v>
      </c>
      <c r="B173" s="75" t="s">
        <v>8</v>
      </c>
      <c r="C173" s="75" t="s">
        <v>414</v>
      </c>
      <c r="D173" s="75">
        <v>2.0</v>
      </c>
      <c r="E173" s="265">
        <v>25000.0</v>
      </c>
      <c r="F173" s="265">
        <v>50000.0</v>
      </c>
      <c r="G173" s="83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83">
        <v>46151.0</v>
      </c>
      <c r="B174" s="75" t="s">
        <v>8</v>
      </c>
      <c r="C174" s="75" t="s">
        <v>415</v>
      </c>
      <c r="D174" s="75">
        <v>1.0</v>
      </c>
      <c r="E174" s="265">
        <v>25000.0</v>
      </c>
      <c r="F174" s="265">
        <v>25000.0</v>
      </c>
      <c r="G174" s="83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83">
        <v>46151.0</v>
      </c>
      <c r="B175" s="75" t="s">
        <v>8</v>
      </c>
      <c r="C175" s="75" t="s">
        <v>416</v>
      </c>
      <c r="D175" s="75">
        <v>1.0</v>
      </c>
      <c r="E175" s="265">
        <v>25000.0</v>
      </c>
      <c r="F175" s="265">
        <v>25000.0</v>
      </c>
      <c r="G175" s="83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83">
        <v>46151.0</v>
      </c>
      <c r="B176" s="75" t="s">
        <v>8</v>
      </c>
      <c r="C176" s="75" t="s">
        <v>417</v>
      </c>
      <c r="D176" s="75">
        <v>1.0</v>
      </c>
      <c r="E176" s="265">
        <v>25000.0</v>
      </c>
      <c r="F176" s="265">
        <v>25000.0</v>
      </c>
      <c r="G176" s="83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83">
        <v>46151.0</v>
      </c>
      <c r="B177" s="75" t="s">
        <v>8</v>
      </c>
      <c r="C177" s="75" t="s">
        <v>205</v>
      </c>
      <c r="D177" s="75">
        <v>1.0</v>
      </c>
      <c r="E177" s="265">
        <v>25000.0</v>
      </c>
      <c r="F177" s="265">
        <v>25000.0</v>
      </c>
      <c r="G177" s="83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83">
        <v>46151.0</v>
      </c>
      <c r="B178" s="75" t="s">
        <v>8</v>
      </c>
      <c r="C178" s="75" t="s">
        <v>418</v>
      </c>
      <c r="D178" s="75">
        <v>1.0</v>
      </c>
      <c r="E178" s="265">
        <v>25000.0</v>
      </c>
      <c r="F178" s="265">
        <v>25000.0</v>
      </c>
      <c r="G178" s="83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83">
        <v>46151.0</v>
      </c>
      <c r="B179" s="75" t="s">
        <v>8</v>
      </c>
      <c r="C179" s="75" t="s">
        <v>419</v>
      </c>
      <c r="D179" s="75">
        <v>1.0</v>
      </c>
      <c r="E179" s="265">
        <v>25000.0</v>
      </c>
      <c r="F179" s="265">
        <v>25000.0</v>
      </c>
      <c r="G179" s="83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83">
        <v>46151.0</v>
      </c>
      <c r="B180" s="75" t="s">
        <v>8</v>
      </c>
      <c r="C180" s="75" t="s">
        <v>16</v>
      </c>
      <c r="D180" s="75">
        <v>0.5</v>
      </c>
      <c r="E180" s="265">
        <v>25000.0</v>
      </c>
      <c r="F180" s="265">
        <v>12500.0</v>
      </c>
      <c r="G180" s="83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83">
        <v>46151.0</v>
      </c>
      <c r="B181" s="75" t="s">
        <v>17</v>
      </c>
      <c r="C181" s="75" t="s">
        <v>140</v>
      </c>
      <c r="D181" s="75">
        <v>30.0</v>
      </c>
      <c r="E181" s="265">
        <v>25000.0</v>
      </c>
      <c r="F181" s="265">
        <v>750000.0</v>
      </c>
      <c r="G181" s="8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83">
        <v>46151.0</v>
      </c>
      <c r="B182" s="75" t="s">
        <v>17</v>
      </c>
      <c r="C182" s="75" t="s">
        <v>420</v>
      </c>
      <c r="D182" s="75">
        <v>2.0</v>
      </c>
      <c r="E182" s="265">
        <v>25000.0</v>
      </c>
      <c r="F182" s="265">
        <v>50000.0</v>
      </c>
      <c r="G182" s="83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83">
        <v>46151.0</v>
      </c>
      <c r="B183" s="75" t="s">
        <v>17</v>
      </c>
      <c r="C183" s="75" t="s">
        <v>421</v>
      </c>
      <c r="D183" s="75">
        <v>2.0</v>
      </c>
      <c r="E183" s="265">
        <v>25000.0</v>
      </c>
      <c r="F183" s="265">
        <v>50000.0</v>
      </c>
      <c r="G183" s="83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83">
        <v>46151.0</v>
      </c>
      <c r="B184" s="75" t="s">
        <v>17</v>
      </c>
      <c r="C184" s="75" t="s">
        <v>348</v>
      </c>
      <c r="D184" s="75">
        <v>2.0</v>
      </c>
      <c r="E184" s="265">
        <v>25000.0</v>
      </c>
      <c r="F184" s="265">
        <v>50000.0</v>
      </c>
      <c r="G184" s="83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83">
        <v>46151.0</v>
      </c>
      <c r="B185" s="75" t="s">
        <v>17</v>
      </c>
      <c r="C185" s="75" t="s">
        <v>303</v>
      </c>
      <c r="D185" s="75">
        <v>2.0</v>
      </c>
      <c r="E185" s="265">
        <v>25000.0</v>
      </c>
      <c r="F185" s="265">
        <v>50000.0</v>
      </c>
      <c r="G185" s="83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83">
        <v>46151.0</v>
      </c>
      <c r="B186" s="75" t="s">
        <v>17</v>
      </c>
      <c r="C186" s="75" t="s">
        <v>422</v>
      </c>
      <c r="D186" s="75">
        <v>1.0</v>
      </c>
      <c r="E186" s="265">
        <v>25000.0</v>
      </c>
      <c r="F186" s="265">
        <v>25000.0</v>
      </c>
      <c r="G186" s="83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83">
        <v>46151.0</v>
      </c>
      <c r="B187" s="75" t="s">
        <v>17</v>
      </c>
      <c r="C187" s="75" t="s">
        <v>373</v>
      </c>
      <c r="D187" s="75">
        <v>2.0</v>
      </c>
      <c r="E187" s="265">
        <v>25000.0</v>
      </c>
      <c r="F187" s="265">
        <v>50000.0</v>
      </c>
      <c r="G187" s="83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83">
        <v>46151.0</v>
      </c>
      <c r="B188" s="75" t="s">
        <v>17</v>
      </c>
      <c r="C188" s="75" t="s">
        <v>423</v>
      </c>
      <c r="D188" s="75">
        <v>1.0</v>
      </c>
      <c r="E188" s="265">
        <v>25000.0</v>
      </c>
      <c r="F188" s="265">
        <v>25000.0</v>
      </c>
      <c r="G188" s="83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83">
        <v>46151.0</v>
      </c>
      <c r="B189" s="75" t="s">
        <v>17</v>
      </c>
      <c r="C189" s="75" t="s">
        <v>16</v>
      </c>
      <c r="D189" s="75">
        <v>7.3</v>
      </c>
      <c r="E189" s="265">
        <v>25000.0</v>
      </c>
      <c r="F189" s="265">
        <v>182500.0</v>
      </c>
      <c r="G189" s="83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83">
        <v>46151.0</v>
      </c>
      <c r="B190" s="75" t="s">
        <v>17</v>
      </c>
      <c r="C190" s="75" t="s">
        <v>424</v>
      </c>
      <c r="D190" s="75">
        <v>2.0</v>
      </c>
      <c r="E190" s="265">
        <v>25000.0</v>
      </c>
      <c r="F190" s="265">
        <v>50000.0</v>
      </c>
      <c r="G190" s="83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83">
        <v>46151.0</v>
      </c>
      <c r="B191" s="75" t="s">
        <v>17</v>
      </c>
      <c r="C191" s="75" t="s">
        <v>425</v>
      </c>
      <c r="D191" s="75">
        <v>2.0</v>
      </c>
      <c r="E191" s="265">
        <v>25000.0</v>
      </c>
      <c r="F191" s="265">
        <v>50000.0</v>
      </c>
      <c r="G191" s="8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83">
        <v>46151.0</v>
      </c>
      <c r="B192" s="75" t="s">
        <v>17</v>
      </c>
      <c r="C192" s="75" t="s">
        <v>68</v>
      </c>
      <c r="D192" s="75">
        <v>2.0</v>
      </c>
      <c r="E192" s="265">
        <v>25000.0</v>
      </c>
      <c r="F192" s="265">
        <v>50000.0</v>
      </c>
      <c r="G192" s="83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83">
        <v>46151.0</v>
      </c>
      <c r="B193" s="75" t="s">
        <v>17</v>
      </c>
      <c r="C193" s="75" t="s">
        <v>302</v>
      </c>
      <c r="D193" s="75">
        <v>2.0</v>
      </c>
      <c r="E193" s="265">
        <v>25000.0</v>
      </c>
      <c r="F193" s="265">
        <v>50000.0</v>
      </c>
      <c r="G193" s="83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83">
        <v>46151.0</v>
      </c>
      <c r="B194" s="75" t="s">
        <v>17</v>
      </c>
      <c r="C194" s="75" t="s">
        <v>426</v>
      </c>
      <c r="D194" s="75">
        <v>1.0</v>
      </c>
      <c r="E194" s="265">
        <v>25000.0</v>
      </c>
      <c r="F194" s="265">
        <v>25000.0</v>
      </c>
      <c r="G194" s="83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83">
        <v>46151.0</v>
      </c>
      <c r="B195" s="75" t="s">
        <v>402</v>
      </c>
      <c r="C195" s="75" t="s">
        <v>16</v>
      </c>
      <c r="D195" s="75">
        <v>7.0</v>
      </c>
      <c r="E195" s="265">
        <v>25000.0</v>
      </c>
      <c r="F195" s="265">
        <v>175000.0</v>
      </c>
      <c r="G195" s="83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83">
        <v>46151.0</v>
      </c>
      <c r="B196" s="75" t="s">
        <v>353</v>
      </c>
      <c r="C196" s="75" t="s">
        <v>16</v>
      </c>
      <c r="D196" s="75">
        <v>1.0</v>
      </c>
      <c r="E196" s="265">
        <v>25000.0</v>
      </c>
      <c r="F196" s="265">
        <v>25000.0</v>
      </c>
      <c r="G196" s="83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83">
        <v>46151.0</v>
      </c>
      <c r="B197" s="75" t="s">
        <v>353</v>
      </c>
      <c r="C197" s="75" t="s">
        <v>223</v>
      </c>
      <c r="D197" s="75">
        <v>1.0</v>
      </c>
      <c r="E197" s="265">
        <v>25000.0</v>
      </c>
      <c r="F197" s="265">
        <v>25000.0</v>
      </c>
      <c r="G197" s="83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83">
        <v>46151.0</v>
      </c>
      <c r="B198" s="75" t="s">
        <v>353</v>
      </c>
      <c r="C198" s="75" t="s">
        <v>427</v>
      </c>
      <c r="D198" s="75">
        <v>1.0</v>
      </c>
      <c r="E198" s="265">
        <v>25000.0</v>
      </c>
      <c r="F198" s="265">
        <v>25000.0</v>
      </c>
      <c r="G198" s="83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83">
        <v>46152.0</v>
      </c>
      <c r="B199" s="75" t="s">
        <v>17</v>
      </c>
      <c r="C199" s="75" t="s">
        <v>349</v>
      </c>
      <c r="D199" s="75">
        <v>2.0</v>
      </c>
      <c r="E199" s="265">
        <v>25000.0</v>
      </c>
      <c r="F199" s="265">
        <v>50000.0</v>
      </c>
      <c r="G199" s="83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83">
        <v>46152.0</v>
      </c>
      <c r="B200" s="75" t="s">
        <v>17</v>
      </c>
      <c r="C200" s="75" t="s">
        <v>140</v>
      </c>
      <c r="D200" s="75">
        <v>50.0</v>
      </c>
      <c r="E200" s="265">
        <v>25000.0</v>
      </c>
      <c r="F200" s="265">
        <v>1250000.0</v>
      </c>
      <c r="G200" s="83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83">
        <v>46152.0</v>
      </c>
      <c r="B201" s="75" t="s">
        <v>17</v>
      </c>
      <c r="C201" s="75" t="s">
        <v>376</v>
      </c>
      <c r="D201" s="75">
        <v>2.0</v>
      </c>
      <c r="E201" s="265">
        <v>25000.0</v>
      </c>
      <c r="F201" s="265">
        <v>50000.0</v>
      </c>
      <c r="G201" s="8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83">
        <v>46152.0</v>
      </c>
      <c r="B202" s="75" t="s">
        <v>17</v>
      </c>
      <c r="C202" s="75" t="s">
        <v>428</v>
      </c>
      <c r="D202" s="75">
        <v>2.0</v>
      </c>
      <c r="E202" s="265">
        <v>25000.0</v>
      </c>
      <c r="F202" s="265">
        <v>50000.0</v>
      </c>
      <c r="G202" s="83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83">
        <v>46152.0</v>
      </c>
      <c r="B203" s="75" t="s">
        <v>17</v>
      </c>
      <c r="C203" s="75" t="s">
        <v>348</v>
      </c>
      <c r="D203" s="75">
        <v>4.0</v>
      </c>
      <c r="E203" s="265">
        <v>25000.0</v>
      </c>
      <c r="F203" s="265">
        <v>100000.0</v>
      </c>
      <c r="G203" s="83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83">
        <v>46152.0</v>
      </c>
      <c r="B204" s="75" t="s">
        <v>17</v>
      </c>
      <c r="C204" s="75" t="s">
        <v>429</v>
      </c>
      <c r="D204" s="75">
        <v>2.0</v>
      </c>
      <c r="E204" s="265">
        <v>25000.0</v>
      </c>
      <c r="F204" s="265">
        <v>50000.0</v>
      </c>
      <c r="G204" s="83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83">
        <v>46152.0</v>
      </c>
      <c r="B205" s="75" t="s">
        <v>17</v>
      </c>
      <c r="C205" s="75" t="s">
        <v>16</v>
      </c>
      <c r="D205" s="75">
        <v>6.0</v>
      </c>
      <c r="E205" s="265">
        <v>25000.0</v>
      </c>
      <c r="F205" s="265">
        <v>150000.0</v>
      </c>
      <c r="G205" s="83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83">
        <v>46152.0</v>
      </c>
      <c r="B206" s="75" t="s">
        <v>402</v>
      </c>
      <c r="C206" s="75" t="s">
        <v>223</v>
      </c>
      <c r="D206" s="75">
        <v>30.0</v>
      </c>
      <c r="E206" s="265">
        <v>25000.0</v>
      </c>
      <c r="F206" s="265">
        <v>750000.0</v>
      </c>
      <c r="G206" s="83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83">
        <v>46152.0</v>
      </c>
      <c r="B207" s="75" t="s">
        <v>402</v>
      </c>
      <c r="C207" s="75" t="s">
        <v>16</v>
      </c>
      <c r="D207" s="75">
        <v>8.0</v>
      </c>
      <c r="E207" s="265">
        <v>25000.0</v>
      </c>
      <c r="F207" s="265">
        <v>200000.0</v>
      </c>
      <c r="G207" s="83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83">
        <v>46152.0</v>
      </c>
      <c r="B208" s="75" t="s">
        <v>402</v>
      </c>
      <c r="C208" s="75" t="s">
        <v>430</v>
      </c>
      <c r="D208" s="75">
        <v>1.0</v>
      </c>
      <c r="E208" s="265">
        <v>25000.0</v>
      </c>
      <c r="F208" s="265">
        <v>25000.0</v>
      </c>
      <c r="G208" s="83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85"/>
      <c r="B209" s="5"/>
      <c r="C209" s="5"/>
      <c r="D209" s="5"/>
      <c r="E209" s="265"/>
      <c r="F209" s="265"/>
      <c r="G209" s="83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85"/>
      <c r="B210" s="5"/>
      <c r="C210" s="5"/>
      <c r="D210" s="5"/>
      <c r="E210" s="265"/>
      <c r="F210" s="265"/>
      <c r="G210" s="83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85"/>
      <c r="B211" s="5"/>
      <c r="C211" s="5"/>
      <c r="D211" s="5"/>
      <c r="E211" s="265"/>
      <c r="F211" s="265"/>
      <c r="G211" s="8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265"/>
      <c r="D212" s="265"/>
      <c r="E212" s="5"/>
      <c r="F212" s="5"/>
      <c r="G212" s="83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265"/>
      <c r="D213" s="265"/>
      <c r="E213" s="5"/>
      <c r="F213" s="5"/>
      <c r="G213" s="83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265"/>
      <c r="D214" s="265"/>
      <c r="E214" s="5"/>
      <c r="F214" s="5"/>
      <c r="G214" s="83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265"/>
      <c r="D215" s="265"/>
      <c r="E215" s="5"/>
      <c r="F215" s="5"/>
      <c r="G215" s="83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265"/>
      <c r="D216" s="265"/>
      <c r="E216" s="5"/>
      <c r="F216" s="5"/>
      <c r="G216" s="83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265"/>
      <c r="D217" s="265"/>
      <c r="E217" s="5"/>
      <c r="F217" s="5"/>
      <c r="G217" s="83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265"/>
      <c r="D218" s="265"/>
      <c r="E218" s="5"/>
      <c r="F218" s="5"/>
      <c r="G218" s="83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265"/>
      <c r="D219" s="265"/>
      <c r="E219" s="5"/>
      <c r="F219" s="5"/>
      <c r="G219" s="83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265"/>
      <c r="D220" s="265"/>
      <c r="E220" s="5"/>
      <c r="F220" s="5"/>
      <c r="G220" s="83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265"/>
      <c r="D221" s="265"/>
      <c r="E221" s="5"/>
      <c r="F221" s="5"/>
      <c r="G221" s="8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265"/>
      <c r="D222" s="265"/>
      <c r="E222" s="5"/>
      <c r="F222" s="5"/>
      <c r="G222" s="83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265"/>
      <c r="D223" s="265"/>
      <c r="E223" s="5"/>
      <c r="F223" s="5"/>
      <c r="G223" s="83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265"/>
      <c r="D224" s="265"/>
      <c r="E224" s="5"/>
      <c r="F224" s="5"/>
      <c r="G224" s="83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265"/>
      <c r="D225" s="265"/>
      <c r="E225" s="5"/>
      <c r="F225" s="5"/>
      <c r="G225" s="83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265"/>
      <c r="D226" s="265"/>
      <c r="E226" s="5"/>
      <c r="F226" s="5"/>
      <c r="G226" s="83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265"/>
      <c r="D227" s="265"/>
      <c r="E227" s="5"/>
      <c r="F227" s="5"/>
      <c r="G227" s="83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265"/>
      <c r="D228" s="265"/>
      <c r="E228" s="5"/>
      <c r="F228" s="5"/>
      <c r="G228" s="83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265"/>
      <c r="D229" s="265"/>
      <c r="E229" s="5"/>
      <c r="F229" s="5"/>
      <c r="G229" s="83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265"/>
      <c r="D230" s="265"/>
      <c r="E230" s="5"/>
      <c r="F230" s="5"/>
      <c r="G230" s="83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265"/>
      <c r="D231" s="265"/>
      <c r="E231" s="5"/>
      <c r="F231" s="5"/>
      <c r="G231" s="8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265"/>
      <c r="D232" s="265"/>
      <c r="E232" s="5"/>
      <c r="F232" s="5"/>
      <c r="G232" s="83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265"/>
      <c r="D233" s="265"/>
      <c r="E233" s="5"/>
      <c r="F233" s="5"/>
      <c r="G233" s="83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265"/>
      <c r="D234" s="265"/>
      <c r="E234" s="5"/>
      <c r="F234" s="5"/>
      <c r="G234" s="83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265"/>
      <c r="D235" s="265"/>
      <c r="E235" s="5"/>
      <c r="F235" s="5"/>
      <c r="G235" s="83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265"/>
      <c r="D236" s="265"/>
      <c r="E236" s="5"/>
      <c r="F236" s="5"/>
      <c r="G236" s="83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265"/>
      <c r="D237" s="265"/>
      <c r="E237" s="5"/>
      <c r="F237" s="5"/>
      <c r="G237" s="83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265"/>
      <c r="D238" s="265"/>
      <c r="E238" s="5"/>
      <c r="F238" s="5"/>
      <c r="G238" s="83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265"/>
      <c r="D239" s="265"/>
      <c r="E239" s="5"/>
      <c r="F239" s="5"/>
      <c r="G239" s="83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265"/>
      <c r="D240" s="265"/>
      <c r="E240" s="5"/>
      <c r="F240" s="5"/>
      <c r="G240" s="83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265"/>
      <c r="D241" s="265"/>
      <c r="E241" s="5"/>
      <c r="F241" s="5"/>
      <c r="G241" s="8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265"/>
      <c r="D242" s="265"/>
      <c r="E242" s="5"/>
      <c r="F242" s="5"/>
      <c r="G242" s="83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265"/>
      <c r="D243" s="265"/>
      <c r="E243" s="5"/>
      <c r="F243" s="5"/>
      <c r="G243" s="83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265"/>
      <c r="D244" s="265"/>
      <c r="E244" s="5"/>
      <c r="F244" s="5"/>
      <c r="G244" s="83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265"/>
      <c r="D245" s="265"/>
      <c r="E245" s="5"/>
      <c r="F245" s="5"/>
      <c r="G245" s="83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265"/>
      <c r="D246" s="265"/>
      <c r="E246" s="5"/>
      <c r="F246" s="5"/>
      <c r="G246" s="83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265"/>
      <c r="D247" s="265"/>
      <c r="E247" s="5"/>
      <c r="F247" s="5"/>
      <c r="G247" s="83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265"/>
      <c r="D248" s="265"/>
      <c r="E248" s="5"/>
      <c r="F248" s="5"/>
      <c r="G248" s="83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265"/>
      <c r="D249" s="265"/>
      <c r="E249" s="5"/>
      <c r="F249" s="5"/>
      <c r="G249" s="83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265"/>
      <c r="D250" s="265"/>
      <c r="E250" s="5"/>
      <c r="F250" s="5"/>
      <c r="G250" s="83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265"/>
      <c r="D251" s="265"/>
      <c r="E251" s="5"/>
      <c r="F251" s="5"/>
      <c r="G251" s="8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265"/>
      <c r="D252" s="265"/>
      <c r="E252" s="5"/>
      <c r="F252" s="5"/>
      <c r="G252" s="83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265"/>
      <c r="D253" s="265"/>
      <c r="E253" s="5"/>
      <c r="F253" s="5"/>
      <c r="G253" s="83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265"/>
      <c r="D254" s="265"/>
      <c r="E254" s="5"/>
      <c r="F254" s="5"/>
      <c r="G254" s="83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265"/>
      <c r="D255" s="265"/>
      <c r="E255" s="5"/>
      <c r="F255" s="5"/>
      <c r="G255" s="83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265"/>
      <c r="D256" s="265"/>
      <c r="E256" s="5"/>
      <c r="F256" s="5"/>
      <c r="G256" s="83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265"/>
      <c r="D257" s="265"/>
      <c r="E257" s="5"/>
      <c r="F257" s="5"/>
      <c r="G257" s="83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265"/>
      <c r="D258" s="265"/>
      <c r="E258" s="5"/>
      <c r="F258" s="5"/>
      <c r="G258" s="83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265"/>
      <c r="D259" s="265"/>
      <c r="E259" s="5"/>
      <c r="F259" s="5"/>
      <c r="G259" s="83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265"/>
      <c r="D260" s="265"/>
      <c r="E260" s="5"/>
      <c r="F260" s="5"/>
      <c r="G260" s="83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265"/>
      <c r="D261" s="265"/>
      <c r="E261" s="5"/>
      <c r="F261" s="5"/>
      <c r="G261" s="8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265"/>
      <c r="D262" s="265"/>
      <c r="E262" s="5"/>
      <c r="F262" s="5"/>
      <c r="G262" s="83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265"/>
      <c r="D263" s="265"/>
      <c r="E263" s="5"/>
      <c r="F263" s="5"/>
      <c r="G263" s="83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265"/>
      <c r="D264" s="265"/>
      <c r="E264" s="5"/>
      <c r="F264" s="5"/>
      <c r="G264" s="8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265"/>
      <c r="D265" s="265"/>
      <c r="E265" s="5"/>
      <c r="F265" s="5"/>
      <c r="G265" s="83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265"/>
      <c r="D266" s="265"/>
      <c r="E266" s="5"/>
      <c r="F266" s="5"/>
      <c r="G266" s="83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265"/>
      <c r="D267" s="265"/>
      <c r="E267" s="5"/>
      <c r="F267" s="5"/>
      <c r="G267" s="83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265"/>
      <c r="D268" s="265"/>
      <c r="E268" s="5"/>
      <c r="F268" s="5"/>
      <c r="G268" s="83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265"/>
      <c r="D269" s="265"/>
      <c r="E269" s="5"/>
      <c r="F269" s="5"/>
      <c r="G269" s="83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265"/>
      <c r="D270" s="265"/>
      <c r="E270" s="5"/>
      <c r="F270" s="5"/>
      <c r="G270" s="83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265"/>
      <c r="D271" s="265"/>
      <c r="E271" s="5"/>
      <c r="F271" s="5"/>
      <c r="G271" s="8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265"/>
      <c r="D272" s="265"/>
      <c r="E272" s="5"/>
      <c r="F272" s="5"/>
      <c r="G272" s="83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265"/>
      <c r="D273" s="265"/>
      <c r="E273" s="5"/>
      <c r="F273" s="5"/>
      <c r="G273" s="83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265"/>
      <c r="D274" s="265"/>
      <c r="E274" s="5"/>
      <c r="F274" s="5"/>
      <c r="G274" s="83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265"/>
      <c r="D275" s="265"/>
      <c r="E275" s="5"/>
      <c r="F275" s="5"/>
      <c r="G275" s="83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265"/>
      <c r="D276" s="265"/>
      <c r="E276" s="5"/>
      <c r="F276" s="5"/>
      <c r="G276" s="83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265"/>
      <c r="D277" s="265"/>
      <c r="E277" s="5"/>
      <c r="F277" s="5"/>
      <c r="G277" s="83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265"/>
      <c r="D278" s="265"/>
      <c r="E278" s="5"/>
      <c r="F278" s="5"/>
      <c r="G278" s="83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265"/>
      <c r="D279" s="265"/>
      <c r="E279" s="5"/>
      <c r="F279" s="5"/>
      <c r="G279" s="83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265"/>
      <c r="D280" s="265"/>
      <c r="E280" s="5"/>
      <c r="F280" s="5"/>
      <c r="G280" s="83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265"/>
      <c r="D281" s="265"/>
      <c r="E281" s="5"/>
      <c r="F281" s="5"/>
      <c r="G281" s="8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265"/>
      <c r="D282" s="265"/>
      <c r="E282" s="5"/>
      <c r="F282" s="5"/>
      <c r="G282" s="83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265"/>
      <c r="D283" s="265"/>
      <c r="E283" s="5"/>
      <c r="F283" s="5"/>
      <c r="G283" s="83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265"/>
      <c r="D284" s="265"/>
      <c r="E284" s="5"/>
      <c r="F284" s="5"/>
      <c r="G284" s="83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265"/>
      <c r="D285" s="265"/>
      <c r="E285" s="5"/>
      <c r="F285" s="5"/>
      <c r="G285" s="83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265"/>
      <c r="D286" s="265"/>
      <c r="E286" s="5"/>
      <c r="F286" s="5"/>
      <c r="G286" s="83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265"/>
      <c r="D287" s="265"/>
      <c r="E287" s="5"/>
      <c r="F287" s="5"/>
      <c r="G287" s="83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265"/>
      <c r="D288" s="265"/>
      <c r="E288" s="5"/>
      <c r="F288" s="5"/>
      <c r="G288" s="83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265"/>
      <c r="D289" s="265"/>
      <c r="E289" s="5"/>
      <c r="F289" s="5"/>
      <c r="G289" s="83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265"/>
      <c r="D290" s="265"/>
      <c r="E290" s="5"/>
      <c r="F290" s="5"/>
      <c r="G290" s="83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265"/>
      <c r="D291" s="265"/>
      <c r="E291" s="5"/>
      <c r="F291" s="5"/>
      <c r="G291" s="8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265"/>
      <c r="D292" s="265"/>
      <c r="E292" s="5"/>
      <c r="F292" s="5"/>
      <c r="G292" s="83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265"/>
      <c r="D293" s="265"/>
      <c r="E293" s="5"/>
      <c r="F293" s="5"/>
      <c r="G293" s="83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265"/>
      <c r="D294" s="265"/>
      <c r="E294" s="5"/>
      <c r="F294" s="5"/>
      <c r="G294" s="83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265"/>
      <c r="D295" s="265"/>
      <c r="E295" s="5"/>
      <c r="F295" s="5"/>
      <c r="G295" s="83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265"/>
      <c r="D296" s="265"/>
      <c r="E296" s="5"/>
      <c r="F296" s="5"/>
      <c r="G296" s="83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265"/>
      <c r="D297" s="265"/>
      <c r="E297" s="5"/>
      <c r="F297" s="5"/>
      <c r="G297" s="83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265"/>
      <c r="D298" s="265"/>
      <c r="E298" s="5"/>
      <c r="F298" s="5"/>
      <c r="G298" s="83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265"/>
      <c r="D299" s="265"/>
      <c r="E299" s="5"/>
      <c r="F299" s="5"/>
      <c r="G299" s="83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265"/>
      <c r="D300" s="265"/>
      <c r="E300" s="5"/>
      <c r="F300" s="5"/>
      <c r="G300" s="83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265"/>
      <c r="D301" s="265"/>
      <c r="E301" s="5"/>
      <c r="F301" s="5"/>
      <c r="G301" s="8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265"/>
      <c r="D302" s="265"/>
      <c r="E302" s="5"/>
      <c r="F302" s="5"/>
      <c r="G302" s="83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265"/>
      <c r="D303" s="265"/>
      <c r="E303" s="5"/>
      <c r="F303" s="5"/>
      <c r="G303" s="83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265"/>
      <c r="D304" s="265"/>
      <c r="E304" s="5"/>
      <c r="F304" s="5"/>
      <c r="G304" s="83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265"/>
      <c r="D305" s="265"/>
      <c r="E305" s="5"/>
      <c r="F305" s="5"/>
      <c r="G305" s="83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265"/>
      <c r="D306" s="265"/>
      <c r="E306" s="5"/>
      <c r="F306" s="5"/>
      <c r="G306" s="83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265"/>
      <c r="D307" s="265"/>
      <c r="E307" s="5"/>
      <c r="F307" s="5"/>
      <c r="G307" s="83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265"/>
      <c r="D308" s="265"/>
      <c r="E308" s="5"/>
      <c r="F308" s="5"/>
      <c r="G308" s="83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265"/>
      <c r="D309" s="265"/>
      <c r="E309" s="5"/>
      <c r="F309" s="5"/>
      <c r="G309" s="83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265"/>
      <c r="D310" s="265"/>
      <c r="E310" s="5"/>
      <c r="F310" s="5"/>
      <c r="G310" s="83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265"/>
      <c r="D311" s="265"/>
      <c r="E311" s="5"/>
      <c r="F311" s="5"/>
      <c r="G311" s="8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265"/>
      <c r="D312" s="265"/>
      <c r="E312" s="5"/>
      <c r="F312" s="5"/>
      <c r="G312" s="83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265"/>
      <c r="D313" s="265"/>
      <c r="E313" s="5"/>
      <c r="F313" s="5"/>
      <c r="G313" s="83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265"/>
      <c r="D314" s="265"/>
      <c r="E314" s="5"/>
      <c r="F314" s="5"/>
      <c r="G314" s="83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265"/>
      <c r="D315" s="265"/>
      <c r="E315" s="5"/>
      <c r="F315" s="5"/>
      <c r="G315" s="83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265"/>
      <c r="D316" s="265"/>
      <c r="E316" s="5"/>
      <c r="F316" s="5"/>
      <c r="G316" s="83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265"/>
      <c r="D317" s="265"/>
      <c r="E317" s="5"/>
      <c r="F317" s="5"/>
      <c r="G317" s="83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265"/>
      <c r="D318" s="265"/>
      <c r="E318" s="5"/>
      <c r="F318" s="5"/>
      <c r="G318" s="83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265"/>
      <c r="D319" s="265"/>
      <c r="E319" s="5"/>
      <c r="F319" s="5"/>
      <c r="G319" s="83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265"/>
      <c r="D320" s="265"/>
      <c r="E320" s="5"/>
      <c r="F320" s="5"/>
      <c r="G320" s="83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265"/>
      <c r="D321" s="265"/>
      <c r="E321" s="5"/>
      <c r="F321" s="5"/>
      <c r="G321" s="8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265"/>
      <c r="D322" s="265"/>
      <c r="E322" s="5"/>
      <c r="F322" s="5"/>
      <c r="G322" s="83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265"/>
      <c r="D323" s="265"/>
      <c r="E323" s="5"/>
      <c r="F323" s="5"/>
      <c r="G323" s="83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265"/>
      <c r="D324" s="265"/>
      <c r="E324" s="5"/>
      <c r="F324" s="5"/>
      <c r="G324" s="83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265"/>
      <c r="D325" s="265"/>
      <c r="E325" s="5"/>
      <c r="F325" s="5"/>
      <c r="G325" s="83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265"/>
      <c r="D326" s="265"/>
      <c r="E326" s="5"/>
      <c r="F326" s="5"/>
      <c r="G326" s="83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265"/>
      <c r="D327" s="265"/>
      <c r="E327" s="5"/>
      <c r="F327" s="5"/>
      <c r="G327" s="83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265"/>
      <c r="D328" s="265"/>
      <c r="E328" s="5"/>
      <c r="F328" s="5"/>
      <c r="G328" s="83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265"/>
      <c r="D329" s="265"/>
      <c r="E329" s="5"/>
      <c r="F329" s="5"/>
      <c r="G329" s="8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265"/>
      <c r="D330" s="265"/>
      <c r="E330" s="5"/>
      <c r="F330" s="5"/>
      <c r="G330" s="8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265"/>
      <c r="D331" s="265"/>
      <c r="E331" s="5"/>
      <c r="F331" s="5"/>
      <c r="G331" s="8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265"/>
      <c r="D332" s="265"/>
      <c r="E332" s="5"/>
      <c r="F332" s="5"/>
      <c r="G332" s="8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265"/>
      <c r="D333" s="265"/>
      <c r="E333" s="5"/>
      <c r="F333" s="5"/>
      <c r="G333" s="8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265"/>
      <c r="D334" s="265"/>
      <c r="E334" s="5"/>
      <c r="F334" s="5"/>
      <c r="G334" s="8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265"/>
      <c r="D335" s="265"/>
      <c r="E335" s="5"/>
      <c r="F335" s="5"/>
      <c r="G335" s="8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265"/>
      <c r="D336" s="265"/>
      <c r="E336" s="5"/>
      <c r="F336" s="5"/>
      <c r="G336" s="8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265"/>
      <c r="D337" s="265"/>
      <c r="E337" s="5"/>
      <c r="F337" s="5"/>
      <c r="G337" s="8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265"/>
      <c r="D338" s="265"/>
      <c r="E338" s="5"/>
      <c r="F338" s="5"/>
      <c r="G338" s="8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265"/>
      <c r="D339" s="265"/>
      <c r="E339" s="5"/>
      <c r="F339" s="5"/>
      <c r="G339" s="8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265"/>
      <c r="D340" s="265"/>
      <c r="E340" s="5"/>
      <c r="F340" s="5"/>
      <c r="G340" s="8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265"/>
      <c r="D341" s="265"/>
      <c r="E341" s="5"/>
      <c r="F341" s="5"/>
      <c r="G341" s="8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265"/>
      <c r="D342" s="265"/>
      <c r="E342" s="5"/>
      <c r="F342" s="5"/>
      <c r="G342" s="8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265"/>
      <c r="D343" s="265"/>
      <c r="E343" s="5"/>
      <c r="F343" s="5"/>
      <c r="G343" s="8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265"/>
      <c r="D344" s="265"/>
      <c r="E344" s="5"/>
      <c r="F344" s="5"/>
      <c r="G344" s="8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265"/>
      <c r="D345" s="265"/>
      <c r="E345" s="5"/>
      <c r="F345" s="5"/>
      <c r="G345" s="8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265"/>
      <c r="D346" s="265"/>
      <c r="E346" s="5"/>
      <c r="F346" s="5"/>
      <c r="G346" s="8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265"/>
      <c r="D347" s="265"/>
      <c r="E347" s="5"/>
      <c r="F347" s="5"/>
      <c r="G347" s="8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265"/>
      <c r="D348" s="265"/>
      <c r="E348" s="5"/>
      <c r="F348" s="5"/>
      <c r="G348" s="8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265"/>
      <c r="D349" s="265"/>
      <c r="E349" s="5"/>
      <c r="F349" s="5"/>
      <c r="G349" s="8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265"/>
      <c r="D350" s="265"/>
      <c r="E350" s="5"/>
      <c r="F350" s="5"/>
      <c r="G350" s="8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265"/>
      <c r="D351" s="265"/>
      <c r="E351" s="5"/>
      <c r="F351" s="5"/>
      <c r="G351" s="8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265"/>
      <c r="D352" s="265"/>
      <c r="E352" s="5"/>
      <c r="F352" s="5"/>
      <c r="G352" s="8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265"/>
      <c r="D353" s="265"/>
      <c r="E353" s="5"/>
      <c r="F353" s="5"/>
      <c r="G353" s="8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265"/>
      <c r="D354" s="265"/>
      <c r="E354" s="5"/>
      <c r="F354" s="5"/>
      <c r="G354" s="8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265"/>
      <c r="D355" s="265"/>
      <c r="E355" s="5"/>
      <c r="F355" s="5"/>
      <c r="G355" s="8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265"/>
      <c r="D356" s="265"/>
      <c r="E356" s="5"/>
      <c r="F356" s="5"/>
      <c r="G356" s="8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265"/>
      <c r="D357" s="265"/>
      <c r="E357" s="5"/>
      <c r="F357" s="5"/>
      <c r="G357" s="8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265"/>
      <c r="D358" s="265"/>
      <c r="E358" s="5"/>
      <c r="F358" s="5"/>
      <c r="G358" s="8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265"/>
      <c r="D359" s="265"/>
      <c r="E359" s="5"/>
      <c r="F359" s="5"/>
      <c r="G359" s="8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265"/>
      <c r="D360" s="265"/>
      <c r="E360" s="5"/>
      <c r="F360" s="5"/>
      <c r="G360" s="8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265"/>
      <c r="D361" s="265"/>
      <c r="E361" s="5"/>
      <c r="F361" s="5"/>
      <c r="G361" s="8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265"/>
      <c r="D362" s="265"/>
      <c r="E362" s="5"/>
      <c r="F362" s="5"/>
      <c r="G362" s="8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265"/>
      <c r="D363" s="265"/>
      <c r="E363" s="5"/>
      <c r="F363" s="5"/>
      <c r="G363" s="8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265"/>
      <c r="D364" s="265"/>
      <c r="E364" s="5"/>
      <c r="F364" s="5"/>
      <c r="G364" s="8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265"/>
      <c r="D365" s="265"/>
      <c r="E365" s="5"/>
      <c r="F365" s="5"/>
      <c r="G365" s="8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265"/>
      <c r="D366" s="265"/>
      <c r="E366" s="5"/>
      <c r="F366" s="5"/>
      <c r="G366" s="8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265"/>
      <c r="D367" s="265"/>
      <c r="E367" s="5"/>
      <c r="F367" s="5"/>
      <c r="G367" s="8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265"/>
      <c r="D368" s="265"/>
      <c r="E368" s="5"/>
      <c r="F368" s="5"/>
      <c r="G368" s="8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265"/>
      <c r="D369" s="265"/>
      <c r="E369" s="5"/>
      <c r="F369" s="5"/>
      <c r="G369" s="8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265"/>
      <c r="D370" s="265"/>
      <c r="E370" s="5"/>
      <c r="F370" s="5"/>
      <c r="G370" s="8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265"/>
      <c r="D371" s="265"/>
      <c r="E371" s="5"/>
      <c r="F371" s="5"/>
      <c r="G371" s="8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265"/>
      <c r="D372" s="265"/>
      <c r="E372" s="5"/>
      <c r="F372" s="5"/>
      <c r="G372" s="8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265"/>
      <c r="D373" s="265"/>
      <c r="E373" s="5"/>
      <c r="F373" s="5"/>
      <c r="G373" s="8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265"/>
      <c r="D374" s="265"/>
      <c r="E374" s="5"/>
      <c r="F374" s="5"/>
      <c r="G374" s="8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265"/>
      <c r="D375" s="265"/>
      <c r="E375" s="5"/>
      <c r="F375" s="5"/>
      <c r="G375" s="8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265"/>
      <c r="D376" s="265"/>
      <c r="E376" s="5"/>
      <c r="F376" s="5"/>
      <c r="G376" s="8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265"/>
      <c r="D377" s="265"/>
      <c r="E377" s="5"/>
      <c r="F377" s="5"/>
      <c r="G377" s="8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265"/>
      <c r="D378" s="265"/>
      <c r="E378" s="5"/>
      <c r="F378" s="5"/>
      <c r="G378" s="8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265"/>
      <c r="D379" s="265"/>
      <c r="E379" s="5"/>
      <c r="F379" s="5"/>
      <c r="G379" s="8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265"/>
      <c r="D380" s="265"/>
      <c r="E380" s="5"/>
      <c r="F380" s="5"/>
      <c r="G380" s="8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265"/>
      <c r="D381" s="265"/>
      <c r="E381" s="5"/>
      <c r="F381" s="5"/>
      <c r="G381" s="8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265"/>
      <c r="D382" s="265"/>
      <c r="E382" s="5"/>
      <c r="F382" s="5"/>
      <c r="G382" s="8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265"/>
      <c r="D383" s="265"/>
      <c r="E383" s="5"/>
      <c r="F383" s="5"/>
      <c r="G383" s="8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265"/>
      <c r="D384" s="265"/>
      <c r="E384" s="5"/>
      <c r="F384" s="5"/>
      <c r="G384" s="8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265"/>
      <c r="D385" s="265"/>
      <c r="E385" s="5"/>
      <c r="F385" s="5"/>
      <c r="G385" s="8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265"/>
      <c r="D386" s="265"/>
      <c r="E386" s="5"/>
      <c r="F386" s="5"/>
      <c r="G386" s="8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265"/>
      <c r="D387" s="265"/>
      <c r="E387" s="5"/>
      <c r="F387" s="5"/>
      <c r="G387" s="8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265"/>
      <c r="D388" s="265"/>
      <c r="E388" s="5"/>
      <c r="F388" s="5"/>
      <c r="G388" s="8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265"/>
      <c r="D389" s="265"/>
      <c r="E389" s="5"/>
      <c r="F389" s="5"/>
      <c r="G389" s="8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265"/>
      <c r="D390" s="265"/>
      <c r="E390" s="5"/>
      <c r="F390" s="5"/>
      <c r="G390" s="8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265"/>
      <c r="D391" s="265"/>
      <c r="E391" s="5"/>
      <c r="F391" s="5"/>
      <c r="G391" s="8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265"/>
      <c r="D392" s="265"/>
      <c r="E392" s="5"/>
      <c r="F392" s="5"/>
      <c r="G392" s="8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265"/>
      <c r="D393" s="265"/>
      <c r="E393" s="5"/>
      <c r="F393" s="5"/>
      <c r="G393" s="8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265"/>
      <c r="D394" s="265"/>
      <c r="E394" s="5"/>
      <c r="F394" s="5"/>
      <c r="G394" s="8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265"/>
      <c r="D395" s="265"/>
      <c r="E395" s="5"/>
      <c r="F395" s="5"/>
      <c r="G395" s="8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265"/>
      <c r="D396" s="265"/>
      <c r="E396" s="5"/>
      <c r="F396" s="5"/>
      <c r="G396" s="8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265"/>
      <c r="D397" s="265"/>
      <c r="E397" s="5"/>
      <c r="F397" s="5"/>
      <c r="G397" s="8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265"/>
      <c r="D398" s="265"/>
      <c r="E398" s="5"/>
      <c r="F398" s="5"/>
      <c r="G398" s="8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265"/>
      <c r="D399" s="265"/>
      <c r="E399" s="5"/>
      <c r="F399" s="5"/>
      <c r="G399" s="8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265"/>
      <c r="D400" s="265"/>
      <c r="E400" s="5"/>
      <c r="F400" s="5"/>
      <c r="G400" s="8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265"/>
      <c r="D401" s="265"/>
      <c r="E401" s="5"/>
      <c r="F401" s="5"/>
      <c r="G401" s="8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265"/>
      <c r="D402" s="265"/>
      <c r="E402" s="5"/>
      <c r="F402" s="5"/>
      <c r="G402" s="8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265"/>
      <c r="D403" s="265"/>
      <c r="E403" s="5"/>
      <c r="F403" s="5"/>
      <c r="G403" s="8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265"/>
      <c r="D404" s="265"/>
      <c r="E404" s="5"/>
      <c r="F404" s="5"/>
      <c r="G404" s="8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265"/>
      <c r="D405" s="265"/>
      <c r="E405" s="5"/>
      <c r="F405" s="5"/>
      <c r="G405" s="8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265"/>
      <c r="D406" s="265"/>
      <c r="E406" s="5"/>
      <c r="F406" s="5"/>
      <c r="G406" s="8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265"/>
      <c r="D407" s="265"/>
      <c r="E407" s="5"/>
      <c r="F407" s="5"/>
      <c r="G407" s="8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265"/>
      <c r="D408" s="265"/>
      <c r="E408" s="5"/>
      <c r="F408" s="5"/>
      <c r="G408" s="8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265"/>
      <c r="D409" s="265"/>
      <c r="E409" s="5"/>
      <c r="F409" s="5"/>
      <c r="G409" s="8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265"/>
      <c r="D410" s="265"/>
      <c r="E410" s="5"/>
      <c r="F410" s="5"/>
      <c r="G410" s="8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265"/>
      <c r="D411" s="265"/>
      <c r="E411" s="5"/>
      <c r="F411" s="5"/>
      <c r="G411" s="8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265"/>
      <c r="D412" s="265"/>
      <c r="E412" s="5"/>
      <c r="F412" s="5"/>
      <c r="G412" s="8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265"/>
      <c r="D413" s="265"/>
      <c r="E413" s="5"/>
      <c r="F413" s="5"/>
      <c r="G413" s="8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265"/>
      <c r="D414" s="265"/>
      <c r="E414" s="5"/>
      <c r="F414" s="5"/>
      <c r="G414" s="8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265"/>
      <c r="D415" s="265"/>
      <c r="E415" s="5"/>
      <c r="F415" s="5"/>
      <c r="G415" s="8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265"/>
      <c r="D416" s="265"/>
      <c r="E416" s="5"/>
      <c r="F416" s="5"/>
      <c r="G416" s="8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265"/>
      <c r="D417" s="265"/>
      <c r="E417" s="5"/>
      <c r="F417" s="5"/>
      <c r="G417" s="8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265"/>
      <c r="D418" s="265"/>
      <c r="E418" s="5"/>
      <c r="F418" s="5"/>
      <c r="G418" s="8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265"/>
      <c r="D419" s="265"/>
      <c r="E419" s="5"/>
      <c r="F419" s="5"/>
      <c r="G419" s="8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265"/>
      <c r="D420" s="265"/>
      <c r="E420" s="5"/>
      <c r="F420" s="5"/>
      <c r="G420" s="8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265"/>
      <c r="D421" s="265"/>
      <c r="E421" s="5"/>
      <c r="F421" s="5"/>
      <c r="G421" s="8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265"/>
      <c r="D422" s="265"/>
      <c r="E422" s="5"/>
      <c r="F422" s="5"/>
      <c r="G422" s="8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265"/>
      <c r="D423" s="265"/>
      <c r="E423" s="5"/>
      <c r="F423" s="5"/>
      <c r="G423" s="8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265"/>
      <c r="D424" s="265"/>
      <c r="E424" s="5"/>
      <c r="F424" s="5"/>
      <c r="G424" s="8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265"/>
      <c r="D425" s="265"/>
      <c r="E425" s="5"/>
      <c r="F425" s="5"/>
      <c r="G425" s="8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265"/>
      <c r="D426" s="265"/>
      <c r="E426" s="5"/>
      <c r="F426" s="5"/>
      <c r="G426" s="8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265"/>
      <c r="D427" s="265"/>
      <c r="E427" s="5"/>
      <c r="F427" s="5"/>
      <c r="G427" s="8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265"/>
      <c r="D428" s="265"/>
      <c r="E428" s="5"/>
      <c r="F428" s="5"/>
      <c r="G428" s="8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265"/>
      <c r="D429" s="265"/>
      <c r="E429" s="5"/>
      <c r="F429" s="5"/>
      <c r="G429" s="8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265"/>
      <c r="D430" s="265"/>
      <c r="E430" s="5"/>
      <c r="F430" s="5"/>
      <c r="G430" s="8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265"/>
      <c r="D431" s="265"/>
      <c r="E431" s="5"/>
      <c r="F431" s="5"/>
      <c r="G431" s="8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265"/>
      <c r="D432" s="265"/>
      <c r="E432" s="5"/>
      <c r="F432" s="5"/>
      <c r="G432" s="8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265"/>
      <c r="D433" s="265"/>
      <c r="E433" s="5"/>
      <c r="F433" s="5"/>
      <c r="G433" s="8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265"/>
      <c r="D434" s="265"/>
      <c r="E434" s="5"/>
      <c r="F434" s="5"/>
      <c r="G434" s="8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265"/>
      <c r="D435" s="265"/>
      <c r="E435" s="5"/>
      <c r="F435" s="5"/>
      <c r="G435" s="8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265"/>
      <c r="D436" s="265"/>
      <c r="E436" s="5"/>
      <c r="F436" s="5"/>
      <c r="G436" s="8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265"/>
      <c r="D437" s="265"/>
      <c r="E437" s="5"/>
      <c r="F437" s="5"/>
      <c r="G437" s="8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265"/>
      <c r="D438" s="265"/>
      <c r="E438" s="5"/>
      <c r="F438" s="5"/>
      <c r="G438" s="8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265"/>
      <c r="D439" s="265"/>
      <c r="E439" s="5"/>
      <c r="F439" s="5"/>
      <c r="G439" s="8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265"/>
      <c r="D440" s="265"/>
      <c r="E440" s="5"/>
      <c r="F440" s="5"/>
      <c r="G440" s="8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265"/>
      <c r="D441" s="265"/>
      <c r="E441" s="5"/>
      <c r="F441" s="5"/>
      <c r="G441" s="8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265"/>
      <c r="D442" s="265"/>
      <c r="E442" s="5"/>
      <c r="F442" s="5"/>
      <c r="G442" s="8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265"/>
      <c r="D443" s="265"/>
      <c r="E443" s="5"/>
      <c r="F443" s="5"/>
      <c r="G443" s="8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265"/>
      <c r="D444" s="265"/>
      <c r="E444" s="5"/>
      <c r="F444" s="5"/>
      <c r="G444" s="8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265"/>
      <c r="D445" s="265"/>
      <c r="E445" s="5"/>
      <c r="F445" s="5"/>
      <c r="G445" s="8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265"/>
      <c r="D446" s="265"/>
      <c r="E446" s="5"/>
      <c r="F446" s="5"/>
      <c r="G446" s="8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265"/>
      <c r="D447" s="265"/>
      <c r="E447" s="5"/>
      <c r="F447" s="5"/>
      <c r="G447" s="8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265"/>
      <c r="D448" s="265"/>
      <c r="E448" s="5"/>
      <c r="F448" s="5"/>
      <c r="G448" s="8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265"/>
      <c r="D449" s="265"/>
      <c r="E449" s="5"/>
      <c r="F449" s="5"/>
      <c r="G449" s="8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265"/>
      <c r="D450" s="265"/>
      <c r="E450" s="5"/>
      <c r="F450" s="5"/>
      <c r="G450" s="8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265"/>
      <c r="D451" s="265"/>
      <c r="E451" s="5"/>
      <c r="F451" s="5"/>
      <c r="G451" s="8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265"/>
      <c r="D452" s="265"/>
      <c r="E452" s="5"/>
      <c r="F452" s="5"/>
      <c r="G452" s="8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265"/>
      <c r="D453" s="265"/>
      <c r="E453" s="5"/>
      <c r="F453" s="5"/>
      <c r="G453" s="8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265"/>
      <c r="D454" s="265"/>
      <c r="E454" s="5"/>
      <c r="F454" s="5"/>
      <c r="G454" s="8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265"/>
      <c r="D455" s="265"/>
      <c r="E455" s="5"/>
      <c r="F455" s="5"/>
      <c r="G455" s="8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265"/>
      <c r="D456" s="265"/>
      <c r="E456" s="5"/>
      <c r="F456" s="5"/>
      <c r="G456" s="8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265"/>
      <c r="D457" s="265"/>
      <c r="E457" s="5"/>
      <c r="F457" s="5"/>
      <c r="G457" s="8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265"/>
      <c r="D458" s="265"/>
      <c r="E458" s="5"/>
      <c r="F458" s="5"/>
      <c r="G458" s="8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265"/>
      <c r="D459" s="265"/>
      <c r="E459" s="5"/>
      <c r="F459" s="5"/>
      <c r="G459" s="8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265"/>
      <c r="D460" s="265"/>
      <c r="E460" s="5"/>
      <c r="F460" s="5"/>
      <c r="G460" s="8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265"/>
      <c r="D461" s="265"/>
      <c r="E461" s="5"/>
      <c r="F461" s="5"/>
      <c r="G461" s="8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265"/>
      <c r="D462" s="265"/>
      <c r="E462" s="5"/>
      <c r="F462" s="5"/>
      <c r="G462" s="8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265"/>
      <c r="D463" s="265"/>
      <c r="E463" s="5"/>
      <c r="F463" s="5"/>
      <c r="G463" s="8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265"/>
      <c r="D464" s="265"/>
      <c r="E464" s="5"/>
      <c r="F464" s="5"/>
      <c r="G464" s="8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265"/>
      <c r="D465" s="265"/>
      <c r="E465" s="5"/>
      <c r="F465" s="5"/>
      <c r="G465" s="8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265"/>
      <c r="D466" s="265"/>
      <c r="E466" s="5"/>
      <c r="F466" s="5"/>
      <c r="G466" s="8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265"/>
      <c r="D467" s="265"/>
      <c r="E467" s="5"/>
      <c r="F467" s="5"/>
      <c r="G467" s="8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265"/>
      <c r="D468" s="265"/>
      <c r="E468" s="5"/>
      <c r="F468" s="5"/>
      <c r="G468" s="8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265"/>
      <c r="D469" s="265"/>
      <c r="E469" s="5"/>
      <c r="F469" s="5"/>
      <c r="G469" s="8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265"/>
      <c r="D470" s="265"/>
      <c r="E470" s="5"/>
      <c r="F470" s="5"/>
      <c r="G470" s="8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265"/>
      <c r="D471" s="265"/>
      <c r="E471" s="5"/>
      <c r="F471" s="5"/>
      <c r="G471" s="8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265"/>
      <c r="D472" s="265"/>
      <c r="E472" s="5"/>
      <c r="F472" s="5"/>
      <c r="G472" s="8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265"/>
      <c r="D473" s="265"/>
      <c r="E473" s="5"/>
      <c r="F473" s="5"/>
      <c r="G473" s="8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265"/>
      <c r="D474" s="265"/>
      <c r="E474" s="5"/>
      <c r="F474" s="5"/>
      <c r="G474" s="8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265"/>
      <c r="D475" s="265"/>
      <c r="E475" s="5"/>
      <c r="F475" s="5"/>
      <c r="G475" s="8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265"/>
      <c r="D476" s="265"/>
      <c r="E476" s="5"/>
      <c r="F476" s="5"/>
      <c r="G476" s="8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265"/>
      <c r="D477" s="265"/>
      <c r="E477" s="5"/>
      <c r="F477" s="5"/>
      <c r="G477" s="8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265"/>
      <c r="D478" s="265"/>
      <c r="E478" s="5"/>
      <c r="F478" s="5"/>
      <c r="G478" s="8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265"/>
      <c r="D479" s="265"/>
      <c r="E479" s="5"/>
      <c r="F479" s="5"/>
      <c r="G479" s="8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265"/>
      <c r="D480" s="265"/>
      <c r="E480" s="5"/>
      <c r="F480" s="5"/>
      <c r="G480" s="8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265"/>
      <c r="D481" s="265"/>
      <c r="E481" s="5"/>
      <c r="F481" s="5"/>
      <c r="G481" s="8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265"/>
      <c r="D482" s="265"/>
      <c r="E482" s="5"/>
      <c r="F482" s="5"/>
      <c r="G482" s="8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265"/>
      <c r="D483" s="265"/>
      <c r="E483" s="5"/>
      <c r="F483" s="5"/>
      <c r="G483" s="8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265"/>
      <c r="D484" s="265"/>
      <c r="E484" s="5"/>
      <c r="F484" s="5"/>
      <c r="G484" s="8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265"/>
      <c r="D485" s="265"/>
      <c r="E485" s="5"/>
      <c r="F485" s="5"/>
      <c r="G485" s="8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265"/>
      <c r="D486" s="265"/>
      <c r="E486" s="5"/>
      <c r="F486" s="5"/>
      <c r="G486" s="8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265"/>
      <c r="D487" s="265"/>
      <c r="E487" s="5"/>
      <c r="F487" s="5"/>
      <c r="G487" s="8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265"/>
      <c r="D488" s="265"/>
      <c r="E488" s="5"/>
      <c r="F488" s="5"/>
      <c r="G488" s="8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265"/>
      <c r="D489" s="265"/>
      <c r="E489" s="5"/>
      <c r="F489" s="5"/>
      <c r="G489" s="8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265"/>
      <c r="D490" s="265"/>
      <c r="E490" s="5"/>
      <c r="F490" s="5"/>
      <c r="G490" s="8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265"/>
      <c r="D491" s="265"/>
      <c r="E491" s="5"/>
      <c r="F491" s="5"/>
      <c r="G491" s="8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265"/>
      <c r="D492" s="265"/>
      <c r="E492" s="5"/>
      <c r="F492" s="5"/>
      <c r="G492" s="8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265"/>
      <c r="D493" s="265"/>
      <c r="E493" s="5"/>
      <c r="F493" s="5"/>
      <c r="G493" s="8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265"/>
      <c r="D494" s="265"/>
      <c r="E494" s="5"/>
      <c r="F494" s="5"/>
      <c r="G494" s="8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265"/>
      <c r="D495" s="265"/>
      <c r="E495" s="5"/>
      <c r="F495" s="5"/>
      <c r="G495" s="8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265"/>
      <c r="D496" s="265"/>
      <c r="E496" s="5"/>
      <c r="F496" s="5"/>
      <c r="G496" s="8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265"/>
      <c r="D497" s="265"/>
      <c r="E497" s="5"/>
      <c r="F497" s="5"/>
      <c r="G497" s="8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265"/>
      <c r="D498" s="265"/>
      <c r="E498" s="5"/>
      <c r="F498" s="5"/>
      <c r="G498" s="8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265"/>
      <c r="D499" s="265"/>
      <c r="E499" s="5"/>
      <c r="F499" s="5"/>
      <c r="G499" s="8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265"/>
      <c r="D500" s="265"/>
      <c r="E500" s="5"/>
      <c r="F500" s="5"/>
      <c r="G500" s="8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265"/>
      <c r="D501" s="265"/>
      <c r="E501" s="5"/>
      <c r="F501" s="5"/>
      <c r="G501" s="8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265"/>
      <c r="D502" s="265"/>
      <c r="E502" s="5"/>
      <c r="F502" s="5"/>
      <c r="G502" s="8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265"/>
      <c r="D503" s="265"/>
      <c r="E503" s="5"/>
      <c r="F503" s="5"/>
      <c r="G503" s="8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265"/>
      <c r="D504" s="265"/>
      <c r="E504" s="5"/>
      <c r="F504" s="5"/>
      <c r="G504" s="8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265"/>
      <c r="D505" s="265"/>
      <c r="E505" s="5"/>
      <c r="F505" s="5"/>
      <c r="G505" s="8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265"/>
      <c r="D506" s="265"/>
      <c r="E506" s="5"/>
      <c r="F506" s="5"/>
      <c r="G506" s="8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265"/>
      <c r="D507" s="265"/>
      <c r="E507" s="5"/>
      <c r="F507" s="5"/>
      <c r="G507" s="8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265"/>
      <c r="D508" s="265"/>
      <c r="E508" s="5"/>
      <c r="F508" s="5"/>
      <c r="G508" s="8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265"/>
      <c r="D509" s="265"/>
      <c r="E509" s="5"/>
      <c r="F509" s="5"/>
      <c r="G509" s="8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265"/>
      <c r="D510" s="265"/>
      <c r="E510" s="5"/>
      <c r="F510" s="5"/>
      <c r="G510" s="8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265"/>
      <c r="D511" s="265"/>
      <c r="E511" s="5"/>
      <c r="F511" s="5"/>
      <c r="G511" s="8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265"/>
      <c r="D512" s="265"/>
      <c r="E512" s="5"/>
      <c r="F512" s="5"/>
      <c r="G512" s="8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265"/>
      <c r="D513" s="265"/>
      <c r="E513" s="5"/>
      <c r="F513" s="5"/>
      <c r="G513" s="8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265"/>
      <c r="D514" s="265"/>
      <c r="E514" s="5"/>
      <c r="F514" s="5"/>
      <c r="G514" s="8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265"/>
      <c r="D515" s="265"/>
      <c r="E515" s="5"/>
      <c r="F515" s="5"/>
      <c r="G515" s="8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265"/>
      <c r="D516" s="265"/>
      <c r="E516" s="5"/>
      <c r="F516" s="5"/>
      <c r="G516" s="8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265"/>
      <c r="D517" s="265"/>
      <c r="E517" s="5"/>
      <c r="F517" s="5"/>
      <c r="G517" s="8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265"/>
      <c r="D518" s="265"/>
      <c r="E518" s="5"/>
      <c r="F518" s="5"/>
      <c r="G518" s="8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265"/>
      <c r="D519" s="265"/>
      <c r="E519" s="5"/>
      <c r="F519" s="5"/>
      <c r="G519" s="8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265"/>
      <c r="D520" s="265"/>
      <c r="E520" s="5"/>
      <c r="F520" s="5"/>
      <c r="G520" s="8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265"/>
      <c r="D521" s="265"/>
      <c r="E521" s="5"/>
      <c r="F521" s="5"/>
      <c r="G521" s="8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265"/>
      <c r="D522" s="265"/>
      <c r="E522" s="5"/>
      <c r="F522" s="5"/>
      <c r="G522" s="8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265"/>
      <c r="D523" s="265"/>
      <c r="E523" s="5"/>
      <c r="F523" s="5"/>
      <c r="G523" s="8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265"/>
      <c r="D524" s="265"/>
      <c r="E524" s="5"/>
      <c r="F524" s="5"/>
      <c r="G524" s="8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265"/>
      <c r="D525" s="265"/>
      <c r="E525" s="5"/>
      <c r="F525" s="5"/>
      <c r="G525" s="8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265"/>
      <c r="D526" s="265"/>
      <c r="E526" s="5"/>
      <c r="F526" s="5"/>
      <c r="G526" s="83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265"/>
      <c r="D527" s="265"/>
      <c r="E527" s="5"/>
      <c r="F527" s="5"/>
      <c r="G527" s="83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265"/>
      <c r="D528" s="265"/>
      <c r="E528" s="5"/>
      <c r="F528" s="5"/>
      <c r="G528" s="83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265"/>
      <c r="D529" s="265"/>
      <c r="E529" s="5"/>
      <c r="F529" s="5"/>
      <c r="G529" s="83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265"/>
      <c r="D530" s="265"/>
      <c r="E530" s="5"/>
      <c r="F530" s="5"/>
      <c r="G530" s="83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265"/>
      <c r="D531" s="265"/>
      <c r="E531" s="5"/>
      <c r="F531" s="5"/>
      <c r="G531" s="83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265"/>
      <c r="D532" s="265"/>
      <c r="E532" s="5"/>
      <c r="F532" s="5"/>
      <c r="G532" s="83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265"/>
      <c r="D533" s="265"/>
      <c r="E533" s="5"/>
      <c r="F533" s="5"/>
      <c r="G533" s="83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265"/>
      <c r="D534" s="265"/>
      <c r="E534" s="5"/>
      <c r="F534" s="5"/>
      <c r="G534" s="83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265"/>
      <c r="D535" s="265"/>
      <c r="E535" s="5"/>
      <c r="F535" s="5"/>
      <c r="G535" s="83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265"/>
      <c r="D536" s="265"/>
      <c r="E536" s="5"/>
      <c r="F536" s="5"/>
      <c r="G536" s="83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265"/>
      <c r="D537" s="265"/>
      <c r="E537" s="5"/>
      <c r="F537" s="5"/>
      <c r="G537" s="83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265"/>
      <c r="D538" s="265"/>
      <c r="E538" s="5"/>
      <c r="F538" s="5"/>
      <c r="G538" s="83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265"/>
      <c r="D539" s="265"/>
      <c r="E539" s="5"/>
      <c r="F539" s="5"/>
      <c r="G539" s="83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265"/>
      <c r="D540" s="265"/>
      <c r="E540" s="5"/>
      <c r="F540" s="5"/>
      <c r="G540" s="83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265"/>
      <c r="D541" s="265"/>
      <c r="E541" s="5"/>
      <c r="F541" s="5"/>
      <c r="G541" s="83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265"/>
      <c r="D542" s="265"/>
      <c r="E542" s="5"/>
      <c r="F542" s="5"/>
      <c r="G542" s="83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265"/>
      <c r="D543" s="265"/>
      <c r="E543" s="5"/>
      <c r="F543" s="5"/>
      <c r="G543" s="83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265"/>
      <c r="D544" s="265"/>
      <c r="E544" s="5"/>
      <c r="F544" s="5"/>
      <c r="G544" s="83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265"/>
      <c r="D545" s="265"/>
      <c r="E545" s="5"/>
      <c r="F545" s="5"/>
      <c r="G545" s="83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265"/>
      <c r="D546" s="265"/>
      <c r="E546" s="5"/>
      <c r="F546" s="5"/>
      <c r="G546" s="83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265"/>
      <c r="D547" s="265"/>
      <c r="E547" s="5"/>
      <c r="F547" s="5"/>
      <c r="G547" s="83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265"/>
      <c r="D548" s="265"/>
      <c r="E548" s="5"/>
      <c r="F548" s="5"/>
      <c r="G548" s="83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265"/>
      <c r="D549" s="265"/>
      <c r="E549" s="5"/>
      <c r="F549" s="5"/>
      <c r="G549" s="83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265"/>
      <c r="D550" s="265"/>
      <c r="E550" s="5"/>
      <c r="F550" s="5"/>
      <c r="G550" s="83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265"/>
      <c r="D551" s="265"/>
      <c r="E551" s="5"/>
      <c r="F551" s="5"/>
      <c r="G551" s="83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265"/>
      <c r="D552" s="265"/>
      <c r="E552" s="5"/>
      <c r="F552" s="5"/>
      <c r="G552" s="83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265"/>
      <c r="D553" s="265"/>
      <c r="E553" s="5"/>
      <c r="F553" s="5"/>
      <c r="G553" s="83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265"/>
      <c r="D554" s="265"/>
      <c r="E554" s="5"/>
      <c r="F554" s="5"/>
      <c r="G554" s="83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265"/>
      <c r="D555" s="265"/>
      <c r="E555" s="5"/>
      <c r="F555" s="5"/>
      <c r="G555" s="83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265"/>
      <c r="D556" s="265"/>
      <c r="E556" s="5"/>
      <c r="F556" s="5"/>
      <c r="G556" s="83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265"/>
      <c r="D557" s="265"/>
      <c r="E557" s="5"/>
      <c r="F557" s="5"/>
      <c r="G557" s="83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265"/>
      <c r="D558" s="265"/>
      <c r="E558" s="5"/>
      <c r="F558" s="5"/>
      <c r="G558" s="83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265"/>
      <c r="D559" s="265"/>
      <c r="E559" s="5"/>
      <c r="F559" s="5"/>
      <c r="G559" s="83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265"/>
      <c r="D560" s="265"/>
      <c r="E560" s="5"/>
      <c r="F560" s="5"/>
      <c r="G560" s="83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265"/>
      <c r="D561" s="265"/>
      <c r="E561" s="5"/>
      <c r="F561" s="5"/>
      <c r="G561" s="83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265"/>
      <c r="D562" s="265"/>
      <c r="E562" s="5"/>
      <c r="F562" s="5"/>
      <c r="G562" s="83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265"/>
      <c r="D563" s="265"/>
      <c r="E563" s="5"/>
      <c r="F563" s="5"/>
      <c r="G563" s="83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265"/>
      <c r="D564" s="265"/>
      <c r="E564" s="5"/>
      <c r="F564" s="5"/>
      <c r="G564" s="83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265"/>
      <c r="D565" s="265"/>
      <c r="E565" s="5"/>
      <c r="F565" s="5"/>
      <c r="G565" s="83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265"/>
      <c r="D566" s="265"/>
      <c r="E566" s="5"/>
      <c r="F566" s="5"/>
      <c r="G566" s="83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265"/>
      <c r="D567" s="265"/>
      <c r="E567" s="5"/>
      <c r="F567" s="5"/>
      <c r="G567" s="83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265"/>
      <c r="D568" s="265"/>
      <c r="E568" s="5"/>
      <c r="F568" s="5"/>
      <c r="G568" s="83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265"/>
      <c r="D569" s="265"/>
      <c r="E569" s="5"/>
      <c r="F569" s="5"/>
      <c r="G569" s="83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265"/>
      <c r="D570" s="265"/>
      <c r="E570" s="5"/>
      <c r="F570" s="5"/>
      <c r="G570" s="83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265"/>
      <c r="D571" s="265"/>
      <c r="E571" s="5"/>
      <c r="F571" s="5"/>
      <c r="G571" s="83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265"/>
      <c r="D572" s="265"/>
      <c r="E572" s="5"/>
      <c r="F572" s="5"/>
      <c r="G572" s="83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265"/>
      <c r="D573" s="265"/>
      <c r="E573" s="5"/>
      <c r="F573" s="5"/>
      <c r="G573" s="83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265"/>
      <c r="D574" s="265"/>
      <c r="E574" s="5"/>
      <c r="F574" s="5"/>
      <c r="G574" s="83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265"/>
      <c r="D575" s="265"/>
      <c r="E575" s="5"/>
      <c r="F575" s="5"/>
      <c r="G575" s="83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265"/>
      <c r="D576" s="265"/>
      <c r="E576" s="5"/>
      <c r="F576" s="5"/>
      <c r="G576" s="83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265"/>
      <c r="D577" s="265"/>
      <c r="E577" s="5"/>
      <c r="F577" s="5"/>
      <c r="G577" s="83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265"/>
      <c r="D578" s="265"/>
      <c r="E578" s="5"/>
      <c r="F578" s="5"/>
      <c r="G578" s="83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265"/>
      <c r="D579" s="265"/>
      <c r="E579" s="5"/>
      <c r="F579" s="5"/>
      <c r="G579" s="83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265"/>
      <c r="D580" s="265"/>
      <c r="E580" s="5"/>
      <c r="F580" s="5"/>
      <c r="G580" s="83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265"/>
      <c r="D581" s="265"/>
      <c r="E581" s="5"/>
      <c r="F581" s="5"/>
      <c r="G581" s="83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265"/>
      <c r="D582" s="265"/>
      <c r="E582" s="5"/>
      <c r="F582" s="5"/>
      <c r="G582" s="83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265"/>
      <c r="D583" s="265"/>
      <c r="E583" s="5"/>
      <c r="F583" s="5"/>
      <c r="G583" s="83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265"/>
      <c r="D584" s="265"/>
      <c r="E584" s="5"/>
      <c r="F584" s="5"/>
      <c r="G584" s="83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265"/>
      <c r="D585" s="265"/>
      <c r="E585" s="5"/>
      <c r="F585" s="5"/>
      <c r="G585" s="83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265"/>
      <c r="D586" s="265"/>
      <c r="E586" s="5"/>
      <c r="F586" s="5"/>
      <c r="G586" s="83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265"/>
      <c r="D587" s="265"/>
      <c r="E587" s="5"/>
      <c r="F587" s="5"/>
      <c r="G587" s="83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265"/>
      <c r="D588" s="265"/>
      <c r="E588" s="5"/>
      <c r="F588" s="5"/>
      <c r="G588" s="83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265"/>
      <c r="D589" s="265"/>
      <c r="E589" s="5"/>
      <c r="F589" s="5"/>
      <c r="G589" s="83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265"/>
      <c r="D590" s="265"/>
      <c r="E590" s="5"/>
      <c r="F590" s="5"/>
      <c r="G590" s="83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265"/>
      <c r="D591" s="265"/>
      <c r="E591" s="5"/>
      <c r="F591" s="5"/>
      <c r="G591" s="83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265"/>
      <c r="D592" s="265"/>
      <c r="E592" s="5"/>
      <c r="F592" s="5"/>
      <c r="G592" s="83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265"/>
      <c r="D593" s="265"/>
      <c r="E593" s="5"/>
      <c r="F593" s="5"/>
      <c r="G593" s="83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265"/>
      <c r="D594" s="265"/>
      <c r="E594" s="5"/>
      <c r="F594" s="5"/>
      <c r="G594" s="83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265"/>
      <c r="D595" s="265"/>
      <c r="E595" s="5"/>
      <c r="F595" s="5"/>
      <c r="G595" s="83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265"/>
      <c r="D596" s="265"/>
      <c r="E596" s="5"/>
      <c r="F596" s="5"/>
      <c r="G596" s="83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265"/>
      <c r="D597" s="265"/>
      <c r="E597" s="5"/>
      <c r="F597" s="5"/>
      <c r="G597" s="83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265"/>
      <c r="D598" s="265"/>
      <c r="E598" s="5"/>
      <c r="F598" s="5"/>
      <c r="G598" s="83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265"/>
      <c r="D599" s="265"/>
      <c r="E599" s="5"/>
      <c r="F599" s="5"/>
      <c r="G599" s="83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265"/>
      <c r="D600" s="265"/>
      <c r="E600" s="5"/>
      <c r="F600" s="5"/>
      <c r="G600" s="83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265"/>
      <c r="D601" s="265"/>
      <c r="E601" s="5"/>
      <c r="F601" s="5"/>
      <c r="G601" s="83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265"/>
      <c r="D602" s="265"/>
      <c r="E602" s="5"/>
      <c r="F602" s="5"/>
      <c r="G602" s="83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265"/>
      <c r="D603" s="265"/>
      <c r="E603" s="5"/>
      <c r="F603" s="5"/>
      <c r="G603" s="83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265"/>
      <c r="D604" s="265"/>
      <c r="E604" s="5"/>
      <c r="F604" s="5"/>
      <c r="G604" s="83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265"/>
      <c r="D605" s="265"/>
      <c r="E605" s="5"/>
      <c r="F605" s="5"/>
      <c r="G605" s="83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265"/>
      <c r="D606" s="265"/>
      <c r="E606" s="5"/>
      <c r="F606" s="5"/>
      <c r="G606" s="83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265"/>
      <c r="D607" s="265"/>
      <c r="E607" s="5"/>
      <c r="F607" s="5"/>
      <c r="G607" s="83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265"/>
      <c r="D608" s="265"/>
      <c r="E608" s="5"/>
      <c r="F608" s="5"/>
      <c r="G608" s="83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265"/>
      <c r="D609" s="265"/>
      <c r="E609" s="5"/>
      <c r="F609" s="5"/>
      <c r="G609" s="83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265"/>
      <c r="D610" s="265"/>
      <c r="E610" s="5"/>
      <c r="F610" s="5"/>
      <c r="G610" s="83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265"/>
      <c r="D611" s="265"/>
      <c r="E611" s="5"/>
      <c r="F611" s="5"/>
      <c r="G611" s="83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265"/>
      <c r="D612" s="265"/>
      <c r="E612" s="5"/>
      <c r="F612" s="5"/>
      <c r="G612" s="83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265"/>
      <c r="D613" s="265"/>
      <c r="E613" s="5"/>
      <c r="F613" s="5"/>
      <c r="G613" s="83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265"/>
      <c r="D614" s="265"/>
      <c r="E614" s="5"/>
      <c r="F614" s="5"/>
      <c r="G614" s="83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265"/>
      <c r="D615" s="265"/>
      <c r="E615" s="5"/>
      <c r="F615" s="5"/>
      <c r="G615" s="83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265"/>
      <c r="D616" s="265"/>
      <c r="E616" s="5"/>
      <c r="F616" s="5"/>
      <c r="G616" s="83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265"/>
      <c r="D617" s="265"/>
      <c r="E617" s="5"/>
      <c r="F617" s="5"/>
      <c r="G617" s="83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265"/>
      <c r="D618" s="265"/>
      <c r="E618" s="5"/>
      <c r="F618" s="5"/>
      <c r="G618" s="83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265"/>
      <c r="D619" s="265"/>
      <c r="E619" s="5"/>
      <c r="F619" s="5"/>
      <c r="G619" s="83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265"/>
      <c r="D620" s="265"/>
      <c r="E620" s="5"/>
      <c r="F620" s="5"/>
      <c r="G620" s="83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265"/>
      <c r="D621" s="265"/>
      <c r="E621" s="5"/>
      <c r="F621" s="5"/>
      <c r="G621" s="83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265"/>
      <c r="D622" s="265"/>
      <c r="E622" s="5"/>
      <c r="F622" s="5"/>
      <c r="G622" s="83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265"/>
      <c r="D623" s="265"/>
      <c r="E623" s="5"/>
      <c r="F623" s="5"/>
      <c r="G623" s="83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265"/>
      <c r="D624" s="265"/>
      <c r="E624" s="5"/>
      <c r="F624" s="5"/>
      <c r="G624" s="83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265"/>
      <c r="D625" s="265"/>
      <c r="E625" s="5"/>
      <c r="F625" s="5"/>
      <c r="G625" s="83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265"/>
      <c r="D626" s="265"/>
      <c r="E626" s="5"/>
      <c r="F626" s="5"/>
      <c r="G626" s="83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265"/>
      <c r="D627" s="265"/>
      <c r="E627" s="5"/>
      <c r="F627" s="5"/>
      <c r="G627" s="83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265"/>
      <c r="D628" s="265"/>
      <c r="E628" s="5"/>
      <c r="F628" s="5"/>
      <c r="G628" s="83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265"/>
      <c r="D629" s="265"/>
      <c r="E629" s="5"/>
      <c r="F629" s="5"/>
      <c r="G629" s="83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265"/>
      <c r="D630" s="265"/>
      <c r="E630" s="5"/>
      <c r="F630" s="5"/>
      <c r="G630" s="83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265"/>
      <c r="D631" s="265"/>
      <c r="E631" s="5"/>
      <c r="F631" s="5"/>
      <c r="G631" s="83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265"/>
      <c r="D632" s="265"/>
      <c r="E632" s="5"/>
      <c r="F632" s="5"/>
      <c r="G632" s="83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265"/>
      <c r="D633" s="265"/>
      <c r="E633" s="5"/>
      <c r="F633" s="5"/>
      <c r="G633" s="83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265"/>
      <c r="D634" s="265"/>
      <c r="E634" s="5"/>
      <c r="F634" s="5"/>
      <c r="G634" s="83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265"/>
      <c r="D635" s="265"/>
      <c r="E635" s="5"/>
      <c r="F635" s="5"/>
      <c r="G635" s="83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265"/>
      <c r="D636" s="265"/>
      <c r="E636" s="5"/>
      <c r="F636" s="5"/>
      <c r="G636" s="83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265"/>
      <c r="D637" s="265"/>
      <c r="E637" s="5"/>
      <c r="F637" s="5"/>
      <c r="G637" s="83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265"/>
      <c r="D638" s="265"/>
      <c r="E638" s="5"/>
      <c r="F638" s="5"/>
      <c r="G638" s="83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265"/>
      <c r="D639" s="265"/>
      <c r="E639" s="5"/>
      <c r="F639" s="5"/>
      <c r="G639" s="83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265"/>
      <c r="D640" s="265"/>
      <c r="E640" s="5"/>
      <c r="F640" s="5"/>
      <c r="G640" s="83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265"/>
      <c r="D641" s="265"/>
      <c r="E641" s="5"/>
      <c r="F641" s="5"/>
      <c r="G641" s="83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265"/>
      <c r="D642" s="265"/>
      <c r="E642" s="5"/>
      <c r="F642" s="5"/>
      <c r="G642" s="83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265"/>
      <c r="D643" s="265"/>
      <c r="E643" s="5"/>
      <c r="F643" s="5"/>
      <c r="G643" s="83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265"/>
      <c r="D644" s="265"/>
      <c r="E644" s="5"/>
      <c r="F644" s="5"/>
      <c r="G644" s="83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265"/>
      <c r="D645" s="265"/>
      <c r="E645" s="5"/>
      <c r="F645" s="5"/>
      <c r="G645" s="83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265"/>
      <c r="D646" s="265"/>
      <c r="E646" s="5"/>
      <c r="F646" s="5"/>
      <c r="G646" s="83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265"/>
      <c r="D647" s="265"/>
      <c r="E647" s="5"/>
      <c r="F647" s="5"/>
      <c r="G647" s="83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265"/>
      <c r="D648" s="265"/>
      <c r="E648" s="5"/>
      <c r="F648" s="5"/>
      <c r="G648" s="83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265"/>
      <c r="D649" s="265"/>
      <c r="E649" s="5"/>
      <c r="F649" s="5"/>
      <c r="G649" s="83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265"/>
      <c r="D650" s="265"/>
      <c r="E650" s="5"/>
      <c r="F650" s="5"/>
      <c r="G650" s="83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265"/>
      <c r="D651" s="265"/>
      <c r="E651" s="5"/>
      <c r="F651" s="5"/>
      <c r="G651" s="83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265"/>
      <c r="D652" s="265"/>
      <c r="E652" s="5"/>
      <c r="F652" s="5"/>
      <c r="G652" s="83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265"/>
      <c r="D653" s="265"/>
      <c r="E653" s="5"/>
      <c r="F653" s="5"/>
      <c r="G653" s="83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265"/>
      <c r="D654" s="265"/>
      <c r="E654" s="5"/>
      <c r="F654" s="5"/>
      <c r="G654" s="83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265"/>
      <c r="D655" s="265"/>
      <c r="E655" s="5"/>
      <c r="F655" s="5"/>
      <c r="G655" s="83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265"/>
      <c r="D656" s="265"/>
      <c r="E656" s="5"/>
      <c r="F656" s="5"/>
      <c r="G656" s="83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265"/>
      <c r="D657" s="265"/>
      <c r="E657" s="5"/>
      <c r="F657" s="5"/>
      <c r="G657" s="83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265"/>
      <c r="D658" s="265"/>
      <c r="E658" s="5"/>
      <c r="F658" s="5"/>
      <c r="G658" s="83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265"/>
      <c r="D659" s="265"/>
      <c r="E659" s="5"/>
      <c r="F659" s="5"/>
      <c r="G659" s="83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265"/>
      <c r="D660" s="265"/>
      <c r="E660" s="5"/>
      <c r="F660" s="5"/>
      <c r="G660" s="83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265"/>
      <c r="D661" s="265"/>
      <c r="E661" s="5"/>
      <c r="F661" s="5"/>
      <c r="G661" s="83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265"/>
      <c r="D662" s="265"/>
      <c r="E662" s="5"/>
      <c r="F662" s="5"/>
      <c r="G662" s="83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265"/>
      <c r="D663" s="265"/>
      <c r="E663" s="5"/>
      <c r="F663" s="5"/>
      <c r="G663" s="83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265"/>
      <c r="D664" s="265"/>
      <c r="E664" s="5"/>
      <c r="F664" s="5"/>
      <c r="G664" s="8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265"/>
      <c r="D665" s="265"/>
      <c r="E665" s="5"/>
      <c r="F665" s="5"/>
      <c r="G665" s="83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265"/>
      <c r="D666" s="265"/>
      <c r="E666" s="5"/>
      <c r="F666" s="5"/>
      <c r="G666" s="83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265"/>
      <c r="D667" s="265"/>
      <c r="E667" s="5"/>
      <c r="F667" s="5"/>
      <c r="G667" s="83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265"/>
      <c r="D668" s="265"/>
      <c r="E668" s="5"/>
      <c r="F668" s="5"/>
      <c r="G668" s="83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265"/>
      <c r="D669" s="265"/>
      <c r="E669" s="5"/>
      <c r="F669" s="5"/>
      <c r="G669" s="83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265"/>
      <c r="D670" s="265"/>
      <c r="E670" s="5"/>
      <c r="F670" s="5"/>
      <c r="G670" s="83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265"/>
      <c r="D671" s="265"/>
      <c r="E671" s="5"/>
      <c r="F671" s="5"/>
      <c r="G671" s="83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265"/>
      <c r="D672" s="265"/>
      <c r="E672" s="5"/>
      <c r="F672" s="5"/>
      <c r="G672" s="83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265"/>
      <c r="D673" s="265"/>
      <c r="E673" s="5"/>
      <c r="F673" s="5"/>
      <c r="G673" s="83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265"/>
      <c r="D674" s="265"/>
      <c r="E674" s="5"/>
      <c r="F674" s="5"/>
      <c r="G674" s="83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265"/>
      <c r="D675" s="265"/>
      <c r="E675" s="5"/>
      <c r="F675" s="5"/>
      <c r="G675" s="83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265"/>
      <c r="D676" s="265"/>
      <c r="E676" s="5"/>
      <c r="F676" s="5"/>
      <c r="G676" s="83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265"/>
      <c r="D677" s="265"/>
      <c r="E677" s="5"/>
      <c r="F677" s="5"/>
      <c r="G677" s="83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265"/>
      <c r="D678" s="265"/>
      <c r="E678" s="5"/>
      <c r="F678" s="5"/>
      <c r="G678" s="83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265"/>
      <c r="D679" s="265"/>
      <c r="E679" s="5"/>
      <c r="F679" s="5"/>
      <c r="G679" s="83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265"/>
      <c r="D680" s="265"/>
      <c r="E680" s="5"/>
      <c r="F680" s="5"/>
      <c r="G680" s="83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265"/>
      <c r="D681" s="265"/>
      <c r="E681" s="5"/>
      <c r="F681" s="5"/>
      <c r="G681" s="83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265"/>
      <c r="D682" s="265"/>
      <c r="E682" s="5"/>
      <c r="F682" s="5"/>
      <c r="G682" s="83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265"/>
      <c r="D683" s="265"/>
      <c r="E683" s="5"/>
      <c r="F683" s="5"/>
      <c r="G683" s="83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265"/>
      <c r="D684" s="265"/>
      <c r="E684" s="5"/>
      <c r="F684" s="5"/>
      <c r="G684" s="83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265"/>
      <c r="D685" s="265"/>
      <c r="E685" s="5"/>
      <c r="F685" s="5"/>
      <c r="G685" s="83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265"/>
      <c r="D686" s="265"/>
      <c r="E686" s="5"/>
      <c r="F686" s="5"/>
      <c r="G686" s="83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265"/>
      <c r="D687" s="265"/>
      <c r="E687" s="5"/>
      <c r="F687" s="5"/>
      <c r="G687" s="83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265"/>
      <c r="D688" s="265"/>
      <c r="E688" s="5"/>
      <c r="F688" s="5"/>
      <c r="G688" s="83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265"/>
      <c r="D689" s="265"/>
      <c r="E689" s="5"/>
      <c r="F689" s="5"/>
      <c r="G689" s="83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265"/>
      <c r="D690" s="265"/>
      <c r="E690" s="5"/>
      <c r="F690" s="5"/>
      <c r="G690" s="83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265"/>
      <c r="D691" s="265"/>
      <c r="E691" s="5"/>
      <c r="F691" s="5"/>
      <c r="G691" s="83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265"/>
      <c r="D692" s="265"/>
      <c r="E692" s="5"/>
      <c r="F692" s="5"/>
      <c r="G692" s="83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265"/>
      <c r="D693" s="265"/>
      <c r="E693" s="5"/>
      <c r="F693" s="5"/>
      <c r="G693" s="83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265"/>
      <c r="D694" s="265"/>
      <c r="E694" s="5"/>
      <c r="F694" s="5"/>
      <c r="G694" s="83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265"/>
      <c r="D695" s="265"/>
      <c r="E695" s="5"/>
      <c r="F695" s="5"/>
      <c r="G695" s="83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265"/>
      <c r="D696" s="265"/>
      <c r="E696" s="5"/>
      <c r="F696" s="5"/>
      <c r="G696" s="83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265"/>
      <c r="D697" s="265"/>
      <c r="E697" s="5"/>
      <c r="F697" s="5"/>
      <c r="G697" s="83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265"/>
      <c r="D698" s="265"/>
      <c r="E698" s="5"/>
      <c r="F698" s="5"/>
      <c r="G698" s="83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265"/>
      <c r="D699" s="265"/>
      <c r="E699" s="5"/>
      <c r="F699" s="5"/>
      <c r="G699" s="83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265"/>
      <c r="D700" s="265"/>
      <c r="E700" s="5"/>
      <c r="F700" s="5"/>
      <c r="G700" s="83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265"/>
      <c r="D701" s="265"/>
      <c r="E701" s="5"/>
      <c r="F701" s="5"/>
      <c r="G701" s="83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265"/>
      <c r="D702" s="265"/>
      <c r="E702" s="5"/>
      <c r="F702" s="5"/>
      <c r="G702" s="83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265"/>
      <c r="D703" s="265"/>
      <c r="E703" s="5"/>
      <c r="F703" s="5"/>
      <c r="G703" s="83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265"/>
      <c r="D704" s="265"/>
      <c r="E704" s="5"/>
      <c r="F704" s="5"/>
      <c r="G704" s="83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265"/>
      <c r="D705" s="265"/>
      <c r="E705" s="5"/>
      <c r="F705" s="5"/>
      <c r="G705" s="83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265"/>
      <c r="D706" s="265"/>
      <c r="E706" s="5"/>
      <c r="F706" s="5"/>
      <c r="G706" s="83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265"/>
      <c r="D707" s="265"/>
      <c r="E707" s="5"/>
      <c r="F707" s="5"/>
      <c r="G707" s="83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265"/>
      <c r="D708" s="265"/>
      <c r="E708" s="5"/>
      <c r="F708" s="5"/>
      <c r="G708" s="83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265"/>
      <c r="D709" s="265"/>
      <c r="E709" s="5"/>
      <c r="F709" s="5"/>
      <c r="G709" s="83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265"/>
      <c r="D710" s="265"/>
      <c r="E710" s="5"/>
      <c r="F710" s="5"/>
      <c r="G710" s="83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265"/>
      <c r="D711" s="265"/>
      <c r="E711" s="5"/>
      <c r="F711" s="5"/>
      <c r="G711" s="83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265"/>
      <c r="D712" s="265"/>
      <c r="E712" s="5"/>
      <c r="F712" s="5"/>
      <c r="G712" s="83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265"/>
      <c r="D713" s="265"/>
      <c r="E713" s="5"/>
      <c r="F713" s="5"/>
      <c r="G713" s="83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265"/>
      <c r="D714" s="265"/>
      <c r="E714" s="5"/>
      <c r="F714" s="5"/>
      <c r="G714" s="83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265"/>
      <c r="D715" s="265"/>
      <c r="E715" s="5"/>
      <c r="F715" s="5"/>
      <c r="G715" s="83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265"/>
      <c r="D716" s="265"/>
      <c r="E716" s="5"/>
      <c r="F716" s="5"/>
      <c r="G716" s="83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265"/>
      <c r="D717" s="265"/>
      <c r="E717" s="5"/>
      <c r="F717" s="5"/>
      <c r="G717" s="83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265"/>
      <c r="D718" s="265"/>
      <c r="E718" s="5"/>
      <c r="F718" s="5"/>
      <c r="G718" s="83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265"/>
      <c r="D719" s="265"/>
      <c r="E719" s="5"/>
      <c r="F719" s="5"/>
      <c r="G719" s="83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265"/>
      <c r="D720" s="265"/>
      <c r="E720" s="5"/>
      <c r="F720" s="5"/>
      <c r="G720" s="83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265"/>
      <c r="D721" s="265"/>
      <c r="E721" s="5"/>
      <c r="F721" s="5"/>
      <c r="G721" s="83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265"/>
      <c r="D722" s="265"/>
      <c r="E722" s="5"/>
      <c r="F722" s="5"/>
      <c r="G722" s="83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265"/>
      <c r="D723" s="265"/>
      <c r="E723" s="5"/>
      <c r="F723" s="5"/>
      <c r="G723" s="83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265"/>
      <c r="D724" s="265"/>
      <c r="E724" s="5"/>
      <c r="F724" s="5"/>
      <c r="G724" s="83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265"/>
      <c r="D725" s="265"/>
      <c r="E725" s="5"/>
      <c r="F725" s="5"/>
      <c r="G725" s="83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265"/>
      <c r="D726" s="265"/>
      <c r="E726" s="5"/>
      <c r="F726" s="5"/>
      <c r="G726" s="83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265"/>
      <c r="D727" s="265"/>
      <c r="E727" s="5"/>
      <c r="F727" s="5"/>
      <c r="G727" s="83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265"/>
      <c r="D728" s="265"/>
      <c r="E728" s="5"/>
      <c r="F728" s="5"/>
      <c r="G728" s="83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265"/>
      <c r="D729" s="265"/>
      <c r="E729" s="5"/>
      <c r="F729" s="5"/>
      <c r="G729" s="83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265"/>
      <c r="D730" s="265"/>
      <c r="E730" s="5"/>
      <c r="F730" s="5"/>
      <c r="G730" s="83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265"/>
      <c r="D731" s="265"/>
      <c r="E731" s="5"/>
      <c r="F731" s="5"/>
      <c r="G731" s="83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265"/>
      <c r="D732" s="265"/>
      <c r="E732" s="5"/>
      <c r="F732" s="5"/>
      <c r="G732" s="83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265"/>
      <c r="D733" s="265"/>
      <c r="E733" s="5"/>
      <c r="F733" s="5"/>
      <c r="G733" s="83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265"/>
      <c r="D734" s="265"/>
      <c r="E734" s="5"/>
      <c r="F734" s="5"/>
      <c r="G734" s="83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265"/>
      <c r="D735" s="265"/>
      <c r="E735" s="5"/>
      <c r="F735" s="5"/>
      <c r="G735" s="83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265"/>
      <c r="D736" s="265"/>
      <c r="E736" s="5"/>
      <c r="F736" s="5"/>
      <c r="G736" s="83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265"/>
      <c r="D737" s="265"/>
      <c r="E737" s="5"/>
      <c r="F737" s="5"/>
      <c r="G737" s="83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265"/>
      <c r="D738" s="265"/>
      <c r="E738" s="5"/>
      <c r="F738" s="5"/>
      <c r="G738" s="83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265"/>
      <c r="D739" s="265"/>
      <c r="E739" s="5"/>
      <c r="F739" s="5"/>
      <c r="G739" s="83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265"/>
      <c r="D740" s="265"/>
      <c r="E740" s="5"/>
      <c r="F740" s="5"/>
      <c r="G740" s="83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265"/>
      <c r="D741" s="265"/>
      <c r="E741" s="5"/>
      <c r="F741" s="5"/>
      <c r="G741" s="83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265"/>
      <c r="D742" s="265"/>
      <c r="E742" s="5"/>
      <c r="F742" s="5"/>
      <c r="G742" s="83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265"/>
      <c r="D743" s="265"/>
      <c r="E743" s="5"/>
      <c r="F743" s="5"/>
      <c r="G743" s="83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265"/>
      <c r="D744" s="265"/>
      <c r="E744" s="5"/>
      <c r="F744" s="5"/>
      <c r="G744" s="83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265"/>
      <c r="D745" s="265"/>
      <c r="E745" s="5"/>
      <c r="F745" s="5"/>
      <c r="G745" s="83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265"/>
      <c r="D746" s="265"/>
      <c r="E746" s="5"/>
      <c r="F746" s="5"/>
      <c r="G746" s="83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265"/>
      <c r="D747" s="265"/>
      <c r="E747" s="5"/>
      <c r="F747" s="5"/>
      <c r="G747" s="83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265"/>
      <c r="D748" s="265"/>
      <c r="E748" s="5"/>
      <c r="F748" s="5"/>
      <c r="G748" s="83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265"/>
      <c r="D749" s="265"/>
      <c r="E749" s="5"/>
      <c r="F749" s="5"/>
      <c r="G749" s="83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265"/>
      <c r="D750" s="265"/>
      <c r="E750" s="5"/>
      <c r="F750" s="5"/>
      <c r="G750" s="83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265"/>
      <c r="D751" s="265"/>
      <c r="E751" s="5"/>
      <c r="F751" s="5"/>
      <c r="G751" s="83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265"/>
      <c r="D752" s="265"/>
      <c r="E752" s="5"/>
      <c r="F752" s="5"/>
      <c r="G752" s="83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265"/>
      <c r="D753" s="265"/>
      <c r="E753" s="5"/>
      <c r="F753" s="5"/>
      <c r="G753" s="83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265"/>
      <c r="D754" s="265"/>
      <c r="E754" s="5"/>
      <c r="F754" s="5"/>
      <c r="G754" s="83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265"/>
      <c r="D755" s="265"/>
      <c r="E755" s="5"/>
      <c r="F755" s="5"/>
      <c r="G755" s="83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265"/>
      <c r="D756" s="265"/>
      <c r="E756" s="5"/>
      <c r="F756" s="5"/>
      <c r="G756" s="83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265"/>
      <c r="D757" s="265"/>
      <c r="E757" s="5"/>
      <c r="F757" s="5"/>
      <c r="G757" s="83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265"/>
      <c r="D758" s="265"/>
      <c r="E758" s="5"/>
      <c r="F758" s="5"/>
      <c r="G758" s="83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265"/>
      <c r="D759" s="265"/>
      <c r="E759" s="5"/>
      <c r="F759" s="5"/>
      <c r="G759" s="83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265"/>
      <c r="D760" s="265"/>
      <c r="E760" s="5"/>
      <c r="F760" s="5"/>
      <c r="G760" s="83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265"/>
      <c r="D761" s="265"/>
      <c r="E761" s="5"/>
      <c r="F761" s="5"/>
      <c r="G761" s="83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265"/>
      <c r="D762" s="265"/>
      <c r="E762" s="5"/>
      <c r="F762" s="5"/>
      <c r="G762" s="83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265"/>
      <c r="D763" s="265"/>
      <c r="E763" s="5"/>
      <c r="F763" s="5"/>
      <c r="G763" s="83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265"/>
      <c r="D764" s="265"/>
      <c r="E764" s="5"/>
      <c r="F764" s="5"/>
      <c r="G764" s="83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265"/>
      <c r="D765" s="265"/>
      <c r="E765" s="5"/>
      <c r="F765" s="5"/>
      <c r="G765" s="83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265"/>
      <c r="D766" s="265"/>
      <c r="E766" s="5"/>
      <c r="F766" s="5"/>
      <c r="G766" s="83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265"/>
      <c r="D767" s="265"/>
      <c r="E767" s="5"/>
      <c r="F767" s="5"/>
      <c r="G767" s="83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265"/>
      <c r="D768" s="265"/>
      <c r="E768" s="5"/>
      <c r="F768" s="5"/>
      <c r="G768" s="83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265"/>
      <c r="D769" s="265"/>
      <c r="E769" s="5"/>
      <c r="F769" s="5"/>
      <c r="G769" s="83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265"/>
      <c r="D770" s="265"/>
      <c r="E770" s="5"/>
      <c r="F770" s="5"/>
      <c r="G770" s="83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265"/>
      <c r="D771" s="265"/>
      <c r="E771" s="5"/>
      <c r="F771" s="5"/>
      <c r="G771" s="83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265"/>
      <c r="D772" s="265"/>
      <c r="E772" s="5"/>
      <c r="F772" s="5"/>
      <c r="G772" s="83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265"/>
      <c r="D773" s="265"/>
      <c r="E773" s="5"/>
      <c r="F773" s="5"/>
      <c r="G773" s="83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265"/>
      <c r="D774" s="265"/>
      <c r="E774" s="5"/>
      <c r="F774" s="5"/>
      <c r="G774" s="83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265"/>
      <c r="D775" s="265"/>
      <c r="E775" s="5"/>
      <c r="F775" s="5"/>
      <c r="G775" s="83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265"/>
      <c r="D776" s="265"/>
      <c r="E776" s="5"/>
      <c r="F776" s="5"/>
      <c r="G776" s="83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265"/>
      <c r="D777" s="265"/>
      <c r="E777" s="5"/>
      <c r="F777" s="5"/>
      <c r="G777" s="83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265"/>
      <c r="D778" s="265"/>
      <c r="E778" s="5"/>
      <c r="F778" s="5"/>
      <c r="G778" s="83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265"/>
      <c r="D779" s="265"/>
      <c r="E779" s="5"/>
      <c r="F779" s="5"/>
      <c r="G779" s="83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265"/>
      <c r="D780" s="265"/>
      <c r="E780" s="5"/>
      <c r="F780" s="5"/>
      <c r="G780" s="83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265"/>
      <c r="D781" s="265"/>
      <c r="E781" s="5"/>
      <c r="F781" s="5"/>
      <c r="G781" s="83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265"/>
      <c r="D782" s="265"/>
      <c r="E782" s="5"/>
      <c r="F782" s="5"/>
      <c r="G782" s="83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265"/>
      <c r="D783" s="265"/>
      <c r="E783" s="5"/>
      <c r="F783" s="5"/>
      <c r="G783" s="83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265"/>
      <c r="D784" s="265"/>
      <c r="E784" s="5"/>
      <c r="F784" s="5"/>
      <c r="G784" s="83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265"/>
      <c r="D785" s="265"/>
      <c r="E785" s="5"/>
      <c r="F785" s="5"/>
      <c r="G785" s="83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265"/>
      <c r="D786" s="265"/>
      <c r="E786" s="5"/>
      <c r="F786" s="5"/>
      <c r="G786" s="83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265"/>
      <c r="D787" s="265"/>
      <c r="E787" s="5"/>
      <c r="F787" s="5"/>
      <c r="G787" s="83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265"/>
      <c r="D788" s="265"/>
      <c r="E788" s="5"/>
      <c r="F788" s="5"/>
      <c r="G788" s="83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265"/>
      <c r="D789" s="265"/>
      <c r="E789" s="5"/>
      <c r="F789" s="5"/>
      <c r="G789" s="83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265"/>
      <c r="D790" s="265"/>
      <c r="E790" s="5"/>
      <c r="F790" s="5"/>
      <c r="G790" s="83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265"/>
      <c r="D791" s="265"/>
      <c r="E791" s="5"/>
      <c r="F791" s="5"/>
      <c r="G791" s="83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265"/>
      <c r="D792" s="265"/>
      <c r="E792" s="5"/>
      <c r="F792" s="5"/>
      <c r="G792" s="83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265"/>
      <c r="D793" s="265"/>
      <c r="E793" s="5"/>
      <c r="F793" s="5"/>
      <c r="G793" s="83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265"/>
      <c r="D794" s="265"/>
      <c r="E794" s="5"/>
      <c r="F794" s="5"/>
      <c r="G794" s="83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265"/>
      <c r="D795" s="265"/>
      <c r="E795" s="5"/>
      <c r="F795" s="5"/>
      <c r="G795" s="83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265"/>
      <c r="D796" s="265"/>
      <c r="E796" s="5"/>
      <c r="F796" s="5"/>
      <c r="G796" s="83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265"/>
      <c r="D797" s="265"/>
      <c r="E797" s="5"/>
      <c r="F797" s="5"/>
      <c r="G797" s="83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265"/>
      <c r="D798" s="265"/>
      <c r="E798" s="5"/>
      <c r="F798" s="5"/>
      <c r="G798" s="83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265"/>
      <c r="D799" s="265"/>
      <c r="E799" s="5"/>
      <c r="F799" s="5"/>
      <c r="G799" s="83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265"/>
      <c r="D800" s="265"/>
      <c r="E800" s="5"/>
      <c r="F800" s="5"/>
      <c r="G800" s="83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265"/>
      <c r="D801" s="265"/>
      <c r="E801" s="5"/>
      <c r="F801" s="5"/>
      <c r="G801" s="83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265"/>
      <c r="D802" s="265"/>
      <c r="E802" s="5"/>
      <c r="F802" s="5"/>
      <c r="G802" s="83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265"/>
      <c r="D803" s="265"/>
      <c r="E803" s="5"/>
      <c r="F803" s="5"/>
      <c r="G803" s="83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265"/>
      <c r="D804" s="265"/>
      <c r="E804" s="5"/>
      <c r="F804" s="5"/>
      <c r="G804" s="83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265"/>
      <c r="D805" s="265"/>
      <c r="E805" s="5"/>
      <c r="F805" s="5"/>
      <c r="G805" s="83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265"/>
      <c r="D806" s="265"/>
      <c r="E806" s="5"/>
      <c r="F806" s="5"/>
      <c r="G806" s="83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265"/>
      <c r="D807" s="265"/>
      <c r="E807" s="5"/>
      <c r="F807" s="5"/>
      <c r="G807" s="83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265"/>
      <c r="D808" s="265"/>
      <c r="E808" s="5"/>
      <c r="F808" s="5"/>
      <c r="G808" s="83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265"/>
      <c r="D809" s="265"/>
      <c r="E809" s="5"/>
      <c r="F809" s="5"/>
      <c r="G809" s="83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265"/>
      <c r="D810" s="265"/>
      <c r="E810" s="5"/>
      <c r="F810" s="5"/>
      <c r="G810" s="83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265"/>
      <c r="D811" s="265"/>
      <c r="E811" s="5"/>
      <c r="F811" s="5"/>
      <c r="G811" s="83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265"/>
      <c r="D812" s="265"/>
      <c r="E812" s="5"/>
      <c r="F812" s="5"/>
      <c r="G812" s="83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265"/>
      <c r="D813" s="265"/>
      <c r="E813" s="5"/>
      <c r="F813" s="5"/>
      <c r="G813" s="83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265"/>
      <c r="D814" s="265"/>
      <c r="E814" s="5"/>
      <c r="F814" s="5"/>
      <c r="G814" s="83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265"/>
      <c r="D815" s="265"/>
      <c r="E815" s="5"/>
      <c r="F815" s="5"/>
      <c r="G815" s="83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265"/>
      <c r="D816" s="265"/>
      <c r="E816" s="5"/>
      <c r="F816" s="5"/>
      <c r="G816" s="83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265"/>
      <c r="D817" s="265"/>
      <c r="E817" s="5"/>
      <c r="F817" s="5"/>
      <c r="G817" s="83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265"/>
      <c r="D818" s="265"/>
      <c r="E818" s="5"/>
      <c r="F818" s="5"/>
      <c r="G818" s="83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265"/>
      <c r="D819" s="265"/>
      <c r="E819" s="5"/>
      <c r="F819" s="5"/>
      <c r="G819" s="83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265"/>
      <c r="D820" s="265"/>
      <c r="E820" s="5"/>
      <c r="F820" s="5"/>
      <c r="G820" s="83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265"/>
      <c r="D821" s="265"/>
      <c r="E821" s="5"/>
      <c r="F821" s="5"/>
      <c r="G821" s="83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265"/>
      <c r="D822" s="265"/>
      <c r="E822" s="5"/>
      <c r="F822" s="5"/>
      <c r="G822" s="83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265"/>
      <c r="D823" s="265"/>
      <c r="E823" s="5"/>
      <c r="F823" s="5"/>
      <c r="G823" s="83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265"/>
      <c r="D824" s="265"/>
      <c r="E824" s="5"/>
      <c r="F824" s="5"/>
      <c r="G824" s="83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265"/>
      <c r="D825" s="265"/>
      <c r="E825" s="5"/>
      <c r="F825" s="5"/>
      <c r="G825" s="83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265"/>
      <c r="D826" s="265"/>
      <c r="E826" s="5"/>
      <c r="F826" s="5"/>
      <c r="G826" s="83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265"/>
      <c r="D827" s="265"/>
      <c r="E827" s="5"/>
      <c r="F827" s="5"/>
      <c r="G827" s="83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265"/>
      <c r="D828" s="265"/>
      <c r="E828" s="5"/>
      <c r="F828" s="5"/>
      <c r="G828" s="83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265"/>
      <c r="D829" s="265"/>
      <c r="E829" s="5"/>
      <c r="F829" s="5"/>
      <c r="G829" s="83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265"/>
      <c r="D830" s="265"/>
      <c r="E830" s="5"/>
      <c r="F830" s="5"/>
      <c r="G830" s="83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265"/>
      <c r="D831" s="265"/>
      <c r="E831" s="5"/>
      <c r="F831" s="5"/>
      <c r="G831" s="83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265"/>
      <c r="D832" s="265"/>
      <c r="E832" s="5"/>
      <c r="F832" s="5"/>
      <c r="G832" s="83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265"/>
      <c r="D833" s="265"/>
      <c r="E833" s="5"/>
      <c r="F833" s="5"/>
      <c r="G833" s="83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265"/>
      <c r="D834" s="265"/>
      <c r="E834" s="5"/>
      <c r="F834" s="5"/>
      <c r="G834" s="83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265"/>
      <c r="D835" s="265"/>
      <c r="E835" s="5"/>
      <c r="F835" s="5"/>
      <c r="G835" s="83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265"/>
      <c r="D836" s="265"/>
      <c r="E836" s="5"/>
      <c r="F836" s="5"/>
      <c r="G836" s="83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265"/>
      <c r="D837" s="265"/>
      <c r="E837" s="5"/>
      <c r="F837" s="5"/>
      <c r="G837" s="83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265"/>
      <c r="D838" s="265"/>
      <c r="E838" s="5"/>
      <c r="F838" s="5"/>
      <c r="G838" s="83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265"/>
      <c r="D839" s="265"/>
      <c r="E839" s="5"/>
      <c r="F839" s="5"/>
      <c r="G839" s="83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265"/>
      <c r="D840" s="265"/>
      <c r="E840" s="5"/>
      <c r="F840" s="5"/>
      <c r="G840" s="83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265"/>
      <c r="D841" s="265"/>
      <c r="E841" s="5"/>
      <c r="F841" s="5"/>
      <c r="G841" s="83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265"/>
      <c r="D842" s="265"/>
      <c r="E842" s="5"/>
      <c r="F842" s="5"/>
      <c r="G842" s="83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265"/>
      <c r="D843" s="265"/>
      <c r="E843" s="5"/>
      <c r="F843" s="5"/>
      <c r="G843" s="83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265"/>
      <c r="D844" s="265"/>
      <c r="E844" s="5"/>
      <c r="F844" s="5"/>
      <c r="G844" s="83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265"/>
      <c r="D845" s="265"/>
      <c r="E845" s="5"/>
      <c r="F845" s="5"/>
      <c r="G845" s="83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265"/>
      <c r="D846" s="265"/>
      <c r="E846" s="5"/>
      <c r="F846" s="5"/>
      <c r="G846" s="83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265"/>
      <c r="D847" s="265"/>
      <c r="E847" s="5"/>
      <c r="F847" s="5"/>
      <c r="G847" s="83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265"/>
      <c r="D848" s="265"/>
      <c r="E848" s="5"/>
      <c r="F848" s="5"/>
      <c r="G848" s="83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265"/>
      <c r="D849" s="265"/>
      <c r="E849" s="5"/>
      <c r="F849" s="5"/>
      <c r="G849" s="83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265"/>
      <c r="D850" s="265"/>
      <c r="E850" s="5"/>
      <c r="F850" s="5"/>
      <c r="G850" s="83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265"/>
      <c r="D851" s="265"/>
      <c r="E851" s="5"/>
      <c r="F851" s="5"/>
      <c r="G851" s="83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265"/>
      <c r="D852" s="265"/>
      <c r="E852" s="5"/>
      <c r="F852" s="5"/>
      <c r="G852" s="83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265"/>
      <c r="D853" s="265"/>
      <c r="E853" s="5"/>
      <c r="F853" s="5"/>
      <c r="G853" s="83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265"/>
      <c r="D854" s="265"/>
      <c r="E854" s="5"/>
      <c r="F854" s="5"/>
      <c r="G854" s="83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265"/>
      <c r="D855" s="265"/>
      <c r="E855" s="5"/>
      <c r="F855" s="5"/>
      <c r="G855" s="83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265"/>
      <c r="D856" s="265"/>
      <c r="E856" s="5"/>
      <c r="F856" s="5"/>
      <c r="G856" s="83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265"/>
      <c r="D857" s="265"/>
      <c r="E857" s="5"/>
      <c r="F857" s="5"/>
      <c r="G857" s="83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265"/>
      <c r="D858" s="265"/>
      <c r="E858" s="5"/>
      <c r="F858" s="5"/>
      <c r="G858" s="83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265"/>
      <c r="D859" s="265"/>
      <c r="E859" s="5"/>
      <c r="F859" s="5"/>
      <c r="G859" s="83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265"/>
      <c r="D860" s="265"/>
      <c r="E860" s="5"/>
      <c r="F860" s="5"/>
      <c r="G860" s="83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265"/>
      <c r="D861" s="265"/>
      <c r="E861" s="5"/>
      <c r="F861" s="5"/>
      <c r="G861" s="83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265"/>
      <c r="D862" s="265"/>
      <c r="E862" s="5"/>
      <c r="F862" s="5"/>
      <c r="G862" s="83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265"/>
      <c r="D863" s="265"/>
      <c r="E863" s="5"/>
      <c r="F863" s="5"/>
      <c r="G863" s="83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265"/>
      <c r="D864" s="265"/>
      <c r="E864" s="5"/>
      <c r="F864" s="5"/>
      <c r="G864" s="83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265"/>
      <c r="D865" s="265"/>
      <c r="E865" s="5"/>
      <c r="F865" s="5"/>
      <c r="G865" s="83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265"/>
      <c r="D866" s="265"/>
      <c r="E866" s="5"/>
      <c r="F866" s="5"/>
      <c r="G866" s="83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265"/>
      <c r="D867" s="265"/>
      <c r="E867" s="5"/>
      <c r="F867" s="5"/>
      <c r="G867" s="83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265"/>
      <c r="D868" s="265"/>
      <c r="E868" s="5"/>
      <c r="F868" s="5"/>
      <c r="G868" s="83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265"/>
      <c r="D869" s="265"/>
      <c r="E869" s="5"/>
      <c r="F869" s="5"/>
      <c r="G869" s="83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265"/>
      <c r="D870" s="265"/>
      <c r="E870" s="5"/>
      <c r="F870" s="5"/>
      <c r="G870" s="83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265"/>
      <c r="D871" s="265"/>
      <c r="E871" s="5"/>
      <c r="F871" s="5"/>
      <c r="G871" s="83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265"/>
      <c r="D872" s="265"/>
      <c r="E872" s="5"/>
      <c r="F872" s="5"/>
      <c r="G872" s="83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265"/>
      <c r="D873" s="265"/>
      <c r="E873" s="5"/>
      <c r="F873" s="5"/>
      <c r="G873" s="83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265"/>
      <c r="D874" s="265"/>
      <c r="E874" s="5"/>
      <c r="F874" s="5"/>
      <c r="G874" s="83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265"/>
      <c r="D875" s="265"/>
      <c r="E875" s="5"/>
      <c r="F875" s="5"/>
      <c r="G875" s="83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265"/>
      <c r="D876" s="265"/>
      <c r="E876" s="5"/>
      <c r="F876" s="5"/>
      <c r="G876" s="83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265"/>
      <c r="D877" s="265"/>
      <c r="E877" s="5"/>
      <c r="F877" s="5"/>
      <c r="G877" s="83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265"/>
      <c r="D878" s="265"/>
      <c r="E878" s="5"/>
      <c r="F878" s="5"/>
      <c r="G878" s="83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265"/>
      <c r="D879" s="265"/>
      <c r="E879" s="5"/>
      <c r="F879" s="5"/>
      <c r="G879" s="83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265"/>
      <c r="D880" s="265"/>
      <c r="E880" s="5"/>
      <c r="F880" s="5"/>
      <c r="G880" s="83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265"/>
      <c r="D881" s="265"/>
      <c r="E881" s="5"/>
      <c r="F881" s="5"/>
      <c r="G881" s="83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265"/>
      <c r="D882" s="265"/>
      <c r="E882" s="5"/>
      <c r="F882" s="5"/>
      <c r="G882" s="83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265"/>
      <c r="D883" s="265"/>
      <c r="E883" s="5"/>
      <c r="F883" s="5"/>
      <c r="G883" s="83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265"/>
      <c r="D884" s="265"/>
      <c r="E884" s="5"/>
      <c r="F884" s="5"/>
      <c r="G884" s="83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265"/>
      <c r="D885" s="265"/>
      <c r="E885" s="5"/>
      <c r="F885" s="5"/>
      <c r="G885" s="83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265"/>
      <c r="D886" s="265"/>
      <c r="E886" s="5"/>
      <c r="F886" s="5"/>
      <c r="G886" s="83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265"/>
      <c r="D887" s="265"/>
      <c r="E887" s="5"/>
      <c r="F887" s="5"/>
      <c r="G887" s="83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265"/>
      <c r="D888" s="265"/>
      <c r="E888" s="5"/>
      <c r="F888" s="5"/>
      <c r="G888" s="83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265"/>
      <c r="D889" s="265"/>
      <c r="E889" s="5"/>
      <c r="F889" s="5"/>
      <c r="G889" s="83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265"/>
      <c r="D890" s="265"/>
      <c r="E890" s="5"/>
      <c r="F890" s="5"/>
      <c r="G890" s="83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265"/>
      <c r="D891" s="265"/>
      <c r="E891" s="5"/>
      <c r="F891" s="5"/>
      <c r="G891" s="83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265"/>
      <c r="D892" s="265"/>
      <c r="E892" s="5"/>
      <c r="F892" s="5"/>
      <c r="G892" s="83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265"/>
      <c r="D893" s="265"/>
      <c r="E893" s="5"/>
      <c r="F893" s="5"/>
      <c r="G893" s="83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265"/>
      <c r="D894" s="265"/>
      <c r="E894" s="5"/>
      <c r="F894" s="5"/>
      <c r="G894" s="83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265"/>
      <c r="D895" s="265"/>
      <c r="E895" s="5"/>
      <c r="F895" s="5"/>
      <c r="G895" s="83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265"/>
      <c r="D896" s="265"/>
      <c r="E896" s="5"/>
      <c r="F896" s="5"/>
      <c r="G896" s="83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265"/>
      <c r="D897" s="265"/>
      <c r="E897" s="5"/>
      <c r="F897" s="5"/>
      <c r="G897" s="83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265"/>
      <c r="D898" s="265"/>
      <c r="E898" s="5"/>
      <c r="F898" s="5"/>
      <c r="G898" s="83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265"/>
      <c r="D899" s="265"/>
      <c r="E899" s="5"/>
      <c r="F899" s="5"/>
      <c r="G899" s="83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265"/>
      <c r="D900" s="265"/>
      <c r="E900" s="5"/>
      <c r="F900" s="5"/>
      <c r="G900" s="83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265"/>
      <c r="D901" s="265"/>
      <c r="E901" s="5"/>
      <c r="F901" s="5"/>
      <c r="G901" s="83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265"/>
      <c r="D902" s="265"/>
      <c r="E902" s="5"/>
      <c r="F902" s="5"/>
      <c r="G902" s="83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265"/>
      <c r="D903" s="265"/>
      <c r="E903" s="5"/>
      <c r="F903" s="5"/>
      <c r="G903" s="83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265"/>
      <c r="D904" s="265"/>
      <c r="E904" s="5"/>
      <c r="F904" s="5"/>
      <c r="G904" s="83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265"/>
      <c r="D905" s="265"/>
      <c r="E905" s="5"/>
      <c r="F905" s="5"/>
      <c r="G905" s="83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265"/>
      <c r="D906" s="265"/>
      <c r="E906" s="5"/>
      <c r="F906" s="5"/>
      <c r="G906" s="83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265"/>
      <c r="D907" s="265"/>
      <c r="E907" s="5"/>
      <c r="F907" s="5"/>
      <c r="G907" s="83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265"/>
      <c r="D908" s="265"/>
      <c r="E908" s="5"/>
      <c r="F908" s="5"/>
      <c r="G908" s="83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265"/>
      <c r="D909" s="265"/>
      <c r="E909" s="5"/>
      <c r="F909" s="5"/>
      <c r="G909" s="83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265"/>
      <c r="D910" s="265"/>
      <c r="E910" s="5"/>
      <c r="F910" s="5"/>
      <c r="G910" s="83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265"/>
      <c r="D911" s="265"/>
      <c r="E911" s="5"/>
      <c r="F911" s="5"/>
      <c r="G911" s="83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265"/>
      <c r="D912" s="265"/>
      <c r="E912" s="5"/>
      <c r="F912" s="5"/>
      <c r="G912" s="83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265"/>
      <c r="D913" s="265"/>
      <c r="E913" s="5"/>
      <c r="F913" s="5"/>
      <c r="G913" s="83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265"/>
      <c r="D914" s="265"/>
      <c r="E914" s="5"/>
      <c r="F914" s="5"/>
      <c r="G914" s="83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265"/>
      <c r="D915" s="265"/>
      <c r="E915" s="5"/>
      <c r="F915" s="5"/>
      <c r="G915" s="83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265"/>
      <c r="D916" s="265"/>
      <c r="E916" s="5"/>
      <c r="F916" s="5"/>
      <c r="G916" s="83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265"/>
      <c r="D917" s="265"/>
      <c r="E917" s="5"/>
      <c r="F917" s="5"/>
      <c r="G917" s="83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265"/>
      <c r="D918" s="265"/>
      <c r="E918" s="5"/>
      <c r="F918" s="5"/>
      <c r="G918" s="83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265"/>
      <c r="D919" s="265"/>
      <c r="E919" s="5"/>
      <c r="F919" s="5"/>
      <c r="G919" s="83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265"/>
      <c r="D920" s="265"/>
      <c r="E920" s="5"/>
      <c r="F920" s="5"/>
      <c r="G920" s="83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265"/>
      <c r="D921" s="265"/>
      <c r="E921" s="5"/>
      <c r="F921" s="5"/>
      <c r="G921" s="83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265"/>
      <c r="D922" s="265"/>
      <c r="E922" s="5"/>
      <c r="F922" s="5"/>
      <c r="G922" s="83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265"/>
      <c r="D923" s="265"/>
      <c r="E923" s="5"/>
      <c r="F923" s="5"/>
      <c r="G923" s="83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265"/>
      <c r="D924" s="265"/>
      <c r="E924" s="5"/>
      <c r="F924" s="5"/>
      <c r="G924" s="83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265"/>
      <c r="D925" s="265"/>
      <c r="E925" s="5"/>
      <c r="F925" s="5"/>
      <c r="G925" s="83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265"/>
      <c r="D926" s="265"/>
      <c r="E926" s="5"/>
      <c r="F926" s="5"/>
      <c r="G926" s="83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265"/>
      <c r="D927" s="265"/>
      <c r="E927" s="5"/>
      <c r="F927" s="5"/>
      <c r="G927" s="83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265"/>
      <c r="D928" s="265"/>
      <c r="E928" s="5"/>
      <c r="F928" s="5"/>
      <c r="G928" s="83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265"/>
      <c r="D929" s="265"/>
      <c r="E929" s="5"/>
      <c r="F929" s="5"/>
      <c r="G929" s="83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265"/>
      <c r="D930" s="265"/>
      <c r="E930" s="5"/>
      <c r="F930" s="5"/>
      <c r="G930" s="83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265"/>
      <c r="D931" s="265"/>
      <c r="E931" s="5"/>
      <c r="F931" s="5"/>
      <c r="G931" s="83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265"/>
      <c r="D932" s="265"/>
      <c r="E932" s="5"/>
      <c r="F932" s="5"/>
      <c r="G932" s="83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265"/>
      <c r="D933" s="265"/>
      <c r="E933" s="5"/>
      <c r="F933" s="5"/>
      <c r="G933" s="83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265"/>
      <c r="D934" s="265"/>
      <c r="E934" s="5"/>
      <c r="F934" s="5"/>
      <c r="G934" s="83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265"/>
      <c r="D935" s="265"/>
      <c r="E935" s="5"/>
      <c r="F935" s="5"/>
      <c r="G935" s="83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265"/>
      <c r="D936" s="265"/>
      <c r="E936" s="5"/>
      <c r="F936" s="5"/>
      <c r="G936" s="83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265"/>
      <c r="D937" s="265"/>
      <c r="E937" s="5"/>
      <c r="F937" s="5"/>
      <c r="G937" s="83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265"/>
      <c r="D938" s="265"/>
      <c r="E938" s="5"/>
      <c r="F938" s="5"/>
      <c r="G938" s="83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265"/>
      <c r="D939" s="265"/>
      <c r="E939" s="5"/>
      <c r="F939" s="5"/>
      <c r="G939" s="83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265"/>
      <c r="D940" s="265"/>
      <c r="E940" s="5"/>
      <c r="F940" s="5"/>
      <c r="G940" s="83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265"/>
      <c r="D941" s="265"/>
      <c r="E941" s="5"/>
      <c r="F941" s="5"/>
      <c r="G941" s="83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265"/>
      <c r="D942" s="265"/>
      <c r="E942" s="5"/>
      <c r="F942" s="5"/>
      <c r="G942" s="83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265"/>
      <c r="D943" s="265"/>
      <c r="E943" s="5"/>
      <c r="F943" s="5"/>
      <c r="G943" s="83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265"/>
      <c r="D944" s="265"/>
      <c r="E944" s="5"/>
      <c r="F944" s="5"/>
      <c r="G944" s="83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265"/>
      <c r="D945" s="265"/>
      <c r="E945" s="5"/>
      <c r="F945" s="5"/>
      <c r="G945" s="83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265"/>
      <c r="D946" s="265"/>
      <c r="E946" s="5"/>
      <c r="F946" s="5"/>
      <c r="G946" s="83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265"/>
      <c r="D947" s="265"/>
      <c r="E947" s="5"/>
      <c r="F947" s="5"/>
      <c r="G947" s="83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265"/>
      <c r="D948" s="265"/>
      <c r="E948" s="5"/>
      <c r="F948" s="5"/>
      <c r="G948" s="83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265"/>
      <c r="D949" s="265"/>
      <c r="E949" s="5"/>
      <c r="F949" s="5"/>
      <c r="G949" s="83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265"/>
      <c r="D950" s="265"/>
      <c r="E950" s="5"/>
      <c r="F950" s="5"/>
      <c r="G950" s="83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265"/>
      <c r="D951" s="265"/>
      <c r="E951" s="5"/>
      <c r="F951" s="5"/>
      <c r="G951" s="83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265"/>
      <c r="D952" s="265"/>
      <c r="E952" s="5"/>
      <c r="F952" s="5"/>
      <c r="G952" s="83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265"/>
      <c r="D953" s="265"/>
      <c r="E953" s="5"/>
      <c r="F953" s="5"/>
      <c r="G953" s="83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265"/>
      <c r="D954" s="265"/>
      <c r="E954" s="5"/>
      <c r="F954" s="5"/>
      <c r="G954" s="83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265"/>
      <c r="D955" s="265"/>
      <c r="E955" s="5"/>
      <c r="F955" s="5"/>
      <c r="G955" s="83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265"/>
      <c r="D956" s="265"/>
      <c r="E956" s="5"/>
      <c r="F956" s="5"/>
      <c r="G956" s="83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265"/>
      <c r="D957" s="265"/>
      <c r="E957" s="5"/>
      <c r="F957" s="5"/>
      <c r="G957" s="83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265"/>
      <c r="D958" s="265"/>
      <c r="E958" s="5"/>
      <c r="F958" s="5"/>
      <c r="G958" s="83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265"/>
      <c r="D959" s="265"/>
      <c r="E959" s="5"/>
      <c r="F959" s="5"/>
      <c r="G959" s="83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265"/>
      <c r="D960" s="265"/>
      <c r="E960" s="5"/>
      <c r="F960" s="5"/>
      <c r="G960" s="83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265"/>
      <c r="D961" s="265"/>
      <c r="E961" s="5"/>
      <c r="F961" s="5"/>
      <c r="G961" s="83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265"/>
      <c r="D962" s="265"/>
      <c r="E962" s="5"/>
      <c r="F962" s="5"/>
      <c r="G962" s="83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265"/>
      <c r="D963" s="265"/>
      <c r="E963" s="5"/>
      <c r="F963" s="5"/>
      <c r="G963" s="83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265"/>
      <c r="D964" s="265"/>
      <c r="E964" s="5"/>
      <c r="F964" s="5"/>
      <c r="G964" s="83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265"/>
      <c r="D965" s="265"/>
      <c r="E965" s="5"/>
      <c r="F965" s="5"/>
      <c r="G965" s="83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265"/>
      <c r="D966" s="265"/>
      <c r="E966" s="5"/>
      <c r="F966" s="5"/>
      <c r="G966" s="83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265"/>
      <c r="D967" s="265"/>
      <c r="E967" s="5"/>
      <c r="F967" s="5"/>
      <c r="G967" s="83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265"/>
      <c r="D968" s="265"/>
      <c r="E968" s="5"/>
      <c r="F968" s="5"/>
      <c r="G968" s="83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265"/>
      <c r="D969" s="265"/>
      <c r="E969" s="5"/>
      <c r="F969" s="5"/>
      <c r="G969" s="83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265"/>
      <c r="D970" s="265"/>
      <c r="E970" s="5"/>
      <c r="F970" s="5"/>
      <c r="G970" s="83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265"/>
      <c r="D971" s="265"/>
      <c r="E971" s="5"/>
      <c r="F971" s="5"/>
      <c r="G971" s="83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265"/>
      <c r="D972" s="265"/>
      <c r="E972" s="5"/>
      <c r="F972" s="5"/>
      <c r="G972" s="83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265"/>
      <c r="D973" s="265"/>
      <c r="E973" s="5"/>
      <c r="F973" s="5"/>
      <c r="G973" s="83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265"/>
      <c r="D974" s="265"/>
      <c r="E974" s="5"/>
      <c r="F974" s="5"/>
      <c r="G974" s="83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265"/>
      <c r="D975" s="265"/>
      <c r="E975" s="5"/>
      <c r="F975" s="5"/>
      <c r="G975" s="83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265"/>
      <c r="D976" s="265"/>
      <c r="E976" s="5"/>
      <c r="F976" s="5"/>
      <c r="G976" s="83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265"/>
      <c r="D977" s="265"/>
      <c r="E977" s="5"/>
      <c r="F977" s="5"/>
      <c r="G977" s="83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265"/>
      <c r="D978" s="265"/>
      <c r="E978" s="5"/>
      <c r="F978" s="5"/>
      <c r="G978" s="83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265"/>
      <c r="D979" s="265"/>
      <c r="E979" s="5"/>
      <c r="F979" s="5"/>
      <c r="G979" s="83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265"/>
      <c r="D980" s="265"/>
      <c r="E980" s="5"/>
      <c r="F980" s="5"/>
      <c r="G980" s="83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265"/>
      <c r="D981" s="265"/>
      <c r="E981" s="5"/>
      <c r="F981" s="5"/>
      <c r="G981" s="83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265"/>
      <c r="D982" s="265"/>
      <c r="E982" s="5"/>
      <c r="F982" s="5"/>
      <c r="G982" s="83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265"/>
      <c r="D983" s="265"/>
      <c r="E983" s="5"/>
      <c r="F983" s="5"/>
      <c r="G983" s="83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265"/>
      <c r="D984" s="265"/>
      <c r="E984" s="5"/>
      <c r="F984" s="5"/>
      <c r="G984" s="83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265"/>
      <c r="D985" s="265"/>
      <c r="E985" s="5"/>
      <c r="F985" s="5"/>
      <c r="G985" s="83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265"/>
      <c r="D986" s="265"/>
      <c r="E986" s="5"/>
      <c r="F986" s="5"/>
      <c r="G986" s="83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265"/>
      <c r="D987" s="265"/>
      <c r="E987" s="5"/>
      <c r="F987" s="5"/>
      <c r="G987" s="83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265"/>
      <c r="D988" s="265"/>
      <c r="E988" s="5"/>
      <c r="F988" s="5"/>
      <c r="G988" s="83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265"/>
      <c r="D989" s="265"/>
      <c r="E989" s="5"/>
      <c r="F989" s="5"/>
      <c r="G989" s="83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265"/>
      <c r="D990" s="265"/>
      <c r="E990" s="5"/>
      <c r="F990" s="5"/>
      <c r="G990" s="83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265"/>
      <c r="D991" s="265"/>
      <c r="E991" s="5"/>
      <c r="F991" s="5"/>
      <c r="G991" s="83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265"/>
      <c r="D992" s="265"/>
      <c r="E992" s="5"/>
      <c r="F992" s="5"/>
      <c r="G992" s="83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265"/>
      <c r="D993" s="265"/>
      <c r="E993" s="5"/>
      <c r="F993" s="5"/>
      <c r="G993" s="83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265"/>
      <c r="D994" s="265"/>
      <c r="E994" s="5"/>
      <c r="F994" s="5"/>
      <c r="G994" s="83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265"/>
      <c r="D995" s="265"/>
      <c r="E995" s="5"/>
      <c r="F995" s="5"/>
      <c r="G995" s="83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265"/>
      <c r="D996" s="265"/>
      <c r="E996" s="5"/>
      <c r="F996" s="5"/>
      <c r="G996" s="83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265"/>
      <c r="D997" s="265"/>
      <c r="E997" s="5"/>
      <c r="F997" s="5"/>
      <c r="G997" s="83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4.86"/>
    <col customWidth="1" min="2" max="2" width="20.14"/>
    <col customWidth="1" min="3" max="3" width="19.14"/>
    <col customWidth="1" min="4" max="4" width="17.0"/>
    <col customWidth="1" min="5" max="5" width="20.14"/>
    <col customWidth="1" min="6" max="6" width="7.29"/>
    <col customWidth="1" min="9" max="9" width="4.0"/>
    <col customWidth="1" min="10" max="10" width="20.14"/>
    <col customWidth="1" min="11" max="11" width="11.0"/>
    <col customWidth="1" min="12" max="12" width="13.0"/>
    <col customWidth="1" min="13" max="13" width="16.29"/>
    <col customWidth="1" min="14" max="14" width="20.14"/>
  </cols>
  <sheetData>
    <row r="1">
      <c r="C1" s="5"/>
    </row>
    <row r="2">
      <c r="C2" s="5"/>
    </row>
    <row r="3">
      <c r="C3" s="5"/>
    </row>
    <row r="4">
      <c r="C4" s="5"/>
    </row>
    <row r="5">
      <c r="C5" s="5"/>
    </row>
    <row r="6">
      <c r="C6" s="5"/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/>
    <row r="13"/>
    <row r="14"/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A21" s="5"/>
      <c r="B21" s="5"/>
      <c r="C21" s="5"/>
      <c r="D21" s="5"/>
      <c r="J21" s="5"/>
      <c r="K21" s="5"/>
    </row>
    <row r="22">
      <c r="D22" s="5"/>
      <c r="K22" s="5"/>
    </row>
    <row r="23">
      <c r="D23" s="5"/>
      <c r="K23" s="5"/>
    </row>
    <row r="24">
      <c r="D24" s="5"/>
      <c r="K24" s="5"/>
    </row>
    <row r="25">
      <c r="D25" s="5"/>
      <c r="K25" s="5"/>
    </row>
    <row r="26">
      <c r="D26" s="5"/>
      <c r="K26" s="5"/>
    </row>
    <row r="27">
      <c r="D27" s="5"/>
      <c r="K27" s="5"/>
    </row>
    <row r="28">
      <c r="D28" s="5"/>
      <c r="K28" s="5"/>
    </row>
    <row r="29">
      <c r="D29" s="5"/>
      <c r="K29" s="5"/>
    </row>
    <row r="30">
      <c r="A30" s="5"/>
      <c r="B30" s="5"/>
      <c r="C30" s="5"/>
      <c r="D30" s="5"/>
      <c r="K30" s="5"/>
    </row>
    <row r="31">
      <c r="A31" s="5"/>
      <c r="B31" s="5"/>
      <c r="C31" s="5"/>
      <c r="D31" s="5"/>
      <c r="K31" s="5"/>
    </row>
    <row r="32">
      <c r="A32" s="5"/>
      <c r="B32" s="5"/>
      <c r="C32" s="5"/>
      <c r="D32" s="5"/>
      <c r="K32" s="5"/>
    </row>
    <row r="33">
      <c r="A33" s="290"/>
      <c r="B33" s="290"/>
      <c r="C33" s="291"/>
      <c r="D33" s="290"/>
      <c r="E33" s="291"/>
      <c r="F33" s="291"/>
      <c r="G33" s="291"/>
      <c r="H33" s="291"/>
      <c r="I33" s="291"/>
      <c r="J33" s="291"/>
      <c r="K33" s="290"/>
      <c r="L33" s="291"/>
      <c r="M33" s="291"/>
      <c r="N33" s="291"/>
      <c r="O33" s="291"/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1"/>
      <c r="AD33" s="291"/>
      <c r="AE33" s="291"/>
      <c r="AF33" s="291"/>
      <c r="AG33" s="291"/>
      <c r="AH33" s="291"/>
      <c r="AI33" s="291"/>
      <c r="AJ33" s="291"/>
      <c r="AK33" s="291"/>
      <c r="AL33" s="291"/>
      <c r="AM33" s="291"/>
      <c r="AN33" s="291"/>
      <c r="AO33" s="291"/>
      <c r="AP33" s="291"/>
      <c r="AQ33" s="291"/>
      <c r="AR33" s="291"/>
      <c r="AS33" s="291"/>
    </row>
    <row r="34">
      <c r="A34" s="5"/>
      <c r="B34" s="5"/>
      <c r="D34" s="5"/>
      <c r="K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>
      <c r="A36" s="5"/>
      <c r="B36" s="5"/>
      <c r="C36" s="5"/>
      <c r="D36" s="5"/>
      <c r="K36" s="5"/>
    </row>
    <row r="37">
      <c r="A37" s="5"/>
      <c r="B37" s="5"/>
      <c r="C37" s="5"/>
      <c r="D37" s="5"/>
      <c r="K37" s="5"/>
    </row>
    <row r="38">
      <c r="A38" s="5"/>
      <c r="B38" s="5"/>
      <c r="C38" s="5"/>
      <c r="D38" s="5"/>
      <c r="K38" s="5"/>
    </row>
    <row r="39">
      <c r="A39" s="5"/>
      <c r="B39" s="5"/>
      <c r="C39" s="5"/>
      <c r="D39" s="5"/>
      <c r="K39" s="5"/>
    </row>
    <row r="40">
      <c r="A40" s="5"/>
      <c r="B40" s="5"/>
      <c r="C40" s="5"/>
      <c r="D40" s="5"/>
      <c r="K40" s="5"/>
    </row>
    <row r="41">
      <c r="A41" s="5"/>
      <c r="B41" s="5"/>
      <c r="C41" s="5"/>
      <c r="D41" s="5"/>
      <c r="K41" s="5"/>
    </row>
    <row r="42">
      <c r="A42" s="5"/>
      <c r="B42" s="5"/>
      <c r="C42" s="5"/>
      <c r="D42" s="5"/>
      <c r="K42" s="5"/>
    </row>
    <row r="43">
      <c r="A43" s="5"/>
      <c r="B43" s="5"/>
      <c r="C43" s="5"/>
      <c r="D43" s="5"/>
      <c r="K43" s="5"/>
    </row>
    <row r="44">
      <c r="A44" s="5"/>
      <c r="B44" s="5"/>
      <c r="C44" s="5"/>
      <c r="D44" s="5"/>
      <c r="K44" s="5"/>
    </row>
    <row r="45">
      <c r="A45" s="5"/>
      <c r="B45" s="5"/>
      <c r="C45" s="5"/>
      <c r="D45" s="5"/>
      <c r="K45" s="5"/>
    </row>
    <row r="46">
      <c r="A46" s="5"/>
      <c r="B46" s="5"/>
      <c r="C46" s="5"/>
      <c r="D46" s="5"/>
      <c r="K46" s="5"/>
    </row>
    <row r="47">
      <c r="A47" s="5"/>
      <c r="B47" s="5"/>
      <c r="C47" s="5"/>
      <c r="D47" s="5"/>
      <c r="K47" s="5"/>
    </row>
    <row r="48">
      <c r="A48" s="5"/>
      <c r="B48" s="5"/>
      <c r="C48" s="5"/>
      <c r="D48" s="5"/>
      <c r="K48" s="5"/>
    </row>
    <row r="49">
      <c r="A49" s="5"/>
      <c r="B49" s="5"/>
      <c r="C49" s="5"/>
      <c r="D49" s="5"/>
      <c r="K49" s="5"/>
    </row>
    <row r="50">
      <c r="A50" s="5"/>
      <c r="B50" s="5"/>
      <c r="C50" s="5"/>
      <c r="D50" s="5"/>
      <c r="K50" s="5"/>
    </row>
    <row r="51">
      <c r="A51" s="5"/>
      <c r="B51" s="5"/>
      <c r="C51" s="5"/>
      <c r="D51" s="5"/>
      <c r="K51" s="5"/>
    </row>
    <row r="52">
      <c r="A52" s="5"/>
      <c r="B52" s="5"/>
      <c r="C52" s="5"/>
      <c r="D52" s="5"/>
      <c r="K52" s="5"/>
    </row>
    <row r="53">
      <c r="A53" s="5"/>
      <c r="B53" s="5"/>
      <c r="C53" s="5"/>
      <c r="D53" s="5"/>
      <c r="K53" s="5"/>
    </row>
    <row r="54">
      <c r="A54" s="5"/>
      <c r="B54" s="5"/>
      <c r="C54" s="5"/>
      <c r="D54" s="5"/>
      <c r="K54" s="5"/>
    </row>
    <row r="55">
      <c r="A55" s="5"/>
      <c r="B55" s="5"/>
      <c r="C55" s="5"/>
      <c r="D55" s="5"/>
      <c r="K55" s="5"/>
    </row>
    <row r="56">
      <c r="A56" s="5"/>
      <c r="B56" s="5"/>
      <c r="C56" s="5"/>
      <c r="D56" s="5"/>
      <c r="K56" s="5"/>
    </row>
    <row r="57">
      <c r="A57" s="5"/>
      <c r="B57" s="5"/>
      <c r="K57" s="5"/>
    </row>
    <row r="58">
      <c r="A58" s="5"/>
      <c r="B58" s="5"/>
      <c r="K58" s="5"/>
    </row>
    <row r="59">
      <c r="A59" s="5"/>
      <c r="B59" s="5"/>
      <c r="K59" s="5"/>
    </row>
    <row r="60">
      <c r="A60" s="5"/>
      <c r="B60" s="5"/>
      <c r="K60" s="5"/>
    </row>
    <row r="61">
      <c r="A61" s="5"/>
      <c r="B61" s="5"/>
      <c r="K61" s="5"/>
    </row>
    <row r="62">
      <c r="A62" s="5"/>
      <c r="B62" s="5"/>
      <c r="K62" s="5"/>
    </row>
    <row r="63">
      <c r="A63" s="5"/>
      <c r="B63" s="5"/>
      <c r="K63" s="5"/>
    </row>
    <row r="64">
      <c r="A64" s="5"/>
      <c r="B64" s="5"/>
      <c r="K64" s="5"/>
    </row>
    <row r="65">
      <c r="A65" s="5"/>
      <c r="B65" s="5"/>
      <c r="K65" s="5"/>
    </row>
    <row r="66">
      <c r="A66" s="5"/>
      <c r="B66" s="5"/>
      <c r="K66" s="5"/>
    </row>
    <row r="67">
      <c r="A67" s="5"/>
      <c r="B67" s="5"/>
      <c r="K67" s="5"/>
    </row>
    <row r="68">
      <c r="A68" s="5"/>
      <c r="B68" s="5"/>
      <c r="K68" s="5"/>
    </row>
    <row r="69">
      <c r="A69" s="5"/>
      <c r="B69" s="5"/>
      <c r="K69" s="5"/>
    </row>
    <row r="70">
      <c r="A70" s="5"/>
      <c r="B70" s="5"/>
      <c r="K70" s="5"/>
    </row>
    <row r="71">
      <c r="A71" s="5"/>
      <c r="B71" s="5"/>
      <c r="K71" s="5"/>
    </row>
    <row r="72">
      <c r="A72" s="5"/>
      <c r="B72" s="5"/>
      <c r="K72" s="5"/>
    </row>
    <row r="73">
      <c r="A73" s="5"/>
      <c r="B73" s="5"/>
      <c r="K73" s="5"/>
    </row>
    <row r="74">
      <c r="A74" s="5"/>
      <c r="B74" s="5"/>
      <c r="K74" s="5"/>
    </row>
    <row r="75">
      <c r="A75" s="5"/>
      <c r="B75" s="5"/>
      <c r="K75" s="5"/>
    </row>
    <row r="76">
      <c r="A76" s="5"/>
      <c r="B76" s="5"/>
      <c r="K76" s="5"/>
    </row>
    <row r="77">
      <c r="A77" s="5"/>
      <c r="B77" s="5"/>
      <c r="K77" s="5"/>
    </row>
    <row r="78">
      <c r="A78" s="5"/>
      <c r="B78" s="5"/>
      <c r="K78" s="5"/>
    </row>
    <row r="79">
      <c r="A79" s="5"/>
      <c r="B79" s="5"/>
      <c r="K79" s="5"/>
    </row>
    <row r="80">
      <c r="A80" s="5"/>
      <c r="B80" s="5"/>
      <c r="K80" s="5"/>
    </row>
    <row r="81">
      <c r="A81" s="5"/>
      <c r="B81" s="5"/>
      <c r="C81" s="5"/>
      <c r="D81" s="5"/>
      <c r="K81" s="5"/>
    </row>
    <row r="82">
      <c r="A82" s="5"/>
      <c r="B82" s="5"/>
      <c r="C82" s="5"/>
      <c r="D82" s="5"/>
      <c r="K82" s="5"/>
    </row>
    <row r="83">
      <c r="A83" s="5"/>
      <c r="B83" s="5"/>
      <c r="C83" s="5"/>
      <c r="D83" s="5"/>
      <c r="K83" s="5"/>
    </row>
    <row r="84">
      <c r="A84" s="5"/>
      <c r="B84" s="5"/>
      <c r="C84" s="5"/>
      <c r="D84" s="5"/>
      <c r="K84" s="5"/>
    </row>
    <row r="85">
      <c r="A85" s="5"/>
      <c r="B85" s="5"/>
      <c r="C85" s="5"/>
      <c r="D85" s="5"/>
      <c r="K85" s="5"/>
    </row>
    <row r="86">
      <c r="A86" s="5"/>
      <c r="B86" s="5"/>
      <c r="C86" s="5"/>
      <c r="D86" s="5"/>
      <c r="K86" s="5"/>
    </row>
    <row r="87">
      <c r="A87" s="5"/>
      <c r="B87" s="5"/>
      <c r="C87" s="5"/>
      <c r="D87" s="5"/>
      <c r="K87" s="5"/>
    </row>
    <row r="88">
      <c r="A88" s="5"/>
      <c r="B88" s="5"/>
      <c r="C88" s="5"/>
      <c r="D88" s="5"/>
      <c r="K88" s="5"/>
    </row>
    <row r="89">
      <c r="A89" s="5"/>
      <c r="B89" s="5"/>
      <c r="C89" s="5"/>
      <c r="D89" s="5"/>
      <c r="K89" s="5"/>
    </row>
    <row r="90">
      <c r="A90" s="5"/>
      <c r="B90" s="5"/>
      <c r="C90" s="5"/>
      <c r="D90" s="5"/>
      <c r="K90" s="5"/>
    </row>
    <row r="91">
      <c r="A91" s="5"/>
      <c r="B91" s="5"/>
      <c r="C91" s="5"/>
      <c r="D91" s="5"/>
      <c r="K91" s="5"/>
    </row>
    <row r="92">
      <c r="A92" s="5"/>
      <c r="B92" s="5"/>
      <c r="C92" s="5"/>
      <c r="D92" s="5"/>
      <c r="K92" s="5"/>
    </row>
    <row r="93">
      <c r="A93" s="5"/>
      <c r="B93" s="5"/>
      <c r="C93" s="5"/>
      <c r="D93" s="5"/>
      <c r="K93" s="5"/>
    </row>
    <row r="94">
      <c r="A94" s="5"/>
      <c r="B94" s="5"/>
      <c r="C94" s="5"/>
      <c r="D94" s="5"/>
      <c r="K94" s="5"/>
    </row>
    <row r="95">
      <c r="A95" s="5"/>
      <c r="B95" s="5"/>
      <c r="C95" s="5"/>
      <c r="D95" s="5"/>
      <c r="K95" s="5"/>
    </row>
    <row r="96">
      <c r="A96" s="5"/>
      <c r="B96" s="5"/>
      <c r="C96" s="5"/>
      <c r="D96" s="5"/>
      <c r="K96" s="5"/>
    </row>
    <row r="97">
      <c r="A97" s="5"/>
      <c r="B97" s="5"/>
      <c r="C97" s="5"/>
      <c r="D97" s="5"/>
      <c r="K97" s="5"/>
    </row>
    <row r="98">
      <c r="A98" s="5"/>
      <c r="B98" s="5"/>
      <c r="C98" s="5"/>
      <c r="D98" s="5"/>
      <c r="K98" s="5"/>
    </row>
    <row r="99">
      <c r="A99" s="5"/>
      <c r="B99" s="5"/>
      <c r="C99" s="5"/>
      <c r="D99" s="5"/>
      <c r="K99" s="5"/>
    </row>
    <row r="100">
      <c r="A100" s="5"/>
      <c r="B100" s="5"/>
      <c r="C100" s="5"/>
      <c r="D100" s="5"/>
      <c r="K100" s="5"/>
    </row>
    <row r="101">
      <c r="A101" s="5"/>
      <c r="B101" s="5"/>
      <c r="C101" s="5"/>
      <c r="D101" s="5"/>
      <c r="K101" s="5"/>
    </row>
    <row r="102">
      <c r="A102" s="5"/>
      <c r="B102" s="5"/>
      <c r="C102" s="5"/>
      <c r="D102" s="5"/>
      <c r="K102" s="5"/>
    </row>
    <row r="103">
      <c r="A103" s="5"/>
      <c r="B103" s="5"/>
      <c r="C103" s="5"/>
      <c r="D103" s="5"/>
      <c r="K103" s="5"/>
    </row>
    <row r="104">
      <c r="A104" s="5"/>
      <c r="B104" s="5"/>
      <c r="C104" s="5"/>
      <c r="D104" s="5"/>
      <c r="K104" s="5"/>
    </row>
    <row r="105">
      <c r="A105" s="5"/>
      <c r="B105" s="5"/>
      <c r="C105" s="5"/>
      <c r="D105" s="5"/>
      <c r="K105" s="5"/>
    </row>
    <row r="106">
      <c r="A106" s="5"/>
      <c r="B106" s="5"/>
      <c r="C106" s="5"/>
      <c r="D106" s="5"/>
      <c r="K106" s="5"/>
    </row>
    <row r="107">
      <c r="A107" s="5"/>
      <c r="B107" s="5"/>
      <c r="C107" s="5"/>
      <c r="D107" s="5"/>
      <c r="K107" s="5"/>
    </row>
    <row r="108">
      <c r="A108" s="5"/>
      <c r="B108" s="5"/>
      <c r="C108" s="5"/>
      <c r="D108" s="5"/>
      <c r="K108" s="5"/>
    </row>
    <row r="109">
      <c r="A109" s="5"/>
      <c r="B109" s="5"/>
      <c r="C109" s="5"/>
      <c r="D109" s="5"/>
      <c r="K109" s="5"/>
    </row>
    <row r="110">
      <c r="A110" s="5"/>
      <c r="B110" s="5"/>
      <c r="C110" s="5"/>
      <c r="D110" s="5"/>
      <c r="K110" s="5"/>
    </row>
    <row r="111">
      <c r="A111" s="5"/>
      <c r="B111" s="5"/>
      <c r="C111" s="5"/>
      <c r="D111" s="5"/>
      <c r="K111" s="5"/>
    </row>
    <row r="112">
      <c r="A112" s="5"/>
      <c r="B112" s="5"/>
      <c r="C112" s="5"/>
      <c r="D112" s="5"/>
      <c r="K112" s="5"/>
    </row>
    <row r="113">
      <c r="A113" s="5"/>
      <c r="B113" s="5"/>
      <c r="C113" s="5"/>
      <c r="D113" s="5"/>
      <c r="K113" s="5"/>
    </row>
    <row r="114">
      <c r="A114" s="5"/>
      <c r="B114" s="5"/>
      <c r="C114" s="5"/>
      <c r="D114" s="5"/>
      <c r="K114" s="5"/>
    </row>
    <row r="115">
      <c r="A115" s="5"/>
      <c r="B115" s="5"/>
      <c r="C115" s="5"/>
      <c r="D115" s="5"/>
      <c r="K115" s="5"/>
    </row>
    <row r="116">
      <c r="A116" s="5"/>
      <c r="B116" s="5"/>
      <c r="C116" s="5"/>
      <c r="D116" s="5"/>
      <c r="K116" s="5"/>
    </row>
    <row r="117">
      <c r="A117" s="5"/>
      <c r="B117" s="5"/>
      <c r="C117" s="5"/>
      <c r="D117" s="5"/>
      <c r="K117" s="5"/>
    </row>
    <row r="118">
      <c r="A118" s="5"/>
      <c r="B118" s="5"/>
      <c r="C118" s="5"/>
      <c r="D118" s="5"/>
      <c r="K118" s="5"/>
    </row>
    <row r="119">
      <c r="A119" s="5"/>
      <c r="B119" s="5"/>
      <c r="C119" s="5"/>
      <c r="D119" s="5"/>
      <c r="K119" s="5"/>
    </row>
    <row r="120">
      <c r="A120" s="5"/>
      <c r="B120" s="5"/>
      <c r="C120" s="5"/>
      <c r="D120" s="5"/>
      <c r="K120" s="5"/>
    </row>
    <row r="121">
      <c r="A121" s="5"/>
      <c r="B121" s="5"/>
      <c r="C121" s="5"/>
      <c r="D121" s="5"/>
      <c r="K121" s="5"/>
    </row>
    <row r="122">
      <c r="A122" s="5"/>
      <c r="B122" s="5"/>
      <c r="C122" s="5"/>
      <c r="D122" s="5"/>
      <c r="K122" s="5"/>
    </row>
    <row r="123">
      <c r="A123" s="5"/>
      <c r="B123" s="5"/>
      <c r="C123" s="5"/>
      <c r="D123" s="5"/>
      <c r="K123" s="5"/>
    </row>
    <row r="124">
      <c r="A124" s="5"/>
      <c r="B124" s="5"/>
      <c r="C124" s="5"/>
      <c r="D124" s="5"/>
      <c r="K124" s="5"/>
    </row>
    <row r="125">
      <c r="A125" s="5"/>
      <c r="B125" s="5"/>
      <c r="C125" s="5"/>
      <c r="D125" s="5"/>
      <c r="K125" s="5"/>
    </row>
    <row r="126">
      <c r="A126" s="5"/>
      <c r="B126" s="5"/>
      <c r="C126" s="5"/>
      <c r="D126" s="5"/>
      <c r="K126" s="5"/>
    </row>
    <row r="127">
      <c r="A127" s="5"/>
      <c r="B127" s="5"/>
      <c r="C127" s="5"/>
      <c r="D127" s="5"/>
      <c r="K127" s="5"/>
    </row>
    <row r="128">
      <c r="A128" s="5"/>
      <c r="B128" s="5"/>
      <c r="C128" s="5"/>
      <c r="D128" s="5"/>
      <c r="K128" s="5"/>
    </row>
    <row r="129">
      <c r="A129" s="5"/>
      <c r="B129" s="5"/>
      <c r="C129" s="5"/>
      <c r="D129" s="5"/>
      <c r="K129" s="5"/>
    </row>
    <row r="130">
      <c r="A130" s="5"/>
      <c r="B130" s="5"/>
      <c r="C130" s="5"/>
      <c r="D130" s="5"/>
      <c r="K130" s="5"/>
    </row>
    <row r="131">
      <c r="A131" s="5"/>
      <c r="B131" s="5"/>
      <c r="C131" s="5"/>
      <c r="D131" s="5"/>
      <c r="K131" s="5"/>
    </row>
    <row r="132">
      <c r="A132" s="5"/>
      <c r="B132" s="5"/>
      <c r="C132" s="5"/>
      <c r="D132" s="5"/>
      <c r="K132" s="5"/>
    </row>
    <row r="133">
      <c r="A133" s="5"/>
      <c r="B133" s="5"/>
      <c r="C133" s="5"/>
      <c r="D133" s="5"/>
      <c r="K133" s="5"/>
    </row>
    <row r="134">
      <c r="A134" s="5"/>
      <c r="B134" s="5"/>
      <c r="C134" s="5"/>
      <c r="D134" s="5"/>
      <c r="K134" s="5"/>
    </row>
    <row r="135">
      <c r="A135" s="5"/>
      <c r="B135" s="5"/>
      <c r="C135" s="5"/>
      <c r="D135" s="5"/>
      <c r="K135" s="5"/>
    </row>
    <row r="136">
      <c r="A136" s="5"/>
      <c r="B136" s="5"/>
      <c r="C136" s="5"/>
      <c r="D136" s="5"/>
      <c r="K136" s="5"/>
    </row>
    <row r="137">
      <c r="A137" s="5"/>
      <c r="B137" s="5"/>
      <c r="C137" s="5"/>
      <c r="D137" s="5"/>
      <c r="K137" s="5"/>
    </row>
    <row r="138">
      <c r="A138" s="5"/>
      <c r="B138" s="5"/>
      <c r="C138" s="5"/>
      <c r="D138" s="5"/>
      <c r="K138" s="5"/>
    </row>
    <row r="139">
      <c r="A139" s="5"/>
      <c r="B139" s="5"/>
      <c r="C139" s="5"/>
      <c r="D139" s="5"/>
      <c r="K139" s="5"/>
    </row>
    <row r="140">
      <c r="A140" s="5"/>
      <c r="B140" s="5"/>
      <c r="C140" s="5"/>
      <c r="D140" s="5"/>
      <c r="K140" s="5"/>
    </row>
    <row r="141">
      <c r="A141" s="5"/>
      <c r="B141" s="5"/>
      <c r="C141" s="5"/>
      <c r="D141" s="5"/>
      <c r="K141" s="5"/>
    </row>
    <row r="142">
      <c r="A142" s="5"/>
      <c r="B142" s="5"/>
      <c r="C142" s="5"/>
      <c r="D142" s="5"/>
      <c r="K142" s="5"/>
    </row>
    <row r="143">
      <c r="A143" s="5"/>
      <c r="B143" s="5"/>
      <c r="C143" s="5"/>
      <c r="D143" s="5"/>
      <c r="K143" s="5"/>
    </row>
    <row r="144">
      <c r="A144" s="5"/>
      <c r="B144" s="5"/>
      <c r="C144" s="5"/>
      <c r="D144" s="5"/>
      <c r="K144" s="5"/>
    </row>
    <row r="145">
      <c r="A145" s="5"/>
      <c r="B145" s="5"/>
      <c r="C145" s="5"/>
      <c r="D145" s="5"/>
      <c r="K145" s="5"/>
    </row>
    <row r="146">
      <c r="A146" s="5"/>
      <c r="B146" s="5"/>
      <c r="C146" s="5"/>
      <c r="D146" s="5"/>
      <c r="K146" s="5"/>
    </row>
    <row r="147">
      <c r="A147" s="5"/>
      <c r="B147" s="5"/>
      <c r="C147" s="5"/>
      <c r="D147" s="5"/>
      <c r="K147" s="5"/>
    </row>
    <row r="148">
      <c r="A148" s="5"/>
      <c r="B148" s="5"/>
      <c r="C148" s="5"/>
      <c r="D148" s="5"/>
      <c r="K148" s="5"/>
    </row>
    <row r="149">
      <c r="A149" s="5"/>
      <c r="B149" s="5"/>
      <c r="C149" s="5"/>
      <c r="D149" s="5"/>
      <c r="K149" s="5"/>
    </row>
    <row r="150">
      <c r="A150" s="5"/>
      <c r="B150" s="5"/>
      <c r="C150" s="5"/>
      <c r="D150" s="5"/>
      <c r="K150" s="5"/>
    </row>
    <row r="151">
      <c r="A151" s="5"/>
      <c r="B151" s="5"/>
      <c r="C151" s="5"/>
      <c r="D151" s="5"/>
      <c r="K151" s="5"/>
    </row>
    <row r="152">
      <c r="A152" s="5"/>
      <c r="B152" s="5"/>
      <c r="C152" s="5"/>
      <c r="D152" s="5"/>
      <c r="K152" s="5"/>
    </row>
    <row r="153">
      <c r="A153" s="5"/>
      <c r="B153" s="5"/>
      <c r="C153" s="5"/>
      <c r="D153" s="5"/>
      <c r="K153" s="5"/>
    </row>
    <row r="154">
      <c r="A154" s="5"/>
      <c r="B154" s="5"/>
      <c r="C154" s="5"/>
      <c r="D154" s="5"/>
      <c r="K154" s="5"/>
    </row>
    <row r="155">
      <c r="A155" s="5"/>
      <c r="B155" s="5"/>
      <c r="C155" s="5"/>
      <c r="D155" s="5"/>
      <c r="K155" s="5"/>
    </row>
    <row r="156">
      <c r="A156" s="5"/>
      <c r="B156" s="5"/>
      <c r="C156" s="5"/>
      <c r="D156" s="5"/>
      <c r="K156" s="5"/>
    </row>
    <row r="157">
      <c r="A157" s="5"/>
      <c r="B157" s="5"/>
      <c r="C157" s="5"/>
      <c r="D157" s="5"/>
      <c r="K157" s="5"/>
    </row>
    <row r="158">
      <c r="A158" s="5"/>
      <c r="B158" s="5"/>
      <c r="C158" s="5"/>
      <c r="D158" s="5"/>
      <c r="K158" s="5"/>
    </row>
    <row r="159">
      <c r="A159" s="5"/>
      <c r="B159" s="5"/>
      <c r="C159" s="5"/>
      <c r="D159" s="5"/>
      <c r="K159" s="5"/>
    </row>
    <row r="160">
      <c r="A160" s="5"/>
      <c r="B160" s="5"/>
      <c r="C160" s="5"/>
      <c r="D160" s="5"/>
      <c r="K160" s="5"/>
    </row>
    <row r="161">
      <c r="A161" s="5"/>
      <c r="B161" s="5"/>
      <c r="C161" s="5"/>
      <c r="D161" s="5"/>
      <c r="K161" s="5"/>
    </row>
    <row r="162">
      <c r="A162" s="5"/>
      <c r="B162" s="5"/>
      <c r="C162" s="5"/>
      <c r="D162" s="5"/>
      <c r="K162" s="5"/>
    </row>
    <row r="163">
      <c r="A163" s="5"/>
      <c r="B163" s="5"/>
      <c r="C163" s="5"/>
      <c r="D163" s="5"/>
      <c r="K163" s="5"/>
    </row>
    <row r="164">
      <c r="A164" s="5"/>
      <c r="B164" s="5"/>
      <c r="C164" s="5"/>
      <c r="D164" s="5"/>
      <c r="K164" s="5"/>
    </row>
    <row r="165">
      <c r="A165" s="5"/>
      <c r="B165" s="5"/>
      <c r="C165" s="5"/>
      <c r="D165" s="5"/>
      <c r="K165" s="5"/>
    </row>
    <row r="166">
      <c r="A166" s="5"/>
      <c r="B166" s="5"/>
      <c r="C166" s="5"/>
      <c r="D166" s="5"/>
      <c r="K166" s="5"/>
    </row>
    <row r="167">
      <c r="A167" s="5"/>
      <c r="B167" s="5"/>
      <c r="C167" s="5"/>
      <c r="D167" s="5"/>
      <c r="K167" s="5"/>
    </row>
    <row r="168">
      <c r="A168" s="5"/>
      <c r="B168" s="5"/>
      <c r="C168" s="5"/>
      <c r="D168" s="5"/>
      <c r="K168" s="5"/>
    </row>
    <row r="169">
      <c r="A169" s="5"/>
      <c r="B169" s="5"/>
      <c r="C169" s="5"/>
      <c r="D169" s="5"/>
      <c r="K169" s="5"/>
    </row>
    <row r="170">
      <c r="A170" s="5"/>
      <c r="B170" s="5"/>
      <c r="C170" s="5"/>
      <c r="D170" s="5"/>
      <c r="K170" s="5"/>
    </row>
    <row r="171">
      <c r="A171" s="5"/>
      <c r="B171" s="5"/>
      <c r="C171" s="5"/>
      <c r="D171" s="5"/>
      <c r="K171" s="5"/>
    </row>
    <row r="172">
      <c r="A172" s="5"/>
      <c r="B172" s="5"/>
      <c r="C172" s="5"/>
      <c r="D172" s="5"/>
      <c r="K172" s="5"/>
    </row>
    <row r="173">
      <c r="A173" s="5"/>
      <c r="B173" s="5"/>
      <c r="C173" s="5"/>
      <c r="D173" s="5"/>
      <c r="K173" s="5"/>
    </row>
    <row r="174">
      <c r="A174" s="5"/>
      <c r="B174" s="5"/>
      <c r="C174" s="5"/>
      <c r="D174" s="5"/>
      <c r="K174" s="5"/>
    </row>
    <row r="175">
      <c r="A175" s="5"/>
      <c r="B175" s="5"/>
      <c r="C175" s="5"/>
      <c r="D175" s="5"/>
      <c r="K175" s="5"/>
    </row>
    <row r="176">
      <c r="A176" s="5"/>
      <c r="B176" s="5"/>
      <c r="C176" s="5"/>
      <c r="D176" s="5"/>
      <c r="K176" s="5"/>
    </row>
    <row r="177">
      <c r="A177" s="5"/>
      <c r="B177" s="5"/>
      <c r="C177" s="5"/>
      <c r="D177" s="5"/>
      <c r="K177" s="5"/>
    </row>
    <row r="178">
      <c r="A178" s="5"/>
      <c r="B178" s="5"/>
      <c r="C178" s="5"/>
      <c r="D178" s="5"/>
      <c r="K178" s="5"/>
    </row>
    <row r="179">
      <c r="A179" s="5"/>
      <c r="B179" s="5"/>
      <c r="C179" s="5"/>
      <c r="D179" s="5"/>
      <c r="K179" s="5"/>
    </row>
    <row r="180">
      <c r="A180" s="5"/>
      <c r="B180" s="5"/>
      <c r="C180" s="5"/>
      <c r="D180" s="5"/>
      <c r="K180" s="5"/>
    </row>
    <row r="181">
      <c r="A181" s="5"/>
      <c r="B181" s="5"/>
      <c r="C181" s="5"/>
      <c r="D181" s="5"/>
      <c r="K181" s="5"/>
    </row>
    <row r="182">
      <c r="A182" s="5"/>
      <c r="B182" s="5"/>
      <c r="C182" s="5"/>
      <c r="D182" s="5"/>
      <c r="K182" s="5"/>
    </row>
    <row r="183">
      <c r="A183" s="5"/>
      <c r="B183" s="5"/>
      <c r="C183" s="5"/>
      <c r="D183" s="5"/>
      <c r="K183" s="5"/>
    </row>
    <row r="184">
      <c r="A184" s="5"/>
      <c r="B184" s="5"/>
      <c r="C184" s="5"/>
      <c r="D184" s="5"/>
      <c r="K184" s="5"/>
    </row>
    <row r="185">
      <c r="A185" s="5"/>
      <c r="B185" s="5"/>
      <c r="C185" s="5"/>
      <c r="D185" s="5"/>
      <c r="K185" s="5"/>
    </row>
    <row r="186">
      <c r="A186" s="5"/>
      <c r="B186" s="5"/>
      <c r="C186" s="5"/>
      <c r="D186" s="5"/>
      <c r="K186" s="5"/>
    </row>
    <row r="187">
      <c r="A187" s="5"/>
      <c r="B187" s="5"/>
      <c r="C187" s="5"/>
      <c r="D187" s="5"/>
      <c r="K187" s="5"/>
    </row>
    <row r="188">
      <c r="A188" s="5"/>
      <c r="B188" s="5"/>
      <c r="C188" s="5"/>
      <c r="D188" s="5"/>
      <c r="K188" s="5"/>
    </row>
    <row r="189">
      <c r="A189" s="5"/>
      <c r="B189" s="5"/>
      <c r="C189" s="5"/>
      <c r="D189" s="5"/>
      <c r="K189" s="5"/>
    </row>
    <row r="190">
      <c r="A190" s="5"/>
      <c r="B190" s="5"/>
      <c r="C190" s="5"/>
      <c r="D190" s="5"/>
      <c r="K190" s="5"/>
    </row>
    <row r="191">
      <c r="A191" s="5"/>
      <c r="B191" s="5"/>
      <c r="C191" s="5"/>
      <c r="D191" s="5"/>
      <c r="K191" s="5"/>
    </row>
    <row r="192">
      <c r="A192" s="5"/>
      <c r="B192" s="5"/>
      <c r="C192" s="5"/>
      <c r="D192" s="5"/>
      <c r="K192" s="5"/>
    </row>
    <row r="193">
      <c r="A193" s="5"/>
      <c r="B193" s="5"/>
      <c r="C193" s="5"/>
      <c r="D193" s="5"/>
      <c r="K193" s="5"/>
    </row>
    <row r="194">
      <c r="A194" s="5"/>
      <c r="B194" s="5"/>
      <c r="C194" s="5"/>
      <c r="D194" s="5"/>
      <c r="K194" s="5"/>
    </row>
    <row r="195">
      <c r="A195" s="5"/>
      <c r="B195" s="5"/>
      <c r="C195" s="5"/>
      <c r="D195" s="5"/>
      <c r="K195" s="5"/>
    </row>
    <row r="196">
      <c r="A196" s="5"/>
      <c r="B196" s="5"/>
      <c r="C196" s="5"/>
      <c r="D196" s="5"/>
      <c r="K196" s="5"/>
    </row>
    <row r="197">
      <c r="A197" s="5"/>
      <c r="B197" s="5"/>
      <c r="C197" s="5"/>
      <c r="D197" s="5"/>
      <c r="K197" s="5"/>
    </row>
    <row r="198">
      <c r="A198" s="5"/>
      <c r="B198" s="5"/>
      <c r="C198" s="5"/>
      <c r="D198" s="5"/>
      <c r="K198" s="5"/>
    </row>
    <row r="199">
      <c r="A199" s="5"/>
      <c r="B199" s="5"/>
      <c r="C199" s="5"/>
      <c r="D199" s="5"/>
      <c r="K199" s="5"/>
    </row>
    <row r="200">
      <c r="A200" s="5"/>
      <c r="B200" s="5"/>
      <c r="C200" s="5"/>
      <c r="D200" s="5"/>
      <c r="K200" s="5"/>
    </row>
    <row r="201">
      <c r="A201" s="5"/>
      <c r="B201" s="5"/>
      <c r="C201" s="5"/>
      <c r="D201" s="5"/>
      <c r="K201" s="5"/>
    </row>
    <row r="202">
      <c r="A202" s="5"/>
      <c r="B202" s="5"/>
      <c r="C202" s="5"/>
      <c r="D202" s="5"/>
      <c r="K202" s="5"/>
    </row>
    <row r="203">
      <c r="A203" s="5"/>
      <c r="B203" s="5"/>
      <c r="C203" s="5"/>
      <c r="D203" s="5"/>
      <c r="K203" s="5"/>
    </row>
    <row r="204">
      <c r="A204" s="5"/>
      <c r="B204" s="5"/>
      <c r="C204" s="5"/>
      <c r="D204" s="5"/>
      <c r="K204" s="5"/>
    </row>
    <row r="205">
      <c r="A205" s="5"/>
      <c r="B205" s="5"/>
      <c r="C205" s="5"/>
      <c r="D205" s="5"/>
      <c r="K205" s="5"/>
    </row>
    <row r="206">
      <c r="A206" s="5"/>
      <c r="B206" s="5"/>
      <c r="C206" s="5"/>
      <c r="D206" s="5"/>
      <c r="K206" s="5"/>
    </row>
    <row r="207">
      <c r="A207" s="5"/>
      <c r="B207" s="5"/>
      <c r="C207" s="5"/>
      <c r="D207" s="5"/>
      <c r="K207" s="5"/>
    </row>
    <row r="208">
      <c r="A208" s="5"/>
      <c r="B208" s="5"/>
      <c r="C208" s="5"/>
      <c r="D208" s="5"/>
      <c r="K208" s="5"/>
    </row>
    <row r="209">
      <c r="A209" s="5"/>
      <c r="B209" s="5"/>
      <c r="C209" s="5"/>
      <c r="D209" s="5"/>
      <c r="K209" s="5"/>
    </row>
    <row r="210">
      <c r="A210" s="5"/>
      <c r="B210" s="5"/>
      <c r="C210" s="5"/>
      <c r="D210" s="5"/>
      <c r="K210" s="5"/>
    </row>
    <row r="211">
      <c r="A211" s="5"/>
      <c r="B211" s="5"/>
      <c r="C211" s="5"/>
      <c r="D211" s="5"/>
      <c r="K211" s="5"/>
    </row>
    <row r="212">
      <c r="A212" s="5"/>
      <c r="B212" s="5"/>
      <c r="C212" s="5"/>
      <c r="D212" s="5"/>
      <c r="K212" s="5"/>
    </row>
    <row r="213">
      <c r="A213" s="5"/>
      <c r="B213" s="5"/>
      <c r="C213" s="5"/>
      <c r="D213" s="5"/>
      <c r="K213" s="5"/>
    </row>
    <row r="214">
      <c r="A214" s="5"/>
      <c r="B214" s="5"/>
      <c r="C214" s="5"/>
      <c r="D214" s="5"/>
      <c r="K214" s="5"/>
    </row>
    <row r="215">
      <c r="A215" s="5"/>
      <c r="B215" s="5"/>
      <c r="C215" s="5"/>
      <c r="D215" s="5"/>
      <c r="K215" s="5"/>
    </row>
    <row r="216">
      <c r="A216" s="5"/>
      <c r="B216" s="5"/>
      <c r="C216" s="5"/>
      <c r="D216" s="5"/>
      <c r="K216" s="5"/>
    </row>
    <row r="217">
      <c r="A217" s="5"/>
      <c r="B217" s="5"/>
      <c r="C217" s="5"/>
      <c r="D217" s="5"/>
      <c r="K217" s="5"/>
    </row>
    <row r="218">
      <c r="A218" s="5"/>
      <c r="B218" s="5"/>
      <c r="C218" s="5"/>
      <c r="D218" s="5"/>
      <c r="K218" s="5"/>
    </row>
    <row r="219">
      <c r="A219" s="5"/>
      <c r="B219" s="5"/>
      <c r="C219" s="5"/>
      <c r="D219" s="5"/>
      <c r="K219" s="5"/>
    </row>
    <row r="220">
      <c r="A220" s="5"/>
      <c r="B220" s="5"/>
      <c r="C220" s="5"/>
      <c r="D220" s="5"/>
      <c r="K220" s="5"/>
    </row>
    <row r="221">
      <c r="A221" s="5"/>
      <c r="B221" s="5"/>
      <c r="C221" s="5"/>
      <c r="D221" s="5"/>
      <c r="K221" s="5"/>
    </row>
    <row r="222">
      <c r="A222" s="5"/>
      <c r="B222" s="5"/>
      <c r="C222" s="5"/>
      <c r="D222" s="5"/>
      <c r="K222" s="5"/>
    </row>
    <row r="223">
      <c r="A223" s="5"/>
      <c r="B223" s="5"/>
      <c r="C223" s="5"/>
      <c r="D223" s="5"/>
      <c r="K223" s="5"/>
    </row>
    <row r="224">
      <c r="A224" s="5"/>
      <c r="B224" s="5"/>
      <c r="C224" s="5"/>
      <c r="D224" s="5"/>
      <c r="K224" s="5"/>
    </row>
    <row r="225">
      <c r="A225" s="5"/>
      <c r="B225" s="5"/>
      <c r="C225" s="5"/>
      <c r="D225" s="5"/>
      <c r="K225" s="5"/>
    </row>
    <row r="226">
      <c r="A226" s="5"/>
      <c r="B226" s="5"/>
      <c r="C226" s="5"/>
      <c r="D226" s="5"/>
      <c r="K226" s="5"/>
    </row>
    <row r="227">
      <c r="A227" s="5"/>
      <c r="B227" s="5"/>
      <c r="C227" s="5"/>
      <c r="D227" s="5"/>
      <c r="K227" s="5"/>
    </row>
    <row r="228">
      <c r="A228" s="5"/>
      <c r="B228" s="5"/>
      <c r="C228" s="5"/>
      <c r="D228" s="5"/>
      <c r="K228" s="5"/>
    </row>
    <row r="229">
      <c r="A229" s="5"/>
      <c r="B229" s="5"/>
      <c r="C229" s="5"/>
      <c r="D229" s="5"/>
      <c r="K229" s="5"/>
    </row>
    <row r="230">
      <c r="A230" s="5"/>
      <c r="B230" s="5"/>
      <c r="C230" s="5"/>
      <c r="D230" s="5"/>
      <c r="K230" s="5"/>
    </row>
    <row r="231">
      <c r="A231" s="5"/>
      <c r="B231" s="5"/>
      <c r="C231" s="5"/>
      <c r="D231" s="5"/>
      <c r="K231" s="5"/>
    </row>
    <row r="232">
      <c r="A232" s="5"/>
      <c r="B232" s="5"/>
      <c r="C232" s="5"/>
      <c r="D232" s="5"/>
      <c r="K232" s="5"/>
    </row>
    <row r="233">
      <c r="A233" s="5"/>
      <c r="B233" s="5"/>
      <c r="C233" s="5"/>
      <c r="D233" s="5"/>
      <c r="K233" s="5"/>
    </row>
    <row r="234">
      <c r="A234" s="5"/>
      <c r="B234" s="5"/>
      <c r="C234" s="5"/>
      <c r="D234" s="5"/>
      <c r="K234" s="5"/>
    </row>
    <row r="235">
      <c r="A235" s="5"/>
      <c r="B235" s="5"/>
      <c r="C235" s="5"/>
      <c r="D235" s="5"/>
      <c r="K235" s="5"/>
    </row>
    <row r="236">
      <c r="A236" s="5"/>
      <c r="B236" s="5"/>
      <c r="C236" s="5"/>
      <c r="D236" s="5"/>
      <c r="K236" s="5"/>
    </row>
    <row r="237">
      <c r="A237" s="5"/>
      <c r="B237" s="5"/>
      <c r="C237" s="5"/>
      <c r="D237" s="5"/>
      <c r="K237" s="5"/>
    </row>
    <row r="238">
      <c r="A238" s="5"/>
      <c r="B238" s="5"/>
      <c r="C238" s="5"/>
      <c r="D238" s="5"/>
      <c r="K238" s="5"/>
    </row>
    <row r="239">
      <c r="A239" s="5"/>
      <c r="B239" s="5"/>
      <c r="C239" s="5"/>
      <c r="D239" s="5"/>
      <c r="K239" s="5"/>
    </row>
    <row r="240">
      <c r="A240" s="5"/>
      <c r="B240" s="5"/>
      <c r="C240" s="5"/>
      <c r="D240" s="5"/>
      <c r="K240" s="5"/>
    </row>
    <row r="241">
      <c r="A241" s="5"/>
      <c r="B241" s="5"/>
      <c r="C241" s="5"/>
      <c r="D241" s="5"/>
      <c r="K241" s="5"/>
    </row>
    <row r="242">
      <c r="A242" s="5"/>
      <c r="B242" s="5"/>
      <c r="C242" s="5"/>
      <c r="D242" s="5"/>
      <c r="K242" s="5"/>
    </row>
    <row r="243">
      <c r="A243" s="5"/>
      <c r="B243" s="5"/>
      <c r="C243" s="5"/>
      <c r="D243" s="5"/>
      <c r="K243" s="5"/>
    </row>
    <row r="244">
      <c r="A244" s="5"/>
      <c r="B244" s="5"/>
      <c r="C244" s="5"/>
      <c r="D244" s="5"/>
      <c r="K244" s="5"/>
    </row>
    <row r="245">
      <c r="A245" s="5"/>
      <c r="B245" s="5"/>
      <c r="C245" s="5"/>
      <c r="D245" s="5"/>
      <c r="K245" s="5"/>
    </row>
    <row r="246">
      <c r="A246" s="5"/>
      <c r="B246" s="5"/>
      <c r="C246" s="5"/>
      <c r="D246" s="5"/>
      <c r="K246" s="5"/>
    </row>
    <row r="247">
      <c r="A247" s="5"/>
      <c r="B247" s="5"/>
      <c r="C247" s="5"/>
      <c r="D247" s="5"/>
      <c r="K247" s="5"/>
    </row>
    <row r="248">
      <c r="A248" s="5"/>
      <c r="B248" s="5"/>
      <c r="C248" s="5"/>
      <c r="D248" s="5"/>
      <c r="K248" s="5"/>
    </row>
    <row r="249">
      <c r="A249" s="5"/>
      <c r="B249" s="5"/>
      <c r="C249" s="5"/>
      <c r="D249" s="5"/>
      <c r="K249" s="5"/>
    </row>
    <row r="250">
      <c r="A250" s="5"/>
      <c r="B250" s="5"/>
      <c r="C250" s="5"/>
      <c r="D250" s="5"/>
      <c r="K250" s="5"/>
    </row>
    <row r="251">
      <c r="A251" s="5"/>
      <c r="B251" s="5"/>
      <c r="C251" s="5"/>
      <c r="D251" s="5"/>
      <c r="K251" s="5"/>
    </row>
    <row r="252">
      <c r="A252" s="5"/>
      <c r="B252" s="5"/>
      <c r="C252" s="5"/>
      <c r="D252" s="5"/>
      <c r="K252" s="5"/>
    </row>
    <row r="253">
      <c r="A253" s="5"/>
      <c r="B253" s="5"/>
      <c r="C253" s="5"/>
      <c r="D253" s="5"/>
      <c r="K253" s="5"/>
    </row>
    <row r="254">
      <c r="A254" s="5"/>
      <c r="B254" s="5"/>
      <c r="C254" s="5"/>
      <c r="D254" s="5"/>
      <c r="K254" s="5"/>
    </row>
    <row r="255">
      <c r="A255" s="5"/>
      <c r="B255" s="5"/>
      <c r="C255" s="5"/>
      <c r="D255" s="5"/>
      <c r="K255" s="5"/>
    </row>
    <row r="256">
      <c r="A256" s="5"/>
      <c r="B256" s="5"/>
      <c r="C256" s="5"/>
      <c r="D256" s="5"/>
      <c r="K256" s="5"/>
    </row>
    <row r="257">
      <c r="A257" s="5"/>
      <c r="B257" s="5"/>
      <c r="C257" s="5"/>
      <c r="D257" s="5"/>
      <c r="K257" s="5"/>
    </row>
    <row r="258">
      <c r="A258" s="5"/>
      <c r="B258" s="5"/>
      <c r="C258" s="5"/>
      <c r="D258" s="5"/>
      <c r="K258" s="5"/>
    </row>
    <row r="259">
      <c r="A259" s="5"/>
      <c r="B259" s="5"/>
      <c r="C259" s="5"/>
      <c r="D259" s="5"/>
      <c r="K259" s="5"/>
    </row>
    <row r="260">
      <c r="A260" s="5"/>
      <c r="B260" s="5"/>
      <c r="C260" s="5"/>
      <c r="D260" s="5"/>
      <c r="K260" s="5"/>
    </row>
    <row r="261">
      <c r="A261" s="5"/>
      <c r="B261" s="5"/>
      <c r="C261" s="5"/>
      <c r="D261" s="5"/>
      <c r="K261" s="5"/>
    </row>
    <row r="262">
      <c r="A262" s="5"/>
      <c r="B262" s="5"/>
      <c r="C262" s="5"/>
      <c r="D262" s="5"/>
      <c r="K262" s="5"/>
    </row>
    <row r="263">
      <c r="A263" s="5"/>
      <c r="B263" s="5"/>
      <c r="C263" s="5"/>
      <c r="D263" s="5"/>
      <c r="K263" s="5"/>
    </row>
    <row r="264">
      <c r="A264" s="5"/>
      <c r="B264" s="5"/>
      <c r="C264" s="5"/>
      <c r="D264" s="5"/>
      <c r="K264" s="5"/>
    </row>
    <row r="265">
      <c r="A265" s="5"/>
      <c r="B265" s="5"/>
      <c r="C265" s="5"/>
      <c r="D265" s="5"/>
      <c r="K265" s="5"/>
    </row>
    <row r="266">
      <c r="A266" s="5"/>
      <c r="B266" s="5"/>
      <c r="C266" s="5"/>
      <c r="D266" s="5"/>
      <c r="K266" s="5"/>
    </row>
    <row r="267">
      <c r="A267" s="5"/>
      <c r="B267" s="5"/>
      <c r="C267" s="5"/>
      <c r="D267" s="5"/>
      <c r="K267" s="5"/>
    </row>
    <row r="268">
      <c r="A268" s="5"/>
      <c r="B268" s="5"/>
      <c r="C268" s="5"/>
      <c r="D268" s="5"/>
      <c r="K268" s="5"/>
    </row>
    <row r="269">
      <c r="A269" s="5"/>
      <c r="B269" s="5"/>
      <c r="C269" s="5"/>
      <c r="D269" s="5"/>
      <c r="K269" s="5"/>
    </row>
    <row r="270">
      <c r="A270" s="5"/>
      <c r="B270" s="5"/>
      <c r="C270" s="5"/>
      <c r="D270" s="5"/>
      <c r="K270" s="5"/>
    </row>
    <row r="271">
      <c r="A271" s="5"/>
      <c r="B271" s="5"/>
      <c r="C271" s="5"/>
      <c r="D271" s="5"/>
      <c r="K271" s="5"/>
    </row>
    <row r="272">
      <c r="A272" s="5"/>
      <c r="B272" s="5"/>
      <c r="C272" s="5"/>
      <c r="D272" s="5"/>
      <c r="K272" s="5"/>
    </row>
    <row r="273">
      <c r="A273" s="5"/>
      <c r="B273" s="5"/>
      <c r="C273" s="5"/>
      <c r="D273" s="5"/>
      <c r="K273" s="5"/>
    </row>
    <row r="274">
      <c r="A274" s="5"/>
      <c r="B274" s="5"/>
      <c r="C274" s="5"/>
      <c r="D274" s="5"/>
      <c r="K274" s="5"/>
    </row>
    <row r="275">
      <c r="A275" s="5"/>
      <c r="B275" s="5"/>
      <c r="C275" s="5"/>
      <c r="D275" s="5"/>
      <c r="K275" s="5"/>
    </row>
    <row r="276">
      <c r="A276" s="5"/>
      <c r="B276" s="5"/>
      <c r="C276" s="5"/>
      <c r="D276" s="5"/>
      <c r="K276" s="5"/>
    </row>
    <row r="277">
      <c r="A277" s="5"/>
      <c r="B277" s="5"/>
      <c r="C277" s="5"/>
      <c r="D277" s="5"/>
      <c r="K277" s="5"/>
    </row>
    <row r="278">
      <c r="A278" s="5"/>
      <c r="B278" s="5"/>
      <c r="C278" s="5"/>
      <c r="D278" s="5"/>
      <c r="K278" s="5"/>
    </row>
    <row r="279">
      <c r="A279" s="5"/>
      <c r="B279" s="5"/>
      <c r="C279" s="5"/>
      <c r="D279" s="5"/>
      <c r="K279" s="5"/>
    </row>
    <row r="280">
      <c r="A280" s="5"/>
      <c r="B280" s="5"/>
      <c r="C280" s="5"/>
      <c r="D280" s="5"/>
      <c r="K280" s="5"/>
    </row>
    <row r="281">
      <c r="A281" s="5"/>
      <c r="B281" s="5"/>
      <c r="C281" s="5"/>
      <c r="D281" s="5"/>
      <c r="K281" s="5"/>
    </row>
    <row r="282">
      <c r="A282" s="5"/>
      <c r="B282" s="5"/>
      <c r="C282" s="5"/>
      <c r="D282" s="5"/>
      <c r="K282" s="5"/>
    </row>
    <row r="283">
      <c r="A283" s="5"/>
      <c r="B283" s="5"/>
      <c r="C283" s="5"/>
      <c r="D283" s="5"/>
      <c r="K283" s="5"/>
    </row>
    <row r="284">
      <c r="A284" s="5"/>
      <c r="B284" s="5"/>
      <c r="C284" s="5"/>
      <c r="D284" s="5"/>
      <c r="K284" s="5"/>
    </row>
    <row r="285">
      <c r="A285" s="5"/>
      <c r="B285" s="5"/>
      <c r="C285" s="5"/>
      <c r="D285" s="5"/>
      <c r="K285" s="5"/>
    </row>
    <row r="286">
      <c r="A286" s="5"/>
      <c r="B286" s="5"/>
      <c r="C286" s="5"/>
      <c r="D286" s="5"/>
      <c r="K286" s="5"/>
    </row>
    <row r="287">
      <c r="A287" s="5"/>
      <c r="B287" s="5"/>
      <c r="C287" s="5"/>
      <c r="D287" s="5"/>
      <c r="K287" s="5"/>
    </row>
    <row r="288">
      <c r="A288" s="5"/>
      <c r="B288" s="5"/>
      <c r="C288" s="5"/>
      <c r="D288" s="5"/>
      <c r="K288" s="5"/>
    </row>
    <row r="289">
      <c r="A289" s="5"/>
      <c r="B289" s="5"/>
      <c r="C289" s="5"/>
      <c r="D289" s="5"/>
      <c r="K289" s="5"/>
    </row>
    <row r="290">
      <c r="A290" s="5"/>
      <c r="B290" s="5"/>
      <c r="C290" s="5"/>
      <c r="D290" s="5"/>
      <c r="K290" s="5"/>
    </row>
    <row r="291">
      <c r="A291" s="5"/>
      <c r="B291" s="5"/>
      <c r="C291" s="5"/>
      <c r="D291" s="5"/>
      <c r="K291" s="5"/>
    </row>
    <row r="292">
      <c r="A292" s="5"/>
      <c r="B292" s="5"/>
      <c r="C292" s="5"/>
      <c r="D292" s="5"/>
      <c r="K292" s="5"/>
    </row>
    <row r="293">
      <c r="A293" s="5"/>
      <c r="B293" s="5"/>
      <c r="C293" s="5"/>
      <c r="D293" s="5"/>
      <c r="K293" s="5"/>
    </row>
    <row r="294">
      <c r="A294" s="5"/>
      <c r="B294" s="5"/>
      <c r="C294" s="5"/>
      <c r="D294" s="5"/>
      <c r="K294" s="5"/>
    </row>
    <row r="295">
      <c r="A295" s="5"/>
      <c r="B295" s="5"/>
      <c r="C295" s="5"/>
      <c r="D295" s="5"/>
      <c r="K295" s="5"/>
    </row>
    <row r="296">
      <c r="A296" s="5"/>
      <c r="B296" s="5"/>
      <c r="C296" s="5"/>
      <c r="D296" s="5"/>
      <c r="K296" s="5"/>
    </row>
    <row r="297">
      <c r="A297" s="5"/>
      <c r="B297" s="5"/>
      <c r="C297" s="5"/>
      <c r="D297" s="5"/>
      <c r="K297" s="5"/>
    </row>
    <row r="298">
      <c r="A298" s="5"/>
      <c r="B298" s="5"/>
      <c r="C298" s="5"/>
      <c r="D298" s="5"/>
      <c r="K298" s="5"/>
    </row>
    <row r="299">
      <c r="A299" s="5"/>
      <c r="B299" s="5"/>
      <c r="C299" s="5"/>
      <c r="D299" s="5"/>
      <c r="K299" s="5"/>
    </row>
    <row r="300">
      <c r="A300" s="5"/>
      <c r="B300" s="5"/>
      <c r="C300" s="5"/>
      <c r="D300" s="5"/>
      <c r="K300" s="5"/>
    </row>
    <row r="301">
      <c r="A301" s="5"/>
      <c r="B301" s="5"/>
      <c r="C301" s="5"/>
      <c r="D301" s="5"/>
      <c r="K301" s="5"/>
    </row>
    <row r="302">
      <c r="A302" s="5"/>
      <c r="B302" s="5"/>
      <c r="C302" s="5"/>
      <c r="D302" s="5"/>
      <c r="K302" s="5"/>
    </row>
    <row r="303">
      <c r="A303" s="5"/>
      <c r="B303" s="5"/>
      <c r="C303" s="5"/>
      <c r="D303" s="5"/>
      <c r="K303" s="5"/>
    </row>
    <row r="304">
      <c r="A304" s="5"/>
      <c r="B304" s="5"/>
      <c r="C304" s="5"/>
      <c r="D304" s="5"/>
      <c r="K304" s="5"/>
    </row>
    <row r="305">
      <c r="A305" s="5"/>
      <c r="B305" s="5"/>
      <c r="C305" s="5"/>
      <c r="D305" s="5"/>
      <c r="K305" s="5"/>
    </row>
    <row r="306">
      <c r="A306" s="5"/>
      <c r="B306" s="5"/>
      <c r="C306" s="5"/>
      <c r="D306" s="5"/>
      <c r="K306" s="5"/>
    </row>
    <row r="307">
      <c r="A307" s="5"/>
      <c r="B307" s="5"/>
      <c r="C307" s="5"/>
      <c r="D307" s="5"/>
      <c r="K307" s="5"/>
    </row>
    <row r="308">
      <c r="A308" s="5"/>
      <c r="B308" s="5"/>
      <c r="C308" s="5"/>
      <c r="D308" s="5"/>
      <c r="K308" s="5"/>
    </row>
    <row r="309">
      <c r="A309" s="5"/>
      <c r="B309" s="5"/>
      <c r="C309" s="5"/>
      <c r="D309" s="5"/>
      <c r="K309" s="5"/>
    </row>
    <row r="310">
      <c r="A310" s="5"/>
      <c r="B310" s="5"/>
      <c r="C310" s="5"/>
      <c r="D310" s="5"/>
      <c r="K310" s="5"/>
    </row>
    <row r="311">
      <c r="A311" s="5"/>
      <c r="B311" s="5"/>
      <c r="C311" s="5"/>
      <c r="D311" s="5"/>
      <c r="K311" s="5"/>
    </row>
    <row r="312">
      <c r="A312" s="5"/>
      <c r="B312" s="5"/>
      <c r="C312" s="5"/>
      <c r="D312" s="5"/>
      <c r="K312" s="5"/>
    </row>
    <row r="313">
      <c r="A313" s="5"/>
      <c r="B313" s="5"/>
      <c r="C313" s="5"/>
      <c r="D313" s="5"/>
      <c r="K313" s="5"/>
    </row>
    <row r="314">
      <c r="A314" s="5"/>
      <c r="B314" s="5"/>
      <c r="C314" s="5"/>
      <c r="D314" s="5"/>
      <c r="K314" s="5"/>
    </row>
    <row r="315">
      <c r="A315" s="5"/>
      <c r="B315" s="5"/>
      <c r="C315" s="5"/>
      <c r="D315" s="5"/>
      <c r="K315" s="5"/>
    </row>
    <row r="316">
      <c r="A316" s="5"/>
      <c r="B316" s="5"/>
      <c r="C316" s="5"/>
      <c r="D316" s="5"/>
      <c r="K316" s="5"/>
    </row>
    <row r="317">
      <c r="A317" s="5"/>
      <c r="B317" s="5"/>
      <c r="C317" s="5"/>
      <c r="D317" s="5"/>
      <c r="K317" s="5"/>
    </row>
    <row r="318">
      <c r="A318" s="5"/>
      <c r="B318" s="5"/>
      <c r="C318" s="5"/>
      <c r="D318" s="5"/>
      <c r="K318" s="5"/>
    </row>
    <row r="319">
      <c r="A319" s="5"/>
      <c r="B319" s="5"/>
      <c r="C319" s="5"/>
      <c r="D319" s="5"/>
      <c r="K319" s="5"/>
    </row>
    <row r="320">
      <c r="A320" s="5"/>
      <c r="B320" s="5"/>
      <c r="C320" s="5"/>
      <c r="D320" s="5"/>
      <c r="K320" s="5"/>
    </row>
    <row r="321">
      <c r="A321" s="5"/>
      <c r="B321" s="5"/>
      <c r="C321" s="5"/>
      <c r="D321" s="5"/>
      <c r="K321" s="5"/>
    </row>
    <row r="322">
      <c r="A322" s="5"/>
      <c r="B322" s="5"/>
      <c r="C322" s="5"/>
      <c r="D322" s="5"/>
      <c r="K322" s="5"/>
    </row>
    <row r="323">
      <c r="A323" s="5"/>
      <c r="B323" s="5"/>
      <c r="C323" s="5"/>
      <c r="D323" s="5"/>
      <c r="K323" s="5"/>
    </row>
    <row r="324">
      <c r="A324" s="5"/>
      <c r="B324" s="5"/>
      <c r="C324" s="5"/>
      <c r="D324" s="5"/>
      <c r="K324" s="5"/>
    </row>
    <row r="325">
      <c r="A325" s="5"/>
      <c r="B325" s="5"/>
      <c r="C325" s="5"/>
      <c r="D325" s="5"/>
      <c r="K325" s="5"/>
    </row>
    <row r="326">
      <c r="A326" s="5"/>
      <c r="B326" s="5"/>
      <c r="C326" s="5"/>
      <c r="D326" s="5"/>
      <c r="K326" s="5"/>
    </row>
    <row r="327">
      <c r="A327" s="5"/>
      <c r="B327" s="5"/>
      <c r="C327" s="5"/>
      <c r="D327" s="5"/>
      <c r="K327" s="5"/>
    </row>
    <row r="328">
      <c r="A328" s="5"/>
      <c r="B328" s="5"/>
      <c r="C328" s="5"/>
      <c r="D328" s="5"/>
      <c r="K328" s="5"/>
    </row>
    <row r="329">
      <c r="A329" s="5"/>
      <c r="B329" s="5"/>
      <c r="C329" s="5"/>
      <c r="D329" s="5"/>
      <c r="K329" s="5"/>
    </row>
    <row r="330">
      <c r="A330" s="5"/>
      <c r="B330" s="5"/>
      <c r="C330" s="5"/>
      <c r="D330" s="5"/>
      <c r="K330" s="5"/>
    </row>
    <row r="331">
      <c r="A331" s="5"/>
      <c r="B331" s="5"/>
      <c r="C331" s="5"/>
      <c r="D331" s="5"/>
      <c r="K331" s="5"/>
    </row>
    <row r="332">
      <c r="A332" s="5"/>
      <c r="B332" s="5"/>
      <c r="C332" s="5"/>
      <c r="D332" s="5"/>
      <c r="K332" s="5"/>
    </row>
    <row r="333">
      <c r="A333" s="5"/>
      <c r="B333" s="5"/>
      <c r="C333" s="5"/>
      <c r="D333" s="5"/>
      <c r="K333" s="5"/>
    </row>
    <row r="334">
      <c r="A334" s="5"/>
      <c r="B334" s="5"/>
      <c r="C334" s="5"/>
      <c r="D334" s="5"/>
      <c r="K334" s="5"/>
    </row>
    <row r="335">
      <c r="A335" s="5"/>
      <c r="B335" s="5"/>
      <c r="C335" s="5"/>
      <c r="D335" s="5"/>
      <c r="K335" s="5"/>
    </row>
    <row r="336">
      <c r="A336" s="5"/>
      <c r="B336" s="5"/>
      <c r="C336" s="5"/>
      <c r="D336" s="5"/>
      <c r="K336" s="5"/>
    </row>
    <row r="337">
      <c r="A337" s="5"/>
      <c r="B337" s="5"/>
      <c r="C337" s="5"/>
      <c r="D337" s="5"/>
      <c r="K337" s="5"/>
    </row>
    <row r="338">
      <c r="A338" s="5"/>
      <c r="B338" s="5"/>
      <c r="C338" s="5"/>
      <c r="D338" s="5"/>
      <c r="K338" s="5"/>
    </row>
    <row r="339">
      <c r="A339" s="5"/>
      <c r="B339" s="5"/>
      <c r="C339" s="5"/>
      <c r="D339" s="5"/>
      <c r="K339" s="5"/>
    </row>
    <row r="340">
      <c r="A340" s="5"/>
      <c r="B340" s="5"/>
      <c r="C340" s="5"/>
      <c r="D340" s="5"/>
      <c r="K340" s="5"/>
    </row>
    <row r="341">
      <c r="A341" s="5"/>
      <c r="B341" s="5"/>
      <c r="C341" s="5"/>
      <c r="D341" s="5"/>
      <c r="K341" s="5"/>
    </row>
    <row r="342">
      <c r="A342" s="5"/>
      <c r="B342" s="5"/>
      <c r="C342" s="5"/>
      <c r="D342" s="5"/>
      <c r="K342" s="5"/>
    </row>
    <row r="343">
      <c r="A343" s="5"/>
      <c r="B343" s="5"/>
      <c r="C343" s="5"/>
      <c r="D343" s="5"/>
      <c r="K343" s="5"/>
    </row>
    <row r="344">
      <c r="A344" s="5"/>
      <c r="B344" s="5"/>
      <c r="C344" s="5"/>
      <c r="D344" s="5"/>
      <c r="K344" s="5"/>
    </row>
    <row r="345">
      <c r="A345" s="5"/>
      <c r="B345" s="5"/>
      <c r="C345" s="5"/>
      <c r="D345" s="5"/>
      <c r="K345" s="5"/>
    </row>
    <row r="346">
      <c r="A346" s="5"/>
      <c r="B346" s="5"/>
      <c r="C346" s="5"/>
      <c r="D346" s="5"/>
      <c r="K346" s="5"/>
    </row>
    <row r="347">
      <c r="A347" s="5"/>
      <c r="B347" s="5"/>
      <c r="C347" s="5"/>
      <c r="D347" s="5"/>
      <c r="K347" s="5"/>
    </row>
    <row r="348">
      <c r="A348" s="5"/>
      <c r="B348" s="5"/>
      <c r="C348" s="5"/>
      <c r="D348" s="5"/>
      <c r="K348" s="5"/>
    </row>
    <row r="349">
      <c r="A349" s="5"/>
      <c r="B349" s="5"/>
      <c r="C349" s="5"/>
      <c r="D349" s="5"/>
      <c r="K349" s="5"/>
    </row>
    <row r="350">
      <c r="A350" s="5"/>
      <c r="B350" s="5"/>
      <c r="C350" s="5"/>
      <c r="D350" s="5"/>
      <c r="K350" s="5"/>
    </row>
    <row r="351">
      <c r="A351" s="5"/>
      <c r="B351" s="5"/>
      <c r="C351" s="5"/>
      <c r="D351" s="5"/>
      <c r="K351" s="5"/>
    </row>
    <row r="352">
      <c r="A352" s="5"/>
      <c r="B352" s="5"/>
      <c r="C352" s="5"/>
      <c r="D352" s="5"/>
      <c r="K352" s="5"/>
    </row>
    <row r="353">
      <c r="A353" s="5"/>
      <c r="B353" s="5"/>
      <c r="C353" s="5"/>
      <c r="D353" s="5"/>
      <c r="K353" s="5"/>
    </row>
    <row r="354">
      <c r="A354" s="5"/>
      <c r="B354" s="5"/>
      <c r="C354" s="5"/>
      <c r="D354" s="5"/>
      <c r="K354" s="5"/>
    </row>
    <row r="355">
      <c r="A355" s="5"/>
      <c r="B355" s="5"/>
      <c r="C355" s="5"/>
      <c r="D355" s="5"/>
      <c r="K355" s="5"/>
    </row>
    <row r="356">
      <c r="A356" s="5"/>
      <c r="B356" s="5"/>
      <c r="C356" s="5"/>
      <c r="D356" s="5"/>
      <c r="K356" s="5"/>
    </row>
    <row r="357">
      <c r="A357" s="5"/>
      <c r="B357" s="5"/>
      <c r="C357" s="5"/>
      <c r="D357" s="5"/>
      <c r="K357" s="5"/>
    </row>
    <row r="358">
      <c r="A358" s="5"/>
      <c r="B358" s="5"/>
      <c r="C358" s="5"/>
      <c r="D358" s="5"/>
      <c r="K358" s="5"/>
    </row>
    <row r="359">
      <c r="A359" s="5"/>
      <c r="B359" s="5"/>
      <c r="C359" s="5"/>
      <c r="D359" s="5"/>
      <c r="K359" s="5"/>
    </row>
    <row r="360">
      <c r="A360" s="5"/>
      <c r="B360" s="5"/>
      <c r="C360" s="5"/>
      <c r="D360" s="5"/>
      <c r="K360" s="5"/>
    </row>
    <row r="361">
      <c r="A361" s="5"/>
      <c r="B361" s="5"/>
      <c r="C361" s="5"/>
      <c r="D361" s="5"/>
      <c r="K361" s="5"/>
    </row>
    <row r="362">
      <c r="A362" s="5"/>
      <c r="B362" s="5"/>
      <c r="C362" s="5"/>
      <c r="D362" s="5"/>
      <c r="K362" s="5"/>
    </row>
    <row r="363">
      <c r="A363" s="5"/>
      <c r="B363" s="5"/>
      <c r="C363" s="5"/>
      <c r="D363" s="5"/>
      <c r="K363" s="5"/>
    </row>
    <row r="364">
      <c r="A364" s="5"/>
      <c r="B364" s="5"/>
      <c r="C364" s="5"/>
      <c r="D364" s="5"/>
      <c r="K364" s="5"/>
    </row>
    <row r="365">
      <c r="A365" s="5"/>
      <c r="B365" s="5"/>
      <c r="C365" s="5"/>
      <c r="D365" s="5"/>
      <c r="K365" s="5"/>
    </row>
    <row r="366">
      <c r="A366" s="5"/>
      <c r="B366" s="5"/>
      <c r="C366" s="5"/>
      <c r="D366" s="5"/>
      <c r="K366" s="5"/>
    </row>
    <row r="367">
      <c r="A367" s="5"/>
      <c r="B367" s="5"/>
      <c r="C367" s="5"/>
      <c r="D367" s="5"/>
      <c r="K367" s="5"/>
    </row>
    <row r="368">
      <c r="A368" s="5"/>
      <c r="B368" s="5"/>
      <c r="C368" s="5"/>
      <c r="D368" s="5"/>
      <c r="K368" s="5"/>
    </row>
    <row r="369">
      <c r="A369" s="5"/>
      <c r="B369" s="5"/>
      <c r="C369" s="5"/>
      <c r="D369" s="5"/>
      <c r="K369" s="5"/>
    </row>
    <row r="370">
      <c r="A370" s="5"/>
      <c r="B370" s="5"/>
      <c r="C370" s="5"/>
      <c r="D370" s="5"/>
      <c r="K370" s="5"/>
    </row>
    <row r="371">
      <c r="A371" s="5"/>
      <c r="B371" s="5"/>
      <c r="C371" s="5"/>
      <c r="D371" s="5"/>
      <c r="K371" s="5"/>
    </row>
    <row r="372">
      <c r="A372" s="5"/>
      <c r="B372" s="5"/>
      <c r="C372" s="5"/>
      <c r="D372" s="5"/>
      <c r="K372" s="5"/>
    </row>
    <row r="373">
      <c r="A373" s="5"/>
      <c r="B373" s="5"/>
      <c r="C373" s="5"/>
      <c r="D373" s="5"/>
      <c r="K373" s="5"/>
    </row>
    <row r="374">
      <c r="A374" s="5"/>
      <c r="B374" s="5"/>
      <c r="C374" s="5"/>
      <c r="D374" s="5"/>
      <c r="K374" s="5"/>
    </row>
    <row r="375">
      <c r="A375" s="5"/>
      <c r="B375" s="5"/>
      <c r="C375" s="5"/>
      <c r="D375" s="5"/>
      <c r="K375" s="5"/>
    </row>
    <row r="376">
      <c r="A376" s="5"/>
      <c r="B376" s="5"/>
      <c r="C376" s="5"/>
      <c r="D376" s="5"/>
      <c r="K376" s="5"/>
    </row>
    <row r="377">
      <c r="A377" s="5"/>
      <c r="B377" s="5"/>
      <c r="C377" s="5"/>
      <c r="D377" s="5"/>
      <c r="K377" s="5"/>
    </row>
    <row r="378">
      <c r="A378" s="5"/>
      <c r="B378" s="5"/>
      <c r="C378" s="5"/>
      <c r="D378" s="5"/>
      <c r="K378" s="5"/>
    </row>
    <row r="379">
      <c r="A379" s="5"/>
      <c r="B379" s="5"/>
      <c r="C379" s="5"/>
      <c r="D379" s="5"/>
      <c r="K379" s="5"/>
    </row>
    <row r="380">
      <c r="A380" s="5"/>
      <c r="B380" s="5"/>
      <c r="C380" s="5"/>
      <c r="D380" s="5"/>
      <c r="K380" s="5"/>
    </row>
    <row r="381">
      <c r="A381" s="5"/>
      <c r="B381" s="5"/>
      <c r="C381" s="5"/>
      <c r="D381" s="5"/>
      <c r="K381" s="5"/>
    </row>
    <row r="382">
      <c r="A382" s="5"/>
      <c r="B382" s="5"/>
      <c r="C382" s="5"/>
      <c r="D382" s="5"/>
      <c r="K382" s="5"/>
    </row>
    <row r="383">
      <c r="A383" s="5"/>
      <c r="B383" s="5"/>
      <c r="C383" s="5"/>
      <c r="D383" s="5"/>
      <c r="K383" s="5"/>
    </row>
    <row r="384">
      <c r="A384" s="5"/>
      <c r="B384" s="5"/>
      <c r="C384" s="5"/>
      <c r="D384" s="5"/>
      <c r="K384" s="5"/>
    </row>
    <row r="385">
      <c r="A385" s="5"/>
      <c r="B385" s="5"/>
      <c r="C385" s="5"/>
      <c r="D385" s="5"/>
      <c r="K385" s="5"/>
    </row>
    <row r="386">
      <c r="A386" s="5"/>
      <c r="B386" s="5"/>
      <c r="C386" s="5"/>
      <c r="D386" s="5"/>
      <c r="K386" s="5"/>
    </row>
    <row r="387">
      <c r="A387" s="5"/>
      <c r="B387" s="5"/>
      <c r="C387" s="5"/>
      <c r="D387" s="5"/>
      <c r="K387" s="5"/>
    </row>
    <row r="388">
      <c r="A388" s="5"/>
      <c r="B388" s="5"/>
      <c r="C388" s="5"/>
      <c r="D388" s="5"/>
      <c r="K388" s="5"/>
    </row>
    <row r="389">
      <c r="A389" s="5"/>
      <c r="B389" s="5"/>
      <c r="C389" s="5"/>
      <c r="D389" s="5"/>
      <c r="K389" s="5"/>
    </row>
    <row r="390">
      <c r="A390" s="5"/>
      <c r="B390" s="5"/>
      <c r="C390" s="5"/>
      <c r="D390" s="5"/>
      <c r="K390" s="5"/>
    </row>
    <row r="391">
      <c r="A391" s="5"/>
      <c r="B391" s="5"/>
      <c r="C391" s="5"/>
      <c r="D391" s="5"/>
      <c r="K391" s="5"/>
    </row>
    <row r="392">
      <c r="A392" s="5"/>
      <c r="B392" s="5"/>
      <c r="C392" s="5"/>
      <c r="D392" s="5"/>
      <c r="K392" s="5"/>
    </row>
    <row r="393">
      <c r="A393" s="5"/>
      <c r="B393" s="5"/>
      <c r="C393" s="5"/>
      <c r="D393" s="5"/>
      <c r="K393" s="5"/>
    </row>
    <row r="394">
      <c r="A394" s="5"/>
      <c r="B394" s="5"/>
      <c r="C394" s="5"/>
      <c r="D394" s="5"/>
      <c r="K394" s="5"/>
    </row>
    <row r="395">
      <c r="A395" s="5"/>
      <c r="B395" s="5"/>
      <c r="C395" s="5"/>
      <c r="D395" s="5"/>
      <c r="K395" s="5"/>
    </row>
    <row r="396">
      <c r="A396" s="5"/>
      <c r="B396" s="5"/>
      <c r="C396" s="5"/>
      <c r="D396" s="5"/>
      <c r="K396" s="5"/>
    </row>
    <row r="397">
      <c r="A397" s="5"/>
      <c r="B397" s="5"/>
      <c r="C397" s="5"/>
      <c r="D397" s="5"/>
      <c r="K397" s="5"/>
    </row>
    <row r="398">
      <c r="A398" s="5"/>
      <c r="B398" s="5"/>
      <c r="C398" s="5"/>
      <c r="D398" s="5"/>
      <c r="K398" s="5"/>
    </row>
    <row r="399">
      <c r="A399" s="5"/>
      <c r="B399" s="5"/>
      <c r="C399" s="5"/>
      <c r="D399" s="5"/>
      <c r="K399" s="5"/>
    </row>
    <row r="400">
      <c r="A400" s="5"/>
      <c r="B400" s="5"/>
      <c r="C400" s="5"/>
      <c r="D400" s="5"/>
      <c r="K400" s="5"/>
    </row>
    <row r="401">
      <c r="A401" s="5"/>
      <c r="B401" s="5"/>
      <c r="C401" s="5"/>
      <c r="D401" s="5"/>
      <c r="K401" s="5"/>
    </row>
    <row r="402">
      <c r="A402" s="5"/>
      <c r="B402" s="5"/>
      <c r="C402" s="5"/>
      <c r="D402" s="5"/>
      <c r="K402" s="5"/>
    </row>
    <row r="403">
      <c r="A403" s="5"/>
      <c r="B403" s="5"/>
      <c r="C403" s="5"/>
      <c r="D403" s="5"/>
      <c r="K403" s="5"/>
    </row>
    <row r="404">
      <c r="A404" s="5"/>
      <c r="B404" s="5"/>
      <c r="C404" s="5"/>
      <c r="D404" s="5"/>
      <c r="K404" s="5"/>
    </row>
    <row r="405">
      <c r="A405" s="5"/>
      <c r="B405" s="5"/>
      <c r="C405" s="5"/>
      <c r="D405" s="5"/>
      <c r="K405" s="5"/>
    </row>
    <row r="406">
      <c r="A406" s="5"/>
      <c r="B406" s="5"/>
      <c r="C406" s="5"/>
      <c r="D406" s="5"/>
      <c r="K406" s="5"/>
    </row>
    <row r="407">
      <c r="A407" s="5"/>
      <c r="B407" s="5"/>
      <c r="C407" s="5"/>
      <c r="D407" s="5"/>
      <c r="K407" s="5"/>
    </row>
    <row r="408">
      <c r="A408" s="5"/>
      <c r="B408" s="5"/>
      <c r="C408" s="5"/>
      <c r="D408" s="5"/>
      <c r="K408" s="5"/>
    </row>
    <row r="409">
      <c r="A409" s="5"/>
      <c r="B409" s="5"/>
      <c r="C409" s="5"/>
      <c r="D409" s="5"/>
      <c r="K409" s="5"/>
    </row>
    <row r="410">
      <c r="A410" s="5"/>
      <c r="B410" s="5"/>
      <c r="C410" s="5"/>
      <c r="D410" s="5"/>
      <c r="K410" s="5"/>
    </row>
    <row r="411">
      <c r="A411" s="5"/>
      <c r="B411" s="5"/>
      <c r="C411" s="5"/>
      <c r="D411" s="5"/>
      <c r="K411" s="5"/>
    </row>
    <row r="412">
      <c r="A412" s="5"/>
      <c r="B412" s="5"/>
      <c r="C412" s="5"/>
      <c r="D412" s="5"/>
      <c r="K412" s="5"/>
    </row>
    <row r="413">
      <c r="A413" s="5"/>
      <c r="B413" s="5"/>
      <c r="C413" s="5"/>
      <c r="D413" s="5"/>
      <c r="K413" s="5"/>
    </row>
    <row r="414">
      <c r="A414" s="5"/>
      <c r="B414" s="5"/>
      <c r="C414" s="5"/>
      <c r="D414" s="5"/>
      <c r="K414" s="5"/>
    </row>
    <row r="415">
      <c r="A415" s="5"/>
      <c r="B415" s="5"/>
      <c r="C415" s="5"/>
      <c r="D415" s="5"/>
      <c r="K415" s="5"/>
    </row>
    <row r="416">
      <c r="A416" s="5"/>
      <c r="B416" s="5"/>
      <c r="C416" s="5"/>
      <c r="D416" s="5"/>
      <c r="K416" s="5"/>
    </row>
    <row r="417">
      <c r="A417" s="5"/>
      <c r="B417" s="5"/>
      <c r="C417" s="5"/>
      <c r="D417" s="5"/>
      <c r="K417" s="5"/>
    </row>
    <row r="418">
      <c r="A418" s="5"/>
      <c r="B418" s="5"/>
      <c r="C418" s="5"/>
      <c r="D418" s="5"/>
      <c r="K418" s="5"/>
    </row>
    <row r="419">
      <c r="A419" s="5"/>
      <c r="B419" s="5"/>
      <c r="C419" s="5"/>
      <c r="D419" s="5"/>
      <c r="K419" s="5"/>
    </row>
    <row r="420">
      <c r="A420" s="5"/>
      <c r="B420" s="5"/>
      <c r="C420" s="5"/>
      <c r="D420" s="5"/>
      <c r="K420" s="5"/>
    </row>
    <row r="421">
      <c r="A421" s="5"/>
      <c r="B421" s="5"/>
      <c r="C421" s="5"/>
      <c r="D421" s="5"/>
      <c r="K421" s="5"/>
    </row>
    <row r="422">
      <c r="A422" s="5"/>
      <c r="B422" s="5"/>
      <c r="C422" s="5"/>
      <c r="D422" s="5"/>
      <c r="K422" s="5"/>
    </row>
    <row r="423">
      <c r="A423" s="5"/>
      <c r="B423" s="5"/>
      <c r="C423" s="5"/>
      <c r="D423" s="5"/>
      <c r="K423" s="5"/>
    </row>
    <row r="424">
      <c r="A424" s="5"/>
      <c r="B424" s="5"/>
      <c r="C424" s="5"/>
      <c r="D424" s="5"/>
      <c r="K424" s="5"/>
    </row>
    <row r="425">
      <c r="A425" s="5"/>
      <c r="B425" s="5"/>
      <c r="C425" s="5"/>
      <c r="D425" s="5"/>
      <c r="K425" s="5"/>
    </row>
    <row r="426">
      <c r="A426" s="5"/>
      <c r="B426" s="5"/>
      <c r="C426" s="5"/>
      <c r="D426" s="5"/>
      <c r="K426" s="5"/>
    </row>
    <row r="427">
      <c r="A427" s="5"/>
      <c r="B427" s="5"/>
      <c r="C427" s="5"/>
      <c r="D427" s="5"/>
      <c r="K427" s="5"/>
    </row>
    <row r="428">
      <c r="A428" s="5"/>
      <c r="B428" s="5"/>
      <c r="C428" s="5"/>
      <c r="D428" s="5"/>
      <c r="K428" s="5"/>
    </row>
    <row r="429">
      <c r="A429" s="5"/>
      <c r="B429" s="5"/>
      <c r="C429" s="5"/>
      <c r="D429" s="5"/>
      <c r="K429" s="5"/>
    </row>
    <row r="430">
      <c r="A430" s="5"/>
      <c r="B430" s="5"/>
      <c r="C430" s="5"/>
      <c r="D430" s="5"/>
      <c r="K430" s="5"/>
    </row>
    <row r="431">
      <c r="A431" s="5"/>
      <c r="B431" s="5"/>
      <c r="C431" s="5"/>
      <c r="D431" s="5"/>
      <c r="K431" s="5"/>
    </row>
    <row r="432">
      <c r="A432" s="5"/>
      <c r="B432" s="5"/>
      <c r="C432" s="5"/>
      <c r="D432" s="5"/>
      <c r="K432" s="5"/>
    </row>
    <row r="433">
      <c r="A433" s="5"/>
      <c r="B433" s="5"/>
      <c r="C433" s="5"/>
      <c r="D433" s="5"/>
      <c r="K433" s="5"/>
    </row>
    <row r="434">
      <c r="A434" s="5"/>
      <c r="B434" s="5"/>
      <c r="C434" s="5"/>
      <c r="D434" s="5"/>
      <c r="K434" s="5"/>
    </row>
    <row r="435">
      <c r="A435" s="5"/>
      <c r="B435" s="5"/>
      <c r="C435" s="5"/>
      <c r="D435" s="5"/>
      <c r="K435" s="5"/>
    </row>
    <row r="436">
      <c r="A436" s="5"/>
      <c r="B436" s="5"/>
      <c r="C436" s="5"/>
      <c r="D436" s="5"/>
      <c r="K436" s="5"/>
    </row>
    <row r="437">
      <c r="A437" s="5"/>
      <c r="B437" s="5"/>
      <c r="C437" s="5"/>
      <c r="D437" s="5"/>
      <c r="K437" s="5"/>
    </row>
    <row r="438">
      <c r="A438" s="5"/>
      <c r="B438" s="5"/>
      <c r="C438" s="5"/>
      <c r="D438" s="5"/>
      <c r="K438" s="5"/>
    </row>
    <row r="439">
      <c r="A439" s="5"/>
      <c r="B439" s="5"/>
      <c r="C439" s="5"/>
      <c r="D439" s="5"/>
      <c r="K439" s="5"/>
    </row>
    <row r="440">
      <c r="A440" s="5"/>
      <c r="B440" s="5"/>
      <c r="C440" s="5"/>
      <c r="D440" s="5"/>
      <c r="K440" s="5"/>
    </row>
    <row r="441">
      <c r="A441" s="5"/>
      <c r="B441" s="5"/>
      <c r="C441" s="5"/>
      <c r="D441" s="5"/>
      <c r="K441" s="5"/>
    </row>
    <row r="442">
      <c r="A442" s="5"/>
      <c r="B442" s="5"/>
      <c r="C442" s="5"/>
      <c r="D442" s="5"/>
      <c r="K442" s="5"/>
    </row>
    <row r="443">
      <c r="A443" s="5"/>
      <c r="B443" s="5"/>
      <c r="C443" s="5"/>
      <c r="D443" s="5"/>
      <c r="K443" s="5"/>
    </row>
    <row r="444">
      <c r="A444" s="5"/>
      <c r="B444" s="5"/>
      <c r="C444" s="5"/>
      <c r="D444" s="5"/>
      <c r="K444" s="5"/>
    </row>
    <row r="445">
      <c r="A445" s="5"/>
      <c r="B445" s="5"/>
      <c r="C445" s="5"/>
      <c r="D445" s="5"/>
      <c r="K445" s="5"/>
    </row>
    <row r="446">
      <c r="A446" s="5"/>
      <c r="B446" s="5"/>
      <c r="C446" s="5"/>
      <c r="D446" s="5"/>
      <c r="K446" s="5"/>
    </row>
    <row r="447">
      <c r="A447" s="5"/>
      <c r="B447" s="5"/>
      <c r="C447" s="5"/>
      <c r="D447" s="5"/>
      <c r="K447" s="5"/>
    </row>
    <row r="448">
      <c r="A448" s="5"/>
      <c r="B448" s="5"/>
      <c r="C448" s="5"/>
      <c r="D448" s="5"/>
      <c r="K448" s="5"/>
    </row>
    <row r="449">
      <c r="A449" s="5"/>
      <c r="B449" s="5"/>
      <c r="C449" s="5"/>
      <c r="D449" s="5"/>
      <c r="K449" s="5"/>
    </row>
    <row r="450">
      <c r="A450" s="5"/>
      <c r="B450" s="5"/>
      <c r="C450" s="5"/>
      <c r="D450" s="5"/>
      <c r="K450" s="5"/>
    </row>
    <row r="451">
      <c r="A451" s="5"/>
      <c r="B451" s="5"/>
      <c r="C451" s="5"/>
      <c r="D451" s="5"/>
      <c r="K451" s="5"/>
    </row>
    <row r="452">
      <c r="A452" s="5"/>
      <c r="B452" s="5"/>
      <c r="C452" s="5"/>
      <c r="D452" s="5"/>
      <c r="K452" s="5"/>
    </row>
    <row r="453">
      <c r="A453" s="5"/>
      <c r="B453" s="5"/>
      <c r="C453" s="5"/>
      <c r="D453" s="5"/>
      <c r="K453" s="5"/>
    </row>
    <row r="454">
      <c r="A454" s="5"/>
      <c r="B454" s="5"/>
      <c r="C454" s="5"/>
      <c r="D454" s="5"/>
      <c r="K454" s="5"/>
    </row>
    <row r="455">
      <c r="A455" s="5"/>
      <c r="B455" s="5"/>
      <c r="C455" s="5"/>
      <c r="D455" s="5"/>
      <c r="K455" s="5"/>
    </row>
    <row r="456">
      <c r="A456" s="5"/>
      <c r="B456" s="5"/>
      <c r="C456" s="5"/>
      <c r="D456" s="5"/>
      <c r="K456" s="5"/>
    </row>
    <row r="457">
      <c r="A457" s="5"/>
      <c r="B457" s="5"/>
      <c r="C457" s="5"/>
      <c r="D457" s="5"/>
      <c r="K457" s="5"/>
    </row>
    <row r="458">
      <c r="A458" s="5"/>
      <c r="B458" s="5"/>
      <c r="C458" s="5"/>
      <c r="D458" s="5"/>
      <c r="K458" s="5"/>
    </row>
    <row r="459">
      <c r="A459" s="5"/>
      <c r="B459" s="5"/>
      <c r="C459" s="5"/>
      <c r="D459" s="5"/>
      <c r="K459" s="5"/>
    </row>
    <row r="460">
      <c r="A460" s="5"/>
      <c r="B460" s="5"/>
      <c r="C460" s="5"/>
      <c r="D460" s="5"/>
      <c r="K460" s="5"/>
    </row>
    <row r="461">
      <c r="A461" s="5"/>
      <c r="B461" s="5"/>
      <c r="C461" s="5"/>
      <c r="D461" s="5"/>
      <c r="K461" s="5"/>
    </row>
    <row r="462">
      <c r="A462" s="5"/>
      <c r="B462" s="5"/>
      <c r="C462" s="5"/>
      <c r="D462" s="5"/>
      <c r="K462" s="5"/>
    </row>
    <row r="463">
      <c r="A463" s="5"/>
      <c r="B463" s="5"/>
      <c r="C463" s="5"/>
      <c r="D463" s="5"/>
      <c r="K463" s="5"/>
    </row>
    <row r="464">
      <c r="A464" s="5"/>
      <c r="B464" s="5"/>
      <c r="C464" s="5"/>
      <c r="D464" s="5"/>
      <c r="K464" s="5"/>
    </row>
    <row r="465">
      <c r="A465" s="5"/>
      <c r="B465" s="5"/>
      <c r="C465" s="5"/>
      <c r="D465" s="5"/>
      <c r="K465" s="5"/>
    </row>
    <row r="466">
      <c r="A466" s="5"/>
      <c r="B466" s="5"/>
      <c r="C466" s="5"/>
      <c r="D466" s="5"/>
      <c r="K466" s="5"/>
    </row>
    <row r="467">
      <c r="A467" s="5"/>
      <c r="B467" s="5"/>
      <c r="C467" s="5"/>
      <c r="D467" s="5"/>
      <c r="K467" s="5"/>
    </row>
    <row r="468">
      <c r="A468" s="5"/>
      <c r="B468" s="5"/>
      <c r="C468" s="5"/>
      <c r="D468" s="5"/>
      <c r="K468" s="5"/>
    </row>
    <row r="469">
      <c r="A469" s="5"/>
      <c r="B469" s="5"/>
      <c r="C469" s="5"/>
      <c r="D469" s="5"/>
      <c r="K469" s="5"/>
    </row>
    <row r="470">
      <c r="A470" s="5"/>
      <c r="B470" s="5"/>
      <c r="C470" s="5"/>
      <c r="D470" s="5"/>
      <c r="K470" s="5"/>
    </row>
    <row r="471">
      <c r="A471" s="5"/>
      <c r="B471" s="5"/>
      <c r="C471" s="5"/>
      <c r="D471" s="5"/>
      <c r="K471" s="5"/>
    </row>
    <row r="472">
      <c r="A472" s="5"/>
      <c r="B472" s="5"/>
      <c r="C472" s="5"/>
      <c r="D472" s="5"/>
      <c r="K472" s="5"/>
    </row>
    <row r="473">
      <c r="A473" s="5"/>
      <c r="B473" s="5"/>
      <c r="C473" s="5"/>
      <c r="D473" s="5"/>
      <c r="K473" s="5"/>
    </row>
    <row r="474">
      <c r="A474" s="5"/>
      <c r="B474" s="5"/>
      <c r="C474" s="5"/>
      <c r="D474" s="5"/>
      <c r="K474" s="5"/>
    </row>
    <row r="475">
      <c r="A475" s="5"/>
      <c r="B475" s="5"/>
      <c r="C475" s="5"/>
      <c r="D475" s="5"/>
      <c r="K475" s="5"/>
    </row>
    <row r="476">
      <c r="A476" s="5"/>
      <c r="B476" s="5"/>
      <c r="C476" s="5"/>
      <c r="D476" s="5"/>
      <c r="K476" s="5"/>
    </row>
    <row r="477">
      <c r="A477" s="5"/>
      <c r="B477" s="5"/>
      <c r="C477" s="5"/>
      <c r="D477" s="5"/>
      <c r="K477" s="5"/>
    </row>
    <row r="478">
      <c r="A478" s="5"/>
      <c r="B478" s="5"/>
      <c r="C478" s="5"/>
      <c r="D478" s="5"/>
      <c r="K478" s="5"/>
    </row>
    <row r="479">
      <c r="A479" s="5"/>
      <c r="B479" s="5"/>
      <c r="C479" s="5"/>
      <c r="D479" s="5"/>
      <c r="K479" s="5"/>
    </row>
    <row r="480">
      <c r="A480" s="5"/>
      <c r="B480" s="5"/>
      <c r="C480" s="5"/>
      <c r="D480" s="5"/>
      <c r="K480" s="5"/>
    </row>
    <row r="481">
      <c r="A481" s="5"/>
      <c r="B481" s="5"/>
      <c r="C481" s="5"/>
      <c r="D481" s="5"/>
      <c r="K481" s="5"/>
    </row>
    <row r="482">
      <c r="A482" s="5"/>
      <c r="B482" s="5"/>
      <c r="C482" s="5"/>
      <c r="D482" s="5"/>
      <c r="K482" s="5"/>
    </row>
    <row r="483">
      <c r="A483" s="5"/>
      <c r="B483" s="5"/>
      <c r="C483" s="5"/>
      <c r="D483" s="5"/>
      <c r="K483" s="5"/>
    </row>
    <row r="484">
      <c r="A484" s="5"/>
      <c r="B484" s="5"/>
      <c r="C484" s="5"/>
      <c r="D484" s="5"/>
      <c r="K484" s="5"/>
    </row>
    <row r="485">
      <c r="A485" s="5"/>
      <c r="B485" s="5"/>
      <c r="C485" s="5"/>
      <c r="D485" s="5"/>
      <c r="K485" s="5"/>
    </row>
    <row r="486">
      <c r="A486" s="5"/>
      <c r="B486" s="5"/>
      <c r="C486" s="5"/>
      <c r="D486" s="5"/>
      <c r="K486" s="5"/>
    </row>
    <row r="487">
      <c r="A487" s="5"/>
      <c r="B487" s="5"/>
      <c r="C487" s="5"/>
      <c r="D487" s="5"/>
      <c r="K487" s="5"/>
    </row>
    <row r="488">
      <c r="A488" s="5"/>
      <c r="B488" s="5"/>
      <c r="C488" s="5"/>
      <c r="D488" s="5"/>
      <c r="K488" s="5"/>
    </row>
    <row r="489">
      <c r="A489" s="5"/>
      <c r="B489" s="5"/>
      <c r="C489" s="5"/>
      <c r="D489" s="5"/>
      <c r="K489" s="5"/>
    </row>
    <row r="490">
      <c r="A490" s="5"/>
      <c r="B490" s="5"/>
      <c r="C490" s="5"/>
      <c r="D490" s="5"/>
      <c r="K490" s="5"/>
    </row>
    <row r="491">
      <c r="A491" s="5"/>
      <c r="B491" s="5"/>
      <c r="C491" s="5"/>
      <c r="D491" s="5"/>
      <c r="K491" s="5"/>
    </row>
    <row r="492">
      <c r="A492" s="5"/>
      <c r="B492" s="5"/>
      <c r="C492" s="5"/>
      <c r="D492" s="5"/>
      <c r="K492" s="5"/>
    </row>
    <row r="493">
      <c r="A493" s="5"/>
      <c r="B493" s="5"/>
      <c r="C493" s="5"/>
      <c r="D493" s="5"/>
      <c r="K493" s="5"/>
    </row>
    <row r="494">
      <c r="A494" s="5"/>
      <c r="B494" s="5"/>
      <c r="C494" s="5"/>
      <c r="D494" s="5"/>
      <c r="K494" s="5"/>
    </row>
    <row r="495">
      <c r="A495" s="5"/>
      <c r="B495" s="5"/>
      <c r="C495" s="5"/>
      <c r="D495" s="5"/>
      <c r="K495" s="5"/>
    </row>
    <row r="496">
      <c r="A496" s="5"/>
      <c r="B496" s="5"/>
      <c r="C496" s="5"/>
      <c r="D496" s="5"/>
      <c r="K496" s="5"/>
    </row>
    <row r="497">
      <c r="A497" s="5"/>
      <c r="B497" s="5"/>
      <c r="C497" s="5"/>
      <c r="D497" s="5"/>
      <c r="K497" s="5"/>
    </row>
    <row r="498">
      <c r="A498" s="5"/>
      <c r="B498" s="5"/>
      <c r="C498" s="5"/>
      <c r="D498" s="5"/>
      <c r="K498" s="5"/>
    </row>
    <row r="499">
      <c r="A499" s="5"/>
      <c r="B499" s="5"/>
      <c r="C499" s="5"/>
      <c r="D499" s="5"/>
      <c r="K499" s="5"/>
    </row>
    <row r="500">
      <c r="A500" s="5"/>
      <c r="B500" s="5"/>
      <c r="C500" s="5"/>
      <c r="D500" s="5"/>
      <c r="K500" s="5"/>
    </row>
    <row r="501">
      <c r="A501" s="5"/>
      <c r="B501" s="5"/>
      <c r="C501" s="5"/>
      <c r="D501" s="5"/>
      <c r="K501" s="5"/>
    </row>
    <row r="502">
      <c r="A502" s="5"/>
      <c r="B502" s="5"/>
      <c r="C502" s="5"/>
      <c r="D502" s="5"/>
      <c r="K502" s="5"/>
    </row>
    <row r="503">
      <c r="A503" s="5"/>
      <c r="B503" s="5"/>
      <c r="C503" s="5"/>
      <c r="D503" s="5"/>
      <c r="K503" s="5"/>
    </row>
    <row r="504">
      <c r="A504" s="5"/>
      <c r="B504" s="5"/>
      <c r="C504" s="5"/>
      <c r="D504" s="5"/>
      <c r="K504" s="5"/>
    </row>
    <row r="505">
      <c r="A505" s="5"/>
      <c r="B505" s="5"/>
      <c r="C505" s="5"/>
      <c r="D505" s="5"/>
      <c r="K505" s="5"/>
    </row>
    <row r="506">
      <c r="A506" s="5"/>
      <c r="B506" s="5"/>
      <c r="C506" s="5"/>
      <c r="D506" s="5"/>
      <c r="K506" s="5"/>
    </row>
    <row r="507">
      <c r="A507" s="5"/>
      <c r="B507" s="5"/>
      <c r="C507" s="5"/>
      <c r="D507" s="5"/>
      <c r="K507" s="5"/>
    </row>
    <row r="508">
      <c r="A508" s="5"/>
      <c r="B508" s="5"/>
      <c r="C508" s="5"/>
      <c r="D508" s="5"/>
      <c r="K508" s="5"/>
    </row>
    <row r="509">
      <c r="A509" s="5"/>
      <c r="B509" s="5"/>
      <c r="C509" s="5"/>
      <c r="D509" s="5"/>
      <c r="K509" s="5"/>
    </row>
    <row r="510">
      <c r="A510" s="5"/>
      <c r="B510" s="5"/>
      <c r="C510" s="5"/>
      <c r="D510" s="5"/>
      <c r="K510" s="5"/>
    </row>
    <row r="511">
      <c r="A511" s="5"/>
      <c r="B511" s="5"/>
      <c r="C511" s="5"/>
      <c r="D511" s="5"/>
      <c r="K511" s="5"/>
    </row>
    <row r="512">
      <c r="A512" s="5"/>
      <c r="B512" s="5"/>
      <c r="C512" s="5"/>
      <c r="D512" s="5"/>
      <c r="K512" s="5"/>
    </row>
    <row r="513">
      <c r="A513" s="5"/>
      <c r="B513" s="5"/>
      <c r="C513" s="5"/>
      <c r="D513" s="5"/>
      <c r="K513" s="5"/>
    </row>
    <row r="514">
      <c r="A514" s="5"/>
      <c r="B514" s="5"/>
      <c r="C514" s="5"/>
      <c r="D514" s="5"/>
      <c r="K514" s="5"/>
    </row>
    <row r="515">
      <c r="A515" s="5"/>
      <c r="B515" s="5"/>
      <c r="C515" s="5"/>
      <c r="D515" s="5"/>
      <c r="K515" s="5"/>
    </row>
    <row r="516">
      <c r="A516" s="5"/>
      <c r="B516" s="5"/>
      <c r="C516" s="5"/>
      <c r="D516" s="5"/>
      <c r="K516" s="5"/>
    </row>
    <row r="517">
      <c r="A517" s="5"/>
      <c r="B517" s="5"/>
      <c r="C517" s="5"/>
      <c r="D517" s="5"/>
      <c r="K517" s="5"/>
    </row>
    <row r="518">
      <c r="A518" s="5"/>
      <c r="B518" s="5"/>
      <c r="C518" s="5"/>
      <c r="D518" s="5"/>
      <c r="K518" s="5"/>
    </row>
    <row r="519">
      <c r="A519" s="5"/>
      <c r="B519" s="5"/>
      <c r="C519" s="5"/>
      <c r="D519" s="5"/>
      <c r="K519" s="5"/>
    </row>
    <row r="520">
      <c r="A520" s="5"/>
      <c r="B520" s="5"/>
      <c r="C520" s="5"/>
      <c r="D520" s="5"/>
      <c r="K520" s="5"/>
    </row>
    <row r="521">
      <c r="A521" s="5"/>
      <c r="B521" s="5"/>
      <c r="C521" s="5"/>
      <c r="D521" s="5"/>
      <c r="K521" s="5"/>
    </row>
    <row r="522">
      <c r="A522" s="5"/>
      <c r="B522" s="5"/>
      <c r="C522" s="5"/>
      <c r="D522" s="5"/>
      <c r="K522" s="5"/>
    </row>
    <row r="523">
      <c r="A523" s="5"/>
      <c r="B523" s="5"/>
      <c r="C523" s="5"/>
      <c r="D523" s="5"/>
      <c r="K523" s="5"/>
    </row>
    <row r="524">
      <c r="A524" s="5"/>
      <c r="B524" s="5"/>
      <c r="C524" s="5"/>
      <c r="D524" s="5"/>
      <c r="K524" s="5"/>
    </row>
    <row r="525">
      <c r="A525" s="5"/>
      <c r="B525" s="5"/>
      <c r="C525" s="5"/>
      <c r="D525" s="5"/>
      <c r="K525" s="5"/>
    </row>
    <row r="526">
      <c r="A526" s="5"/>
      <c r="B526" s="5"/>
      <c r="C526" s="5"/>
      <c r="D526" s="5"/>
      <c r="K526" s="5"/>
    </row>
    <row r="527">
      <c r="A527" s="5"/>
      <c r="B527" s="5"/>
      <c r="C527" s="5"/>
      <c r="D527" s="5"/>
      <c r="K527" s="5"/>
    </row>
    <row r="528">
      <c r="A528" s="5"/>
      <c r="B528" s="5"/>
      <c r="C528" s="5"/>
      <c r="D528" s="5"/>
      <c r="K528" s="5"/>
    </row>
    <row r="529">
      <c r="A529" s="5"/>
      <c r="B529" s="5"/>
      <c r="C529" s="5"/>
      <c r="D529" s="5"/>
      <c r="K529" s="5"/>
    </row>
    <row r="530">
      <c r="A530" s="5"/>
      <c r="B530" s="5"/>
      <c r="C530" s="5"/>
      <c r="D530" s="5"/>
      <c r="K530" s="5"/>
    </row>
    <row r="531">
      <c r="A531" s="5"/>
      <c r="B531" s="5"/>
      <c r="C531" s="5"/>
      <c r="D531" s="5"/>
      <c r="K531" s="5"/>
    </row>
    <row r="532">
      <c r="A532" s="5"/>
      <c r="B532" s="5"/>
      <c r="C532" s="5"/>
      <c r="D532" s="5"/>
      <c r="K532" s="5"/>
    </row>
    <row r="533">
      <c r="A533" s="5"/>
      <c r="B533" s="5"/>
      <c r="C533" s="5"/>
      <c r="D533" s="5"/>
      <c r="K533" s="5"/>
    </row>
    <row r="534">
      <c r="A534" s="5"/>
      <c r="B534" s="5"/>
      <c r="C534" s="5"/>
      <c r="D534" s="5"/>
      <c r="K534" s="5"/>
    </row>
    <row r="535">
      <c r="A535" s="5"/>
      <c r="B535" s="5"/>
      <c r="C535" s="5"/>
      <c r="D535" s="5"/>
      <c r="K535" s="5"/>
    </row>
    <row r="536">
      <c r="A536" s="5"/>
      <c r="B536" s="5"/>
      <c r="C536" s="5"/>
      <c r="D536" s="5"/>
      <c r="K536" s="5"/>
    </row>
    <row r="537">
      <c r="A537" s="5"/>
      <c r="B537" s="5"/>
      <c r="C537" s="5"/>
      <c r="D537" s="5"/>
      <c r="K537" s="5"/>
    </row>
    <row r="538">
      <c r="A538" s="5"/>
      <c r="B538" s="5"/>
      <c r="C538" s="5"/>
      <c r="D538" s="5"/>
      <c r="K538" s="5"/>
    </row>
    <row r="539">
      <c r="A539" s="5"/>
      <c r="B539" s="5"/>
      <c r="C539" s="5"/>
      <c r="D539" s="5"/>
      <c r="K539" s="5"/>
    </row>
    <row r="540">
      <c r="A540" s="5"/>
      <c r="B540" s="5"/>
      <c r="C540" s="5"/>
      <c r="D540" s="5"/>
      <c r="K540" s="5"/>
    </row>
    <row r="541">
      <c r="A541" s="5"/>
      <c r="B541" s="5"/>
      <c r="C541" s="5"/>
      <c r="D541" s="5"/>
      <c r="K541" s="5"/>
    </row>
    <row r="542">
      <c r="A542" s="5"/>
      <c r="B542" s="5"/>
      <c r="C542" s="5"/>
      <c r="D542" s="5"/>
      <c r="K542" s="5"/>
    </row>
    <row r="543">
      <c r="A543" s="5"/>
      <c r="B543" s="5"/>
      <c r="C543" s="5"/>
      <c r="D543" s="5"/>
      <c r="K543" s="5"/>
    </row>
    <row r="544">
      <c r="A544" s="5"/>
      <c r="B544" s="5"/>
      <c r="C544" s="5"/>
      <c r="D544" s="5"/>
      <c r="K544" s="5"/>
    </row>
    <row r="545">
      <c r="A545" s="5"/>
      <c r="B545" s="5"/>
      <c r="C545" s="5"/>
      <c r="D545" s="5"/>
      <c r="K545" s="5"/>
    </row>
    <row r="546">
      <c r="A546" s="5"/>
      <c r="B546" s="5"/>
      <c r="C546" s="5"/>
      <c r="D546" s="5"/>
      <c r="K546" s="5"/>
    </row>
    <row r="547">
      <c r="A547" s="5"/>
      <c r="B547" s="5"/>
      <c r="C547" s="5"/>
      <c r="D547" s="5"/>
      <c r="K547" s="5"/>
    </row>
    <row r="548">
      <c r="A548" s="5"/>
      <c r="B548" s="5"/>
      <c r="C548" s="5"/>
      <c r="D548" s="5"/>
      <c r="K548" s="5"/>
    </row>
    <row r="549">
      <c r="A549" s="5"/>
      <c r="B549" s="5"/>
      <c r="C549" s="5"/>
      <c r="D549" s="5"/>
      <c r="K549" s="5"/>
    </row>
    <row r="550">
      <c r="A550" s="5"/>
      <c r="B550" s="5"/>
      <c r="C550" s="5"/>
      <c r="D550" s="5"/>
      <c r="K550" s="5"/>
    </row>
    <row r="551">
      <c r="A551" s="5"/>
      <c r="B551" s="5"/>
      <c r="C551" s="5"/>
      <c r="D551" s="5"/>
      <c r="K551" s="5"/>
    </row>
    <row r="552">
      <c r="A552" s="5"/>
      <c r="B552" s="5"/>
      <c r="C552" s="5"/>
      <c r="D552" s="5"/>
      <c r="K552" s="5"/>
    </row>
    <row r="553">
      <c r="A553" s="5"/>
      <c r="B553" s="5"/>
      <c r="C553" s="5"/>
      <c r="D553" s="5"/>
      <c r="K553" s="5"/>
    </row>
    <row r="554">
      <c r="A554" s="5"/>
      <c r="B554" s="5"/>
      <c r="C554" s="5"/>
      <c r="D554" s="5"/>
      <c r="K554" s="5"/>
    </row>
    <row r="555">
      <c r="A555" s="5"/>
      <c r="B555" s="5"/>
      <c r="C555" s="5"/>
      <c r="D555" s="5"/>
      <c r="K555" s="5"/>
    </row>
    <row r="556">
      <c r="A556" s="5"/>
      <c r="B556" s="5"/>
      <c r="C556" s="5"/>
      <c r="D556" s="5"/>
      <c r="K556" s="5"/>
    </row>
    <row r="557">
      <c r="A557" s="5"/>
      <c r="B557" s="5"/>
      <c r="C557" s="5"/>
      <c r="D557" s="5"/>
      <c r="K557" s="5"/>
    </row>
    <row r="558">
      <c r="A558" s="5"/>
      <c r="B558" s="5"/>
      <c r="C558" s="5"/>
      <c r="D558" s="5"/>
      <c r="K558" s="5"/>
    </row>
    <row r="559">
      <c r="A559" s="5"/>
      <c r="B559" s="5"/>
      <c r="C559" s="5"/>
      <c r="D559" s="5"/>
      <c r="K559" s="5"/>
    </row>
    <row r="560">
      <c r="A560" s="5"/>
      <c r="B560" s="5"/>
      <c r="C560" s="5"/>
      <c r="D560" s="5"/>
      <c r="K560" s="5"/>
    </row>
    <row r="561">
      <c r="A561" s="5"/>
      <c r="B561" s="5"/>
      <c r="C561" s="5"/>
      <c r="D561" s="5"/>
      <c r="K561" s="5"/>
    </row>
    <row r="562">
      <c r="A562" s="5"/>
      <c r="B562" s="5"/>
      <c r="C562" s="5"/>
      <c r="D562" s="5"/>
      <c r="K562" s="5"/>
    </row>
    <row r="563">
      <c r="A563" s="5"/>
      <c r="B563" s="5"/>
      <c r="C563" s="5"/>
      <c r="D563" s="5"/>
      <c r="K563" s="5"/>
    </row>
    <row r="564">
      <c r="A564" s="5"/>
      <c r="B564" s="5"/>
      <c r="C564" s="5"/>
      <c r="D564" s="5"/>
      <c r="K564" s="5"/>
    </row>
    <row r="565">
      <c r="A565" s="5"/>
      <c r="B565" s="5"/>
      <c r="C565" s="5"/>
      <c r="D565" s="5"/>
      <c r="K565" s="5"/>
    </row>
    <row r="566">
      <c r="A566" s="5"/>
      <c r="B566" s="5"/>
      <c r="C566" s="5"/>
      <c r="D566" s="5"/>
      <c r="K566" s="5"/>
    </row>
    <row r="567">
      <c r="A567" s="5"/>
      <c r="B567" s="5"/>
      <c r="C567" s="5"/>
      <c r="D567" s="5"/>
      <c r="K567" s="5"/>
    </row>
    <row r="568">
      <c r="A568" s="5"/>
      <c r="B568" s="5"/>
      <c r="C568" s="5"/>
      <c r="D568" s="5"/>
      <c r="K568" s="5"/>
    </row>
    <row r="569">
      <c r="A569" s="5"/>
      <c r="B569" s="5"/>
      <c r="C569" s="5"/>
      <c r="D569" s="5"/>
      <c r="K569" s="5"/>
    </row>
    <row r="570">
      <c r="A570" s="5"/>
      <c r="B570" s="5"/>
      <c r="C570" s="5"/>
      <c r="D570" s="5"/>
      <c r="K570" s="5"/>
    </row>
    <row r="571">
      <c r="A571" s="5"/>
      <c r="B571" s="5"/>
      <c r="C571" s="5"/>
      <c r="D571" s="5"/>
      <c r="K571" s="5"/>
    </row>
    <row r="572">
      <c r="A572" s="5"/>
      <c r="B572" s="5"/>
      <c r="C572" s="5"/>
      <c r="D572" s="5"/>
      <c r="K572" s="5"/>
    </row>
    <row r="573">
      <c r="A573" s="5"/>
      <c r="B573" s="5"/>
      <c r="C573" s="5"/>
      <c r="D573" s="5"/>
      <c r="K573" s="5"/>
    </row>
    <row r="574">
      <c r="A574" s="5"/>
      <c r="B574" s="5"/>
      <c r="C574" s="5"/>
      <c r="D574" s="5"/>
      <c r="K574" s="5"/>
    </row>
    <row r="575">
      <c r="A575" s="5"/>
      <c r="B575" s="5"/>
      <c r="C575" s="5"/>
      <c r="D575" s="5"/>
      <c r="K575" s="5"/>
    </row>
    <row r="576">
      <c r="A576" s="5"/>
      <c r="B576" s="5"/>
      <c r="C576" s="5"/>
      <c r="D576" s="5"/>
      <c r="K576" s="5"/>
    </row>
    <row r="577">
      <c r="A577" s="5"/>
      <c r="B577" s="5"/>
      <c r="C577" s="5"/>
      <c r="D577" s="5"/>
      <c r="K577" s="5"/>
    </row>
    <row r="578">
      <c r="A578" s="5"/>
      <c r="B578" s="5"/>
      <c r="C578" s="5"/>
      <c r="D578" s="5"/>
      <c r="K578" s="5"/>
    </row>
    <row r="579">
      <c r="A579" s="5"/>
      <c r="B579" s="5"/>
      <c r="C579" s="5"/>
      <c r="D579" s="5"/>
      <c r="K579" s="5"/>
    </row>
    <row r="580">
      <c r="A580" s="5"/>
      <c r="B580" s="5"/>
      <c r="C580" s="5"/>
      <c r="D580" s="5"/>
      <c r="K580" s="5"/>
    </row>
    <row r="581">
      <c r="A581" s="5"/>
      <c r="B581" s="5"/>
      <c r="C581" s="5"/>
      <c r="D581" s="5"/>
      <c r="K581" s="5"/>
    </row>
    <row r="582">
      <c r="A582" s="5"/>
      <c r="B582" s="5"/>
      <c r="C582" s="5"/>
      <c r="D582" s="5"/>
      <c r="K582" s="5"/>
    </row>
    <row r="583">
      <c r="A583" s="5"/>
      <c r="B583" s="5"/>
      <c r="C583" s="5"/>
      <c r="D583" s="5"/>
      <c r="K583" s="5"/>
    </row>
    <row r="584">
      <c r="A584" s="5"/>
      <c r="B584" s="5"/>
      <c r="C584" s="5"/>
      <c r="D584" s="5"/>
      <c r="K584" s="5"/>
    </row>
    <row r="585">
      <c r="A585" s="5"/>
      <c r="B585" s="5"/>
      <c r="C585" s="5"/>
      <c r="D585" s="5"/>
      <c r="K585" s="5"/>
    </row>
    <row r="586">
      <c r="A586" s="5"/>
      <c r="B586" s="5"/>
      <c r="C586" s="5"/>
      <c r="D586" s="5"/>
      <c r="K586" s="5"/>
    </row>
    <row r="587">
      <c r="A587" s="5"/>
      <c r="B587" s="5"/>
      <c r="C587" s="5"/>
      <c r="D587" s="5"/>
      <c r="K587" s="5"/>
    </row>
    <row r="588">
      <c r="A588" s="5"/>
      <c r="B588" s="5"/>
      <c r="C588" s="5"/>
      <c r="D588" s="5"/>
      <c r="K588" s="5"/>
    </row>
    <row r="589">
      <c r="A589" s="5"/>
      <c r="B589" s="5"/>
      <c r="C589" s="5"/>
      <c r="D589" s="5"/>
      <c r="K589" s="5"/>
    </row>
    <row r="590">
      <c r="A590" s="5"/>
      <c r="B590" s="5"/>
      <c r="C590" s="5"/>
      <c r="D590" s="5"/>
      <c r="K590" s="5"/>
    </row>
    <row r="591">
      <c r="A591" s="5"/>
      <c r="B591" s="5"/>
      <c r="C591" s="5"/>
      <c r="D591" s="5"/>
      <c r="K591" s="5"/>
    </row>
    <row r="592">
      <c r="A592" s="5"/>
      <c r="B592" s="5"/>
      <c r="C592" s="5"/>
      <c r="D592" s="5"/>
      <c r="K592" s="5"/>
    </row>
    <row r="593">
      <c r="A593" s="5"/>
      <c r="B593" s="5"/>
      <c r="C593" s="5"/>
      <c r="D593" s="5"/>
      <c r="K593" s="5"/>
    </row>
    <row r="594">
      <c r="A594" s="5"/>
      <c r="B594" s="5"/>
      <c r="C594" s="5"/>
      <c r="D594" s="5"/>
      <c r="K594" s="5"/>
    </row>
    <row r="595">
      <c r="A595" s="5"/>
      <c r="B595" s="5"/>
      <c r="C595" s="5"/>
      <c r="D595" s="5"/>
      <c r="K595" s="5"/>
    </row>
    <row r="596">
      <c r="A596" s="5"/>
      <c r="B596" s="5"/>
      <c r="C596" s="5"/>
      <c r="D596" s="5"/>
      <c r="K596" s="5"/>
    </row>
    <row r="597">
      <c r="A597" s="5"/>
      <c r="B597" s="5"/>
      <c r="C597" s="5"/>
      <c r="D597" s="5"/>
      <c r="K597" s="5"/>
    </row>
    <row r="598">
      <c r="A598" s="5"/>
      <c r="B598" s="5"/>
      <c r="C598" s="5"/>
      <c r="D598" s="5"/>
      <c r="K598" s="5"/>
    </row>
    <row r="599">
      <c r="A599" s="5"/>
      <c r="B599" s="5"/>
      <c r="C599" s="5"/>
      <c r="D599" s="5"/>
      <c r="K599" s="5"/>
    </row>
    <row r="600">
      <c r="A600" s="5"/>
      <c r="B600" s="5"/>
      <c r="C600" s="5"/>
      <c r="D600" s="5"/>
      <c r="K600" s="5"/>
    </row>
    <row r="601">
      <c r="A601" s="5"/>
      <c r="B601" s="5"/>
      <c r="C601" s="5"/>
      <c r="D601" s="5"/>
      <c r="K601" s="5"/>
    </row>
    <row r="602">
      <c r="A602" s="5"/>
      <c r="B602" s="5"/>
      <c r="C602" s="5"/>
      <c r="D602" s="5"/>
      <c r="K602" s="5"/>
    </row>
    <row r="603">
      <c r="A603" s="5"/>
      <c r="B603" s="5"/>
      <c r="C603" s="5"/>
      <c r="D603" s="5"/>
      <c r="K603" s="5"/>
    </row>
    <row r="604">
      <c r="A604" s="5"/>
      <c r="B604" s="5"/>
      <c r="C604" s="5"/>
      <c r="D604" s="5"/>
      <c r="K604" s="5"/>
    </row>
    <row r="605">
      <c r="A605" s="5"/>
      <c r="B605" s="5"/>
      <c r="C605" s="5"/>
      <c r="D605" s="5"/>
      <c r="K605" s="5"/>
    </row>
    <row r="606">
      <c r="A606" s="5"/>
      <c r="B606" s="5"/>
      <c r="C606" s="5"/>
      <c r="D606" s="5"/>
      <c r="K606" s="5"/>
    </row>
    <row r="607">
      <c r="A607" s="5"/>
      <c r="B607" s="5"/>
      <c r="C607" s="5"/>
      <c r="D607" s="5"/>
      <c r="K607" s="5"/>
    </row>
    <row r="608">
      <c r="A608" s="5"/>
      <c r="B608" s="5"/>
      <c r="C608" s="5"/>
      <c r="D608" s="5"/>
      <c r="K608" s="5"/>
    </row>
    <row r="609">
      <c r="A609" s="5"/>
      <c r="B609" s="5"/>
      <c r="C609" s="5"/>
      <c r="D609" s="5"/>
      <c r="K609" s="5"/>
    </row>
    <row r="610">
      <c r="A610" s="5"/>
      <c r="B610" s="5"/>
      <c r="C610" s="5"/>
      <c r="D610" s="5"/>
      <c r="K610" s="5"/>
    </row>
    <row r="611">
      <c r="A611" s="5"/>
      <c r="B611" s="5"/>
      <c r="C611" s="5"/>
      <c r="D611" s="5"/>
      <c r="K611" s="5"/>
    </row>
    <row r="612">
      <c r="A612" s="5"/>
      <c r="B612" s="5"/>
      <c r="C612" s="5"/>
      <c r="D612" s="5"/>
      <c r="K612" s="5"/>
    </row>
    <row r="613">
      <c r="A613" s="5"/>
      <c r="B613" s="5"/>
      <c r="C613" s="5"/>
      <c r="D613" s="5"/>
      <c r="K613" s="5"/>
    </row>
    <row r="614">
      <c r="A614" s="5"/>
      <c r="B614" s="5"/>
      <c r="C614" s="5"/>
      <c r="D614" s="5"/>
      <c r="K614" s="5"/>
    </row>
    <row r="615">
      <c r="A615" s="5"/>
      <c r="B615" s="5"/>
      <c r="C615" s="5"/>
      <c r="D615" s="5"/>
      <c r="K615" s="5"/>
    </row>
    <row r="616">
      <c r="A616" s="5"/>
      <c r="B616" s="5"/>
      <c r="C616" s="5"/>
      <c r="D616" s="5"/>
      <c r="K616" s="5"/>
    </row>
    <row r="617">
      <c r="A617" s="5"/>
      <c r="B617" s="5"/>
      <c r="C617" s="5"/>
      <c r="D617" s="5"/>
      <c r="K617" s="5"/>
    </row>
    <row r="618">
      <c r="A618" s="5"/>
      <c r="B618" s="5"/>
      <c r="C618" s="5"/>
      <c r="D618" s="5"/>
      <c r="K618" s="5"/>
    </row>
    <row r="619">
      <c r="A619" s="5"/>
      <c r="B619" s="5"/>
      <c r="C619" s="5"/>
      <c r="D619" s="5"/>
      <c r="K619" s="5"/>
    </row>
    <row r="620">
      <c r="A620" s="5"/>
      <c r="B620" s="5"/>
      <c r="C620" s="5"/>
      <c r="D620" s="5"/>
      <c r="K620" s="5"/>
    </row>
    <row r="621">
      <c r="A621" s="5"/>
      <c r="B621" s="5"/>
      <c r="C621" s="5"/>
      <c r="D621" s="5"/>
      <c r="K621" s="5"/>
    </row>
    <row r="622">
      <c r="A622" s="5"/>
      <c r="B622" s="5"/>
      <c r="C622" s="5"/>
      <c r="D622" s="5"/>
      <c r="K622" s="5"/>
    </row>
    <row r="623">
      <c r="A623" s="5"/>
      <c r="B623" s="5"/>
      <c r="C623" s="5"/>
      <c r="D623" s="5"/>
      <c r="K623" s="5"/>
    </row>
    <row r="624">
      <c r="A624" s="5"/>
      <c r="B624" s="5"/>
      <c r="C624" s="5"/>
      <c r="D624" s="5"/>
      <c r="K624" s="5"/>
    </row>
    <row r="625">
      <c r="A625" s="5"/>
      <c r="B625" s="5"/>
      <c r="C625" s="5"/>
      <c r="D625" s="5"/>
      <c r="K625" s="5"/>
    </row>
    <row r="626">
      <c r="A626" s="5"/>
      <c r="B626" s="5"/>
      <c r="C626" s="5"/>
      <c r="D626" s="5"/>
      <c r="K626" s="5"/>
    </row>
    <row r="627">
      <c r="A627" s="5"/>
      <c r="B627" s="5"/>
      <c r="C627" s="5"/>
      <c r="D627" s="5"/>
      <c r="K627" s="5"/>
    </row>
    <row r="628">
      <c r="A628" s="5"/>
      <c r="B628" s="5"/>
      <c r="C628" s="5"/>
      <c r="D628" s="5"/>
      <c r="K628" s="5"/>
    </row>
    <row r="629">
      <c r="A629" s="5"/>
      <c r="B629" s="5"/>
      <c r="C629" s="5"/>
      <c r="D629" s="5"/>
      <c r="K629" s="5"/>
    </row>
    <row r="630">
      <c r="A630" s="5"/>
      <c r="B630" s="5"/>
      <c r="C630" s="5"/>
      <c r="D630" s="5"/>
      <c r="K630" s="5"/>
    </row>
    <row r="631">
      <c r="A631" s="5"/>
      <c r="B631" s="5"/>
      <c r="C631" s="5"/>
      <c r="D631" s="5"/>
      <c r="K631" s="5"/>
    </row>
    <row r="632">
      <c r="A632" s="5"/>
      <c r="B632" s="5"/>
      <c r="C632" s="5"/>
      <c r="D632" s="5"/>
      <c r="K632" s="5"/>
    </row>
    <row r="633">
      <c r="A633" s="5"/>
      <c r="B633" s="5"/>
      <c r="C633" s="5"/>
      <c r="D633" s="5"/>
      <c r="K633" s="5"/>
    </row>
    <row r="634">
      <c r="A634" s="5"/>
      <c r="B634" s="5"/>
      <c r="C634" s="5"/>
      <c r="D634" s="5"/>
      <c r="K634" s="5"/>
    </row>
    <row r="635">
      <c r="A635" s="5"/>
      <c r="B635" s="5"/>
      <c r="C635" s="5"/>
      <c r="D635" s="5"/>
      <c r="K635" s="5"/>
    </row>
    <row r="636">
      <c r="A636" s="5"/>
      <c r="B636" s="5"/>
      <c r="C636" s="5"/>
      <c r="D636" s="5"/>
      <c r="K636" s="5"/>
    </row>
    <row r="637">
      <c r="A637" s="5"/>
      <c r="B637" s="5"/>
      <c r="C637" s="5"/>
      <c r="D637" s="5"/>
      <c r="K637" s="5"/>
    </row>
    <row r="638">
      <c r="A638" s="5"/>
      <c r="B638" s="5"/>
      <c r="C638" s="5"/>
      <c r="D638" s="5"/>
      <c r="K638" s="5"/>
    </row>
    <row r="639">
      <c r="A639" s="5"/>
      <c r="B639" s="5"/>
      <c r="C639" s="5"/>
      <c r="D639" s="5"/>
      <c r="K639" s="5"/>
    </row>
    <row r="640">
      <c r="A640" s="5"/>
      <c r="B640" s="5"/>
      <c r="C640" s="5"/>
      <c r="D640" s="5"/>
      <c r="K640" s="5"/>
    </row>
    <row r="641">
      <c r="A641" s="5"/>
      <c r="B641" s="5"/>
      <c r="C641" s="5"/>
      <c r="D641" s="5"/>
      <c r="K641" s="5"/>
    </row>
    <row r="642">
      <c r="A642" s="5"/>
      <c r="B642" s="5"/>
      <c r="C642" s="5"/>
      <c r="D642" s="5"/>
      <c r="K642" s="5"/>
    </row>
    <row r="643">
      <c r="A643" s="5"/>
      <c r="B643" s="5"/>
      <c r="C643" s="5"/>
      <c r="D643" s="5"/>
      <c r="K643" s="5"/>
    </row>
    <row r="644">
      <c r="A644" s="5"/>
      <c r="B644" s="5"/>
      <c r="C644" s="5"/>
      <c r="D644" s="5"/>
      <c r="K644" s="5"/>
    </row>
    <row r="645">
      <c r="A645" s="5"/>
      <c r="B645" s="5"/>
      <c r="C645" s="5"/>
      <c r="D645" s="5"/>
      <c r="K645" s="5"/>
    </row>
    <row r="646">
      <c r="A646" s="5"/>
      <c r="B646" s="5"/>
      <c r="C646" s="5"/>
      <c r="D646" s="5"/>
      <c r="K646" s="5"/>
    </row>
    <row r="647">
      <c r="A647" s="5"/>
      <c r="B647" s="5"/>
      <c r="C647" s="5"/>
      <c r="D647" s="5"/>
      <c r="K647" s="5"/>
    </row>
    <row r="648">
      <c r="A648" s="5"/>
      <c r="B648" s="5"/>
      <c r="C648" s="5"/>
      <c r="D648" s="5"/>
      <c r="K648" s="5"/>
    </row>
    <row r="649">
      <c r="A649" s="5"/>
      <c r="B649" s="5"/>
      <c r="C649" s="5"/>
      <c r="D649" s="5"/>
      <c r="K649" s="5"/>
    </row>
    <row r="650">
      <c r="A650" s="5"/>
      <c r="B650" s="5"/>
      <c r="C650" s="5"/>
      <c r="D650" s="5"/>
      <c r="K650" s="5"/>
    </row>
    <row r="651">
      <c r="A651" s="5"/>
      <c r="B651" s="5"/>
      <c r="C651" s="5"/>
      <c r="D651" s="5"/>
      <c r="K651" s="5"/>
    </row>
    <row r="652">
      <c r="A652" s="5"/>
      <c r="B652" s="5"/>
      <c r="C652" s="5"/>
      <c r="D652" s="5"/>
      <c r="K652" s="5"/>
    </row>
    <row r="653">
      <c r="A653" s="5"/>
      <c r="B653" s="5"/>
      <c r="C653" s="5"/>
      <c r="D653" s="5"/>
      <c r="K653" s="5"/>
    </row>
    <row r="654">
      <c r="A654" s="5"/>
      <c r="B654" s="5"/>
      <c r="C654" s="5"/>
      <c r="D654" s="5"/>
      <c r="K654" s="5"/>
    </row>
    <row r="655">
      <c r="A655" s="5"/>
      <c r="B655" s="5"/>
      <c r="C655" s="5"/>
      <c r="D655" s="5"/>
      <c r="K655" s="5"/>
    </row>
    <row r="656">
      <c r="A656" s="5"/>
      <c r="B656" s="5"/>
      <c r="C656" s="5"/>
      <c r="D656" s="5"/>
      <c r="K656" s="5"/>
    </row>
    <row r="657">
      <c r="A657" s="5"/>
      <c r="B657" s="5"/>
      <c r="C657" s="5"/>
      <c r="D657" s="5"/>
      <c r="K657" s="5"/>
    </row>
    <row r="658">
      <c r="A658" s="5"/>
      <c r="B658" s="5"/>
      <c r="C658" s="5"/>
      <c r="D658" s="5"/>
      <c r="K658" s="5"/>
    </row>
    <row r="659">
      <c r="A659" s="5"/>
      <c r="B659" s="5"/>
      <c r="C659" s="5"/>
      <c r="D659" s="5"/>
      <c r="K659" s="5"/>
    </row>
    <row r="660">
      <c r="A660" s="5"/>
      <c r="B660" s="5"/>
      <c r="C660" s="5"/>
      <c r="D660" s="5"/>
      <c r="K660" s="5"/>
    </row>
    <row r="661">
      <c r="A661" s="5"/>
      <c r="B661" s="5"/>
      <c r="C661" s="5"/>
      <c r="D661" s="5"/>
      <c r="K661" s="5"/>
    </row>
    <row r="662">
      <c r="A662" s="5"/>
      <c r="B662" s="5"/>
      <c r="C662" s="5"/>
      <c r="D662" s="5"/>
      <c r="K662" s="5"/>
    </row>
    <row r="663">
      <c r="A663" s="5"/>
      <c r="B663" s="5"/>
      <c r="C663" s="5"/>
      <c r="D663" s="5"/>
      <c r="K663" s="5"/>
    </row>
    <row r="664">
      <c r="A664" s="5"/>
      <c r="B664" s="5"/>
      <c r="C664" s="5"/>
      <c r="D664" s="5"/>
      <c r="K664" s="5"/>
    </row>
    <row r="665">
      <c r="A665" s="5"/>
      <c r="B665" s="5"/>
      <c r="C665" s="5"/>
      <c r="D665" s="5"/>
      <c r="K665" s="5"/>
    </row>
    <row r="666">
      <c r="A666" s="5"/>
      <c r="B666" s="5"/>
      <c r="C666" s="5"/>
      <c r="D666" s="5"/>
      <c r="K666" s="5"/>
    </row>
    <row r="667">
      <c r="A667" s="5"/>
      <c r="B667" s="5"/>
      <c r="C667" s="5"/>
      <c r="D667" s="5"/>
      <c r="K667" s="5"/>
    </row>
    <row r="668">
      <c r="A668" s="5"/>
      <c r="B668" s="5"/>
      <c r="C668" s="5"/>
      <c r="D668" s="5"/>
      <c r="K668" s="5"/>
    </row>
    <row r="669">
      <c r="A669" s="5"/>
      <c r="B669" s="5"/>
      <c r="C669" s="5"/>
      <c r="D669" s="5"/>
      <c r="K669" s="5"/>
    </row>
    <row r="670">
      <c r="A670" s="5"/>
      <c r="B670" s="5"/>
      <c r="C670" s="5"/>
      <c r="D670" s="5"/>
      <c r="K670" s="5"/>
    </row>
    <row r="671">
      <c r="A671" s="5"/>
      <c r="B671" s="5"/>
      <c r="C671" s="5"/>
      <c r="D671" s="5"/>
      <c r="K671" s="5"/>
    </row>
    <row r="672">
      <c r="A672" s="5"/>
      <c r="B672" s="5"/>
      <c r="C672" s="5"/>
      <c r="D672" s="5"/>
      <c r="K672" s="5"/>
    </row>
    <row r="673">
      <c r="A673" s="5"/>
      <c r="B673" s="5"/>
      <c r="C673" s="5"/>
      <c r="D673" s="5"/>
      <c r="K673" s="5"/>
    </row>
    <row r="674">
      <c r="A674" s="5"/>
      <c r="B674" s="5"/>
      <c r="C674" s="5"/>
      <c r="D674" s="5"/>
      <c r="K674" s="5"/>
    </row>
    <row r="675">
      <c r="A675" s="5"/>
      <c r="B675" s="5"/>
      <c r="C675" s="5"/>
      <c r="D675" s="5"/>
      <c r="K675" s="5"/>
    </row>
    <row r="676">
      <c r="A676" s="5"/>
      <c r="B676" s="5"/>
      <c r="C676" s="5"/>
      <c r="D676" s="5"/>
      <c r="K676" s="5"/>
    </row>
    <row r="677">
      <c r="A677" s="5"/>
      <c r="B677" s="5"/>
      <c r="C677" s="5"/>
      <c r="D677" s="5"/>
      <c r="K677" s="5"/>
    </row>
    <row r="678">
      <c r="A678" s="5"/>
      <c r="B678" s="5"/>
      <c r="C678" s="5"/>
      <c r="D678" s="5"/>
      <c r="K678" s="5"/>
    </row>
    <row r="679">
      <c r="A679" s="5"/>
      <c r="B679" s="5"/>
      <c r="C679" s="5"/>
      <c r="D679" s="5"/>
      <c r="K679" s="5"/>
    </row>
    <row r="680">
      <c r="A680" s="5"/>
      <c r="B680" s="5"/>
      <c r="C680" s="5"/>
      <c r="D680" s="5"/>
      <c r="K680" s="5"/>
    </row>
    <row r="681">
      <c r="A681" s="5"/>
      <c r="B681" s="5"/>
      <c r="C681" s="5"/>
      <c r="D681" s="5"/>
      <c r="K681" s="5"/>
    </row>
    <row r="682">
      <c r="A682" s="5"/>
      <c r="B682" s="5"/>
      <c r="C682" s="5"/>
      <c r="D682" s="5"/>
      <c r="K682" s="5"/>
    </row>
    <row r="683">
      <c r="A683" s="5"/>
      <c r="B683" s="5"/>
      <c r="C683" s="5"/>
      <c r="D683" s="5"/>
      <c r="K683" s="5"/>
    </row>
    <row r="684">
      <c r="A684" s="5"/>
      <c r="B684" s="5"/>
      <c r="C684" s="5"/>
      <c r="D684" s="5"/>
      <c r="K684" s="5"/>
    </row>
    <row r="685">
      <c r="A685" s="5"/>
      <c r="B685" s="5"/>
      <c r="C685" s="5"/>
      <c r="D685" s="5"/>
      <c r="K685" s="5"/>
    </row>
    <row r="686">
      <c r="A686" s="5"/>
      <c r="B686" s="5"/>
      <c r="C686" s="5"/>
      <c r="D686" s="5"/>
      <c r="K686" s="5"/>
    </row>
    <row r="687">
      <c r="A687" s="5"/>
      <c r="B687" s="5"/>
      <c r="C687" s="5"/>
      <c r="D687" s="5"/>
      <c r="K687" s="5"/>
    </row>
    <row r="688">
      <c r="A688" s="5"/>
      <c r="B688" s="5"/>
      <c r="C688" s="5"/>
      <c r="D688" s="5"/>
      <c r="K688" s="5"/>
    </row>
    <row r="689">
      <c r="A689" s="5"/>
      <c r="B689" s="5"/>
      <c r="C689" s="5"/>
      <c r="D689" s="5"/>
      <c r="K689" s="5"/>
    </row>
    <row r="690">
      <c r="A690" s="5"/>
      <c r="B690" s="5"/>
      <c r="C690" s="5"/>
      <c r="D690" s="5"/>
      <c r="K690" s="5"/>
    </row>
    <row r="691">
      <c r="A691" s="5"/>
      <c r="B691" s="5"/>
      <c r="C691" s="5"/>
      <c r="D691" s="5"/>
      <c r="K691" s="5"/>
    </row>
    <row r="692">
      <c r="A692" s="5"/>
      <c r="B692" s="5"/>
      <c r="C692" s="5"/>
      <c r="D692" s="5"/>
      <c r="K692" s="5"/>
    </row>
    <row r="693">
      <c r="A693" s="5"/>
      <c r="B693" s="5"/>
      <c r="C693" s="5"/>
      <c r="D693" s="5"/>
      <c r="K693" s="5"/>
    </row>
    <row r="694">
      <c r="A694" s="5"/>
      <c r="B694" s="5"/>
      <c r="C694" s="5"/>
      <c r="D694" s="5"/>
      <c r="K694" s="5"/>
    </row>
    <row r="695">
      <c r="A695" s="5"/>
      <c r="B695" s="5"/>
      <c r="C695" s="5"/>
      <c r="D695" s="5"/>
      <c r="K695" s="5"/>
    </row>
    <row r="696">
      <c r="A696" s="5"/>
      <c r="B696" s="5"/>
      <c r="C696" s="5"/>
      <c r="D696" s="5"/>
      <c r="K696" s="5"/>
    </row>
    <row r="697">
      <c r="A697" s="5"/>
      <c r="B697" s="5"/>
      <c r="C697" s="5"/>
      <c r="D697" s="5"/>
      <c r="K697" s="5"/>
    </row>
    <row r="698">
      <c r="A698" s="5"/>
      <c r="B698" s="5"/>
      <c r="C698" s="5"/>
      <c r="D698" s="5"/>
      <c r="K698" s="5"/>
    </row>
    <row r="699">
      <c r="A699" s="5"/>
      <c r="B699" s="5"/>
      <c r="C699" s="5"/>
      <c r="D699" s="5"/>
      <c r="K699" s="5"/>
    </row>
    <row r="700">
      <c r="A700" s="5"/>
      <c r="B700" s="5"/>
      <c r="C700" s="5"/>
      <c r="D700" s="5"/>
      <c r="K700" s="5"/>
    </row>
    <row r="701">
      <c r="A701" s="5"/>
      <c r="B701" s="5"/>
      <c r="C701" s="5"/>
      <c r="D701" s="5"/>
      <c r="K701" s="5"/>
    </row>
    <row r="702">
      <c r="A702" s="5"/>
      <c r="B702" s="5"/>
      <c r="C702" s="5"/>
      <c r="D702" s="5"/>
      <c r="K702" s="5"/>
    </row>
    <row r="703">
      <c r="A703" s="5"/>
      <c r="B703" s="5"/>
      <c r="C703" s="5"/>
      <c r="D703" s="5"/>
      <c r="K703" s="5"/>
    </row>
    <row r="704">
      <c r="A704" s="5"/>
      <c r="B704" s="5"/>
      <c r="C704" s="5"/>
      <c r="D704" s="5"/>
      <c r="K704" s="5"/>
    </row>
    <row r="705">
      <c r="A705" s="5"/>
      <c r="B705" s="5"/>
      <c r="C705" s="5"/>
      <c r="D705" s="5"/>
      <c r="K705" s="5"/>
    </row>
    <row r="706">
      <c r="A706" s="5"/>
      <c r="B706" s="5"/>
      <c r="C706" s="5"/>
      <c r="D706" s="5"/>
      <c r="K706" s="5"/>
    </row>
    <row r="707">
      <c r="A707" s="5"/>
      <c r="B707" s="5"/>
      <c r="C707" s="5"/>
      <c r="D707" s="5"/>
      <c r="K707" s="5"/>
    </row>
    <row r="708">
      <c r="A708" s="5"/>
      <c r="B708" s="5"/>
      <c r="C708" s="5"/>
      <c r="D708" s="5"/>
      <c r="K708" s="5"/>
    </row>
    <row r="709">
      <c r="A709" s="5"/>
      <c r="B709" s="5"/>
      <c r="C709" s="5"/>
      <c r="D709" s="5"/>
      <c r="K709" s="5"/>
    </row>
    <row r="710">
      <c r="A710" s="5"/>
      <c r="B710" s="5"/>
      <c r="C710" s="5"/>
      <c r="D710" s="5"/>
      <c r="K710" s="5"/>
    </row>
    <row r="711">
      <c r="A711" s="5"/>
      <c r="B711" s="5"/>
      <c r="C711" s="5"/>
      <c r="D711" s="5"/>
      <c r="K711" s="5"/>
    </row>
    <row r="712">
      <c r="A712" s="5"/>
      <c r="B712" s="5"/>
      <c r="C712" s="5"/>
      <c r="D712" s="5"/>
      <c r="K712" s="5"/>
    </row>
    <row r="713">
      <c r="A713" s="5"/>
      <c r="B713" s="5"/>
      <c r="C713" s="5"/>
      <c r="D713" s="5"/>
      <c r="K713" s="5"/>
    </row>
    <row r="714">
      <c r="A714" s="5"/>
      <c r="B714" s="5"/>
      <c r="C714" s="5"/>
      <c r="D714" s="5"/>
      <c r="K714" s="5"/>
    </row>
    <row r="715">
      <c r="A715" s="5"/>
      <c r="B715" s="5"/>
      <c r="C715" s="5"/>
      <c r="D715" s="5"/>
      <c r="K715" s="5"/>
    </row>
    <row r="716">
      <c r="A716" s="5"/>
      <c r="B716" s="5"/>
      <c r="C716" s="5"/>
      <c r="D716" s="5"/>
      <c r="K716" s="5"/>
    </row>
    <row r="717">
      <c r="A717" s="5"/>
      <c r="B717" s="5"/>
      <c r="C717" s="5"/>
      <c r="D717" s="5"/>
      <c r="K717" s="5"/>
    </row>
    <row r="718">
      <c r="A718" s="5"/>
      <c r="B718" s="5"/>
      <c r="C718" s="5"/>
      <c r="D718" s="5"/>
      <c r="K718" s="5"/>
    </row>
    <row r="719">
      <c r="A719" s="5"/>
      <c r="B719" s="5"/>
      <c r="C719" s="5"/>
      <c r="D719" s="5"/>
      <c r="K719" s="5"/>
    </row>
    <row r="720">
      <c r="A720" s="5"/>
      <c r="B720" s="5"/>
      <c r="C720" s="5"/>
      <c r="D720" s="5"/>
      <c r="K720" s="5"/>
    </row>
    <row r="721">
      <c r="A721" s="5"/>
      <c r="B721" s="5"/>
      <c r="C721" s="5"/>
      <c r="D721" s="5"/>
      <c r="K721" s="5"/>
    </row>
    <row r="722">
      <c r="A722" s="5"/>
      <c r="B722" s="5"/>
      <c r="C722" s="5"/>
      <c r="D722" s="5"/>
      <c r="K722" s="5"/>
    </row>
    <row r="723">
      <c r="A723" s="5"/>
      <c r="B723" s="5"/>
      <c r="C723" s="5"/>
      <c r="D723" s="5"/>
      <c r="K723" s="5"/>
    </row>
    <row r="724">
      <c r="A724" s="5"/>
      <c r="B724" s="5"/>
      <c r="C724" s="5"/>
      <c r="D724" s="5"/>
      <c r="K724" s="5"/>
    </row>
    <row r="725">
      <c r="A725" s="5"/>
      <c r="B725" s="5"/>
      <c r="C725" s="5"/>
      <c r="D725" s="5"/>
      <c r="K725" s="5"/>
    </row>
    <row r="726">
      <c r="A726" s="5"/>
      <c r="B726" s="5"/>
      <c r="C726" s="5"/>
      <c r="D726" s="5"/>
      <c r="K726" s="5"/>
    </row>
    <row r="727">
      <c r="A727" s="5"/>
      <c r="B727" s="5"/>
      <c r="C727" s="5"/>
      <c r="D727" s="5"/>
      <c r="K727" s="5"/>
    </row>
    <row r="728">
      <c r="A728" s="5"/>
      <c r="B728" s="5"/>
      <c r="C728" s="5"/>
      <c r="D728" s="5"/>
      <c r="K728" s="5"/>
    </row>
    <row r="729">
      <c r="A729" s="5"/>
      <c r="B729" s="5"/>
      <c r="C729" s="5"/>
      <c r="D729" s="5"/>
      <c r="K729" s="5"/>
    </row>
    <row r="730">
      <c r="A730" s="5"/>
      <c r="B730" s="5"/>
      <c r="C730" s="5"/>
      <c r="D730" s="5"/>
      <c r="K730" s="5"/>
    </row>
    <row r="731">
      <c r="A731" s="5"/>
      <c r="B731" s="5"/>
      <c r="C731" s="5"/>
      <c r="D731" s="5"/>
      <c r="K731" s="5"/>
    </row>
    <row r="732">
      <c r="A732" s="5"/>
      <c r="B732" s="5"/>
      <c r="C732" s="5"/>
      <c r="D732" s="5"/>
      <c r="K732" s="5"/>
    </row>
    <row r="733">
      <c r="A733" s="5"/>
      <c r="B733" s="5"/>
      <c r="C733" s="5"/>
      <c r="D733" s="5"/>
      <c r="K733" s="5"/>
    </row>
    <row r="734">
      <c r="A734" s="5"/>
      <c r="B734" s="5"/>
      <c r="C734" s="5"/>
      <c r="D734" s="5"/>
      <c r="K734" s="5"/>
    </row>
    <row r="735">
      <c r="A735" s="5"/>
      <c r="B735" s="5"/>
      <c r="C735" s="5"/>
      <c r="D735" s="5"/>
      <c r="K735" s="5"/>
    </row>
    <row r="736">
      <c r="A736" s="5"/>
      <c r="B736" s="5"/>
      <c r="C736" s="5"/>
      <c r="D736" s="5"/>
      <c r="K736" s="5"/>
    </row>
    <row r="737">
      <c r="A737" s="5"/>
      <c r="B737" s="5"/>
      <c r="C737" s="5"/>
      <c r="D737" s="5"/>
      <c r="K737" s="5"/>
    </row>
    <row r="738">
      <c r="A738" s="5"/>
      <c r="B738" s="5"/>
      <c r="C738" s="5"/>
      <c r="D738" s="5"/>
      <c r="K738" s="5"/>
    </row>
    <row r="739">
      <c r="A739" s="5"/>
      <c r="B739" s="5"/>
      <c r="C739" s="5"/>
      <c r="D739" s="5"/>
      <c r="K739" s="5"/>
    </row>
    <row r="740">
      <c r="A740" s="5"/>
      <c r="B740" s="5"/>
      <c r="C740" s="5"/>
      <c r="D740" s="5"/>
      <c r="K740" s="5"/>
    </row>
    <row r="741">
      <c r="A741" s="5"/>
      <c r="B741" s="5"/>
      <c r="C741" s="5"/>
      <c r="D741" s="5"/>
      <c r="K741" s="5"/>
    </row>
    <row r="742">
      <c r="A742" s="5"/>
      <c r="B742" s="5"/>
      <c r="C742" s="5"/>
      <c r="D742" s="5"/>
      <c r="K742" s="5"/>
    </row>
    <row r="743">
      <c r="A743" s="5"/>
      <c r="B743" s="5"/>
      <c r="C743" s="5"/>
      <c r="D743" s="5"/>
      <c r="K743" s="5"/>
    </row>
    <row r="744">
      <c r="A744" s="5"/>
      <c r="B744" s="5"/>
      <c r="C744" s="5"/>
      <c r="D744" s="5"/>
      <c r="K744" s="5"/>
    </row>
    <row r="745">
      <c r="A745" s="5"/>
      <c r="B745" s="5"/>
      <c r="C745" s="5"/>
      <c r="D745" s="5"/>
      <c r="K745" s="5"/>
    </row>
    <row r="746">
      <c r="A746" s="5"/>
      <c r="B746" s="5"/>
      <c r="C746" s="5"/>
      <c r="D746" s="5"/>
      <c r="K746" s="5"/>
    </row>
    <row r="747">
      <c r="A747" s="5"/>
      <c r="B747" s="5"/>
      <c r="C747" s="5"/>
      <c r="D747" s="5"/>
      <c r="K747" s="5"/>
    </row>
    <row r="748">
      <c r="A748" s="5"/>
      <c r="B748" s="5"/>
      <c r="C748" s="5"/>
      <c r="D748" s="5"/>
      <c r="K748" s="5"/>
    </row>
    <row r="749">
      <c r="A749" s="5"/>
      <c r="B749" s="5"/>
      <c r="C749" s="5"/>
      <c r="D749" s="5"/>
      <c r="K749" s="5"/>
    </row>
    <row r="750">
      <c r="A750" s="5"/>
      <c r="B750" s="5"/>
      <c r="C750" s="5"/>
      <c r="D750" s="5"/>
      <c r="K750" s="5"/>
    </row>
    <row r="751">
      <c r="A751" s="5"/>
      <c r="B751" s="5"/>
      <c r="C751" s="5"/>
      <c r="D751" s="5"/>
      <c r="K751" s="5"/>
    </row>
    <row r="752">
      <c r="A752" s="5"/>
      <c r="B752" s="5"/>
      <c r="C752" s="5"/>
      <c r="D752" s="5"/>
      <c r="K752" s="5"/>
    </row>
    <row r="753">
      <c r="A753" s="5"/>
      <c r="B753" s="5"/>
      <c r="C753" s="5"/>
      <c r="D753" s="5"/>
      <c r="K753" s="5"/>
    </row>
    <row r="754">
      <c r="A754" s="5"/>
      <c r="B754" s="5"/>
      <c r="C754" s="5"/>
      <c r="D754" s="5"/>
      <c r="K754" s="5"/>
    </row>
    <row r="755">
      <c r="A755" s="5"/>
      <c r="B755" s="5"/>
      <c r="C755" s="5"/>
      <c r="D755" s="5"/>
      <c r="K755" s="5"/>
    </row>
    <row r="756">
      <c r="A756" s="5"/>
      <c r="B756" s="5"/>
      <c r="C756" s="5"/>
      <c r="D756" s="5"/>
      <c r="K756" s="5"/>
    </row>
    <row r="757">
      <c r="A757" s="5"/>
      <c r="B757" s="5"/>
      <c r="C757" s="5"/>
      <c r="D757" s="5"/>
      <c r="K757" s="5"/>
    </row>
    <row r="758">
      <c r="A758" s="5"/>
      <c r="B758" s="5"/>
      <c r="C758" s="5"/>
      <c r="D758" s="5"/>
      <c r="K758" s="5"/>
    </row>
    <row r="759">
      <c r="A759" s="5"/>
      <c r="B759" s="5"/>
      <c r="C759" s="5"/>
      <c r="D759" s="5"/>
      <c r="K759" s="5"/>
    </row>
    <row r="760">
      <c r="A760" s="5"/>
      <c r="B760" s="5"/>
      <c r="C760" s="5"/>
      <c r="D760" s="5"/>
      <c r="K760" s="5"/>
    </row>
    <row r="761">
      <c r="A761" s="5"/>
      <c r="B761" s="5"/>
      <c r="C761" s="5"/>
      <c r="D761" s="5"/>
      <c r="K761" s="5"/>
    </row>
    <row r="762">
      <c r="A762" s="5"/>
      <c r="B762" s="5"/>
      <c r="C762" s="5"/>
      <c r="D762" s="5"/>
      <c r="K762" s="5"/>
    </row>
    <row r="763">
      <c r="A763" s="5"/>
      <c r="B763" s="5"/>
      <c r="C763" s="5"/>
      <c r="D763" s="5"/>
      <c r="K763" s="5"/>
    </row>
    <row r="764">
      <c r="A764" s="5"/>
      <c r="B764" s="5"/>
      <c r="C764" s="5"/>
      <c r="D764" s="5"/>
      <c r="K764" s="5"/>
    </row>
    <row r="765">
      <c r="A765" s="5"/>
      <c r="B765" s="5"/>
      <c r="C765" s="5"/>
      <c r="D765" s="5"/>
      <c r="K765" s="5"/>
    </row>
    <row r="766">
      <c r="A766" s="5"/>
      <c r="B766" s="5"/>
      <c r="C766" s="5"/>
      <c r="D766" s="5"/>
      <c r="K766" s="5"/>
    </row>
    <row r="767">
      <c r="A767" s="5"/>
      <c r="B767" s="5"/>
      <c r="C767" s="5"/>
      <c r="D767" s="5"/>
      <c r="K767" s="5"/>
    </row>
    <row r="768">
      <c r="A768" s="5"/>
      <c r="B768" s="5"/>
      <c r="C768" s="5"/>
      <c r="D768" s="5"/>
      <c r="K768" s="5"/>
    </row>
    <row r="769">
      <c r="A769" s="5"/>
      <c r="B769" s="5"/>
      <c r="C769" s="5"/>
      <c r="D769" s="5"/>
      <c r="K769" s="5"/>
    </row>
    <row r="770">
      <c r="A770" s="5"/>
      <c r="B770" s="5"/>
      <c r="C770" s="5"/>
      <c r="D770" s="5"/>
      <c r="K770" s="5"/>
    </row>
    <row r="771">
      <c r="A771" s="5"/>
      <c r="B771" s="5"/>
      <c r="C771" s="5"/>
      <c r="D771" s="5"/>
      <c r="K771" s="5"/>
    </row>
    <row r="772">
      <c r="A772" s="5"/>
      <c r="B772" s="5"/>
      <c r="C772" s="5"/>
      <c r="D772" s="5"/>
      <c r="K772" s="5"/>
    </row>
    <row r="773">
      <c r="A773" s="5"/>
      <c r="B773" s="5"/>
      <c r="C773" s="5"/>
      <c r="D773" s="5"/>
      <c r="K773" s="5"/>
    </row>
    <row r="774">
      <c r="A774" s="5"/>
      <c r="B774" s="5"/>
      <c r="C774" s="5"/>
      <c r="D774" s="5"/>
      <c r="K774" s="5"/>
    </row>
    <row r="775">
      <c r="A775" s="5"/>
      <c r="B775" s="5"/>
      <c r="C775" s="5"/>
      <c r="D775" s="5"/>
      <c r="K775" s="5"/>
    </row>
    <row r="776">
      <c r="A776" s="5"/>
      <c r="B776" s="5"/>
      <c r="C776" s="5"/>
      <c r="D776" s="5"/>
      <c r="K776" s="5"/>
    </row>
    <row r="777">
      <c r="A777" s="5"/>
      <c r="B777" s="5"/>
      <c r="C777" s="5"/>
      <c r="D777" s="5"/>
      <c r="K777" s="5"/>
    </row>
    <row r="778">
      <c r="A778" s="5"/>
      <c r="B778" s="5"/>
      <c r="C778" s="5"/>
      <c r="D778" s="5"/>
      <c r="K778" s="5"/>
    </row>
    <row r="779">
      <c r="A779" s="5"/>
      <c r="B779" s="5"/>
      <c r="C779" s="5"/>
      <c r="D779" s="5"/>
      <c r="K779" s="5"/>
    </row>
    <row r="780">
      <c r="A780" s="5"/>
      <c r="B780" s="5"/>
      <c r="C780" s="5"/>
      <c r="D780" s="5"/>
      <c r="K780" s="5"/>
    </row>
    <row r="781">
      <c r="A781" s="5"/>
      <c r="B781" s="5"/>
      <c r="C781" s="5"/>
      <c r="D781" s="5"/>
      <c r="K781" s="5"/>
    </row>
    <row r="782">
      <c r="A782" s="5"/>
      <c r="B782" s="5"/>
      <c r="C782" s="5"/>
      <c r="D782" s="5"/>
      <c r="K782" s="5"/>
    </row>
    <row r="783">
      <c r="A783" s="5"/>
      <c r="B783" s="5"/>
      <c r="C783" s="5"/>
      <c r="D783" s="5"/>
      <c r="K783" s="5"/>
    </row>
    <row r="784">
      <c r="A784" s="5"/>
      <c r="B784" s="5"/>
      <c r="C784" s="5"/>
      <c r="D784" s="5"/>
      <c r="K784" s="5"/>
    </row>
    <row r="785">
      <c r="A785" s="5"/>
      <c r="B785" s="5"/>
      <c r="C785" s="5"/>
      <c r="D785" s="5"/>
      <c r="K785" s="5"/>
    </row>
    <row r="786">
      <c r="A786" s="5"/>
      <c r="B786" s="5"/>
      <c r="C786" s="5"/>
      <c r="D786" s="5"/>
      <c r="K786" s="5"/>
    </row>
    <row r="787">
      <c r="A787" s="5"/>
      <c r="B787" s="5"/>
      <c r="C787" s="5"/>
      <c r="D787" s="5"/>
      <c r="K787" s="5"/>
    </row>
    <row r="788">
      <c r="A788" s="5"/>
      <c r="B788" s="5"/>
      <c r="C788" s="5"/>
      <c r="D788" s="5"/>
      <c r="K788" s="5"/>
    </row>
    <row r="789">
      <c r="A789" s="5"/>
      <c r="B789" s="5"/>
      <c r="C789" s="5"/>
      <c r="D789" s="5"/>
      <c r="K789" s="5"/>
    </row>
    <row r="790">
      <c r="A790" s="5"/>
      <c r="B790" s="5"/>
      <c r="C790" s="5"/>
      <c r="D790" s="5"/>
      <c r="K790" s="5"/>
    </row>
    <row r="791">
      <c r="A791" s="5"/>
      <c r="B791" s="5"/>
      <c r="C791" s="5"/>
      <c r="D791" s="5"/>
      <c r="K791" s="5"/>
    </row>
    <row r="792">
      <c r="A792" s="5"/>
      <c r="B792" s="5"/>
      <c r="C792" s="5"/>
      <c r="D792" s="5"/>
      <c r="K792" s="5"/>
    </row>
    <row r="793">
      <c r="A793" s="5"/>
      <c r="B793" s="5"/>
      <c r="C793" s="5"/>
      <c r="D793" s="5"/>
      <c r="K793" s="5"/>
    </row>
    <row r="794">
      <c r="A794" s="5"/>
      <c r="B794" s="5"/>
      <c r="C794" s="5"/>
      <c r="D794" s="5"/>
      <c r="K794" s="5"/>
    </row>
    <row r="795">
      <c r="A795" s="5"/>
      <c r="B795" s="5"/>
      <c r="C795" s="5"/>
      <c r="D795" s="5"/>
      <c r="K795" s="5"/>
    </row>
    <row r="796">
      <c r="A796" s="5"/>
      <c r="B796" s="5"/>
      <c r="C796" s="5"/>
      <c r="D796" s="5"/>
      <c r="K796" s="5"/>
    </row>
    <row r="797">
      <c r="A797" s="5"/>
      <c r="B797" s="5"/>
      <c r="C797" s="5"/>
      <c r="D797" s="5"/>
      <c r="K797" s="5"/>
    </row>
    <row r="798">
      <c r="A798" s="5"/>
      <c r="B798" s="5"/>
      <c r="C798" s="5"/>
      <c r="D798" s="5"/>
      <c r="K798" s="5"/>
    </row>
    <row r="799">
      <c r="A799" s="5"/>
      <c r="B799" s="5"/>
      <c r="C799" s="5"/>
      <c r="D799" s="5"/>
      <c r="K799" s="5"/>
    </row>
    <row r="800">
      <c r="A800" s="5"/>
      <c r="B800" s="5"/>
      <c r="C800" s="5"/>
      <c r="D800" s="5"/>
      <c r="K800" s="5"/>
    </row>
    <row r="801">
      <c r="A801" s="5"/>
      <c r="B801" s="5"/>
      <c r="C801" s="5"/>
      <c r="D801" s="5"/>
      <c r="K801" s="5"/>
    </row>
    <row r="802">
      <c r="A802" s="5"/>
      <c r="B802" s="5"/>
      <c r="C802" s="5"/>
      <c r="D802" s="5"/>
      <c r="K802" s="5"/>
    </row>
    <row r="803">
      <c r="A803" s="5"/>
      <c r="B803" s="5"/>
      <c r="C803" s="5"/>
      <c r="D803" s="5"/>
      <c r="K803" s="5"/>
    </row>
    <row r="804">
      <c r="A804" s="5"/>
      <c r="B804" s="5"/>
      <c r="C804" s="5"/>
      <c r="D804" s="5"/>
      <c r="K804" s="5"/>
    </row>
    <row r="805">
      <c r="A805" s="5"/>
      <c r="B805" s="5"/>
      <c r="C805" s="5"/>
      <c r="D805" s="5"/>
      <c r="K805" s="5"/>
    </row>
    <row r="806">
      <c r="A806" s="5"/>
      <c r="B806" s="5"/>
      <c r="C806" s="5"/>
      <c r="D806" s="5"/>
      <c r="K806" s="5"/>
    </row>
    <row r="807">
      <c r="A807" s="5"/>
      <c r="B807" s="5"/>
      <c r="C807" s="5"/>
      <c r="D807" s="5"/>
      <c r="K807" s="5"/>
    </row>
    <row r="808">
      <c r="A808" s="5"/>
      <c r="B808" s="5"/>
      <c r="C808" s="5"/>
      <c r="D808" s="5"/>
      <c r="K808" s="5"/>
    </row>
    <row r="809">
      <c r="A809" s="5"/>
      <c r="B809" s="5"/>
      <c r="C809" s="5"/>
      <c r="D809" s="5"/>
      <c r="K809" s="5"/>
    </row>
    <row r="810">
      <c r="A810" s="5"/>
      <c r="B810" s="5"/>
      <c r="C810" s="5"/>
      <c r="D810" s="5"/>
      <c r="K810" s="5"/>
    </row>
    <row r="811">
      <c r="A811" s="5"/>
      <c r="B811" s="5"/>
      <c r="C811" s="5"/>
      <c r="D811" s="5"/>
      <c r="K811" s="5"/>
    </row>
    <row r="812">
      <c r="A812" s="5"/>
      <c r="B812" s="5"/>
      <c r="C812" s="5"/>
      <c r="D812" s="5"/>
      <c r="K812" s="5"/>
    </row>
    <row r="813">
      <c r="A813" s="5"/>
      <c r="B813" s="5"/>
      <c r="C813" s="5"/>
      <c r="D813" s="5"/>
      <c r="K813" s="5"/>
    </row>
    <row r="814">
      <c r="A814" s="5"/>
      <c r="B814" s="5"/>
      <c r="C814" s="5"/>
      <c r="D814" s="5"/>
      <c r="K814" s="5"/>
    </row>
    <row r="815">
      <c r="A815" s="5"/>
      <c r="B815" s="5"/>
      <c r="C815" s="5"/>
      <c r="D815" s="5"/>
      <c r="K815" s="5"/>
    </row>
    <row r="816">
      <c r="A816" s="5"/>
      <c r="B816" s="5"/>
      <c r="C816" s="5"/>
      <c r="D816" s="5"/>
      <c r="K816" s="5"/>
    </row>
    <row r="817">
      <c r="A817" s="5"/>
      <c r="B817" s="5"/>
      <c r="C817" s="5"/>
      <c r="D817" s="5"/>
      <c r="K817" s="5"/>
    </row>
    <row r="818">
      <c r="A818" s="5"/>
      <c r="B818" s="5"/>
      <c r="C818" s="5"/>
      <c r="D818" s="5"/>
      <c r="K818" s="5"/>
    </row>
    <row r="819">
      <c r="A819" s="5"/>
      <c r="B819" s="5"/>
      <c r="C819" s="5"/>
      <c r="D819" s="5"/>
      <c r="K819" s="5"/>
    </row>
    <row r="820">
      <c r="A820" s="5"/>
      <c r="B820" s="5"/>
      <c r="C820" s="5"/>
      <c r="D820" s="5"/>
      <c r="K820" s="5"/>
    </row>
    <row r="821">
      <c r="A821" s="5"/>
      <c r="B821" s="5"/>
      <c r="C821" s="5"/>
      <c r="D821" s="5"/>
      <c r="K821" s="5"/>
    </row>
    <row r="822">
      <c r="A822" s="5"/>
      <c r="B822" s="5"/>
      <c r="C822" s="5"/>
      <c r="D822" s="5"/>
      <c r="K822" s="5"/>
    </row>
    <row r="823">
      <c r="A823" s="5"/>
      <c r="B823" s="5"/>
      <c r="C823" s="5"/>
      <c r="D823" s="5"/>
      <c r="K823" s="5"/>
    </row>
    <row r="824">
      <c r="A824" s="5"/>
      <c r="B824" s="5"/>
      <c r="C824" s="5"/>
      <c r="D824" s="5"/>
      <c r="K824" s="5"/>
    </row>
    <row r="825">
      <c r="A825" s="5"/>
      <c r="B825" s="5"/>
      <c r="C825" s="5"/>
      <c r="D825" s="5"/>
      <c r="K825" s="5"/>
    </row>
    <row r="826">
      <c r="A826" s="5"/>
      <c r="B826" s="5"/>
      <c r="C826" s="5"/>
      <c r="D826" s="5"/>
      <c r="K826" s="5"/>
    </row>
    <row r="827">
      <c r="A827" s="5"/>
      <c r="B827" s="5"/>
      <c r="C827" s="5"/>
      <c r="D827" s="5"/>
      <c r="K827" s="5"/>
    </row>
    <row r="828">
      <c r="A828" s="5"/>
      <c r="B828" s="5"/>
      <c r="C828" s="5"/>
      <c r="D828" s="5"/>
      <c r="K828" s="5"/>
    </row>
    <row r="829">
      <c r="A829" s="5"/>
      <c r="B829" s="5"/>
      <c r="C829" s="5"/>
      <c r="D829" s="5"/>
      <c r="K829" s="5"/>
    </row>
    <row r="830">
      <c r="A830" s="5"/>
      <c r="B830" s="5"/>
      <c r="C830" s="5"/>
      <c r="D830" s="5"/>
      <c r="K830" s="5"/>
    </row>
    <row r="831">
      <c r="A831" s="5"/>
      <c r="B831" s="5"/>
      <c r="C831" s="5"/>
      <c r="D831" s="5"/>
      <c r="K831" s="5"/>
    </row>
    <row r="832">
      <c r="A832" s="5"/>
      <c r="B832" s="5"/>
      <c r="C832" s="5"/>
      <c r="D832" s="5"/>
      <c r="K832" s="5"/>
    </row>
    <row r="833">
      <c r="A833" s="5"/>
      <c r="B833" s="5"/>
      <c r="C833" s="5"/>
      <c r="D833" s="5"/>
      <c r="K833" s="5"/>
    </row>
    <row r="834">
      <c r="A834" s="5"/>
      <c r="B834" s="5"/>
      <c r="C834" s="5"/>
      <c r="D834" s="5"/>
      <c r="K834" s="5"/>
    </row>
    <row r="835">
      <c r="A835" s="5"/>
      <c r="B835" s="5"/>
      <c r="C835" s="5"/>
      <c r="D835" s="5"/>
      <c r="K835" s="5"/>
    </row>
    <row r="836">
      <c r="A836" s="5"/>
      <c r="B836" s="5"/>
      <c r="C836" s="5"/>
      <c r="D836" s="5"/>
      <c r="K836" s="5"/>
    </row>
    <row r="837">
      <c r="A837" s="5"/>
      <c r="B837" s="5"/>
      <c r="C837" s="5"/>
      <c r="D837" s="5"/>
      <c r="K837" s="5"/>
    </row>
    <row r="838">
      <c r="A838" s="5"/>
      <c r="B838" s="5"/>
      <c r="C838" s="5"/>
      <c r="D838" s="5"/>
      <c r="K838" s="5"/>
    </row>
    <row r="839">
      <c r="A839" s="5"/>
      <c r="B839" s="5"/>
      <c r="C839" s="5"/>
      <c r="D839" s="5"/>
      <c r="K839" s="5"/>
    </row>
    <row r="840">
      <c r="A840" s="5"/>
      <c r="B840" s="5"/>
      <c r="C840" s="5"/>
      <c r="D840" s="5"/>
      <c r="K840" s="5"/>
    </row>
    <row r="841">
      <c r="A841" s="5"/>
      <c r="B841" s="5"/>
      <c r="C841" s="5"/>
      <c r="D841" s="5"/>
      <c r="K841" s="5"/>
    </row>
    <row r="842">
      <c r="A842" s="5"/>
      <c r="B842" s="5"/>
      <c r="C842" s="5"/>
      <c r="D842" s="5"/>
      <c r="K842" s="5"/>
    </row>
    <row r="843">
      <c r="A843" s="5"/>
      <c r="B843" s="5"/>
      <c r="C843" s="5"/>
      <c r="D843" s="5"/>
      <c r="K843" s="5"/>
    </row>
    <row r="844">
      <c r="A844" s="5"/>
      <c r="B844" s="5"/>
      <c r="C844" s="5"/>
      <c r="D844" s="5"/>
      <c r="K844" s="5"/>
    </row>
    <row r="845">
      <c r="A845" s="5"/>
      <c r="B845" s="5"/>
      <c r="C845" s="5"/>
      <c r="D845" s="5"/>
      <c r="K845" s="5"/>
    </row>
    <row r="846">
      <c r="A846" s="5"/>
      <c r="B846" s="5"/>
      <c r="C846" s="5"/>
      <c r="D846" s="5"/>
      <c r="K846" s="5"/>
    </row>
    <row r="847">
      <c r="A847" s="5"/>
      <c r="B847" s="5"/>
      <c r="C847" s="5"/>
      <c r="D847" s="5"/>
      <c r="K847" s="5"/>
    </row>
    <row r="848">
      <c r="A848" s="5"/>
      <c r="B848" s="5"/>
      <c r="C848" s="5"/>
      <c r="D848" s="5"/>
      <c r="K848" s="5"/>
    </row>
    <row r="849">
      <c r="A849" s="5"/>
      <c r="B849" s="5"/>
      <c r="C849" s="5"/>
      <c r="D849" s="5"/>
      <c r="K849" s="5"/>
    </row>
    <row r="850">
      <c r="A850" s="5"/>
      <c r="B850" s="5"/>
      <c r="C850" s="5"/>
      <c r="D850" s="5"/>
      <c r="K850" s="5"/>
    </row>
    <row r="851">
      <c r="A851" s="5"/>
      <c r="B851" s="5"/>
      <c r="C851" s="5"/>
      <c r="D851" s="5"/>
      <c r="K851" s="5"/>
    </row>
    <row r="852">
      <c r="A852" s="5"/>
      <c r="B852" s="5"/>
      <c r="C852" s="5"/>
      <c r="D852" s="5"/>
      <c r="K852" s="5"/>
    </row>
    <row r="853">
      <c r="A853" s="5"/>
      <c r="B853" s="5"/>
      <c r="C853" s="5"/>
      <c r="D853" s="5"/>
      <c r="K853" s="5"/>
    </row>
    <row r="854">
      <c r="A854" s="5"/>
      <c r="B854" s="5"/>
      <c r="C854" s="5"/>
      <c r="D854" s="5"/>
      <c r="K854" s="5"/>
    </row>
    <row r="855">
      <c r="A855" s="5"/>
      <c r="B855" s="5"/>
      <c r="C855" s="5"/>
      <c r="D855" s="5"/>
      <c r="K855" s="5"/>
    </row>
    <row r="856">
      <c r="A856" s="5"/>
      <c r="B856" s="5"/>
      <c r="C856" s="5"/>
      <c r="D856" s="5"/>
      <c r="K856" s="5"/>
    </row>
    <row r="857">
      <c r="A857" s="5"/>
      <c r="B857" s="5"/>
      <c r="C857" s="5"/>
      <c r="D857" s="5"/>
      <c r="K857" s="5"/>
    </row>
    <row r="858">
      <c r="A858" s="5"/>
      <c r="B858" s="5"/>
      <c r="C858" s="5"/>
      <c r="D858" s="5"/>
      <c r="K858" s="5"/>
    </row>
    <row r="859">
      <c r="A859" s="5"/>
      <c r="B859" s="5"/>
      <c r="C859" s="5"/>
      <c r="D859" s="5"/>
      <c r="K859" s="5"/>
    </row>
    <row r="860">
      <c r="A860" s="5"/>
      <c r="B860" s="5"/>
      <c r="C860" s="5"/>
      <c r="D860" s="5"/>
      <c r="K860" s="5"/>
    </row>
    <row r="861">
      <c r="A861" s="5"/>
      <c r="B861" s="5"/>
      <c r="C861" s="5"/>
      <c r="D861" s="5"/>
      <c r="K861" s="5"/>
    </row>
    <row r="862">
      <c r="A862" s="5"/>
      <c r="B862" s="5"/>
      <c r="C862" s="5"/>
      <c r="D862" s="5"/>
      <c r="K862" s="5"/>
    </row>
    <row r="863">
      <c r="A863" s="5"/>
      <c r="B863" s="5"/>
      <c r="C863" s="5"/>
      <c r="D863" s="5"/>
      <c r="K863" s="5"/>
    </row>
    <row r="864">
      <c r="A864" s="5"/>
      <c r="B864" s="5"/>
      <c r="C864" s="5"/>
      <c r="D864" s="5"/>
      <c r="K864" s="5"/>
    </row>
    <row r="865">
      <c r="A865" s="5"/>
      <c r="B865" s="5"/>
      <c r="C865" s="5"/>
      <c r="D865" s="5"/>
      <c r="K865" s="5"/>
    </row>
    <row r="866">
      <c r="A866" s="5"/>
      <c r="B866" s="5"/>
      <c r="C866" s="5"/>
      <c r="D866" s="5"/>
      <c r="K866" s="5"/>
    </row>
    <row r="867">
      <c r="A867" s="5"/>
      <c r="B867" s="5"/>
      <c r="C867" s="5"/>
      <c r="D867" s="5"/>
      <c r="K867" s="5"/>
    </row>
    <row r="868">
      <c r="A868" s="5"/>
      <c r="B868" s="5"/>
      <c r="C868" s="5"/>
      <c r="D868" s="5"/>
      <c r="K868" s="5"/>
    </row>
    <row r="869">
      <c r="A869" s="5"/>
      <c r="B869" s="5"/>
      <c r="C869" s="5"/>
      <c r="D869" s="5"/>
      <c r="K869" s="5"/>
    </row>
    <row r="870">
      <c r="A870" s="5"/>
      <c r="B870" s="5"/>
      <c r="C870" s="5"/>
      <c r="D870" s="5"/>
      <c r="K870" s="5"/>
    </row>
    <row r="871">
      <c r="A871" s="5"/>
      <c r="B871" s="5"/>
      <c r="C871" s="5"/>
      <c r="D871" s="5"/>
      <c r="K871" s="5"/>
    </row>
    <row r="872">
      <c r="A872" s="5"/>
      <c r="B872" s="5"/>
      <c r="C872" s="5"/>
      <c r="D872" s="5"/>
      <c r="K872" s="5"/>
    </row>
    <row r="873">
      <c r="A873" s="5"/>
      <c r="B873" s="5"/>
      <c r="C873" s="5"/>
      <c r="D873" s="5"/>
      <c r="K873" s="5"/>
    </row>
    <row r="874">
      <c r="A874" s="5"/>
      <c r="B874" s="5"/>
      <c r="C874" s="5"/>
      <c r="D874" s="5"/>
      <c r="K874" s="5"/>
    </row>
    <row r="875">
      <c r="A875" s="5"/>
      <c r="B875" s="5"/>
      <c r="C875" s="5"/>
      <c r="D875" s="5"/>
      <c r="K875" s="5"/>
    </row>
    <row r="876">
      <c r="A876" s="5"/>
      <c r="B876" s="5"/>
      <c r="C876" s="5"/>
      <c r="D876" s="5"/>
      <c r="K876" s="5"/>
    </row>
    <row r="877">
      <c r="A877" s="5"/>
      <c r="B877" s="5"/>
      <c r="C877" s="5"/>
      <c r="D877" s="5"/>
      <c r="K877" s="5"/>
    </row>
    <row r="878">
      <c r="A878" s="5"/>
      <c r="B878" s="5"/>
      <c r="C878" s="5"/>
      <c r="D878" s="5"/>
      <c r="K878" s="5"/>
    </row>
    <row r="879">
      <c r="A879" s="5"/>
      <c r="B879" s="5"/>
      <c r="C879" s="5"/>
      <c r="D879" s="5"/>
      <c r="K879" s="5"/>
    </row>
    <row r="880">
      <c r="A880" s="5"/>
      <c r="B880" s="5"/>
      <c r="C880" s="5"/>
      <c r="D880" s="5"/>
      <c r="K880" s="5"/>
    </row>
    <row r="881">
      <c r="A881" s="5"/>
      <c r="B881" s="5"/>
      <c r="C881" s="5"/>
      <c r="D881" s="5"/>
      <c r="K881" s="5"/>
    </row>
    <row r="882">
      <c r="A882" s="5"/>
      <c r="B882" s="5"/>
      <c r="C882" s="5"/>
      <c r="D882" s="5"/>
      <c r="K882" s="5"/>
    </row>
    <row r="883">
      <c r="A883" s="5"/>
      <c r="B883" s="5"/>
      <c r="C883" s="5"/>
      <c r="D883" s="5"/>
      <c r="K883" s="5"/>
    </row>
    <row r="884">
      <c r="A884" s="5"/>
      <c r="B884" s="5"/>
      <c r="C884" s="5"/>
      <c r="D884" s="5"/>
      <c r="K884" s="5"/>
    </row>
    <row r="885">
      <c r="A885" s="5"/>
      <c r="B885" s="5"/>
      <c r="C885" s="5"/>
      <c r="D885" s="5"/>
      <c r="K885" s="5"/>
    </row>
    <row r="886">
      <c r="A886" s="5"/>
      <c r="B886" s="5"/>
      <c r="C886" s="5"/>
      <c r="D886" s="5"/>
      <c r="K886" s="5"/>
    </row>
    <row r="887">
      <c r="A887" s="5"/>
      <c r="B887" s="5"/>
      <c r="C887" s="5"/>
      <c r="D887" s="5"/>
      <c r="K887" s="5"/>
    </row>
    <row r="888">
      <c r="A888" s="5"/>
      <c r="B888" s="5"/>
      <c r="C888" s="5"/>
      <c r="D888" s="5"/>
      <c r="K888" s="5"/>
    </row>
    <row r="889">
      <c r="A889" s="5"/>
      <c r="B889" s="5"/>
      <c r="C889" s="5"/>
      <c r="D889" s="5"/>
      <c r="K889" s="5"/>
    </row>
    <row r="890">
      <c r="A890" s="5"/>
      <c r="B890" s="5"/>
      <c r="C890" s="5"/>
      <c r="D890" s="5"/>
      <c r="K890" s="5"/>
    </row>
    <row r="891">
      <c r="A891" s="5"/>
      <c r="B891" s="5"/>
      <c r="C891" s="5"/>
      <c r="D891" s="5"/>
      <c r="K891" s="5"/>
    </row>
    <row r="892">
      <c r="A892" s="5"/>
      <c r="B892" s="5"/>
      <c r="C892" s="5"/>
      <c r="D892" s="5"/>
      <c r="K892" s="5"/>
    </row>
    <row r="893">
      <c r="A893" s="5"/>
      <c r="B893" s="5"/>
      <c r="C893" s="5"/>
      <c r="D893" s="5"/>
      <c r="K893" s="5"/>
    </row>
    <row r="894">
      <c r="A894" s="5"/>
      <c r="B894" s="5"/>
      <c r="C894" s="5"/>
      <c r="D894" s="5"/>
      <c r="K894" s="5"/>
    </row>
    <row r="895">
      <c r="A895" s="5"/>
      <c r="B895" s="5"/>
      <c r="C895" s="5"/>
      <c r="D895" s="5"/>
      <c r="K895" s="5"/>
    </row>
    <row r="896">
      <c r="A896" s="5"/>
      <c r="B896" s="5"/>
      <c r="C896" s="5"/>
      <c r="D896" s="5"/>
      <c r="K896" s="5"/>
    </row>
    <row r="897">
      <c r="A897" s="5"/>
      <c r="B897" s="5"/>
      <c r="C897" s="5"/>
      <c r="D897" s="5"/>
      <c r="K897" s="5"/>
    </row>
    <row r="898">
      <c r="A898" s="5"/>
      <c r="B898" s="5"/>
      <c r="C898" s="5"/>
      <c r="D898" s="5"/>
      <c r="K898" s="5"/>
    </row>
    <row r="899">
      <c r="A899" s="5"/>
      <c r="B899" s="5"/>
      <c r="C899" s="5"/>
      <c r="D899" s="5"/>
      <c r="K899" s="5"/>
    </row>
    <row r="900">
      <c r="A900" s="5"/>
      <c r="B900" s="5"/>
      <c r="C900" s="5"/>
      <c r="D900" s="5"/>
      <c r="K900" s="5"/>
    </row>
    <row r="901">
      <c r="A901" s="5"/>
      <c r="B901" s="5"/>
      <c r="C901" s="5"/>
      <c r="D901" s="5"/>
      <c r="K901" s="5"/>
    </row>
    <row r="902">
      <c r="A902" s="5"/>
      <c r="B902" s="5"/>
      <c r="C902" s="5"/>
      <c r="D902" s="5"/>
      <c r="K902" s="5"/>
    </row>
    <row r="903">
      <c r="A903" s="5"/>
      <c r="B903" s="5"/>
      <c r="C903" s="5"/>
      <c r="D903" s="5"/>
      <c r="K903" s="5"/>
    </row>
    <row r="904">
      <c r="A904" s="5"/>
      <c r="B904" s="5"/>
      <c r="C904" s="5"/>
      <c r="D904" s="5"/>
      <c r="K904" s="5"/>
    </row>
    <row r="905">
      <c r="A905" s="5"/>
      <c r="B905" s="5"/>
      <c r="C905" s="5"/>
      <c r="D905" s="5"/>
      <c r="K905" s="5"/>
    </row>
    <row r="906">
      <c r="A906" s="5"/>
      <c r="B906" s="5"/>
      <c r="C906" s="5"/>
      <c r="D906" s="5"/>
      <c r="K906" s="5"/>
    </row>
    <row r="907">
      <c r="A907" s="5"/>
      <c r="B907" s="5"/>
      <c r="C907" s="5"/>
      <c r="D907" s="5"/>
      <c r="K907" s="5"/>
    </row>
    <row r="908">
      <c r="A908" s="5"/>
      <c r="B908" s="5"/>
      <c r="C908" s="5"/>
      <c r="D908" s="5"/>
      <c r="K908" s="5"/>
    </row>
    <row r="909">
      <c r="A909" s="5"/>
      <c r="B909" s="5"/>
      <c r="C909" s="5"/>
      <c r="D909" s="5"/>
      <c r="K909" s="5"/>
    </row>
    <row r="910">
      <c r="A910" s="5"/>
      <c r="B910" s="5"/>
      <c r="C910" s="5"/>
      <c r="D910" s="5"/>
      <c r="K910" s="5"/>
    </row>
    <row r="911">
      <c r="A911" s="5"/>
      <c r="B911" s="5"/>
      <c r="C911" s="5"/>
      <c r="D911" s="5"/>
      <c r="K911" s="5"/>
    </row>
    <row r="912">
      <c r="A912" s="5"/>
      <c r="B912" s="5"/>
      <c r="C912" s="5"/>
      <c r="D912" s="5"/>
      <c r="K912" s="5"/>
    </row>
    <row r="913">
      <c r="A913" s="5"/>
      <c r="B913" s="5"/>
      <c r="C913" s="5"/>
      <c r="D913" s="5"/>
      <c r="K913" s="5"/>
    </row>
    <row r="914">
      <c r="A914" s="5"/>
      <c r="B914" s="5"/>
      <c r="C914" s="5"/>
      <c r="D914" s="5"/>
      <c r="K914" s="5"/>
    </row>
    <row r="915">
      <c r="A915" s="5"/>
      <c r="B915" s="5"/>
      <c r="C915" s="5"/>
      <c r="D915" s="5"/>
      <c r="K915" s="5"/>
    </row>
    <row r="916">
      <c r="A916" s="5"/>
      <c r="B916" s="5"/>
      <c r="C916" s="5"/>
      <c r="D916" s="5"/>
      <c r="K916" s="5"/>
    </row>
    <row r="917">
      <c r="A917" s="5"/>
      <c r="B917" s="5"/>
      <c r="C917" s="5"/>
      <c r="D917" s="5"/>
      <c r="K917" s="5"/>
    </row>
    <row r="918">
      <c r="A918" s="5"/>
      <c r="B918" s="5"/>
      <c r="C918" s="5"/>
      <c r="D918" s="5"/>
      <c r="K918" s="5"/>
    </row>
    <row r="919">
      <c r="A919" s="5"/>
      <c r="B919" s="5"/>
      <c r="C919" s="5"/>
      <c r="D919" s="5"/>
      <c r="K919" s="5"/>
    </row>
    <row r="920">
      <c r="A920" s="5"/>
      <c r="B920" s="5"/>
      <c r="C920" s="5"/>
      <c r="D920" s="5"/>
      <c r="K920" s="5"/>
    </row>
    <row r="921">
      <c r="A921" s="5"/>
      <c r="B921" s="5"/>
      <c r="C921" s="5"/>
      <c r="D921" s="5"/>
      <c r="K921" s="5"/>
    </row>
    <row r="922">
      <c r="A922" s="5"/>
      <c r="B922" s="5"/>
      <c r="C922" s="5"/>
      <c r="D922" s="5"/>
      <c r="K922" s="5"/>
    </row>
    <row r="923">
      <c r="A923" s="5"/>
      <c r="B923" s="5"/>
      <c r="C923" s="5"/>
      <c r="D923" s="5"/>
      <c r="K923" s="5"/>
    </row>
    <row r="924">
      <c r="A924" s="5"/>
      <c r="B924" s="5"/>
      <c r="C924" s="5"/>
      <c r="D924" s="5"/>
      <c r="K924" s="5"/>
    </row>
    <row r="925">
      <c r="A925" s="5"/>
      <c r="B925" s="5"/>
      <c r="C925" s="5"/>
      <c r="D925" s="5"/>
      <c r="K925" s="5"/>
    </row>
    <row r="926">
      <c r="A926" s="5"/>
      <c r="B926" s="5"/>
      <c r="C926" s="5"/>
      <c r="D926" s="5"/>
      <c r="K926" s="5"/>
    </row>
    <row r="927">
      <c r="A927" s="5"/>
      <c r="B927" s="5"/>
      <c r="C927" s="5"/>
      <c r="D927" s="5"/>
      <c r="K927" s="5"/>
    </row>
    <row r="928">
      <c r="A928" s="5"/>
      <c r="B928" s="5"/>
      <c r="C928" s="5"/>
      <c r="D928" s="5"/>
      <c r="K928" s="5"/>
    </row>
    <row r="929">
      <c r="A929" s="5"/>
      <c r="B929" s="5"/>
      <c r="C929" s="5"/>
      <c r="D929" s="5"/>
      <c r="K929" s="5"/>
    </row>
    <row r="930">
      <c r="A930" s="5"/>
      <c r="B930" s="5"/>
      <c r="C930" s="5"/>
      <c r="D930" s="5"/>
      <c r="K930" s="5"/>
    </row>
    <row r="931">
      <c r="A931" s="5"/>
      <c r="B931" s="5"/>
      <c r="C931" s="5"/>
      <c r="D931" s="5"/>
      <c r="K931" s="5"/>
    </row>
    <row r="932">
      <c r="A932" s="5"/>
      <c r="B932" s="5"/>
      <c r="C932" s="5"/>
      <c r="D932" s="5"/>
      <c r="K932" s="5"/>
    </row>
    <row r="933">
      <c r="A933" s="5"/>
      <c r="B933" s="5"/>
      <c r="C933" s="5"/>
      <c r="D933" s="5"/>
      <c r="K933" s="5"/>
    </row>
    <row r="934">
      <c r="A934" s="5"/>
      <c r="B934" s="5"/>
      <c r="C934" s="5"/>
      <c r="D934" s="5"/>
      <c r="K934" s="5"/>
    </row>
    <row r="935">
      <c r="A935" s="5"/>
      <c r="B935" s="5"/>
      <c r="C935" s="5"/>
      <c r="D935" s="5"/>
      <c r="K935" s="5"/>
    </row>
    <row r="936">
      <c r="A936" s="5"/>
      <c r="B936" s="5"/>
      <c r="C936" s="5"/>
      <c r="D936" s="5"/>
      <c r="K936" s="5"/>
    </row>
    <row r="937">
      <c r="A937" s="5"/>
      <c r="B937" s="5"/>
      <c r="C937" s="5"/>
      <c r="D937" s="5"/>
      <c r="K937" s="5"/>
    </row>
    <row r="938">
      <c r="A938" s="5"/>
      <c r="B938" s="5"/>
      <c r="C938" s="5"/>
      <c r="D938" s="5"/>
      <c r="K938" s="5"/>
    </row>
    <row r="939">
      <c r="A939" s="5"/>
      <c r="B939" s="5"/>
      <c r="C939" s="5"/>
      <c r="D939" s="5"/>
      <c r="K939" s="5"/>
    </row>
    <row r="940">
      <c r="A940" s="5"/>
      <c r="B940" s="5"/>
      <c r="C940" s="5"/>
      <c r="D940" s="5"/>
      <c r="K940" s="5"/>
    </row>
    <row r="941">
      <c r="A941" s="5"/>
      <c r="B941" s="5"/>
      <c r="C941" s="5"/>
      <c r="D941" s="5"/>
      <c r="K941" s="5"/>
    </row>
    <row r="942">
      <c r="A942" s="5"/>
      <c r="B942" s="5"/>
      <c r="C942" s="5"/>
      <c r="D942" s="5"/>
      <c r="K942" s="5"/>
    </row>
    <row r="943">
      <c r="A943" s="5"/>
      <c r="B943" s="5"/>
      <c r="C943" s="5"/>
      <c r="D943" s="5"/>
      <c r="K943" s="5"/>
    </row>
    <row r="944">
      <c r="A944" s="5"/>
      <c r="B944" s="5"/>
      <c r="C944" s="5"/>
      <c r="D944" s="5"/>
      <c r="K944" s="5"/>
    </row>
    <row r="945">
      <c r="A945" s="5"/>
      <c r="B945" s="5"/>
      <c r="C945" s="5"/>
      <c r="D945" s="5"/>
      <c r="K945" s="5"/>
    </row>
    <row r="946">
      <c r="A946" s="5"/>
      <c r="B946" s="5"/>
      <c r="C946" s="5"/>
      <c r="D946" s="5"/>
      <c r="K946" s="5"/>
    </row>
    <row r="947">
      <c r="A947" s="5"/>
      <c r="B947" s="5"/>
      <c r="C947" s="5"/>
      <c r="D947" s="5"/>
      <c r="K947" s="5"/>
    </row>
    <row r="948">
      <c r="A948" s="5"/>
      <c r="B948" s="5"/>
      <c r="C948" s="5"/>
      <c r="D948" s="5"/>
      <c r="K948" s="5"/>
    </row>
    <row r="949">
      <c r="A949" s="5"/>
      <c r="B949" s="5"/>
      <c r="C949" s="5"/>
      <c r="D949" s="5"/>
      <c r="K949" s="5"/>
    </row>
    <row r="950">
      <c r="A950" s="5"/>
      <c r="B950" s="5"/>
      <c r="C950" s="5"/>
      <c r="D950" s="5"/>
      <c r="K950" s="5"/>
    </row>
    <row r="951">
      <c r="A951" s="5"/>
      <c r="B951" s="5"/>
      <c r="C951" s="5"/>
      <c r="D951" s="5"/>
      <c r="K951" s="5"/>
    </row>
    <row r="952">
      <c r="A952" s="5"/>
      <c r="B952" s="5"/>
      <c r="C952" s="5"/>
      <c r="D952" s="5"/>
      <c r="K952" s="5"/>
    </row>
    <row r="953">
      <c r="A953" s="5"/>
      <c r="B953" s="5"/>
      <c r="C953" s="5"/>
      <c r="D953" s="5"/>
      <c r="K953" s="5"/>
    </row>
    <row r="954">
      <c r="A954" s="5"/>
      <c r="B954" s="5"/>
      <c r="C954" s="5"/>
      <c r="D954" s="5"/>
      <c r="K954" s="5"/>
    </row>
    <row r="955">
      <c r="A955" s="5"/>
      <c r="B955" s="5"/>
      <c r="C955" s="5"/>
      <c r="D955" s="5"/>
      <c r="K955" s="5"/>
    </row>
    <row r="956">
      <c r="A956" s="5"/>
      <c r="B956" s="5"/>
      <c r="C956" s="5"/>
      <c r="D956" s="5"/>
      <c r="K956" s="5"/>
    </row>
    <row r="957">
      <c r="A957" s="5"/>
      <c r="B957" s="5"/>
      <c r="C957" s="5"/>
      <c r="D957" s="5"/>
      <c r="K957" s="5"/>
    </row>
    <row r="958">
      <c r="A958" s="5"/>
      <c r="B958" s="5"/>
      <c r="C958" s="5"/>
      <c r="D958" s="5"/>
      <c r="K958" s="5"/>
    </row>
    <row r="959">
      <c r="A959" s="5"/>
      <c r="B959" s="5"/>
      <c r="C959" s="5"/>
      <c r="D959" s="5"/>
      <c r="K959" s="5"/>
    </row>
    <row r="960">
      <c r="A960" s="5"/>
      <c r="B960" s="5"/>
      <c r="C960" s="5"/>
      <c r="D960" s="5"/>
      <c r="K960" s="5"/>
    </row>
    <row r="961">
      <c r="A961" s="5"/>
      <c r="B961" s="5"/>
      <c r="C961" s="5"/>
      <c r="D961" s="5"/>
      <c r="K961" s="5"/>
    </row>
    <row r="962">
      <c r="A962" s="5"/>
      <c r="B962" s="5"/>
      <c r="C962" s="5"/>
      <c r="D962" s="5"/>
      <c r="K962" s="5"/>
    </row>
    <row r="963">
      <c r="A963" s="5"/>
      <c r="B963" s="5"/>
      <c r="C963" s="5"/>
      <c r="D963" s="5"/>
      <c r="K963" s="5"/>
    </row>
    <row r="964">
      <c r="A964" s="5"/>
      <c r="B964" s="5"/>
      <c r="C964" s="5"/>
      <c r="D964" s="5"/>
      <c r="K964" s="5"/>
    </row>
    <row r="965">
      <c r="A965" s="5"/>
      <c r="B965" s="5"/>
      <c r="C965" s="5"/>
      <c r="D965" s="5"/>
      <c r="K965" s="5"/>
    </row>
    <row r="966">
      <c r="A966" s="5"/>
      <c r="B966" s="5"/>
      <c r="C966" s="5"/>
      <c r="D966" s="5"/>
      <c r="K966" s="5"/>
    </row>
    <row r="967">
      <c r="A967" s="5"/>
      <c r="B967" s="5"/>
      <c r="C967" s="5"/>
      <c r="D967" s="5"/>
      <c r="K967" s="5"/>
    </row>
    <row r="968">
      <c r="A968" s="5"/>
      <c r="B968" s="5"/>
      <c r="C968" s="5"/>
      <c r="D968" s="5"/>
      <c r="K968" s="5"/>
    </row>
    <row r="969">
      <c r="A969" s="5"/>
      <c r="B969" s="5"/>
      <c r="C969" s="5"/>
      <c r="D969" s="5"/>
      <c r="K969" s="5"/>
    </row>
    <row r="970">
      <c r="A970" s="5"/>
      <c r="B970" s="5"/>
      <c r="C970" s="5"/>
      <c r="D970" s="5"/>
      <c r="K970" s="5"/>
    </row>
    <row r="971">
      <c r="A971" s="5"/>
      <c r="B971" s="5"/>
      <c r="C971" s="5"/>
      <c r="D971" s="5"/>
      <c r="K971" s="5"/>
    </row>
    <row r="972">
      <c r="A972" s="5"/>
      <c r="B972" s="5"/>
      <c r="C972" s="5"/>
      <c r="D972" s="5"/>
      <c r="K972" s="5"/>
    </row>
    <row r="973">
      <c r="A973" s="5"/>
      <c r="B973" s="5"/>
      <c r="C973" s="5"/>
      <c r="D973" s="5"/>
      <c r="K973" s="5"/>
    </row>
    <row r="974">
      <c r="A974" s="5"/>
      <c r="B974" s="5"/>
      <c r="C974" s="5"/>
      <c r="D974" s="5"/>
      <c r="K974" s="5"/>
    </row>
    <row r="975">
      <c r="A975" s="5"/>
      <c r="B975" s="5"/>
      <c r="C975" s="5"/>
      <c r="D975" s="5"/>
      <c r="K975" s="5"/>
    </row>
    <row r="976">
      <c r="A976" s="5"/>
      <c r="B976" s="5"/>
      <c r="C976" s="5"/>
      <c r="D976" s="5"/>
      <c r="K976" s="5"/>
    </row>
    <row r="977">
      <c r="A977" s="5"/>
      <c r="B977" s="5"/>
      <c r="C977" s="5"/>
      <c r="D977" s="5"/>
      <c r="K977" s="5"/>
    </row>
    <row r="978">
      <c r="A978" s="5"/>
      <c r="B978" s="5"/>
      <c r="C978" s="5"/>
      <c r="D978" s="5"/>
      <c r="K978" s="5"/>
    </row>
    <row r="979">
      <c r="A979" s="5"/>
      <c r="B979" s="5"/>
      <c r="C979" s="5"/>
      <c r="D979" s="5"/>
      <c r="K979" s="5"/>
    </row>
    <row r="980">
      <c r="A980" s="5"/>
      <c r="B980" s="5"/>
      <c r="C980" s="5"/>
      <c r="D980" s="5"/>
      <c r="K980" s="5"/>
    </row>
    <row r="981">
      <c r="A981" s="5"/>
      <c r="B981" s="5"/>
      <c r="C981" s="5"/>
      <c r="D981" s="5"/>
      <c r="K981" s="5"/>
    </row>
    <row r="982">
      <c r="A982" s="5"/>
      <c r="B982" s="5"/>
      <c r="C982" s="5"/>
      <c r="D982" s="5"/>
      <c r="K982" s="5"/>
    </row>
    <row r="983">
      <c r="A983" s="5"/>
      <c r="B983" s="5"/>
      <c r="C983" s="5"/>
      <c r="D983" s="5"/>
      <c r="K983" s="5"/>
    </row>
    <row r="984">
      <c r="A984" s="5"/>
      <c r="B984" s="5"/>
      <c r="C984" s="5"/>
      <c r="D984" s="5"/>
      <c r="K984" s="5"/>
    </row>
    <row r="985">
      <c r="A985" s="5"/>
      <c r="B985" s="5"/>
      <c r="C985" s="5"/>
      <c r="D985" s="5"/>
      <c r="K985" s="5"/>
    </row>
    <row r="986">
      <c r="A986" s="5"/>
      <c r="B986" s="5"/>
      <c r="C986" s="5"/>
      <c r="D986" s="5"/>
      <c r="K986" s="5"/>
    </row>
    <row r="987">
      <c r="A987" s="5"/>
      <c r="B987" s="5"/>
      <c r="C987" s="5"/>
      <c r="D987" s="5"/>
      <c r="K987" s="5"/>
    </row>
    <row r="988">
      <c r="A988" s="5"/>
      <c r="B988" s="5"/>
      <c r="C988" s="5"/>
      <c r="D988" s="5"/>
      <c r="K988" s="5"/>
    </row>
    <row r="989">
      <c r="A989" s="5"/>
      <c r="B989" s="5"/>
      <c r="C989" s="5"/>
      <c r="D989" s="5"/>
      <c r="K989" s="5"/>
    </row>
    <row r="990">
      <c r="A990" s="5"/>
      <c r="B990" s="5"/>
      <c r="C990" s="5"/>
      <c r="D990" s="5"/>
      <c r="K990" s="5"/>
    </row>
    <row r="991">
      <c r="A991" s="5"/>
      <c r="B991" s="5"/>
      <c r="C991" s="5"/>
      <c r="D991" s="5"/>
      <c r="K991" s="5"/>
    </row>
    <row r="992">
      <c r="A992" s="5"/>
      <c r="B992" s="5"/>
      <c r="C992" s="5"/>
      <c r="D992" s="5"/>
      <c r="K992" s="5"/>
    </row>
    <row r="993">
      <c r="A993" s="5"/>
      <c r="B993" s="5"/>
      <c r="C993" s="5"/>
      <c r="D993" s="5"/>
      <c r="K993" s="5"/>
    </row>
    <row r="994">
      <c r="A994" s="5"/>
      <c r="B994" s="5"/>
      <c r="C994" s="5"/>
      <c r="D994" s="5"/>
      <c r="K994" s="5"/>
    </row>
    <row r="995">
      <c r="A995" s="5"/>
      <c r="B995" s="5"/>
      <c r="C995" s="5"/>
      <c r="D995" s="5"/>
      <c r="K995" s="5"/>
    </row>
    <row r="996">
      <c r="A996" s="5"/>
      <c r="B996" s="5"/>
      <c r="C996" s="5"/>
      <c r="D996" s="5"/>
      <c r="K996" s="5"/>
    </row>
    <row r="997">
      <c r="A997" s="5"/>
      <c r="B997" s="5"/>
      <c r="C997" s="5"/>
      <c r="D997" s="5"/>
      <c r="K997" s="5"/>
    </row>
    <row r="998">
      <c r="A998" s="5"/>
      <c r="B998" s="5"/>
      <c r="C998" s="5"/>
      <c r="D998" s="5"/>
      <c r="K998" s="5"/>
    </row>
    <row r="999">
      <c r="A999" s="5"/>
      <c r="B999" s="5"/>
      <c r="C999" s="5"/>
      <c r="D999" s="5"/>
      <c r="K999" s="5"/>
    </row>
    <row r="1000">
      <c r="A1000" s="5"/>
      <c r="B1000" s="5"/>
      <c r="C1000" s="5"/>
      <c r="D1000" s="5"/>
      <c r="K1000" s="5"/>
    </row>
  </sheetData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3.57"/>
    <col customWidth="1" min="3" max="3" width="8.71"/>
    <col customWidth="1" min="4" max="4" width="12.71"/>
    <col customWidth="1" min="5" max="5" width="15.0"/>
    <col customWidth="1" min="6" max="7" width="8.71"/>
    <col customWidth="1" min="8" max="8" width="9.71"/>
    <col customWidth="1" min="9" max="9" width="18.86"/>
    <col customWidth="1" min="10" max="10" width="11.86"/>
    <col customWidth="1" min="11" max="11" width="9.43"/>
    <col customWidth="1" min="12" max="12" width="10.86"/>
    <col customWidth="1" min="13" max="13" width="13.86"/>
    <col customWidth="1" min="14" max="26" width="8.71"/>
  </cols>
  <sheetData>
    <row r="1">
      <c r="A1" s="292"/>
      <c r="B1" s="293" t="s">
        <v>464</v>
      </c>
      <c r="H1" s="292" t="s">
        <v>1</v>
      </c>
      <c r="I1" s="294" t="s">
        <v>465</v>
      </c>
      <c r="N1" s="295"/>
    </row>
    <row r="2">
      <c r="A2" s="296" t="s">
        <v>466</v>
      </c>
      <c r="B2" s="297" t="s">
        <v>467</v>
      </c>
      <c r="H2" s="296" t="s">
        <v>466</v>
      </c>
      <c r="I2" s="282" t="s">
        <v>468</v>
      </c>
      <c r="N2" s="298"/>
    </row>
    <row r="3">
      <c r="A3" s="296" t="s">
        <v>469</v>
      </c>
      <c r="B3" s="282" t="s">
        <v>470</v>
      </c>
      <c r="H3" s="296" t="s">
        <v>469</v>
      </c>
      <c r="I3" s="282" t="s">
        <v>471</v>
      </c>
      <c r="N3" s="299"/>
      <c r="O3" s="299"/>
      <c r="P3" s="299"/>
      <c r="Q3" s="299"/>
      <c r="R3" s="299"/>
      <c r="S3" s="299"/>
    </row>
    <row r="4">
      <c r="N4" s="299"/>
      <c r="O4" s="299"/>
      <c r="P4" s="299"/>
      <c r="Q4" s="299"/>
      <c r="R4" s="299"/>
      <c r="S4" s="299"/>
    </row>
    <row r="5">
      <c r="A5" s="296" t="s">
        <v>472</v>
      </c>
      <c r="H5" s="300" t="s">
        <v>473</v>
      </c>
      <c r="I5" s="300" t="s">
        <v>3</v>
      </c>
      <c r="J5" s="300" t="s">
        <v>83</v>
      </c>
      <c r="K5" s="300" t="s">
        <v>5</v>
      </c>
      <c r="L5" s="300" t="s">
        <v>6</v>
      </c>
      <c r="N5" s="299"/>
      <c r="O5" s="299"/>
      <c r="P5" s="299"/>
      <c r="Q5" s="299"/>
      <c r="R5" s="299"/>
      <c r="S5" s="299"/>
    </row>
    <row r="6">
      <c r="A6" s="300" t="s">
        <v>473</v>
      </c>
      <c r="B6" s="300" t="s">
        <v>3</v>
      </c>
      <c r="C6" s="300" t="s">
        <v>83</v>
      </c>
      <c r="D6" s="300" t="s">
        <v>5</v>
      </c>
      <c r="E6" s="300" t="s">
        <v>6</v>
      </c>
      <c r="H6" s="301">
        <v>1.0</v>
      </c>
      <c r="I6" s="301" t="s">
        <v>474</v>
      </c>
      <c r="J6" s="302">
        <v>1.5</v>
      </c>
      <c r="K6" s="303">
        <v>25000.0</v>
      </c>
      <c r="L6" s="304">
        <f>K6*J6</f>
        <v>37500</v>
      </c>
      <c r="N6" s="299"/>
      <c r="O6" s="299"/>
      <c r="P6" s="299"/>
      <c r="Q6" s="299"/>
      <c r="R6" s="299"/>
      <c r="S6" s="299"/>
    </row>
    <row r="7">
      <c r="A7" s="301">
        <v>1.0</v>
      </c>
      <c r="B7" s="305" t="s">
        <v>475</v>
      </c>
      <c r="C7" s="302">
        <v>41.33</v>
      </c>
      <c r="D7" s="303">
        <v>25000.0</v>
      </c>
      <c r="E7" s="304">
        <f t="shared" ref="E7:E8" si="1">D7*C7</f>
        <v>1033250</v>
      </c>
      <c r="H7" s="301"/>
      <c r="I7" s="306"/>
      <c r="J7" s="301"/>
      <c r="K7" s="227"/>
      <c r="L7" s="304"/>
      <c r="O7" s="299"/>
      <c r="P7" s="299"/>
      <c r="Q7" s="299"/>
      <c r="R7" s="299"/>
      <c r="S7" s="299"/>
    </row>
    <row r="8">
      <c r="A8" s="305" t="s">
        <v>476</v>
      </c>
      <c r="B8" s="305" t="s">
        <v>477</v>
      </c>
      <c r="C8" s="305" t="s">
        <v>478</v>
      </c>
      <c r="D8" s="303" t="s">
        <v>240</v>
      </c>
      <c r="E8" s="304">
        <f t="shared" si="1"/>
        <v>2108000</v>
      </c>
      <c r="H8" s="307"/>
      <c r="I8" s="307"/>
      <c r="J8" s="307"/>
      <c r="K8" s="308" t="s">
        <v>6</v>
      </c>
      <c r="L8" s="309">
        <f>SUM(L6)</f>
        <v>37500</v>
      </c>
      <c r="O8" s="299"/>
      <c r="P8" s="299"/>
      <c r="Q8" s="299"/>
      <c r="R8" s="299"/>
      <c r="S8" s="299"/>
    </row>
    <row r="9">
      <c r="A9" s="307"/>
      <c r="B9" s="307"/>
      <c r="C9" s="307"/>
      <c r="D9" s="308" t="s">
        <v>6</v>
      </c>
      <c r="E9" s="310">
        <f>SUM(E7,E8)</f>
        <v>3141250</v>
      </c>
      <c r="H9" s="311" t="s">
        <v>479</v>
      </c>
      <c r="O9" s="299"/>
      <c r="P9" s="299"/>
      <c r="Q9" s="299"/>
      <c r="R9" s="299"/>
      <c r="S9" s="299"/>
    </row>
    <row r="10">
      <c r="E10" s="312"/>
      <c r="H10" s="311" t="s">
        <v>480</v>
      </c>
      <c r="O10" s="299"/>
      <c r="P10" s="299"/>
      <c r="Q10" s="299"/>
      <c r="R10" s="299"/>
      <c r="S10" s="299"/>
    </row>
    <row r="11">
      <c r="A11" s="311" t="s">
        <v>479</v>
      </c>
      <c r="H11" s="313" t="s">
        <v>481</v>
      </c>
      <c r="O11" s="299"/>
      <c r="P11" s="299"/>
      <c r="Q11" s="299"/>
      <c r="R11" s="299"/>
      <c r="S11" s="299"/>
    </row>
    <row r="12">
      <c r="A12" s="311" t="s">
        <v>480</v>
      </c>
      <c r="H12" s="313" t="s">
        <v>482</v>
      </c>
      <c r="O12" s="299"/>
      <c r="P12" s="299"/>
      <c r="Q12" s="299"/>
      <c r="R12" s="299"/>
      <c r="S12" s="299"/>
    </row>
    <row r="13">
      <c r="A13" s="313" t="s">
        <v>481</v>
      </c>
      <c r="E13" s="267"/>
      <c r="O13" s="299"/>
      <c r="P13" s="299"/>
      <c r="Q13" s="299"/>
      <c r="R13" s="299"/>
      <c r="S13" s="299"/>
    </row>
    <row r="14">
      <c r="A14" s="313" t="s">
        <v>482</v>
      </c>
      <c r="O14" s="299"/>
      <c r="P14" s="299"/>
      <c r="Q14" s="299"/>
      <c r="R14" s="299"/>
      <c r="S14" s="299"/>
    </row>
    <row r="15">
      <c r="O15" s="299"/>
      <c r="P15" s="299"/>
      <c r="Q15" s="299"/>
      <c r="R15" s="299"/>
      <c r="S15" s="299"/>
    </row>
    <row r="16">
      <c r="O16" s="299"/>
      <c r="P16" s="299"/>
      <c r="Q16" s="299"/>
      <c r="R16" s="299"/>
      <c r="S16" s="299"/>
    </row>
    <row r="17">
      <c r="O17" s="299"/>
      <c r="P17" s="299"/>
      <c r="Q17" s="299"/>
      <c r="R17" s="299"/>
      <c r="S17" s="299"/>
    </row>
    <row r="18">
      <c r="N18" s="299"/>
      <c r="O18" s="299"/>
      <c r="P18" s="299"/>
      <c r="Q18" s="299"/>
      <c r="R18" s="299"/>
      <c r="S18" s="299"/>
    </row>
    <row r="19">
      <c r="A19" s="314" t="s">
        <v>1</v>
      </c>
      <c r="B19" s="293" t="s">
        <v>464</v>
      </c>
      <c r="C19" s="224"/>
      <c r="D19" s="224"/>
      <c r="E19" s="224"/>
      <c r="N19" s="299"/>
      <c r="O19" s="299"/>
      <c r="P19" s="299"/>
      <c r="Q19" s="299"/>
      <c r="R19" s="315"/>
      <c r="S19" s="316"/>
    </row>
    <row r="20" ht="15.75" customHeight="1">
      <c r="A20" s="224" t="s">
        <v>466</v>
      </c>
      <c r="B20" s="297" t="s">
        <v>467</v>
      </c>
      <c r="C20" s="224"/>
      <c r="D20" s="224"/>
      <c r="E20" s="224"/>
      <c r="N20" s="299"/>
      <c r="O20" s="299"/>
      <c r="P20" s="299"/>
      <c r="Q20" s="299"/>
      <c r="R20" s="315"/>
      <c r="S20" s="299"/>
    </row>
    <row r="21" ht="15.75" customHeight="1">
      <c r="A21" s="224" t="s">
        <v>469</v>
      </c>
      <c r="B21" s="25" t="s">
        <v>483</v>
      </c>
      <c r="C21" s="224"/>
      <c r="D21" s="224"/>
      <c r="E21" s="224"/>
      <c r="N21" s="299"/>
      <c r="O21" s="299"/>
      <c r="P21" s="299"/>
      <c r="Q21" s="299"/>
      <c r="R21" s="315"/>
      <c r="S21" s="316"/>
    </row>
    <row r="22" ht="15.75" customHeight="1">
      <c r="A22" s="224"/>
      <c r="B22" s="224"/>
      <c r="C22" s="224"/>
      <c r="D22" s="224"/>
      <c r="E22" s="224"/>
      <c r="N22" s="299"/>
      <c r="O22" s="299"/>
      <c r="P22" s="299"/>
      <c r="Q22" s="299"/>
      <c r="R22" s="315"/>
      <c r="S22" s="299"/>
    </row>
    <row r="23" ht="15.75" customHeight="1">
      <c r="A23" s="224" t="s">
        <v>472</v>
      </c>
      <c r="B23" s="224"/>
      <c r="C23" s="224"/>
      <c r="D23" s="224"/>
      <c r="E23" s="224"/>
      <c r="I23" s="317">
        <f>SUM(E9,E27,E43)</f>
        <v>12082750</v>
      </c>
      <c r="N23" s="299"/>
      <c r="O23" s="299"/>
      <c r="P23" s="299"/>
      <c r="Q23" s="299"/>
      <c r="R23" s="315"/>
      <c r="S23" s="316"/>
    </row>
    <row r="24" ht="15.75" customHeight="1">
      <c r="A24" s="318" t="s">
        <v>473</v>
      </c>
      <c r="B24" s="318" t="s">
        <v>3</v>
      </c>
      <c r="C24" s="318" t="s">
        <v>83</v>
      </c>
      <c r="D24" s="318" t="s">
        <v>5</v>
      </c>
      <c r="E24" s="318" t="s">
        <v>6</v>
      </c>
    </row>
    <row r="25" ht="15.75" customHeight="1">
      <c r="A25" s="319">
        <v>1.0</v>
      </c>
      <c r="B25" s="320" t="s">
        <v>484</v>
      </c>
      <c r="C25" s="321">
        <v>214.2</v>
      </c>
      <c r="D25" s="322">
        <v>25000.0</v>
      </c>
      <c r="E25" s="322">
        <f>D25*C25</f>
        <v>5355000</v>
      </c>
    </row>
    <row r="26" ht="15.75" customHeight="1">
      <c r="A26" s="323"/>
      <c r="B26" s="323"/>
      <c r="C26" s="324"/>
      <c r="D26" s="322"/>
      <c r="E26" s="322"/>
    </row>
    <row r="27" ht="15.75" customHeight="1">
      <c r="A27" s="325"/>
      <c r="B27" s="325"/>
      <c r="C27" s="325"/>
      <c r="D27" s="326" t="s">
        <v>6</v>
      </c>
      <c r="E27" s="327">
        <f>SUM(E25:E26)</f>
        <v>5355000</v>
      </c>
    </row>
    <row r="28" ht="15.75" customHeight="1">
      <c r="A28" s="224"/>
      <c r="B28" s="224"/>
      <c r="C28" s="224"/>
      <c r="D28" s="224"/>
      <c r="E28" s="328"/>
    </row>
    <row r="29" ht="15.75" customHeight="1">
      <c r="A29" s="311" t="s">
        <v>479</v>
      </c>
      <c r="B29" s="224"/>
      <c r="C29" s="224"/>
      <c r="D29" s="224"/>
      <c r="E29" s="224"/>
    </row>
    <row r="30" ht="15.75" customHeight="1">
      <c r="A30" s="311" t="s">
        <v>480</v>
      </c>
      <c r="B30" s="224"/>
      <c r="C30" s="224"/>
      <c r="D30" s="224"/>
      <c r="E30" s="224"/>
    </row>
    <row r="31" ht="15.75" customHeight="1">
      <c r="A31" s="313" t="s">
        <v>481</v>
      </c>
      <c r="B31" s="224"/>
      <c r="C31" s="224"/>
      <c r="D31" s="224"/>
      <c r="E31" s="224"/>
    </row>
    <row r="32" ht="15.75" customHeight="1">
      <c r="A32" s="313" t="s">
        <v>482</v>
      </c>
      <c r="B32" s="224"/>
      <c r="C32" s="224"/>
      <c r="D32" s="224"/>
      <c r="E32" s="224"/>
    </row>
    <row r="33" ht="15.75" customHeight="1"/>
    <row r="34" ht="15.75" customHeight="1"/>
    <row r="35" ht="15.75" customHeight="1">
      <c r="A35" s="314" t="s">
        <v>1</v>
      </c>
      <c r="B35" s="293" t="s">
        <v>464</v>
      </c>
      <c r="C35" s="224"/>
      <c r="D35" s="224"/>
      <c r="E35" s="224"/>
    </row>
    <row r="36" ht="15.75" customHeight="1">
      <c r="A36" s="224" t="s">
        <v>466</v>
      </c>
      <c r="B36" s="297" t="s">
        <v>467</v>
      </c>
      <c r="C36" s="224"/>
      <c r="D36" s="224"/>
      <c r="E36" s="224"/>
    </row>
    <row r="37" ht="15.75" customHeight="1">
      <c r="A37" s="224" t="s">
        <v>469</v>
      </c>
      <c r="B37" s="297" t="s">
        <v>485</v>
      </c>
      <c r="C37" s="224"/>
      <c r="D37" s="224"/>
      <c r="E37" s="224"/>
    </row>
    <row r="38" ht="15.75" customHeight="1">
      <c r="A38" s="224"/>
      <c r="B38" s="224"/>
      <c r="C38" s="224"/>
      <c r="D38" s="224"/>
      <c r="E38" s="224"/>
    </row>
    <row r="39" ht="15.75" customHeight="1">
      <c r="A39" s="224" t="s">
        <v>472</v>
      </c>
      <c r="B39" s="224"/>
      <c r="C39" s="224"/>
      <c r="D39" s="224"/>
      <c r="E39" s="224"/>
    </row>
    <row r="40" ht="15.75" customHeight="1">
      <c r="A40" s="318" t="s">
        <v>473</v>
      </c>
      <c r="B40" s="318" t="s">
        <v>3</v>
      </c>
      <c r="C40" s="318" t="s">
        <v>83</v>
      </c>
      <c r="D40" s="318" t="s">
        <v>5</v>
      </c>
      <c r="E40" s="318" t="s">
        <v>6</v>
      </c>
    </row>
    <row r="41" ht="15.75" customHeight="1">
      <c r="A41" s="319">
        <v>1.0</v>
      </c>
      <c r="B41" s="320" t="s">
        <v>484</v>
      </c>
      <c r="C41" s="321">
        <v>143.46</v>
      </c>
      <c r="D41" s="322">
        <v>25000.0</v>
      </c>
      <c r="E41" s="322">
        <f t="shared" ref="E41:E42" si="2">D41*C41</f>
        <v>3586500</v>
      </c>
    </row>
    <row r="42" ht="15.75" customHeight="1">
      <c r="A42" s="323"/>
      <c r="B42" s="320"/>
      <c r="C42" s="324"/>
      <c r="D42" s="322"/>
      <c r="E42" s="322">
        <f t="shared" si="2"/>
        <v>0</v>
      </c>
    </row>
    <row r="43" ht="15.75" customHeight="1">
      <c r="A43" s="325"/>
      <c r="B43" s="325"/>
      <c r="C43" s="325"/>
      <c r="D43" s="326" t="s">
        <v>6</v>
      </c>
      <c r="E43" s="327">
        <f>SUM(E41:E42)</f>
        <v>3586500</v>
      </c>
    </row>
    <row r="44" ht="15.75" customHeight="1">
      <c r="A44" s="224"/>
      <c r="B44" s="224"/>
      <c r="C44" s="224"/>
      <c r="D44" s="224"/>
      <c r="E44" s="328"/>
    </row>
    <row r="45" ht="15.75" customHeight="1">
      <c r="A45" s="311" t="s">
        <v>479</v>
      </c>
      <c r="B45" s="224"/>
      <c r="C45" s="224"/>
      <c r="D45" s="224"/>
      <c r="E45" s="224"/>
    </row>
    <row r="46" ht="15.75" customHeight="1">
      <c r="A46" s="311" t="s">
        <v>480</v>
      </c>
      <c r="B46" s="224"/>
      <c r="C46" s="224"/>
      <c r="D46" s="224"/>
      <c r="E46" s="224"/>
    </row>
    <row r="47" ht="15.75" customHeight="1">
      <c r="A47" s="313" t="s">
        <v>481</v>
      </c>
      <c r="B47" s="224"/>
      <c r="C47" s="224"/>
      <c r="D47" s="224"/>
      <c r="E47" s="224"/>
    </row>
    <row r="48" ht="15.75" customHeight="1">
      <c r="A48" s="313" t="s">
        <v>482</v>
      </c>
      <c r="B48" s="224"/>
      <c r="C48" s="224"/>
      <c r="D48" s="224"/>
      <c r="E48" s="224"/>
    </row>
    <row r="49" ht="15.75" customHeight="1">
      <c r="A49" s="313"/>
      <c r="B49" s="224"/>
      <c r="C49" s="224"/>
      <c r="D49" s="224"/>
      <c r="E49" s="224"/>
    </row>
    <row r="50" ht="15.75" customHeight="1">
      <c r="A50" s="313"/>
      <c r="B50" s="224"/>
      <c r="C50" s="224"/>
      <c r="D50" s="224"/>
      <c r="E50" s="224"/>
    </row>
    <row r="51" ht="15.75" customHeight="1"/>
    <row r="52" ht="15.75" customHeight="1"/>
    <row r="53" ht="15.75" customHeight="1">
      <c r="A53" s="314" t="s">
        <v>1</v>
      </c>
      <c r="B53" s="293" t="s">
        <v>486</v>
      </c>
      <c r="C53" s="224"/>
      <c r="D53" s="224"/>
      <c r="E53" s="224"/>
    </row>
    <row r="54" ht="15.75" customHeight="1">
      <c r="A54" s="224" t="s">
        <v>466</v>
      </c>
      <c r="B54" s="297" t="s">
        <v>487</v>
      </c>
      <c r="C54" s="224"/>
      <c r="D54" s="224"/>
      <c r="E54" s="224"/>
    </row>
    <row r="55" ht="15.75" customHeight="1">
      <c r="A55" s="224" t="s">
        <v>469</v>
      </c>
      <c r="B55" s="297" t="s">
        <v>36</v>
      </c>
      <c r="C55" s="224"/>
      <c r="D55" s="224"/>
      <c r="E55" s="224"/>
    </row>
    <row r="56" ht="15.75" customHeight="1">
      <c r="A56" s="224"/>
      <c r="B56" s="224"/>
      <c r="C56" s="224"/>
      <c r="D56" s="224"/>
      <c r="E56" s="224"/>
    </row>
    <row r="57" ht="15.75" customHeight="1">
      <c r="A57" s="224" t="s">
        <v>472</v>
      </c>
      <c r="B57" s="224"/>
      <c r="C57" s="224"/>
      <c r="D57" s="224"/>
      <c r="E57" s="224"/>
    </row>
    <row r="58" ht="15.75" customHeight="1">
      <c r="A58" s="318" t="s">
        <v>473</v>
      </c>
      <c r="B58" s="318" t="s">
        <v>3</v>
      </c>
      <c r="C58" s="318" t="s">
        <v>83</v>
      </c>
      <c r="D58" s="318" t="s">
        <v>5</v>
      </c>
      <c r="E58" s="318" t="s">
        <v>6</v>
      </c>
    </row>
    <row r="59" ht="15.75" customHeight="1">
      <c r="A59" s="319">
        <v>1.0</v>
      </c>
      <c r="B59" s="329" t="s">
        <v>488</v>
      </c>
      <c r="C59" s="321">
        <v>36.68</v>
      </c>
      <c r="D59" s="322">
        <v>25000.0</v>
      </c>
      <c r="E59" s="322">
        <f t="shared" ref="E59:E60" si="3">D59*C59</f>
        <v>917000</v>
      </c>
    </row>
    <row r="60" ht="15.75" customHeight="1">
      <c r="A60" s="323"/>
      <c r="B60" s="320"/>
      <c r="C60" s="324"/>
      <c r="D60" s="322"/>
      <c r="E60" s="322">
        <f t="shared" si="3"/>
        <v>0</v>
      </c>
    </row>
    <row r="61" ht="15.75" customHeight="1">
      <c r="A61" s="325"/>
      <c r="B61" s="325"/>
      <c r="C61" s="325"/>
      <c r="D61" s="326" t="s">
        <v>6</v>
      </c>
      <c r="E61" s="327">
        <f>SUM(E59:E60)</f>
        <v>917000</v>
      </c>
    </row>
    <row r="62" ht="15.75" customHeight="1">
      <c r="A62" s="224"/>
      <c r="B62" s="224"/>
      <c r="C62" s="224"/>
      <c r="D62" s="224"/>
      <c r="E62" s="328"/>
    </row>
    <row r="63" ht="15.75" customHeight="1">
      <c r="A63" s="311" t="s">
        <v>479</v>
      </c>
      <c r="B63" s="224"/>
      <c r="C63" s="224"/>
      <c r="D63" s="224"/>
      <c r="E63" s="224"/>
    </row>
    <row r="64" ht="15.75" customHeight="1">
      <c r="A64" s="311" t="s">
        <v>480</v>
      </c>
      <c r="B64" s="224"/>
      <c r="C64" s="224"/>
      <c r="D64" s="224"/>
      <c r="E64" s="224"/>
    </row>
    <row r="65" ht="15.75" customHeight="1">
      <c r="A65" s="313" t="s">
        <v>481</v>
      </c>
      <c r="B65" s="224"/>
      <c r="C65" s="224"/>
      <c r="D65" s="224"/>
      <c r="E65" s="224"/>
    </row>
    <row r="66" ht="15.75" customHeight="1">
      <c r="A66" s="313" t="s">
        <v>482</v>
      </c>
      <c r="B66" s="224"/>
      <c r="C66" s="224"/>
      <c r="D66" s="224"/>
      <c r="E66" s="224"/>
    </row>
    <row r="67" ht="15.75" customHeight="1"/>
    <row r="68" ht="15.75" customHeight="1"/>
    <row r="69" ht="15.75" customHeight="1"/>
    <row r="70" ht="15.75" customHeight="1">
      <c r="A70" s="330"/>
      <c r="B70" s="331"/>
      <c r="C70" s="223"/>
      <c r="D70" s="223"/>
      <c r="E70" s="223"/>
    </row>
    <row r="71" ht="15.75" customHeight="1">
      <c r="A71" s="223"/>
      <c r="B71" s="18"/>
      <c r="C71" s="223"/>
      <c r="D71" s="223"/>
      <c r="E71" s="223"/>
    </row>
    <row r="72" ht="15.75" customHeight="1">
      <c r="A72" s="223"/>
      <c r="B72" s="18"/>
      <c r="C72" s="223"/>
      <c r="D72" s="223"/>
      <c r="E72" s="223"/>
    </row>
    <row r="73" ht="15.75" customHeight="1">
      <c r="A73" s="223"/>
      <c r="B73" s="223"/>
      <c r="C73" s="223"/>
      <c r="D73" s="223"/>
      <c r="E73" s="223"/>
    </row>
    <row r="74" ht="15.75" customHeight="1">
      <c r="A74" s="223"/>
      <c r="B74" s="223"/>
      <c r="C74" s="223"/>
      <c r="D74" s="223"/>
      <c r="E74" s="223"/>
    </row>
    <row r="75" ht="15.75" customHeight="1">
      <c r="A75" s="332"/>
      <c r="B75" s="332"/>
      <c r="C75" s="332"/>
      <c r="D75" s="332"/>
      <c r="E75" s="332"/>
    </row>
    <row r="76" ht="15.75" customHeight="1">
      <c r="A76" s="333"/>
      <c r="B76" s="334"/>
      <c r="C76" s="335"/>
      <c r="D76" s="336"/>
      <c r="E76" s="336"/>
    </row>
    <row r="77" ht="15.75" customHeight="1">
      <c r="A77" s="335"/>
      <c r="B77" s="337"/>
      <c r="C77" s="335"/>
      <c r="D77" s="338"/>
      <c r="E77" s="336"/>
    </row>
    <row r="78" ht="15.75" customHeight="1">
      <c r="A78" s="334"/>
      <c r="B78" s="334"/>
      <c r="C78" s="334"/>
      <c r="D78" s="332"/>
      <c r="E78" s="33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N1:S1"/>
    <mergeCell ref="N2:S2"/>
    <mergeCell ref="H9:I9"/>
    <mergeCell ref="H10:I10"/>
    <mergeCell ref="H11:I11"/>
    <mergeCell ref="H12:I12"/>
  </mergeCells>
  <conditionalFormatting sqref="A10">
    <cfRule type="notContainsBlanks" dxfId="17" priority="1">
      <formula>LEN(TRIM(A10))&gt;0</formula>
    </cfRule>
  </conditionalFormatting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9" max="9" width="17.0"/>
    <col customWidth="1" min="10" max="10" width="20.14"/>
    <col customWidth="1" min="11" max="11" width="18.71"/>
    <col customWidth="1" min="12" max="13" width="27.86"/>
    <col customWidth="1" min="15" max="16" width="20.14"/>
    <col customWidth="1" min="17" max="17" width="20.86"/>
    <col customWidth="1" min="18" max="18" width="15.86"/>
    <col customWidth="1" min="19" max="19" width="15.71"/>
    <col customWidth="1" min="23" max="23" width="40.29"/>
    <col customWidth="1" min="24" max="26" width="13.0"/>
  </cols>
  <sheetData>
    <row r="1">
      <c r="B1" s="2"/>
      <c r="C1" s="2"/>
      <c r="D1" s="2">
        <f>SUM(D3:D1423)</f>
        <v>2009.87</v>
      </c>
      <c r="E1" s="2"/>
      <c r="F1" s="3">
        <f>SUM(F3:F1001)</f>
        <v>50126250</v>
      </c>
      <c r="G1" s="2"/>
      <c r="J1" s="34" t="b">
        <v>1</v>
      </c>
      <c r="K1" s="35"/>
      <c r="L1" s="35"/>
      <c r="M1" s="35"/>
      <c r="N1" s="35"/>
      <c r="O1" s="37"/>
      <c r="P1" s="37">
        <f>SUM(P3:P49)</f>
        <v>41781238</v>
      </c>
      <c r="Q1" s="38"/>
      <c r="R1" s="39"/>
      <c r="S1" s="40"/>
      <c r="T1" s="41"/>
      <c r="U1" s="42"/>
      <c r="W1" s="263" t="s">
        <v>84</v>
      </c>
      <c r="X1" s="264" t="s">
        <v>322</v>
      </c>
      <c r="Y1" s="340"/>
      <c r="Z1" s="340"/>
    </row>
    <row r="2">
      <c r="A2" s="1" t="s">
        <v>322</v>
      </c>
      <c r="B2" s="341" t="s">
        <v>2</v>
      </c>
      <c r="C2" s="341" t="s">
        <v>3</v>
      </c>
      <c r="D2" s="341" t="s">
        <v>4</v>
      </c>
      <c r="E2" s="342" t="s">
        <v>5</v>
      </c>
      <c r="F2" s="342" t="s">
        <v>6</v>
      </c>
      <c r="G2" s="343" t="s">
        <v>7</v>
      </c>
      <c r="J2" s="69" t="s">
        <v>1</v>
      </c>
      <c r="K2" s="69" t="s">
        <v>80</v>
      </c>
      <c r="L2" s="69" t="s">
        <v>81</v>
      </c>
      <c r="M2" s="69" t="s">
        <v>82</v>
      </c>
      <c r="N2" s="69" t="s">
        <v>83</v>
      </c>
      <c r="O2" s="70" t="s">
        <v>5</v>
      </c>
      <c r="P2" s="70" t="s">
        <v>6</v>
      </c>
      <c r="Q2" s="69" t="s">
        <v>84</v>
      </c>
      <c r="R2" s="39"/>
      <c r="S2" s="40"/>
      <c r="T2" s="41" t="b">
        <v>1</v>
      </c>
      <c r="U2" s="42"/>
      <c r="W2" s="296" t="s">
        <v>323</v>
      </c>
      <c r="X2" s="340">
        <f>F1</f>
        <v>50126250</v>
      </c>
      <c r="Y2" s="340"/>
      <c r="Z2" s="340"/>
    </row>
    <row r="3">
      <c r="A3" s="113">
        <v>46181.0</v>
      </c>
      <c r="B3" s="12" t="s">
        <v>36</v>
      </c>
      <c r="C3" s="114" t="s">
        <v>223</v>
      </c>
      <c r="D3" s="114">
        <v>1.0</v>
      </c>
      <c r="E3" s="14">
        <v>25000.0</v>
      </c>
      <c r="F3" s="14">
        <f t="shared" ref="F3:F22" si="1">D3*E3</f>
        <v>25000</v>
      </c>
      <c r="G3" s="15" t="s">
        <v>10</v>
      </c>
      <c r="H3" s="344"/>
      <c r="I3" s="41" t="b">
        <v>1</v>
      </c>
      <c r="J3" s="85">
        <v>46182.0</v>
      </c>
      <c r="K3" s="68">
        <v>1.0</v>
      </c>
      <c r="L3" s="64" t="s">
        <v>103</v>
      </c>
      <c r="M3" s="75" t="s">
        <v>108</v>
      </c>
      <c r="N3" s="75">
        <v>20.0</v>
      </c>
      <c r="O3" s="74">
        <v>225000.0</v>
      </c>
      <c r="P3" s="67">
        <v>4500000.0</v>
      </c>
      <c r="Q3" s="64" t="s">
        <v>442</v>
      </c>
      <c r="R3" s="82"/>
      <c r="S3" s="31"/>
      <c r="T3" s="345" t="b">
        <v>1</v>
      </c>
      <c r="U3" s="26"/>
      <c r="W3" s="296" t="s">
        <v>324</v>
      </c>
      <c r="X3" s="346">
        <f>P1</f>
        <v>41781238</v>
      </c>
      <c r="Y3" s="340"/>
      <c r="Z3" s="340"/>
    </row>
    <row r="4">
      <c r="A4" s="112">
        <v>46181.0</v>
      </c>
      <c r="B4" s="29" t="s">
        <v>36</v>
      </c>
      <c r="C4" s="73" t="s">
        <v>140</v>
      </c>
      <c r="D4" s="73">
        <v>1.0</v>
      </c>
      <c r="E4" s="32">
        <v>25000.0</v>
      </c>
      <c r="F4" s="32">
        <f t="shared" si="1"/>
        <v>25000</v>
      </c>
      <c r="G4" s="33" t="s">
        <v>10</v>
      </c>
      <c r="H4" s="189"/>
      <c r="I4" s="42" t="b">
        <v>0</v>
      </c>
      <c r="J4" s="85">
        <v>46182.0</v>
      </c>
      <c r="K4" s="68"/>
      <c r="L4" s="64" t="s">
        <v>103</v>
      </c>
      <c r="M4" s="75" t="s">
        <v>435</v>
      </c>
      <c r="N4" s="75">
        <v>7.0</v>
      </c>
      <c r="O4" s="74">
        <v>210000.0</v>
      </c>
      <c r="P4" s="67">
        <v>1470000.0</v>
      </c>
      <c r="Q4" s="64" t="s">
        <v>442</v>
      </c>
      <c r="R4" s="76"/>
      <c r="S4" s="31"/>
      <c r="T4" s="73" t="b">
        <v>1</v>
      </c>
      <c r="U4" s="31"/>
      <c r="W4" s="296" t="s">
        <v>325</v>
      </c>
      <c r="X4" s="340">
        <f>X2-X3</f>
        <v>8345012</v>
      </c>
      <c r="Z4" s="340"/>
    </row>
    <row r="5">
      <c r="A5" s="112">
        <v>46181.0</v>
      </c>
      <c r="B5" s="29" t="s">
        <v>8</v>
      </c>
      <c r="C5" s="73" t="s">
        <v>137</v>
      </c>
      <c r="D5" s="73">
        <v>6.0</v>
      </c>
      <c r="E5" s="32">
        <v>25000.0</v>
      </c>
      <c r="F5" s="32">
        <f t="shared" si="1"/>
        <v>150000</v>
      </c>
      <c r="G5" s="33" t="s">
        <v>10</v>
      </c>
      <c r="H5" s="189"/>
      <c r="I5" s="42" t="b">
        <v>0</v>
      </c>
      <c r="J5" s="85">
        <v>46182.0</v>
      </c>
      <c r="K5" s="68"/>
      <c r="L5" s="64" t="s">
        <v>103</v>
      </c>
      <c r="M5" s="75" t="s">
        <v>438</v>
      </c>
      <c r="N5" s="75">
        <v>6.0</v>
      </c>
      <c r="O5" s="74">
        <v>550000.0</v>
      </c>
      <c r="P5" s="67">
        <v>3300000.0</v>
      </c>
      <c r="Q5" s="64" t="s">
        <v>442</v>
      </c>
      <c r="R5" s="76"/>
      <c r="S5" s="45"/>
      <c r="T5" s="84" t="b">
        <v>1</v>
      </c>
      <c r="U5" s="45"/>
      <c r="X5" s="347"/>
      <c r="Y5" s="340"/>
      <c r="Z5" s="340"/>
    </row>
    <row r="6">
      <c r="A6" s="112">
        <v>46181.0</v>
      </c>
      <c r="B6" s="29" t="s">
        <v>8</v>
      </c>
      <c r="C6" s="73" t="s">
        <v>138</v>
      </c>
      <c r="D6" s="73">
        <v>6.0</v>
      </c>
      <c r="E6" s="32">
        <v>25000.0</v>
      </c>
      <c r="F6" s="32">
        <f t="shared" si="1"/>
        <v>150000</v>
      </c>
      <c r="G6" s="33" t="s">
        <v>10</v>
      </c>
      <c r="H6" s="189"/>
      <c r="I6" s="42" t="b">
        <v>0</v>
      </c>
      <c r="J6" s="85">
        <v>46182.0</v>
      </c>
      <c r="K6" s="68"/>
      <c r="L6" s="348" t="s">
        <v>103</v>
      </c>
      <c r="M6" s="75" t="s">
        <v>106</v>
      </c>
      <c r="N6" s="75">
        <v>20.0</v>
      </c>
      <c r="O6" s="74">
        <v>80000.0</v>
      </c>
      <c r="P6" s="67">
        <v>1600000.0</v>
      </c>
      <c r="Q6" s="75" t="s">
        <v>442</v>
      </c>
      <c r="R6" s="83"/>
      <c r="S6" s="31"/>
      <c r="T6" s="73" t="b">
        <v>1</v>
      </c>
      <c r="U6" s="31"/>
      <c r="Y6" s="340"/>
      <c r="Z6" s="340"/>
    </row>
    <row r="7">
      <c r="A7" s="112">
        <v>46181.0</v>
      </c>
      <c r="B7" s="29" t="s">
        <v>8</v>
      </c>
      <c r="C7" s="73" t="s">
        <v>139</v>
      </c>
      <c r="D7" s="73">
        <v>2.0</v>
      </c>
      <c r="E7" s="32">
        <v>25000.0</v>
      </c>
      <c r="F7" s="32">
        <f t="shared" si="1"/>
        <v>50000</v>
      </c>
      <c r="G7" s="33" t="s">
        <v>10</v>
      </c>
      <c r="H7" s="189"/>
      <c r="I7" s="42" t="b">
        <v>0</v>
      </c>
      <c r="J7" s="85">
        <v>46183.0</v>
      </c>
      <c r="K7" s="68">
        <v>2.0</v>
      </c>
      <c r="L7" s="348" t="s">
        <v>111</v>
      </c>
      <c r="M7" s="75" t="s">
        <v>112</v>
      </c>
      <c r="N7" s="75">
        <v>1.0</v>
      </c>
      <c r="O7" s="74">
        <v>201900.0</v>
      </c>
      <c r="P7" s="67">
        <v>201900.0</v>
      </c>
      <c r="Q7" s="75" t="s">
        <v>111</v>
      </c>
      <c r="R7" s="349"/>
      <c r="S7" s="90"/>
      <c r="T7" s="84" t="b">
        <v>1</v>
      </c>
      <c r="U7" s="45"/>
      <c r="Y7" s="340"/>
      <c r="Z7" s="340"/>
    </row>
    <row r="8">
      <c r="A8" s="112">
        <v>46181.0</v>
      </c>
      <c r="B8" s="29" t="s">
        <v>8</v>
      </c>
      <c r="C8" s="73" t="s">
        <v>16</v>
      </c>
      <c r="D8" s="73">
        <v>0.2</v>
      </c>
      <c r="E8" s="32">
        <v>25000.0</v>
      </c>
      <c r="F8" s="32">
        <f t="shared" si="1"/>
        <v>5000</v>
      </c>
      <c r="G8" s="33" t="s">
        <v>10</v>
      </c>
      <c r="H8" s="189"/>
      <c r="I8" s="41" t="b">
        <v>1</v>
      </c>
      <c r="J8" s="85">
        <v>46184.0</v>
      </c>
      <c r="K8" s="68">
        <v>3.0</v>
      </c>
      <c r="L8" s="348" t="s">
        <v>85</v>
      </c>
      <c r="M8" s="75" t="s">
        <v>460</v>
      </c>
      <c r="N8" s="75">
        <v>46.0</v>
      </c>
      <c r="O8" s="74">
        <v>30000.0</v>
      </c>
      <c r="P8" s="67">
        <v>1380000.0</v>
      </c>
      <c r="Q8" s="75" t="s">
        <v>433</v>
      </c>
      <c r="R8" s="76"/>
      <c r="S8" s="45"/>
      <c r="T8" s="84" t="b">
        <v>1</v>
      </c>
      <c r="U8" s="45"/>
      <c r="W8" s="350" t="s">
        <v>326</v>
      </c>
      <c r="X8" s="350"/>
      <c r="Y8" s="351"/>
      <c r="Z8" s="351">
        <f>SUM(Z10:Z15)</f>
        <v>6720000</v>
      </c>
    </row>
    <row r="9">
      <c r="A9" s="112">
        <v>46181.0</v>
      </c>
      <c r="B9" s="29" t="s">
        <v>27</v>
      </c>
      <c r="C9" s="73" t="s">
        <v>75</v>
      </c>
      <c r="D9" s="73">
        <v>30.0</v>
      </c>
      <c r="E9" s="32">
        <v>25000.0</v>
      </c>
      <c r="F9" s="32">
        <f t="shared" si="1"/>
        <v>750000</v>
      </c>
      <c r="G9" s="33" t="s">
        <v>10</v>
      </c>
      <c r="H9" s="189"/>
      <c r="I9" s="42" t="b">
        <v>0</v>
      </c>
      <c r="J9" s="85">
        <v>46184.0</v>
      </c>
      <c r="K9" s="72">
        <v>4.0</v>
      </c>
      <c r="L9" s="64" t="s">
        <v>85</v>
      </c>
      <c r="M9" s="75" t="s">
        <v>441</v>
      </c>
      <c r="N9" s="29">
        <v>1.0</v>
      </c>
      <c r="O9" s="74">
        <v>30000.0</v>
      </c>
      <c r="P9" s="67">
        <v>30000.0</v>
      </c>
      <c r="Q9" s="64" t="s">
        <v>447</v>
      </c>
      <c r="R9" s="76"/>
      <c r="S9" s="45"/>
      <c r="T9" s="84" t="b">
        <v>1</v>
      </c>
      <c r="U9" s="45"/>
      <c r="V9" s="110"/>
      <c r="W9" s="352" t="s">
        <v>327</v>
      </c>
      <c r="X9" s="272" t="s">
        <v>328</v>
      </c>
      <c r="Y9" s="273" t="s">
        <v>329</v>
      </c>
      <c r="Z9" s="273" t="s">
        <v>142</v>
      </c>
    </row>
    <row r="10">
      <c r="A10" s="112">
        <v>46181.0</v>
      </c>
      <c r="B10" s="29" t="s">
        <v>27</v>
      </c>
      <c r="C10" s="73" t="s">
        <v>57</v>
      </c>
      <c r="D10" s="73">
        <v>20.0</v>
      </c>
      <c r="E10" s="32">
        <v>25000.0</v>
      </c>
      <c r="F10" s="32">
        <f t="shared" si="1"/>
        <v>500000</v>
      </c>
      <c r="G10" s="33" t="s">
        <v>10</v>
      </c>
      <c r="H10" s="189"/>
      <c r="I10" s="41" t="b">
        <v>1</v>
      </c>
      <c r="J10" s="85">
        <v>46184.0</v>
      </c>
      <c r="K10" s="72">
        <v>5.0</v>
      </c>
      <c r="L10" s="64" t="s">
        <v>111</v>
      </c>
      <c r="M10" s="75" t="s">
        <v>489</v>
      </c>
      <c r="N10" s="29">
        <v>1.0</v>
      </c>
      <c r="O10" s="74">
        <v>1278000.0</v>
      </c>
      <c r="P10" s="67">
        <v>1278000.0</v>
      </c>
      <c r="Q10" s="353" t="s">
        <v>111</v>
      </c>
      <c r="R10" s="76"/>
      <c r="S10" s="45"/>
      <c r="T10" s="84" t="b">
        <v>1</v>
      </c>
      <c r="U10" s="238"/>
      <c r="W10" s="354" t="s">
        <v>330</v>
      </c>
      <c r="X10" s="355">
        <v>0.0</v>
      </c>
      <c r="Y10" s="356">
        <v>90000.0</v>
      </c>
      <c r="Z10" s="357">
        <f t="shared" ref="Z10:Z15" si="2">X10*Y10</f>
        <v>0</v>
      </c>
    </row>
    <row r="11">
      <c r="A11" s="112">
        <v>46181.0</v>
      </c>
      <c r="B11" s="29" t="s">
        <v>27</v>
      </c>
      <c r="C11" s="73" t="s">
        <v>35</v>
      </c>
      <c r="D11" s="73">
        <v>1.0</v>
      </c>
      <c r="E11" s="32">
        <v>25000.0</v>
      </c>
      <c r="F11" s="32">
        <f t="shared" si="1"/>
        <v>25000</v>
      </c>
      <c r="G11" s="33" t="s">
        <v>10</v>
      </c>
      <c r="H11" s="189"/>
      <c r="I11" s="42" t="b">
        <v>0</v>
      </c>
      <c r="J11" s="85">
        <v>46185.0</v>
      </c>
      <c r="K11" s="72">
        <v>5.0</v>
      </c>
      <c r="L11" s="64" t="s">
        <v>111</v>
      </c>
      <c r="M11" s="75" t="s">
        <v>112</v>
      </c>
      <c r="N11" s="29">
        <v>1.0</v>
      </c>
      <c r="O11" s="74">
        <v>201900.0</v>
      </c>
      <c r="P11" s="67">
        <v>201900.0</v>
      </c>
      <c r="Q11" s="64" t="s">
        <v>111</v>
      </c>
      <c r="R11" s="76"/>
      <c r="S11" s="45"/>
      <c r="T11" s="84" t="b">
        <v>1</v>
      </c>
      <c r="U11" s="45"/>
      <c r="W11" s="354" t="s">
        <v>331</v>
      </c>
      <c r="X11" s="355">
        <v>18.5</v>
      </c>
      <c r="Y11" s="357">
        <v>80000.0</v>
      </c>
      <c r="Z11" s="357">
        <f t="shared" si="2"/>
        <v>1480000</v>
      </c>
    </row>
    <row r="12">
      <c r="A12" s="112">
        <v>46181.0</v>
      </c>
      <c r="B12" s="29" t="s">
        <v>27</v>
      </c>
      <c r="C12" s="73" t="s">
        <v>16</v>
      </c>
      <c r="D12" s="73">
        <v>2.72</v>
      </c>
      <c r="E12" s="32">
        <v>25000.0</v>
      </c>
      <c r="F12" s="32">
        <f t="shared" si="1"/>
        <v>68000</v>
      </c>
      <c r="G12" s="33" t="s">
        <v>10</v>
      </c>
      <c r="H12" s="189"/>
      <c r="I12" s="42" t="b">
        <v>0</v>
      </c>
      <c r="J12" s="85">
        <v>46186.0</v>
      </c>
      <c r="K12" s="72">
        <v>5.0</v>
      </c>
      <c r="L12" s="64" t="s">
        <v>111</v>
      </c>
      <c r="M12" s="75" t="s">
        <v>112</v>
      </c>
      <c r="N12" s="29">
        <v>1.0</v>
      </c>
      <c r="O12" s="74">
        <v>201900.0</v>
      </c>
      <c r="P12" s="67">
        <v>201900.0</v>
      </c>
      <c r="Q12" s="64" t="s">
        <v>111</v>
      </c>
      <c r="R12" s="76"/>
      <c r="S12" s="45"/>
      <c r="T12" s="84" t="b">
        <v>1</v>
      </c>
      <c r="U12" s="45"/>
      <c r="W12" s="354" t="s">
        <v>332</v>
      </c>
      <c r="X12" s="355">
        <v>7.5</v>
      </c>
      <c r="Y12" s="356">
        <v>225000.0</v>
      </c>
      <c r="Z12" s="357">
        <f t="shared" si="2"/>
        <v>1687500</v>
      </c>
    </row>
    <row r="13">
      <c r="A13" s="112">
        <v>46181.0</v>
      </c>
      <c r="B13" s="29" t="s">
        <v>17</v>
      </c>
      <c r="C13" s="73" t="s">
        <v>140</v>
      </c>
      <c r="D13" s="73">
        <v>90.0</v>
      </c>
      <c r="E13" s="32">
        <v>25000.0</v>
      </c>
      <c r="F13" s="32">
        <f t="shared" si="1"/>
        <v>2250000</v>
      </c>
      <c r="G13" s="33" t="s">
        <v>10</v>
      </c>
      <c r="H13" s="189"/>
      <c r="I13" s="41" t="b">
        <v>0</v>
      </c>
      <c r="J13" s="85">
        <v>46188.0</v>
      </c>
      <c r="K13" s="72">
        <v>6.0</v>
      </c>
      <c r="L13" s="64" t="s">
        <v>439</v>
      </c>
      <c r="M13" s="75" t="s">
        <v>459</v>
      </c>
      <c r="N13" s="29">
        <v>1.0</v>
      </c>
      <c r="O13" s="74">
        <v>702500.0</v>
      </c>
      <c r="P13" s="67">
        <v>702500.0</v>
      </c>
      <c r="Q13" s="75" t="s">
        <v>436</v>
      </c>
      <c r="R13" s="76"/>
      <c r="S13" s="45"/>
      <c r="T13" s="84" t="b">
        <v>1</v>
      </c>
      <c r="U13" s="45"/>
      <c r="W13" s="354" t="s">
        <v>333</v>
      </c>
      <c r="X13" s="355">
        <v>7.75</v>
      </c>
      <c r="Y13" s="356">
        <v>225000.0</v>
      </c>
      <c r="Z13" s="357">
        <f t="shared" si="2"/>
        <v>1743750</v>
      </c>
    </row>
    <row r="14">
      <c r="A14" s="112">
        <v>46181.0</v>
      </c>
      <c r="B14" s="29" t="s">
        <v>17</v>
      </c>
      <c r="C14" s="73" t="s">
        <v>253</v>
      </c>
      <c r="D14" s="73">
        <v>15.0</v>
      </c>
      <c r="E14" s="32">
        <v>25000.0</v>
      </c>
      <c r="F14" s="32">
        <f t="shared" si="1"/>
        <v>375000</v>
      </c>
      <c r="G14" s="33" t="s">
        <v>10</v>
      </c>
      <c r="H14" s="189"/>
      <c r="I14" s="42" t="b">
        <v>0</v>
      </c>
      <c r="J14" s="85">
        <v>46188.0</v>
      </c>
      <c r="K14" s="72">
        <v>6.0</v>
      </c>
      <c r="L14" s="64" t="s">
        <v>439</v>
      </c>
      <c r="M14" s="75" t="s">
        <v>457</v>
      </c>
      <c r="N14" s="29">
        <v>1.0</v>
      </c>
      <c r="O14" s="74">
        <v>750000.0</v>
      </c>
      <c r="P14" s="67">
        <v>750000.0</v>
      </c>
      <c r="Q14" s="75" t="s">
        <v>436</v>
      </c>
      <c r="R14" s="76"/>
      <c r="S14" s="45"/>
      <c r="T14" s="84" t="b">
        <v>1</v>
      </c>
      <c r="U14" s="45"/>
      <c r="W14" s="354" t="s">
        <v>334</v>
      </c>
      <c r="X14" s="355">
        <v>2.8</v>
      </c>
      <c r="Y14" s="356">
        <v>550000.0</v>
      </c>
      <c r="Z14" s="357">
        <f t="shared" si="2"/>
        <v>1540000</v>
      </c>
    </row>
    <row r="15">
      <c r="A15" s="112">
        <v>46181.0</v>
      </c>
      <c r="B15" s="29" t="s">
        <v>17</v>
      </c>
      <c r="C15" s="73" t="s">
        <v>54</v>
      </c>
      <c r="D15" s="73">
        <v>3.0</v>
      </c>
      <c r="E15" s="32">
        <v>25000.0</v>
      </c>
      <c r="F15" s="32">
        <f t="shared" si="1"/>
        <v>75000</v>
      </c>
      <c r="G15" s="33" t="s">
        <v>10</v>
      </c>
      <c r="H15" s="189"/>
      <c r="I15" s="41" t="b">
        <v>1</v>
      </c>
      <c r="J15" s="85">
        <v>46188.0</v>
      </c>
      <c r="K15" s="72">
        <v>7.0</v>
      </c>
      <c r="L15" s="86" t="s">
        <v>85</v>
      </c>
      <c r="M15" s="75" t="s">
        <v>115</v>
      </c>
      <c r="N15" s="155">
        <v>1.0</v>
      </c>
      <c r="O15" s="74">
        <v>100000.0</v>
      </c>
      <c r="P15" s="67">
        <v>100000.0</v>
      </c>
      <c r="Q15" s="75" t="s">
        <v>436</v>
      </c>
      <c r="R15" s="76"/>
      <c r="S15" s="45"/>
      <c r="T15" s="84" t="b">
        <v>1</v>
      </c>
      <c r="U15" s="31"/>
      <c r="W15" s="354" t="s">
        <v>335</v>
      </c>
      <c r="X15" s="355">
        <v>1.25</v>
      </c>
      <c r="Y15" s="356">
        <v>215000.0</v>
      </c>
      <c r="Z15" s="357">
        <f t="shared" si="2"/>
        <v>268750</v>
      </c>
    </row>
    <row r="16">
      <c r="A16" s="112">
        <v>46181.0</v>
      </c>
      <c r="B16" s="29" t="s">
        <v>17</v>
      </c>
      <c r="C16" s="73" t="s">
        <v>60</v>
      </c>
      <c r="D16" s="73">
        <v>2.0</v>
      </c>
      <c r="E16" s="32">
        <v>25000.0</v>
      </c>
      <c r="F16" s="32">
        <f t="shared" si="1"/>
        <v>50000</v>
      </c>
      <c r="G16" s="33" t="s">
        <v>10</v>
      </c>
      <c r="H16" s="189"/>
      <c r="I16" s="42" t="b">
        <v>0</v>
      </c>
      <c r="J16" s="85">
        <v>46188.0</v>
      </c>
      <c r="K16" s="72">
        <v>8.0</v>
      </c>
      <c r="L16" s="86" t="s">
        <v>85</v>
      </c>
      <c r="M16" s="75" t="s">
        <v>434</v>
      </c>
      <c r="N16" s="29">
        <v>1.0</v>
      </c>
      <c r="O16" s="74">
        <v>115000.0</v>
      </c>
      <c r="P16" s="67">
        <v>115000.0</v>
      </c>
      <c r="Q16" s="75" t="s">
        <v>453</v>
      </c>
      <c r="R16" s="76"/>
      <c r="S16" s="45"/>
      <c r="T16" s="84" t="b">
        <v>1</v>
      </c>
      <c r="U16" s="31"/>
      <c r="Y16" s="340"/>
      <c r="Z16" s="340"/>
    </row>
    <row r="17">
      <c r="A17" s="112">
        <v>46181.0</v>
      </c>
      <c r="B17" s="29" t="s">
        <v>17</v>
      </c>
      <c r="C17" s="73" t="s">
        <v>61</v>
      </c>
      <c r="D17" s="73">
        <v>1.0</v>
      </c>
      <c r="E17" s="32">
        <v>25000.0</v>
      </c>
      <c r="F17" s="32">
        <f t="shared" si="1"/>
        <v>25000</v>
      </c>
      <c r="G17" s="33" t="s">
        <v>10</v>
      </c>
      <c r="H17" s="189"/>
      <c r="I17" s="42" t="b">
        <v>0</v>
      </c>
      <c r="J17" s="85">
        <v>46189.0</v>
      </c>
      <c r="K17" s="72">
        <v>9.0</v>
      </c>
      <c r="L17" s="64" t="s">
        <v>111</v>
      </c>
      <c r="M17" s="75" t="s">
        <v>112</v>
      </c>
      <c r="N17" s="29">
        <v>1.0</v>
      </c>
      <c r="O17" s="74">
        <v>201900.0</v>
      </c>
      <c r="P17" s="67">
        <v>201900.0</v>
      </c>
      <c r="Q17" s="75" t="s">
        <v>111</v>
      </c>
      <c r="R17" s="76"/>
      <c r="S17" s="45"/>
      <c r="T17" s="84" t="b">
        <v>1</v>
      </c>
      <c r="U17" s="45"/>
      <c r="Y17" s="340"/>
      <c r="Z17" s="340"/>
    </row>
    <row r="18">
      <c r="A18" s="112">
        <v>46181.0</v>
      </c>
      <c r="B18" s="29" t="s">
        <v>17</v>
      </c>
      <c r="C18" s="73" t="s">
        <v>254</v>
      </c>
      <c r="D18" s="73">
        <v>1.0</v>
      </c>
      <c r="E18" s="32">
        <v>25000.0</v>
      </c>
      <c r="F18" s="32">
        <f t="shared" si="1"/>
        <v>25000</v>
      </c>
      <c r="G18" s="33" t="s">
        <v>10</v>
      </c>
      <c r="H18" s="189"/>
      <c r="I18" s="42" t="b">
        <v>0</v>
      </c>
      <c r="J18" s="85">
        <v>46189.0</v>
      </c>
      <c r="K18" s="72">
        <v>10.0</v>
      </c>
      <c r="L18" s="64" t="s">
        <v>85</v>
      </c>
      <c r="M18" s="75" t="s">
        <v>452</v>
      </c>
      <c r="N18" s="29">
        <v>2.0</v>
      </c>
      <c r="O18" s="74">
        <v>526500.0</v>
      </c>
      <c r="P18" s="67">
        <v>1053000.0</v>
      </c>
      <c r="Q18" s="75" t="s">
        <v>456</v>
      </c>
      <c r="R18" s="76"/>
      <c r="S18" s="45"/>
      <c r="T18" s="84" t="b">
        <v>1</v>
      </c>
      <c r="U18" s="358"/>
      <c r="W18" s="296" t="s">
        <v>336</v>
      </c>
      <c r="X18" s="359">
        <v>2.0E7</v>
      </c>
      <c r="Y18" s="340">
        <f>X18-Z8</f>
        <v>13280000</v>
      </c>
      <c r="Z18" s="340"/>
    </row>
    <row r="19">
      <c r="A19" s="112">
        <v>46181.0</v>
      </c>
      <c r="B19" s="29" t="s">
        <v>17</v>
      </c>
      <c r="C19" s="73" t="s">
        <v>255</v>
      </c>
      <c r="D19" s="73">
        <v>2.0</v>
      </c>
      <c r="E19" s="32">
        <v>25000.0</v>
      </c>
      <c r="F19" s="32">
        <f t="shared" si="1"/>
        <v>50000</v>
      </c>
      <c r="G19" s="33" t="s">
        <v>10</v>
      </c>
      <c r="H19" s="189"/>
      <c r="I19" s="42" t="b">
        <v>0</v>
      </c>
      <c r="J19" s="85">
        <v>46189.0</v>
      </c>
      <c r="K19" s="72">
        <v>11.0</v>
      </c>
      <c r="L19" s="64" t="s">
        <v>103</v>
      </c>
      <c r="M19" s="73" t="s">
        <v>106</v>
      </c>
      <c r="N19" s="29">
        <v>20.0</v>
      </c>
      <c r="O19" s="74">
        <v>80000.0</v>
      </c>
      <c r="P19" s="67">
        <v>1600000.0</v>
      </c>
      <c r="Q19" s="75" t="s">
        <v>442</v>
      </c>
      <c r="R19" s="76"/>
      <c r="S19" s="45"/>
      <c r="T19" s="84" t="b">
        <v>1</v>
      </c>
      <c r="U19" s="358"/>
      <c r="W19" s="296" t="s">
        <v>337</v>
      </c>
      <c r="X19" s="360">
        <f t="shared" ref="X19:X20" si="3">X2</f>
        <v>50126250</v>
      </c>
      <c r="Y19" s="340"/>
      <c r="Z19" s="340"/>
    </row>
    <row r="20">
      <c r="A20" s="112">
        <v>46181.0</v>
      </c>
      <c r="B20" s="29" t="s">
        <v>17</v>
      </c>
      <c r="C20" s="73" t="s">
        <v>256</v>
      </c>
      <c r="D20" s="73">
        <v>1.0</v>
      </c>
      <c r="E20" s="32">
        <v>25000.0</v>
      </c>
      <c r="F20" s="32">
        <f t="shared" si="1"/>
        <v>25000</v>
      </c>
      <c r="G20" s="33" t="s">
        <v>10</v>
      </c>
      <c r="H20" s="189"/>
      <c r="I20" s="41" t="b">
        <v>1</v>
      </c>
      <c r="J20" s="85">
        <v>46189.0</v>
      </c>
      <c r="K20" s="72">
        <v>11.0</v>
      </c>
      <c r="L20" s="64" t="s">
        <v>103</v>
      </c>
      <c r="M20" s="73" t="s">
        <v>107</v>
      </c>
      <c r="N20" s="29">
        <v>5.0</v>
      </c>
      <c r="O20" s="74">
        <v>255000.0</v>
      </c>
      <c r="P20" s="67">
        <v>1275000.0</v>
      </c>
      <c r="Q20" s="75" t="s">
        <v>442</v>
      </c>
      <c r="R20" s="76"/>
      <c r="S20" s="45"/>
      <c r="T20" s="84" t="b">
        <v>1</v>
      </c>
      <c r="U20" s="45"/>
      <c r="W20" s="296" t="s">
        <v>338</v>
      </c>
      <c r="X20" s="360">
        <f t="shared" si="3"/>
        <v>41781238</v>
      </c>
      <c r="Y20" s="340"/>
      <c r="Z20" s="340"/>
    </row>
    <row r="21">
      <c r="A21" s="112">
        <v>46181.0</v>
      </c>
      <c r="B21" s="29" t="s">
        <v>17</v>
      </c>
      <c r="C21" s="73" t="s">
        <v>257</v>
      </c>
      <c r="D21" s="73">
        <v>1.0</v>
      </c>
      <c r="E21" s="32">
        <v>25000.0</v>
      </c>
      <c r="F21" s="32">
        <f t="shared" si="1"/>
        <v>25000</v>
      </c>
      <c r="G21" s="33" t="s">
        <v>10</v>
      </c>
      <c r="H21" s="189"/>
      <c r="I21" s="42" t="b">
        <v>0</v>
      </c>
      <c r="J21" s="85">
        <v>46189.0</v>
      </c>
      <c r="K21" s="72">
        <v>11.0</v>
      </c>
      <c r="L21" s="64" t="s">
        <v>103</v>
      </c>
      <c r="M21" s="73" t="s">
        <v>438</v>
      </c>
      <c r="N21" s="29">
        <v>4.0</v>
      </c>
      <c r="O21" s="74">
        <v>550000.0</v>
      </c>
      <c r="P21" s="67">
        <v>2200000.0</v>
      </c>
      <c r="Q21" s="75" t="s">
        <v>442</v>
      </c>
      <c r="R21" s="76"/>
      <c r="S21" s="45"/>
      <c r="T21" s="84" t="b">
        <v>1</v>
      </c>
      <c r="U21" s="45"/>
      <c r="W21" s="296" t="s">
        <v>339</v>
      </c>
      <c r="X21" s="360">
        <f>X4+Y18</f>
        <v>21625012</v>
      </c>
      <c r="Y21" s="340"/>
      <c r="Z21" s="340"/>
    </row>
    <row r="22">
      <c r="A22" s="112">
        <v>46181.0</v>
      </c>
      <c r="B22" s="29" t="s">
        <v>17</v>
      </c>
      <c r="C22" s="73" t="s">
        <v>79</v>
      </c>
      <c r="D22" s="73">
        <v>1.0</v>
      </c>
      <c r="E22" s="32">
        <v>25000.0</v>
      </c>
      <c r="F22" s="32">
        <f t="shared" si="1"/>
        <v>25000</v>
      </c>
      <c r="G22" s="33" t="s">
        <v>10</v>
      </c>
      <c r="H22" s="189"/>
      <c r="I22" s="42" t="b">
        <v>0</v>
      </c>
      <c r="J22" s="85">
        <v>46190.0</v>
      </c>
      <c r="K22" s="72">
        <v>12.0</v>
      </c>
      <c r="L22" s="64" t="s">
        <v>111</v>
      </c>
      <c r="M22" s="75" t="s">
        <v>112</v>
      </c>
      <c r="N22" s="29">
        <v>1.0</v>
      </c>
      <c r="O22" s="74">
        <v>201900.0</v>
      </c>
      <c r="P22" s="67">
        <v>201900.0</v>
      </c>
      <c r="Q22" s="64" t="s">
        <v>111</v>
      </c>
      <c r="R22" s="76"/>
      <c r="S22" s="45"/>
      <c r="T22" s="84" t="b">
        <v>1</v>
      </c>
      <c r="U22" s="45"/>
      <c r="W22" s="296" t="s">
        <v>340</v>
      </c>
      <c r="X22" s="359">
        <v>2.198567E7</v>
      </c>
      <c r="Y22" s="340"/>
      <c r="Z22" s="340"/>
    </row>
    <row r="23">
      <c r="A23" s="112">
        <v>46181.0</v>
      </c>
      <c r="B23" s="29" t="s">
        <v>17</v>
      </c>
      <c r="C23" s="73" t="s">
        <v>16</v>
      </c>
      <c r="D23" s="73">
        <v>4.82</v>
      </c>
      <c r="E23" s="32">
        <v>25000.0</v>
      </c>
      <c r="F23" s="32">
        <f>D23*H26</f>
        <v>0</v>
      </c>
      <c r="G23" s="33" t="s">
        <v>10</v>
      </c>
      <c r="H23" s="361"/>
      <c r="I23" s="42" t="b">
        <v>0</v>
      </c>
      <c r="J23" s="85">
        <v>46191.0</v>
      </c>
      <c r="K23" s="72">
        <v>13.0</v>
      </c>
      <c r="L23" s="64" t="s">
        <v>85</v>
      </c>
      <c r="M23" s="75" t="s">
        <v>129</v>
      </c>
      <c r="N23" s="75">
        <v>1.0</v>
      </c>
      <c r="O23" s="74">
        <v>60000.0</v>
      </c>
      <c r="P23" s="67">
        <v>60000.0</v>
      </c>
      <c r="Q23" s="64" t="s">
        <v>90</v>
      </c>
      <c r="R23" s="76"/>
      <c r="S23" s="45"/>
      <c r="T23" s="84" t="b">
        <v>1</v>
      </c>
      <c r="U23" s="5"/>
      <c r="W23" s="296" t="s">
        <v>341</v>
      </c>
      <c r="X23" s="360">
        <f>X22-X21</f>
        <v>360658</v>
      </c>
      <c r="Y23" s="340"/>
      <c r="Z23" s="340"/>
    </row>
    <row r="24">
      <c r="A24" s="112">
        <v>46182.0</v>
      </c>
      <c r="B24" s="29" t="s">
        <v>17</v>
      </c>
      <c r="C24" s="73" t="s">
        <v>140</v>
      </c>
      <c r="D24" s="73">
        <v>50.0</v>
      </c>
      <c r="E24" s="32">
        <v>25000.0</v>
      </c>
      <c r="F24" s="32">
        <f t="shared" ref="F24:F103" si="4">D24*E24</f>
        <v>1250000</v>
      </c>
      <c r="G24" s="33" t="s">
        <v>10</v>
      </c>
      <c r="H24" s="189"/>
      <c r="I24" s="42" t="b">
        <v>0</v>
      </c>
      <c r="J24" s="85">
        <v>46192.0</v>
      </c>
      <c r="K24" s="72">
        <v>14.0</v>
      </c>
      <c r="L24" s="64" t="s">
        <v>111</v>
      </c>
      <c r="M24" s="75" t="s">
        <v>450</v>
      </c>
      <c r="N24" s="29">
        <v>1.0</v>
      </c>
      <c r="O24" s="74">
        <v>326347.0</v>
      </c>
      <c r="P24" s="67">
        <v>326347.0</v>
      </c>
      <c r="Q24" s="75" t="s">
        <v>449</v>
      </c>
      <c r="R24" s="76"/>
      <c r="S24" s="45"/>
      <c r="T24" s="84" t="b">
        <v>1</v>
      </c>
      <c r="U24" s="45"/>
    </row>
    <row r="25">
      <c r="A25" s="112">
        <v>46182.0</v>
      </c>
      <c r="B25" s="29" t="s">
        <v>17</v>
      </c>
      <c r="C25" s="73" t="s">
        <v>258</v>
      </c>
      <c r="D25" s="73">
        <v>1.0</v>
      </c>
      <c r="E25" s="32">
        <v>25000.0</v>
      </c>
      <c r="F25" s="32">
        <f t="shared" si="4"/>
        <v>25000</v>
      </c>
      <c r="G25" s="33" t="s">
        <v>10</v>
      </c>
      <c r="H25" s="189"/>
      <c r="I25" s="42" t="b">
        <v>0</v>
      </c>
      <c r="J25" s="85">
        <v>46195.0</v>
      </c>
      <c r="K25" s="72">
        <v>15.0</v>
      </c>
      <c r="L25" s="64" t="s">
        <v>111</v>
      </c>
      <c r="M25" s="75" t="s">
        <v>112</v>
      </c>
      <c r="N25" s="29">
        <v>2.0</v>
      </c>
      <c r="O25" s="74">
        <v>201900.0</v>
      </c>
      <c r="P25" s="67">
        <v>403800.0</v>
      </c>
      <c r="Q25" s="75" t="s">
        <v>111</v>
      </c>
      <c r="R25" s="76"/>
      <c r="S25" s="45"/>
      <c r="T25" s="84" t="b">
        <v>1</v>
      </c>
      <c r="U25" s="45"/>
    </row>
    <row r="26">
      <c r="A26" s="112">
        <v>46182.0</v>
      </c>
      <c r="B26" s="29" t="s">
        <v>17</v>
      </c>
      <c r="C26" s="73" t="s">
        <v>50</v>
      </c>
      <c r="D26" s="73">
        <v>1.0</v>
      </c>
      <c r="E26" s="32">
        <v>25000.0</v>
      </c>
      <c r="F26" s="32">
        <f t="shared" si="4"/>
        <v>25000</v>
      </c>
      <c r="G26" s="33" t="s">
        <v>10</v>
      </c>
      <c r="H26" s="189"/>
      <c r="I26" s="42" t="b">
        <v>0</v>
      </c>
      <c r="J26" s="85">
        <v>46195.0</v>
      </c>
      <c r="K26" s="72">
        <v>16.0</v>
      </c>
      <c r="L26" s="64" t="s">
        <v>439</v>
      </c>
      <c r="M26" s="75" t="s">
        <v>459</v>
      </c>
      <c r="N26" s="29">
        <v>1.0</v>
      </c>
      <c r="O26" s="74">
        <v>702500.0</v>
      </c>
      <c r="P26" s="67">
        <v>702500.0</v>
      </c>
      <c r="Q26" s="75" t="s">
        <v>436</v>
      </c>
      <c r="R26" s="76"/>
      <c r="S26" s="45"/>
      <c r="T26" s="84" t="b">
        <v>1</v>
      </c>
      <c r="U26" s="45"/>
    </row>
    <row r="27">
      <c r="A27" s="112">
        <v>46182.0</v>
      </c>
      <c r="B27" s="29" t="s">
        <v>17</v>
      </c>
      <c r="C27" s="73" t="s">
        <v>253</v>
      </c>
      <c r="D27" s="73">
        <v>6.0</v>
      </c>
      <c r="E27" s="32">
        <v>25000.0</v>
      </c>
      <c r="F27" s="32">
        <f t="shared" si="4"/>
        <v>150000</v>
      </c>
      <c r="G27" s="33" t="s">
        <v>10</v>
      </c>
      <c r="H27" s="189"/>
      <c r="I27" s="42" t="b">
        <v>0</v>
      </c>
      <c r="J27" s="85">
        <v>46195.0</v>
      </c>
      <c r="K27" s="72">
        <v>16.0</v>
      </c>
      <c r="L27" s="64" t="s">
        <v>439</v>
      </c>
      <c r="M27" s="75" t="s">
        <v>457</v>
      </c>
      <c r="N27" s="29">
        <v>1.0</v>
      </c>
      <c r="O27" s="74">
        <v>750000.0</v>
      </c>
      <c r="P27" s="67">
        <v>750000.0</v>
      </c>
      <c r="Q27" s="75" t="s">
        <v>436</v>
      </c>
      <c r="R27" s="76"/>
      <c r="S27" s="45"/>
      <c r="T27" s="84" t="b">
        <v>1</v>
      </c>
      <c r="U27" s="45"/>
    </row>
    <row r="28">
      <c r="A28" s="112">
        <v>46182.0</v>
      </c>
      <c r="B28" s="29" t="s">
        <v>17</v>
      </c>
      <c r="C28" s="73" t="s">
        <v>54</v>
      </c>
      <c r="D28" s="73">
        <v>5.0</v>
      </c>
      <c r="E28" s="32">
        <v>25000.0</v>
      </c>
      <c r="F28" s="32">
        <f t="shared" si="4"/>
        <v>125000</v>
      </c>
      <c r="G28" s="33" t="s">
        <v>10</v>
      </c>
      <c r="H28" s="189"/>
      <c r="I28" s="42" t="b">
        <v>0</v>
      </c>
      <c r="J28" s="85">
        <v>46195.0</v>
      </c>
      <c r="K28" s="72">
        <v>17.0</v>
      </c>
      <c r="L28" s="64" t="s">
        <v>103</v>
      </c>
      <c r="M28" s="75" t="s">
        <v>438</v>
      </c>
      <c r="N28" s="29">
        <v>4.0</v>
      </c>
      <c r="O28" s="74">
        <v>550000.0</v>
      </c>
      <c r="P28" s="67">
        <v>2200000.0</v>
      </c>
      <c r="Q28" s="75" t="s">
        <v>442</v>
      </c>
      <c r="R28" s="76"/>
      <c r="S28" s="45"/>
      <c r="T28" s="84" t="b">
        <v>1</v>
      </c>
      <c r="U28" s="45"/>
    </row>
    <row r="29">
      <c r="A29" s="112">
        <v>46182.0</v>
      </c>
      <c r="B29" s="29" t="s">
        <v>17</v>
      </c>
      <c r="C29" s="73" t="s">
        <v>16</v>
      </c>
      <c r="D29" s="73">
        <v>2.96</v>
      </c>
      <c r="E29" s="32">
        <v>25000.0</v>
      </c>
      <c r="F29" s="32">
        <f t="shared" si="4"/>
        <v>74000</v>
      </c>
      <c r="G29" s="33" t="s">
        <v>10</v>
      </c>
      <c r="H29" s="189"/>
      <c r="I29" s="42" t="b">
        <v>0</v>
      </c>
      <c r="J29" s="85">
        <v>46195.0</v>
      </c>
      <c r="K29" s="72">
        <v>17.0</v>
      </c>
      <c r="L29" s="64" t="s">
        <v>103</v>
      </c>
      <c r="M29" s="75" t="s">
        <v>108</v>
      </c>
      <c r="N29" s="29">
        <v>20.0</v>
      </c>
      <c r="O29" s="74">
        <v>225000.0</v>
      </c>
      <c r="P29" s="67">
        <v>4500000.0</v>
      </c>
      <c r="Q29" s="64" t="s">
        <v>442</v>
      </c>
      <c r="R29" s="76"/>
      <c r="S29" s="45"/>
      <c r="T29" s="84" t="b">
        <v>1</v>
      </c>
      <c r="U29" s="45"/>
      <c r="W29" s="345" t="s">
        <v>490</v>
      </c>
    </row>
    <row r="30">
      <c r="A30" s="112">
        <v>46182.0</v>
      </c>
      <c r="B30" s="29" t="s">
        <v>17</v>
      </c>
      <c r="C30" s="73" t="s">
        <v>259</v>
      </c>
      <c r="D30" s="73">
        <v>1.0</v>
      </c>
      <c r="E30" s="32">
        <v>25000.0</v>
      </c>
      <c r="F30" s="32">
        <f t="shared" si="4"/>
        <v>25000</v>
      </c>
      <c r="G30" s="33" t="s">
        <v>10</v>
      </c>
      <c r="H30" s="189"/>
      <c r="I30" s="42" t="b">
        <v>0</v>
      </c>
      <c r="J30" s="85">
        <v>46196.0</v>
      </c>
      <c r="K30" s="72">
        <v>18.0</v>
      </c>
      <c r="L30" s="64" t="s">
        <v>85</v>
      </c>
      <c r="M30" s="73" t="s">
        <v>129</v>
      </c>
      <c r="N30" s="29">
        <v>1.0</v>
      </c>
      <c r="O30" s="74">
        <v>39000.0</v>
      </c>
      <c r="P30" s="67">
        <v>39000.0</v>
      </c>
      <c r="Q30" s="75" t="s">
        <v>90</v>
      </c>
      <c r="R30" s="76"/>
      <c r="S30" s="45"/>
      <c r="T30" s="84" t="b">
        <v>1</v>
      </c>
      <c r="U30" s="5"/>
    </row>
    <row r="31">
      <c r="A31" s="112">
        <v>46182.0</v>
      </c>
      <c r="B31" s="29" t="s">
        <v>17</v>
      </c>
      <c r="C31" s="73" t="s">
        <v>260</v>
      </c>
      <c r="D31" s="73">
        <v>1.0</v>
      </c>
      <c r="E31" s="32">
        <v>25000.0</v>
      </c>
      <c r="F31" s="32">
        <f t="shared" si="4"/>
        <v>25000</v>
      </c>
      <c r="G31" s="33" t="s">
        <v>10</v>
      </c>
      <c r="H31" s="189"/>
      <c r="I31" s="42" t="b">
        <v>0</v>
      </c>
      <c r="J31" s="85">
        <v>46196.0</v>
      </c>
      <c r="K31" s="72">
        <v>19.0</v>
      </c>
      <c r="L31" s="64" t="s">
        <v>103</v>
      </c>
      <c r="M31" s="75" t="s">
        <v>106</v>
      </c>
      <c r="N31" s="29">
        <v>20.0</v>
      </c>
      <c r="O31" s="74">
        <v>80000.0</v>
      </c>
      <c r="P31" s="67">
        <v>1600000.0</v>
      </c>
      <c r="Q31" s="64" t="s">
        <v>442</v>
      </c>
      <c r="R31" s="76"/>
      <c r="S31" s="45"/>
      <c r="T31" s="84" t="b">
        <v>1</v>
      </c>
      <c r="U31" s="45"/>
    </row>
    <row r="32">
      <c r="A32" s="112">
        <v>46182.0</v>
      </c>
      <c r="B32" s="29" t="s">
        <v>27</v>
      </c>
      <c r="C32" s="73" t="s">
        <v>16</v>
      </c>
      <c r="D32" s="73">
        <v>1.68</v>
      </c>
      <c r="E32" s="32">
        <v>25000.0</v>
      </c>
      <c r="F32" s="32">
        <f t="shared" si="4"/>
        <v>42000</v>
      </c>
      <c r="G32" s="33" t="s">
        <v>10</v>
      </c>
      <c r="H32" s="189"/>
      <c r="I32" s="42" t="b">
        <v>0</v>
      </c>
      <c r="J32" s="85">
        <v>46198.0</v>
      </c>
      <c r="K32" s="72">
        <v>20.0</v>
      </c>
      <c r="L32" s="64" t="s">
        <v>85</v>
      </c>
      <c r="M32" s="75" t="s">
        <v>115</v>
      </c>
      <c r="N32" s="29">
        <v>1.0</v>
      </c>
      <c r="O32" s="74">
        <v>100000.0</v>
      </c>
      <c r="P32" s="67">
        <v>100000.0</v>
      </c>
      <c r="Q32" s="64" t="s">
        <v>436</v>
      </c>
      <c r="R32" s="76"/>
      <c r="S32" s="45"/>
      <c r="T32" s="84" t="b">
        <v>1</v>
      </c>
      <c r="U32" s="45"/>
    </row>
    <row r="33">
      <c r="A33" s="112">
        <v>46182.0</v>
      </c>
      <c r="B33" s="29" t="s">
        <v>8</v>
      </c>
      <c r="C33" s="73" t="s">
        <v>140</v>
      </c>
      <c r="D33" s="73">
        <v>2.0</v>
      </c>
      <c r="E33" s="32">
        <v>25000.0</v>
      </c>
      <c r="F33" s="32">
        <f t="shared" si="4"/>
        <v>50000</v>
      </c>
      <c r="G33" s="33" t="s">
        <v>10</v>
      </c>
      <c r="H33" s="189"/>
      <c r="I33" s="41" t="b">
        <v>1</v>
      </c>
      <c r="J33" s="85">
        <v>46199.0</v>
      </c>
      <c r="K33" s="72">
        <v>21.0</v>
      </c>
      <c r="L33" s="64" t="s">
        <v>111</v>
      </c>
      <c r="M33" s="75" t="s">
        <v>112</v>
      </c>
      <c r="N33" s="29">
        <v>2.0</v>
      </c>
      <c r="O33" s="74">
        <v>201900.0</v>
      </c>
      <c r="P33" s="67">
        <v>403800.0</v>
      </c>
      <c r="Q33" s="64" t="s">
        <v>111</v>
      </c>
      <c r="R33" s="76"/>
      <c r="S33" s="45"/>
      <c r="T33" s="84" t="b">
        <v>1</v>
      </c>
      <c r="U33" s="45"/>
    </row>
    <row r="34">
      <c r="A34" s="112">
        <v>46182.0</v>
      </c>
      <c r="B34" s="29" t="s">
        <v>8</v>
      </c>
      <c r="C34" s="73" t="s">
        <v>141</v>
      </c>
      <c r="D34" s="73">
        <v>3.0</v>
      </c>
      <c r="E34" s="32">
        <v>25000.0</v>
      </c>
      <c r="F34" s="32">
        <f t="shared" si="4"/>
        <v>75000</v>
      </c>
      <c r="G34" s="33" t="s">
        <v>10</v>
      </c>
      <c r="H34" s="189"/>
      <c r="I34" s="42" t="b">
        <v>0</v>
      </c>
      <c r="J34" s="85">
        <v>46202.0</v>
      </c>
      <c r="K34" s="72">
        <v>22.0</v>
      </c>
      <c r="L34" s="64" t="s">
        <v>439</v>
      </c>
      <c r="M34" s="75" t="s">
        <v>459</v>
      </c>
      <c r="N34" s="29">
        <v>1.0</v>
      </c>
      <c r="O34" s="74">
        <v>702500.0</v>
      </c>
      <c r="P34" s="67">
        <v>702500.0</v>
      </c>
      <c r="Q34" s="64" t="s">
        <v>436</v>
      </c>
      <c r="R34" s="76"/>
      <c r="S34" s="45"/>
      <c r="T34" s="84" t="b">
        <v>1</v>
      </c>
      <c r="U34" s="45"/>
    </row>
    <row r="35">
      <c r="A35" s="112">
        <v>46182.0</v>
      </c>
      <c r="B35" s="29" t="s">
        <v>8</v>
      </c>
      <c r="C35" s="73" t="s">
        <v>143</v>
      </c>
      <c r="D35" s="73">
        <v>3.0</v>
      </c>
      <c r="E35" s="32">
        <v>25000.0</v>
      </c>
      <c r="F35" s="32">
        <f t="shared" si="4"/>
        <v>75000</v>
      </c>
      <c r="G35" s="33" t="s">
        <v>10</v>
      </c>
      <c r="H35" s="189"/>
      <c r="I35" s="42" t="b">
        <v>0</v>
      </c>
      <c r="J35" s="85">
        <v>46202.0</v>
      </c>
      <c r="K35" s="72">
        <v>22.0</v>
      </c>
      <c r="L35" s="64" t="s">
        <v>439</v>
      </c>
      <c r="M35" s="75" t="s">
        <v>457</v>
      </c>
      <c r="N35" s="29">
        <v>1.0</v>
      </c>
      <c r="O35" s="74">
        <v>750000.0</v>
      </c>
      <c r="P35" s="67">
        <v>750000.0</v>
      </c>
      <c r="Q35" s="75" t="s">
        <v>436</v>
      </c>
      <c r="R35" s="76"/>
      <c r="S35" s="45"/>
      <c r="T35" s="84" t="b">
        <v>1</v>
      </c>
      <c r="U35" s="5"/>
    </row>
    <row r="36">
      <c r="A36" s="112">
        <v>46182.0</v>
      </c>
      <c r="B36" s="29" t="s">
        <v>8</v>
      </c>
      <c r="C36" s="73" t="s">
        <v>144</v>
      </c>
      <c r="D36" s="73">
        <v>3.0</v>
      </c>
      <c r="E36" s="32">
        <v>25000.0</v>
      </c>
      <c r="F36" s="32">
        <f t="shared" si="4"/>
        <v>75000</v>
      </c>
      <c r="G36" s="33" t="s">
        <v>10</v>
      </c>
      <c r="H36" s="189"/>
      <c r="I36" s="42" t="b">
        <v>0</v>
      </c>
      <c r="J36" s="85">
        <v>46203.0</v>
      </c>
      <c r="K36" s="72">
        <v>23.0</v>
      </c>
      <c r="L36" s="64" t="s">
        <v>111</v>
      </c>
      <c r="M36" s="75" t="s">
        <v>112</v>
      </c>
      <c r="N36" s="75">
        <v>1.0</v>
      </c>
      <c r="O36" s="74">
        <v>201900.0</v>
      </c>
      <c r="P36" s="67">
        <v>201900.0</v>
      </c>
      <c r="Q36" s="64" t="s">
        <v>111</v>
      </c>
      <c r="R36" s="76"/>
      <c r="S36" s="45"/>
      <c r="T36" s="84" t="b">
        <v>1</v>
      </c>
      <c r="U36" s="45"/>
    </row>
    <row r="37">
      <c r="A37" s="112">
        <v>46182.0</v>
      </c>
      <c r="B37" s="29" t="s">
        <v>8</v>
      </c>
      <c r="C37" s="73" t="s">
        <v>16</v>
      </c>
      <c r="D37" s="73">
        <v>0.1</v>
      </c>
      <c r="E37" s="32">
        <v>25000.0</v>
      </c>
      <c r="F37" s="32">
        <f t="shared" si="4"/>
        <v>2500</v>
      </c>
      <c r="G37" s="33" t="s">
        <v>10</v>
      </c>
      <c r="H37" s="189"/>
      <c r="I37" s="42" t="b">
        <v>0</v>
      </c>
      <c r="J37" s="85">
        <v>46205.0</v>
      </c>
      <c r="K37" s="72">
        <v>24.0</v>
      </c>
      <c r="L37" s="64" t="s">
        <v>103</v>
      </c>
      <c r="M37" s="75" t="s">
        <v>106</v>
      </c>
      <c r="N37" s="75">
        <v>20.0</v>
      </c>
      <c r="O37" s="74">
        <v>80000.0</v>
      </c>
      <c r="P37" s="67">
        <v>1600000.0</v>
      </c>
      <c r="Q37" s="64" t="s">
        <v>442</v>
      </c>
      <c r="R37" s="76"/>
      <c r="S37" s="45"/>
      <c r="T37" s="84" t="b">
        <v>1</v>
      </c>
      <c r="U37" s="45"/>
    </row>
    <row r="38">
      <c r="A38" s="112">
        <v>46182.0</v>
      </c>
      <c r="B38" s="29" t="s">
        <v>8</v>
      </c>
      <c r="C38" s="73" t="s">
        <v>137</v>
      </c>
      <c r="D38" s="73">
        <v>3.0</v>
      </c>
      <c r="E38" s="32">
        <v>25000.0</v>
      </c>
      <c r="F38" s="32">
        <f t="shared" si="4"/>
        <v>75000</v>
      </c>
      <c r="G38" s="33" t="s">
        <v>10</v>
      </c>
      <c r="H38" s="189"/>
      <c r="I38" s="42" t="b">
        <v>0</v>
      </c>
      <c r="J38" s="85">
        <v>46205.0</v>
      </c>
      <c r="K38" s="72">
        <v>25.0</v>
      </c>
      <c r="L38" s="64" t="s">
        <v>111</v>
      </c>
      <c r="M38" s="75" t="s">
        <v>112</v>
      </c>
      <c r="N38" s="75">
        <v>1.0</v>
      </c>
      <c r="O38" s="74">
        <v>201900.0</v>
      </c>
      <c r="P38" s="67">
        <v>201900.0</v>
      </c>
      <c r="Q38" s="64" t="s">
        <v>111</v>
      </c>
      <c r="R38" s="76"/>
      <c r="S38" s="45"/>
      <c r="T38" s="84" t="b">
        <v>1</v>
      </c>
      <c r="U38" s="45"/>
    </row>
    <row r="39">
      <c r="A39" s="112">
        <v>46182.0</v>
      </c>
      <c r="B39" s="29" t="s">
        <v>36</v>
      </c>
      <c r="C39" s="73" t="s">
        <v>29</v>
      </c>
      <c r="D39" s="73">
        <v>1.0</v>
      </c>
      <c r="E39" s="32">
        <v>25000.0</v>
      </c>
      <c r="F39" s="32">
        <f t="shared" si="4"/>
        <v>25000</v>
      </c>
      <c r="G39" s="33" t="s">
        <v>10</v>
      </c>
      <c r="H39" s="189"/>
      <c r="I39" s="41" t="b">
        <v>1</v>
      </c>
      <c r="J39" s="85">
        <v>46206.0</v>
      </c>
      <c r="K39" s="72">
        <v>26.0</v>
      </c>
      <c r="L39" s="64" t="s">
        <v>111</v>
      </c>
      <c r="M39" s="75" t="s">
        <v>443</v>
      </c>
      <c r="N39" s="75">
        <v>1.0</v>
      </c>
      <c r="O39" s="74">
        <v>899882.0</v>
      </c>
      <c r="P39" s="67">
        <v>899882.0</v>
      </c>
      <c r="Q39" s="64" t="s">
        <v>451</v>
      </c>
      <c r="R39" s="76"/>
      <c r="S39" s="45"/>
      <c r="T39" s="84" t="b">
        <v>1</v>
      </c>
      <c r="U39" s="45"/>
    </row>
    <row r="40">
      <c r="A40" s="112">
        <v>46182.0</v>
      </c>
      <c r="B40" s="29" t="s">
        <v>36</v>
      </c>
      <c r="C40" s="73" t="s">
        <v>75</v>
      </c>
      <c r="D40" s="73">
        <v>3.0</v>
      </c>
      <c r="E40" s="32">
        <v>25000.0</v>
      </c>
      <c r="F40" s="32">
        <f t="shared" si="4"/>
        <v>75000</v>
      </c>
      <c r="G40" s="33" t="s">
        <v>10</v>
      </c>
      <c r="H40" s="189"/>
      <c r="I40" s="42" t="b">
        <v>0</v>
      </c>
      <c r="J40" s="85">
        <v>46207.0</v>
      </c>
      <c r="K40" s="72">
        <v>27.0</v>
      </c>
      <c r="L40" s="64" t="s">
        <v>85</v>
      </c>
      <c r="M40" s="75" t="s">
        <v>445</v>
      </c>
      <c r="N40" s="29">
        <v>1.0</v>
      </c>
      <c r="O40" s="74">
        <v>200000.0</v>
      </c>
      <c r="P40" s="67">
        <v>200000.0</v>
      </c>
      <c r="Q40" s="75" t="s">
        <v>458</v>
      </c>
      <c r="R40" s="76"/>
      <c r="S40" s="45"/>
      <c r="T40" s="84" t="b">
        <v>1</v>
      </c>
      <c r="U40" s="45"/>
    </row>
    <row r="41">
      <c r="A41" s="112">
        <v>46183.0</v>
      </c>
      <c r="B41" s="29" t="s">
        <v>8</v>
      </c>
      <c r="C41" s="73" t="s">
        <v>137</v>
      </c>
      <c r="D41" s="73">
        <v>6.0</v>
      </c>
      <c r="E41" s="32">
        <v>25000.0</v>
      </c>
      <c r="F41" s="32">
        <f t="shared" si="4"/>
        <v>150000</v>
      </c>
      <c r="G41" s="33" t="s">
        <v>10</v>
      </c>
      <c r="H41" s="189"/>
      <c r="I41" s="42" t="b">
        <v>0</v>
      </c>
      <c r="J41" s="85">
        <v>46207.0</v>
      </c>
      <c r="K41" s="72">
        <v>28.0</v>
      </c>
      <c r="L41" s="64" t="s">
        <v>85</v>
      </c>
      <c r="M41" s="75" t="s">
        <v>448</v>
      </c>
      <c r="N41" s="29">
        <v>1.0</v>
      </c>
      <c r="O41" s="74">
        <v>43000.0</v>
      </c>
      <c r="P41" s="67">
        <v>43000.0</v>
      </c>
      <c r="Q41" s="75" t="s">
        <v>440</v>
      </c>
      <c r="R41" s="76"/>
      <c r="S41" s="45"/>
      <c r="T41" s="84" t="b">
        <v>1</v>
      </c>
      <c r="U41" s="45"/>
    </row>
    <row r="42">
      <c r="A42" s="112">
        <v>46183.0</v>
      </c>
      <c r="B42" s="29" t="s">
        <v>8</v>
      </c>
      <c r="C42" s="73" t="s">
        <v>138</v>
      </c>
      <c r="D42" s="73">
        <v>3.0</v>
      </c>
      <c r="E42" s="32">
        <v>25000.0</v>
      </c>
      <c r="F42" s="32">
        <f t="shared" si="4"/>
        <v>75000</v>
      </c>
      <c r="G42" s="33" t="s">
        <v>10</v>
      </c>
      <c r="H42" s="189"/>
      <c r="I42" s="42" t="b">
        <v>0</v>
      </c>
      <c r="J42" s="85">
        <v>46207.0</v>
      </c>
      <c r="K42" s="72">
        <v>29.0</v>
      </c>
      <c r="L42" s="64" t="s">
        <v>85</v>
      </c>
      <c r="M42" s="75" t="s">
        <v>437</v>
      </c>
      <c r="N42" s="75">
        <v>1.0</v>
      </c>
      <c r="O42" s="74">
        <v>367900.0</v>
      </c>
      <c r="P42" s="67">
        <v>367900.0</v>
      </c>
      <c r="Q42" s="64" t="s">
        <v>99</v>
      </c>
      <c r="R42" s="76"/>
      <c r="S42" s="45"/>
      <c r="T42" s="84" t="b">
        <v>1</v>
      </c>
      <c r="U42" s="358"/>
    </row>
    <row r="43">
      <c r="A43" s="112">
        <v>46183.0</v>
      </c>
      <c r="B43" s="29" t="s">
        <v>8</v>
      </c>
      <c r="C43" s="73" t="s">
        <v>16</v>
      </c>
      <c r="D43" s="73">
        <v>0.1</v>
      </c>
      <c r="E43" s="32">
        <v>25000.0</v>
      </c>
      <c r="F43" s="32">
        <f t="shared" si="4"/>
        <v>2500</v>
      </c>
      <c r="G43" s="33" t="s">
        <v>10</v>
      </c>
      <c r="H43" s="189"/>
      <c r="I43" s="42" t="b">
        <v>0</v>
      </c>
      <c r="J43" s="85">
        <v>46208.0</v>
      </c>
      <c r="K43" s="72">
        <v>30.0</v>
      </c>
      <c r="L43" s="64" t="s">
        <v>111</v>
      </c>
      <c r="M43" s="73" t="s">
        <v>112</v>
      </c>
      <c r="N43" s="29">
        <v>1.0</v>
      </c>
      <c r="O43" s="74">
        <v>201900.0</v>
      </c>
      <c r="P43" s="67">
        <v>201900.0</v>
      </c>
      <c r="Q43" s="75" t="s">
        <v>111</v>
      </c>
      <c r="R43" s="76"/>
      <c r="S43" s="45"/>
      <c r="T43" s="84" t="b">
        <v>1</v>
      </c>
      <c r="U43" s="45"/>
    </row>
    <row r="44">
      <c r="A44" s="112">
        <v>46183.0</v>
      </c>
      <c r="B44" s="29" t="s">
        <v>27</v>
      </c>
      <c r="C44" s="73" t="s">
        <v>57</v>
      </c>
      <c r="D44" s="73">
        <v>5.0</v>
      </c>
      <c r="E44" s="32">
        <v>25000.0</v>
      </c>
      <c r="F44" s="32">
        <f t="shared" si="4"/>
        <v>125000</v>
      </c>
      <c r="G44" s="33" t="s">
        <v>10</v>
      </c>
      <c r="H44" s="189"/>
      <c r="I44" s="42" t="b">
        <v>0</v>
      </c>
      <c r="J44" s="85">
        <v>46208.0</v>
      </c>
      <c r="K44" s="72">
        <v>31.0</v>
      </c>
      <c r="L44" s="64" t="s">
        <v>439</v>
      </c>
      <c r="M44" s="73" t="s">
        <v>459</v>
      </c>
      <c r="N44" s="29">
        <v>1.0</v>
      </c>
      <c r="O44" s="74">
        <v>702500.0</v>
      </c>
      <c r="P44" s="67">
        <v>702500.0</v>
      </c>
      <c r="Q44" s="75" t="s">
        <v>436</v>
      </c>
      <c r="R44" s="76"/>
      <c r="S44" s="45"/>
      <c r="T44" s="84" t="b">
        <v>1</v>
      </c>
      <c r="U44" s="45"/>
    </row>
    <row r="45">
      <c r="A45" s="112">
        <v>46183.0</v>
      </c>
      <c r="B45" s="29" t="s">
        <v>27</v>
      </c>
      <c r="C45" s="73" t="s">
        <v>75</v>
      </c>
      <c r="D45" s="73">
        <v>20.0</v>
      </c>
      <c r="E45" s="32">
        <v>25000.0</v>
      </c>
      <c r="F45" s="32">
        <f t="shared" si="4"/>
        <v>500000</v>
      </c>
      <c r="G45" s="33" t="s">
        <v>10</v>
      </c>
      <c r="H45" s="189"/>
      <c r="I45" s="42" t="b">
        <v>0</v>
      </c>
      <c r="J45" s="85">
        <v>46208.0</v>
      </c>
      <c r="K45" s="72">
        <v>31.0</v>
      </c>
      <c r="L45" s="64" t="s">
        <v>439</v>
      </c>
      <c r="M45" s="75" t="s">
        <v>457</v>
      </c>
      <c r="N45" s="29">
        <v>1.0</v>
      </c>
      <c r="O45" s="74">
        <v>750000.0</v>
      </c>
      <c r="P45" s="67">
        <v>750000.0</v>
      </c>
      <c r="Q45" s="75" t="s">
        <v>436</v>
      </c>
      <c r="R45" s="76"/>
      <c r="S45" s="45"/>
      <c r="T45" s="84" t="b">
        <v>1</v>
      </c>
      <c r="U45" s="31"/>
    </row>
    <row r="46">
      <c r="A46" s="112">
        <v>46183.0</v>
      </c>
      <c r="B46" s="29" t="s">
        <v>27</v>
      </c>
      <c r="C46" s="73" t="s">
        <v>16</v>
      </c>
      <c r="D46" s="73">
        <v>1.56</v>
      </c>
      <c r="E46" s="32">
        <v>25000.0</v>
      </c>
      <c r="F46" s="32">
        <f t="shared" si="4"/>
        <v>39000</v>
      </c>
      <c r="G46" s="33" t="s">
        <v>10</v>
      </c>
      <c r="H46" s="189"/>
      <c r="U46" s="31"/>
    </row>
    <row r="47">
      <c r="A47" s="112">
        <v>46183.0</v>
      </c>
      <c r="B47" s="29" t="s">
        <v>27</v>
      </c>
      <c r="C47" s="73" t="s">
        <v>67</v>
      </c>
      <c r="D47" s="73">
        <v>1.0</v>
      </c>
      <c r="E47" s="32">
        <v>25000.0</v>
      </c>
      <c r="F47" s="32">
        <f t="shared" si="4"/>
        <v>25000</v>
      </c>
      <c r="G47" s="33" t="s">
        <v>10</v>
      </c>
      <c r="H47" s="189"/>
      <c r="U47" s="45"/>
    </row>
    <row r="48">
      <c r="A48" s="112">
        <v>46183.0</v>
      </c>
      <c r="B48" s="29" t="s">
        <v>27</v>
      </c>
      <c r="C48" s="73" t="s">
        <v>233</v>
      </c>
      <c r="D48" s="73">
        <v>1.0</v>
      </c>
      <c r="E48" s="32">
        <v>25000.0</v>
      </c>
      <c r="F48" s="32">
        <f t="shared" si="4"/>
        <v>25000</v>
      </c>
      <c r="G48" s="33" t="s">
        <v>10</v>
      </c>
      <c r="H48" s="189"/>
      <c r="J48" s="362" t="b">
        <v>1</v>
      </c>
      <c r="K48" s="363"/>
      <c r="L48" s="363"/>
      <c r="M48" s="363"/>
      <c r="N48" s="363"/>
      <c r="O48" s="364"/>
      <c r="P48" s="365">
        <f>SUM(P50:P98)</f>
        <v>1711309</v>
      </c>
      <c r="Q48" s="366"/>
      <c r="R48" s="367"/>
      <c r="S48" s="366"/>
      <c r="T48" s="368"/>
      <c r="U48" s="45"/>
    </row>
    <row r="49">
      <c r="A49" s="112">
        <v>46183.0</v>
      </c>
      <c r="B49" s="29" t="s">
        <v>17</v>
      </c>
      <c r="C49" s="73" t="s">
        <v>261</v>
      </c>
      <c r="D49" s="73">
        <v>3.0</v>
      </c>
      <c r="E49" s="32">
        <v>25000.0</v>
      </c>
      <c r="F49" s="32">
        <f t="shared" si="4"/>
        <v>75000</v>
      </c>
      <c r="G49" s="33" t="s">
        <v>10</v>
      </c>
      <c r="H49" s="189"/>
      <c r="J49" s="369" t="s">
        <v>1</v>
      </c>
      <c r="K49" s="369" t="s">
        <v>80</v>
      </c>
      <c r="L49" s="369" t="s">
        <v>81</v>
      </c>
      <c r="M49" s="369" t="s">
        <v>82</v>
      </c>
      <c r="N49" s="369" t="s">
        <v>83</v>
      </c>
      <c r="O49" s="370" t="s">
        <v>5</v>
      </c>
      <c r="P49" s="370" t="s">
        <v>6</v>
      </c>
      <c r="Q49" s="369" t="s">
        <v>84</v>
      </c>
      <c r="R49" s="371"/>
      <c r="S49" s="372"/>
      <c r="T49" s="373" t="b">
        <v>1</v>
      </c>
      <c r="U49" s="45"/>
    </row>
    <row r="50">
      <c r="A50" s="112">
        <v>46183.0</v>
      </c>
      <c r="B50" s="29" t="s">
        <v>17</v>
      </c>
      <c r="C50" s="73" t="s">
        <v>253</v>
      </c>
      <c r="D50" s="73">
        <v>10.0</v>
      </c>
      <c r="E50" s="32">
        <v>25000.0</v>
      </c>
      <c r="F50" s="32">
        <f t="shared" si="4"/>
        <v>250000</v>
      </c>
      <c r="G50" s="33" t="s">
        <v>10</v>
      </c>
      <c r="H50" s="189"/>
      <c r="J50" s="85">
        <v>46181.0</v>
      </c>
      <c r="K50" s="72">
        <v>1.0</v>
      </c>
      <c r="L50" s="64" t="s">
        <v>85</v>
      </c>
      <c r="M50" s="75" t="s">
        <v>86</v>
      </c>
      <c r="N50" s="29">
        <v>1.0</v>
      </c>
      <c r="O50" s="374">
        <v>103000.0</v>
      </c>
      <c r="P50" s="67">
        <v>103000.0</v>
      </c>
      <c r="Q50" s="75" t="s">
        <v>87</v>
      </c>
      <c r="R50" s="375"/>
      <c r="S50" s="45"/>
      <c r="T50" s="45" t="b">
        <v>0</v>
      </c>
      <c r="U50" s="45"/>
    </row>
    <row r="51">
      <c r="A51" s="112">
        <v>46183.0</v>
      </c>
      <c r="B51" s="29" t="s">
        <v>17</v>
      </c>
      <c r="C51" s="73" t="s">
        <v>140</v>
      </c>
      <c r="D51" s="73">
        <v>45.0</v>
      </c>
      <c r="E51" s="32">
        <v>25000.0</v>
      </c>
      <c r="F51" s="32">
        <f t="shared" si="4"/>
        <v>1125000</v>
      </c>
      <c r="G51" s="33" t="s">
        <v>10</v>
      </c>
      <c r="H51" s="189"/>
      <c r="J51" s="85">
        <v>46181.0</v>
      </c>
      <c r="K51" s="376"/>
      <c r="L51" s="64" t="s">
        <v>85</v>
      </c>
      <c r="M51" s="75" t="s">
        <v>88</v>
      </c>
      <c r="N51" s="29">
        <v>1.0</v>
      </c>
      <c r="O51" s="374">
        <v>188000.0</v>
      </c>
      <c r="P51" s="67">
        <v>188000.0</v>
      </c>
      <c r="Q51" s="75" t="s">
        <v>87</v>
      </c>
      <c r="R51" s="377"/>
      <c r="S51" s="45"/>
      <c r="T51" s="45" t="b">
        <v>0</v>
      </c>
      <c r="U51" s="5"/>
    </row>
    <row r="52">
      <c r="A52" s="112">
        <v>46183.0</v>
      </c>
      <c r="B52" s="29" t="s">
        <v>17</v>
      </c>
      <c r="C52" s="73" t="s">
        <v>16</v>
      </c>
      <c r="D52" s="73">
        <v>2.81</v>
      </c>
      <c r="E52" s="32">
        <v>25000.0</v>
      </c>
      <c r="F52" s="32">
        <f t="shared" si="4"/>
        <v>70250</v>
      </c>
      <c r="G52" s="33" t="s">
        <v>10</v>
      </c>
      <c r="H52" s="189"/>
      <c r="J52" s="85">
        <v>46181.0</v>
      </c>
      <c r="K52" s="72">
        <v>2.0</v>
      </c>
      <c r="L52" s="64" t="s">
        <v>85</v>
      </c>
      <c r="M52" s="75" t="s">
        <v>89</v>
      </c>
      <c r="N52" s="29">
        <v>1.0</v>
      </c>
      <c r="O52" s="374">
        <v>150000.0</v>
      </c>
      <c r="P52" s="67">
        <v>150000.0</v>
      </c>
      <c r="Q52" s="75" t="s">
        <v>90</v>
      </c>
      <c r="R52" s="375"/>
      <c r="S52" s="45"/>
      <c r="T52" s="45" t="b">
        <v>0</v>
      </c>
      <c r="U52" s="42"/>
    </row>
    <row r="53">
      <c r="A53" s="112">
        <v>46183.0</v>
      </c>
      <c r="B53" s="29" t="s">
        <v>17</v>
      </c>
      <c r="C53" s="73" t="s">
        <v>258</v>
      </c>
      <c r="D53" s="73">
        <v>3.0</v>
      </c>
      <c r="E53" s="32">
        <v>25000.0</v>
      </c>
      <c r="F53" s="32">
        <f t="shared" si="4"/>
        <v>75000</v>
      </c>
      <c r="G53" s="33" t="s">
        <v>10</v>
      </c>
      <c r="H53" s="189"/>
      <c r="J53" s="85">
        <v>46181.0</v>
      </c>
      <c r="K53" s="72">
        <v>3.0</v>
      </c>
      <c r="L53" s="64" t="s">
        <v>85</v>
      </c>
      <c r="M53" s="75" t="s">
        <v>91</v>
      </c>
      <c r="N53" s="29">
        <v>3.0</v>
      </c>
      <c r="O53" s="74">
        <v>18000.0</v>
      </c>
      <c r="P53" s="67">
        <v>54000.0</v>
      </c>
      <c r="Q53" s="75" t="s">
        <v>92</v>
      </c>
      <c r="R53" s="375"/>
      <c r="S53" s="45"/>
      <c r="T53" s="45" t="b">
        <v>0</v>
      </c>
      <c r="U53" s="42"/>
    </row>
    <row r="54">
      <c r="A54" s="112">
        <v>46183.0</v>
      </c>
      <c r="B54" s="29" t="s">
        <v>17</v>
      </c>
      <c r="C54" s="73" t="s">
        <v>224</v>
      </c>
      <c r="D54" s="73">
        <v>1.0</v>
      </c>
      <c r="E54" s="32">
        <v>25000.0</v>
      </c>
      <c r="F54" s="32">
        <f t="shared" si="4"/>
        <v>25000</v>
      </c>
      <c r="G54" s="33" t="s">
        <v>10</v>
      </c>
      <c r="H54" s="189"/>
      <c r="J54" s="85">
        <v>46181.0</v>
      </c>
      <c r="K54" s="72">
        <v>4.0</v>
      </c>
      <c r="L54" s="64" t="s">
        <v>85</v>
      </c>
      <c r="M54" s="75" t="s">
        <v>93</v>
      </c>
      <c r="N54" s="29">
        <v>2.0</v>
      </c>
      <c r="O54" s="374">
        <v>12000.0</v>
      </c>
      <c r="P54" s="67">
        <v>24000.0</v>
      </c>
      <c r="Q54" s="75" t="s">
        <v>94</v>
      </c>
      <c r="R54" s="375"/>
      <c r="S54" s="45"/>
      <c r="T54" s="45" t="b">
        <v>0</v>
      </c>
      <c r="U54" s="57"/>
    </row>
    <row r="55">
      <c r="A55" s="112">
        <v>46183.0</v>
      </c>
      <c r="B55" s="29" t="s">
        <v>17</v>
      </c>
      <c r="C55" s="73" t="s">
        <v>139</v>
      </c>
      <c r="D55" s="73">
        <v>2.0</v>
      </c>
      <c r="E55" s="32">
        <v>25000.0</v>
      </c>
      <c r="F55" s="32">
        <f t="shared" si="4"/>
        <v>50000</v>
      </c>
      <c r="G55" s="33" t="s">
        <v>10</v>
      </c>
      <c r="H55" s="189"/>
      <c r="J55" s="85">
        <v>46181.0</v>
      </c>
      <c r="K55" s="72">
        <v>5.0</v>
      </c>
      <c r="L55" s="64" t="s">
        <v>85</v>
      </c>
      <c r="M55" s="75" t="s">
        <v>95</v>
      </c>
      <c r="N55" s="29">
        <v>1.0</v>
      </c>
      <c r="O55" s="374">
        <v>24000.0</v>
      </c>
      <c r="P55" s="67">
        <v>24000.0</v>
      </c>
      <c r="Q55" s="75" t="s">
        <v>94</v>
      </c>
      <c r="R55" s="377"/>
      <c r="S55" s="45"/>
      <c r="T55" s="45" t="b">
        <v>0</v>
      </c>
      <c r="U55" s="57"/>
    </row>
    <row r="56">
      <c r="A56" s="112">
        <v>46183.0</v>
      </c>
      <c r="B56" s="29" t="s">
        <v>17</v>
      </c>
      <c r="C56" s="73" t="s">
        <v>75</v>
      </c>
      <c r="D56" s="73">
        <v>1.0</v>
      </c>
      <c r="E56" s="32">
        <v>25000.0</v>
      </c>
      <c r="F56" s="32">
        <f t="shared" si="4"/>
        <v>25000</v>
      </c>
      <c r="G56" s="33" t="s">
        <v>10</v>
      </c>
      <c r="H56" s="189"/>
      <c r="J56" s="85">
        <v>46181.0</v>
      </c>
      <c r="K56" s="72">
        <v>6.0</v>
      </c>
      <c r="L56" s="64" t="s">
        <v>85</v>
      </c>
      <c r="M56" s="75" t="s">
        <v>96</v>
      </c>
      <c r="N56" s="29">
        <v>1.0</v>
      </c>
      <c r="O56" s="374">
        <v>470000.0</v>
      </c>
      <c r="P56" s="67">
        <v>470000.0</v>
      </c>
      <c r="Q56" s="75" t="s">
        <v>97</v>
      </c>
      <c r="R56" s="375"/>
      <c r="S56" s="45"/>
      <c r="T56" s="45" t="b">
        <v>0</v>
      </c>
      <c r="U56" s="57"/>
    </row>
    <row r="57">
      <c r="A57" s="112">
        <v>46184.0</v>
      </c>
      <c r="B57" s="29" t="s">
        <v>36</v>
      </c>
      <c r="C57" s="73" t="s">
        <v>224</v>
      </c>
      <c r="D57" s="73">
        <v>4.0</v>
      </c>
      <c r="E57" s="32">
        <v>25000.0</v>
      </c>
      <c r="F57" s="32">
        <f t="shared" si="4"/>
        <v>100000</v>
      </c>
      <c r="G57" s="33" t="s">
        <v>10</v>
      </c>
      <c r="H57" s="189"/>
      <c r="J57" s="85">
        <v>46182.0</v>
      </c>
      <c r="K57" s="72">
        <v>7.0</v>
      </c>
      <c r="L57" s="64" t="s">
        <v>85</v>
      </c>
      <c r="M57" s="75" t="s">
        <v>98</v>
      </c>
      <c r="N57" s="29">
        <v>1.0</v>
      </c>
      <c r="O57" s="374">
        <v>668309.0</v>
      </c>
      <c r="P57" s="67">
        <v>668309.0</v>
      </c>
      <c r="Q57" s="75" t="s">
        <v>99</v>
      </c>
      <c r="R57" s="375"/>
      <c r="S57" s="45"/>
      <c r="T57" s="45" t="b">
        <v>0</v>
      </c>
      <c r="U57" s="57"/>
    </row>
    <row r="58">
      <c r="A58" s="112">
        <v>46184.0</v>
      </c>
      <c r="B58" s="29" t="s">
        <v>36</v>
      </c>
      <c r="C58" s="73" t="s">
        <v>225</v>
      </c>
      <c r="D58" s="73">
        <v>1.0</v>
      </c>
      <c r="E58" s="32">
        <v>25000.0</v>
      </c>
      <c r="F58" s="32">
        <f t="shared" si="4"/>
        <v>25000</v>
      </c>
      <c r="G58" s="33" t="s">
        <v>10</v>
      </c>
      <c r="H58" s="189"/>
      <c r="J58" s="85">
        <v>46183.0</v>
      </c>
      <c r="K58" s="72">
        <v>8.0</v>
      </c>
      <c r="L58" s="64" t="s">
        <v>85</v>
      </c>
      <c r="M58" s="75" t="s">
        <v>100</v>
      </c>
      <c r="N58" s="29">
        <v>1.0</v>
      </c>
      <c r="O58" s="374">
        <v>30000.0</v>
      </c>
      <c r="P58" s="67">
        <v>30000.0</v>
      </c>
      <c r="Q58" s="75" t="s">
        <v>101</v>
      </c>
      <c r="R58" s="375"/>
      <c r="S58" s="45"/>
      <c r="T58" s="45" t="b">
        <v>0</v>
      </c>
      <c r="U58" s="45"/>
    </row>
    <row r="59">
      <c r="A59" s="112">
        <v>46184.0</v>
      </c>
      <c r="B59" s="29" t="s">
        <v>8</v>
      </c>
      <c r="C59" s="73" t="s">
        <v>137</v>
      </c>
      <c r="D59" s="73">
        <v>6.0</v>
      </c>
      <c r="E59" s="32">
        <v>25000.0</v>
      </c>
      <c r="F59" s="32">
        <f t="shared" si="4"/>
        <v>150000</v>
      </c>
      <c r="G59" s="33" t="s">
        <v>10</v>
      </c>
      <c r="H59" s="189"/>
      <c r="J59" s="85"/>
      <c r="K59" s="72"/>
      <c r="L59" s="64"/>
      <c r="M59" s="75"/>
      <c r="N59" s="29"/>
      <c r="O59" s="74"/>
      <c r="P59" s="67"/>
      <c r="Q59" s="75"/>
      <c r="R59" s="76"/>
      <c r="S59" s="45"/>
      <c r="T59" s="45" t="b">
        <v>0</v>
      </c>
      <c r="U59" s="378"/>
    </row>
    <row r="60">
      <c r="A60" s="112">
        <v>46184.0</v>
      </c>
      <c r="B60" s="29" t="s">
        <v>8</v>
      </c>
      <c r="C60" s="73" t="s">
        <v>145</v>
      </c>
      <c r="D60" s="73">
        <v>3.0</v>
      </c>
      <c r="E60" s="32">
        <v>25000.0</v>
      </c>
      <c r="F60" s="32">
        <f t="shared" si="4"/>
        <v>75000</v>
      </c>
      <c r="G60" s="33" t="s">
        <v>10</v>
      </c>
      <c r="H60" s="189"/>
      <c r="J60" s="85"/>
      <c r="K60" s="72"/>
      <c r="L60" s="64"/>
      <c r="M60" s="75"/>
      <c r="N60" s="29"/>
      <c r="O60" s="74"/>
      <c r="P60" s="67"/>
      <c r="Q60" s="75"/>
      <c r="R60" s="76"/>
      <c r="S60" s="45"/>
      <c r="T60" s="45" t="b">
        <v>0</v>
      </c>
      <c r="U60" s="378"/>
    </row>
    <row r="61">
      <c r="A61" s="112">
        <v>46184.0</v>
      </c>
      <c r="B61" s="29" t="s">
        <v>8</v>
      </c>
      <c r="C61" s="73" t="s">
        <v>140</v>
      </c>
      <c r="D61" s="73">
        <v>4.0</v>
      </c>
      <c r="E61" s="32">
        <v>25000.0</v>
      </c>
      <c r="F61" s="32">
        <f t="shared" si="4"/>
        <v>100000</v>
      </c>
      <c r="G61" s="33" t="s">
        <v>10</v>
      </c>
      <c r="H61" s="189"/>
      <c r="J61" s="85"/>
      <c r="K61" s="72"/>
      <c r="L61" s="64"/>
      <c r="M61" s="75"/>
      <c r="N61" s="29"/>
      <c r="O61" s="74"/>
      <c r="P61" s="67"/>
      <c r="Q61" s="75"/>
      <c r="R61" s="76"/>
      <c r="S61" s="45"/>
      <c r="T61" s="45" t="b">
        <v>0</v>
      </c>
      <c r="U61" s="45"/>
    </row>
    <row r="62">
      <c r="A62" s="112">
        <v>46184.0</v>
      </c>
      <c r="B62" s="29" t="s">
        <v>8</v>
      </c>
      <c r="C62" s="73" t="s">
        <v>16</v>
      </c>
      <c r="D62" s="73">
        <v>0.33</v>
      </c>
      <c r="E62" s="32">
        <v>25000.0</v>
      </c>
      <c r="F62" s="32">
        <f t="shared" si="4"/>
        <v>8250</v>
      </c>
      <c r="G62" s="33" t="s">
        <v>10</v>
      </c>
      <c r="H62" s="189"/>
      <c r="J62" s="85"/>
      <c r="K62" s="72"/>
      <c r="L62" s="64"/>
      <c r="M62" s="75"/>
      <c r="N62" s="29"/>
      <c r="O62" s="74"/>
      <c r="P62" s="67"/>
      <c r="Q62" s="75"/>
      <c r="R62" s="76"/>
      <c r="S62" s="45"/>
      <c r="T62" s="45" t="b">
        <v>0</v>
      </c>
      <c r="U62" s="378"/>
    </row>
    <row r="63">
      <c r="A63" s="112">
        <v>46184.0</v>
      </c>
      <c r="B63" s="29" t="s">
        <v>27</v>
      </c>
      <c r="C63" s="73" t="s">
        <v>75</v>
      </c>
      <c r="D63" s="73">
        <v>20.0</v>
      </c>
      <c r="E63" s="32">
        <v>25000.0</v>
      </c>
      <c r="F63" s="32">
        <f t="shared" si="4"/>
        <v>500000</v>
      </c>
      <c r="G63" s="33" t="s">
        <v>10</v>
      </c>
      <c r="H63" s="189"/>
      <c r="J63" s="85"/>
      <c r="K63" s="72"/>
      <c r="L63" s="64"/>
      <c r="M63" s="75"/>
      <c r="N63" s="29"/>
      <c r="O63" s="74"/>
      <c r="P63" s="67"/>
      <c r="Q63" s="75"/>
      <c r="R63" s="76"/>
      <c r="S63" s="45"/>
      <c r="T63" s="45" t="b">
        <v>0</v>
      </c>
      <c r="U63" s="378"/>
    </row>
    <row r="64">
      <c r="A64" s="112">
        <v>46184.0</v>
      </c>
      <c r="B64" s="29" t="s">
        <v>27</v>
      </c>
      <c r="C64" s="73" t="s">
        <v>234</v>
      </c>
      <c r="D64" s="73">
        <v>1.0</v>
      </c>
      <c r="E64" s="32">
        <v>25000.0</v>
      </c>
      <c r="F64" s="32">
        <f t="shared" si="4"/>
        <v>25000</v>
      </c>
      <c r="G64" s="33" t="s">
        <v>10</v>
      </c>
      <c r="H64" s="189"/>
      <c r="J64" s="85"/>
      <c r="K64" s="72"/>
      <c r="L64" s="64"/>
      <c r="M64" s="75"/>
      <c r="N64" s="29"/>
      <c r="O64" s="74"/>
      <c r="P64" s="67"/>
      <c r="Q64" s="75"/>
      <c r="R64" s="76"/>
      <c r="S64" s="45"/>
      <c r="T64" s="45" t="b">
        <v>0</v>
      </c>
      <c r="U64" s="45"/>
    </row>
    <row r="65">
      <c r="A65" s="112">
        <v>46184.0</v>
      </c>
      <c r="B65" s="29" t="s">
        <v>27</v>
      </c>
      <c r="C65" s="73" t="s">
        <v>235</v>
      </c>
      <c r="D65" s="73">
        <v>1.0</v>
      </c>
      <c r="E65" s="32">
        <v>25000.0</v>
      </c>
      <c r="F65" s="32">
        <f t="shared" si="4"/>
        <v>25000</v>
      </c>
      <c r="G65" s="33" t="s">
        <v>10</v>
      </c>
      <c r="H65" s="189"/>
      <c r="J65" s="85"/>
      <c r="K65" s="72"/>
      <c r="L65" s="64"/>
      <c r="M65" s="75"/>
      <c r="N65" s="29"/>
      <c r="O65" s="74"/>
      <c r="P65" s="67"/>
      <c r="Q65" s="75"/>
      <c r="R65" s="76"/>
      <c r="S65" s="45"/>
      <c r="T65" s="45" t="b">
        <v>0</v>
      </c>
      <c r="U65" s="45"/>
    </row>
    <row r="66">
      <c r="A66" s="112">
        <v>46184.0</v>
      </c>
      <c r="B66" s="29" t="s">
        <v>27</v>
      </c>
      <c r="C66" s="73" t="s">
        <v>236</v>
      </c>
      <c r="D66" s="73">
        <v>1.0</v>
      </c>
      <c r="E66" s="32">
        <v>25000.0</v>
      </c>
      <c r="F66" s="32">
        <f t="shared" si="4"/>
        <v>25000</v>
      </c>
      <c r="G66" s="33" t="s">
        <v>10</v>
      </c>
      <c r="H66" s="189"/>
      <c r="J66" s="85"/>
      <c r="K66" s="72"/>
      <c r="L66" s="64"/>
      <c r="M66" s="75"/>
      <c r="N66" s="29"/>
      <c r="O66" s="74"/>
      <c r="P66" s="67"/>
      <c r="Q66" s="75"/>
      <c r="R66" s="76"/>
      <c r="S66" s="45"/>
      <c r="T66" s="45" t="b">
        <v>0</v>
      </c>
      <c r="U66" s="358"/>
    </row>
    <row r="67">
      <c r="A67" s="112">
        <v>46184.0</v>
      </c>
      <c r="B67" s="29" t="s">
        <v>27</v>
      </c>
      <c r="C67" s="73" t="s">
        <v>16</v>
      </c>
      <c r="D67" s="73">
        <v>0.86</v>
      </c>
      <c r="E67" s="32">
        <v>25000.0</v>
      </c>
      <c r="F67" s="32">
        <f t="shared" si="4"/>
        <v>21500</v>
      </c>
      <c r="G67" s="33" t="s">
        <v>10</v>
      </c>
      <c r="H67" s="189"/>
      <c r="J67" s="85"/>
      <c r="K67" s="72"/>
      <c r="L67" s="64"/>
      <c r="M67" s="75"/>
      <c r="N67" s="29"/>
      <c r="O67" s="74"/>
      <c r="P67" s="67"/>
      <c r="Q67" s="75"/>
      <c r="R67" s="76"/>
      <c r="S67" s="45"/>
      <c r="T67" s="45" t="b">
        <v>0</v>
      </c>
      <c r="U67" s="358"/>
    </row>
    <row r="68">
      <c r="A68" s="112">
        <v>46184.0</v>
      </c>
      <c r="B68" s="29" t="s">
        <v>17</v>
      </c>
      <c r="C68" s="73" t="s">
        <v>140</v>
      </c>
      <c r="D68" s="73">
        <v>35.0</v>
      </c>
      <c r="E68" s="32">
        <v>25000.0</v>
      </c>
      <c r="F68" s="32">
        <f t="shared" si="4"/>
        <v>875000</v>
      </c>
      <c r="G68" s="33" t="s">
        <v>10</v>
      </c>
      <c r="H68" s="189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358"/>
      <c r="U68" s="358"/>
    </row>
    <row r="69">
      <c r="A69" s="112">
        <v>46184.0</v>
      </c>
      <c r="B69" s="29" t="s">
        <v>17</v>
      </c>
      <c r="C69" s="73" t="s">
        <v>262</v>
      </c>
      <c r="D69" s="73">
        <v>1.0</v>
      </c>
      <c r="E69" s="32">
        <v>25000.0</v>
      </c>
      <c r="F69" s="32">
        <f t="shared" si="4"/>
        <v>25000</v>
      </c>
      <c r="G69" s="33" t="s">
        <v>10</v>
      </c>
      <c r="H69" s="189"/>
      <c r="T69" s="358"/>
      <c r="U69" s="358"/>
    </row>
    <row r="70">
      <c r="A70" s="112">
        <v>46184.0</v>
      </c>
      <c r="B70" s="29" t="s">
        <v>17</v>
      </c>
      <c r="C70" s="73" t="s">
        <v>67</v>
      </c>
      <c r="D70" s="73">
        <v>5.0</v>
      </c>
      <c r="E70" s="32">
        <v>25000.0</v>
      </c>
      <c r="F70" s="32">
        <f t="shared" si="4"/>
        <v>125000</v>
      </c>
      <c r="G70" s="33" t="s">
        <v>10</v>
      </c>
      <c r="H70" s="189"/>
      <c r="Q70" s="150">
        <f>P31+P32+P16+P17+P43+P44+P11+P12</f>
        <v>3325100</v>
      </c>
      <c r="T70" s="45"/>
    </row>
    <row r="71">
      <c r="A71" s="112">
        <v>46184.0</v>
      </c>
      <c r="B71" s="29" t="s">
        <v>17</v>
      </c>
      <c r="C71" s="73" t="s">
        <v>25</v>
      </c>
      <c r="D71" s="73">
        <v>2.0</v>
      </c>
      <c r="E71" s="32">
        <v>25000.0</v>
      </c>
      <c r="F71" s="32">
        <f t="shared" si="4"/>
        <v>50000</v>
      </c>
      <c r="G71" s="33" t="s">
        <v>10</v>
      </c>
      <c r="H71" s="189"/>
    </row>
    <row r="72">
      <c r="A72" s="112">
        <v>46184.0</v>
      </c>
      <c r="B72" s="29" t="s">
        <v>17</v>
      </c>
      <c r="C72" s="73" t="s">
        <v>263</v>
      </c>
      <c r="D72" s="73">
        <v>1.0</v>
      </c>
      <c r="E72" s="32">
        <v>25000.0</v>
      </c>
      <c r="F72" s="32">
        <f t="shared" si="4"/>
        <v>25000</v>
      </c>
      <c r="G72" s="33" t="s">
        <v>10</v>
      </c>
      <c r="H72" s="189"/>
    </row>
    <row r="73">
      <c r="A73" s="112">
        <v>46184.0</v>
      </c>
      <c r="B73" s="29" t="s">
        <v>17</v>
      </c>
      <c r="C73" s="73" t="s">
        <v>16</v>
      </c>
      <c r="D73" s="73">
        <v>3.8</v>
      </c>
      <c r="E73" s="32">
        <v>25000.0</v>
      </c>
      <c r="F73" s="32">
        <f t="shared" si="4"/>
        <v>95000</v>
      </c>
      <c r="G73" s="33" t="s">
        <v>10</v>
      </c>
      <c r="H73" s="189"/>
    </row>
    <row r="74">
      <c r="A74" s="112">
        <v>46185.0</v>
      </c>
      <c r="B74" s="29" t="s">
        <v>36</v>
      </c>
      <c r="C74" s="73" t="s">
        <v>75</v>
      </c>
      <c r="D74" s="73">
        <v>2.0</v>
      </c>
      <c r="E74" s="32">
        <v>25000.0</v>
      </c>
      <c r="F74" s="32">
        <f t="shared" si="4"/>
        <v>50000</v>
      </c>
      <c r="G74" s="33" t="s">
        <v>10</v>
      </c>
      <c r="H74" s="189"/>
    </row>
    <row r="75">
      <c r="A75" s="112">
        <v>46185.0</v>
      </c>
      <c r="B75" s="29" t="s">
        <v>36</v>
      </c>
      <c r="C75" s="73" t="s">
        <v>16</v>
      </c>
      <c r="D75" s="73">
        <v>0.15</v>
      </c>
      <c r="E75" s="32">
        <v>25000.0</v>
      </c>
      <c r="F75" s="32">
        <f t="shared" si="4"/>
        <v>3750</v>
      </c>
      <c r="G75" s="33" t="s">
        <v>10</v>
      </c>
      <c r="H75" s="189"/>
    </row>
    <row r="76">
      <c r="A76" s="112">
        <v>46185.0</v>
      </c>
      <c r="B76" s="29" t="s">
        <v>36</v>
      </c>
      <c r="C76" s="73" t="s">
        <v>226</v>
      </c>
      <c r="D76" s="73">
        <v>1.0</v>
      </c>
      <c r="E76" s="32">
        <v>25000.0</v>
      </c>
      <c r="F76" s="32">
        <f t="shared" si="4"/>
        <v>25000</v>
      </c>
      <c r="G76" s="33" t="s">
        <v>10</v>
      </c>
      <c r="H76" s="189"/>
    </row>
    <row r="77">
      <c r="A77" s="112">
        <v>46185.0</v>
      </c>
      <c r="B77" s="29" t="s">
        <v>8</v>
      </c>
      <c r="C77" s="73" t="s">
        <v>146</v>
      </c>
      <c r="D77" s="73">
        <v>3.0</v>
      </c>
      <c r="E77" s="32">
        <v>25000.0</v>
      </c>
      <c r="F77" s="32">
        <f t="shared" si="4"/>
        <v>75000</v>
      </c>
      <c r="G77" s="33" t="s">
        <v>10</v>
      </c>
      <c r="H77" s="189"/>
    </row>
    <row r="78">
      <c r="A78" s="112">
        <v>46185.0</v>
      </c>
      <c r="B78" s="29" t="s">
        <v>8</v>
      </c>
      <c r="C78" s="73" t="s">
        <v>147</v>
      </c>
      <c r="D78" s="73">
        <v>3.0</v>
      </c>
      <c r="E78" s="32">
        <v>25000.0</v>
      </c>
      <c r="F78" s="32">
        <f t="shared" si="4"/>
        <v>75000</v>
      </c>
      <c r="G78" s="33" t="s">
        <v>10</v>
      </c>
      <c r="H78" s="189"/>
    </row>
    <row r="79">
      <c r="A79" s="112">
        <v>46185.0</v>
      </c>
      <c r="B79" s="29" t="s">
        <v>8</v>
      </c>
      <c r="C79" s="73" t="s">
        <v>137</v>
      </c>
      <c r="D79" s="73">
        <v>3.0</v>
      </c>
      <c r="E79" s="32">
        <v>25000.0</v>
      </c>
      <c r="F79" s="32">
        <f t="shared" si="4"/>
        <v>75000</v>
      </c>
      <c r="G79" s="33" t="s">
        <v>10</v>
      </c>
      <c r="H79" s="189"/>
    </row>
    <row r="80">
      <c r="A80" s="112">
        <v>46185.0</v>
      </c>
      <c r="B80" s="29" t="s">
        <v>27</v>
      </c>
      <c r="C80" s="73" t="s">
        <v>16</v>
      </c>
      <c r="D80" s="73">
        <v>0.89</v>
      </c>
      <c r="E80" s="32">
        <v>25000.0</v>
      </c>
      <c r="F80" s="32">
        <f t="shared" si="4"/>
        <v>22250</v>
      </c>
      <c r="G80" s="33" t="s">
        <v>10</v>
      </c>
      <c r="H80" s="189"/>
    </row>
    <row r="81">
      <c r="A81" s="112">
        <v>46185.0</v>
      </c>
      <c r="B81" s="29" t="s">
        <v>27</v>
      </c>
      <c r="C81" s="73" t="s">
        <v>75</v>
      </c>
      <c r="D81" s="73">
        <v>10.0</v>
      </c>
      <c r="E81" s="32">
        <v>25000.0</v>
      </c>
      <c r="F81" s="32">
        <f t="shared" si="4"/>
        <v>250000</v>
      </c>
      <c r="G81" s="33" t="s">
        <v>10</v>
      </c>
      <c r="H81" s="189"/>
    </row>
    <row r="82">
      <c r="A82" s="112">
        <v>46185.0</v>
      </c>
      <c r="B82" s="29" t="s">
        <v>17</v>
      </c>
      <c r="C82" s="73" t="s">
        <v>140</v>
      </c>
      <c r="D82" s="73">
        <v>30.0</v>
      </c>
      <c r="E82" s="32">
        <v>25000.0</v>
      </c>
      <c r="F82" s="32">
        <f t="shared" si="4"/>
        <v>750000</v>
      </c>
      <c r="G82" s="33" t="s">
        <v>10</v>
      </c>
      <c r="H82" s="189"/>
    </row>
    <row r="83">
      <c r="A83" s="112">
        <v>46185.0</v>
      </c>
      <c r="B83" s="29" t="s">
        <v>17</v>
      </c>
      <c r="C83" s="73" t="s">
        <v>253</v>
      </c>
      <c r="D83" s="73">
        <v>10.0</v>
      </c>
      <c r="E83" s="32">
        <v>25000.0</v>
      </c>
      <c r="F83" s="32">
        <f t="shared" si="4"/>
        <v>250000</v>
      </c>
      <c r="G83" s="33" t="s">
        <v>10</v>
      </c>
      <c r="H83" s="189"/>
    </row>
    <row r="84">
      <c r="A84" s="112">
        <v>46185.0</v>
      </c>
      <c r="B84" s="29" t="s">
        <v>17</v>
      </c>
      <c r="C84" s="73" t="s">
        <v>228</v>
      </c>
      <c r="D84" s="73">
        <v>5.0</v>
      </c>
      <c r="E84" s="32">
        <v>25000.0</v>
      </c>
      <c r="F84" s="32">
        <f t="shared" si="4"/>
        <v>125000</v>
      </c>
      <c r="G84" s="33" t="s">
        <v>10</v>
      </c>
      <c r="H84" s="189"/>
    </row>
    <row r="85">
      <c r="A85" s="112">
        <v>46185.0</v>
      </c>
      <c r="B85" s="29" t="s">
        <v>17</v>
      </c>
      <c r="C85" s="73" t="s">
        <v>16</v>
      </c>
      <c r="D85" s="73">
        <v>2.7</v>
      </c>
      <c r="E85" s="32">
        <v>25000.0</v>
      </c>
      <c r="F85" s="32">
        <f t="shared" si="4"/>
        <v>67500</v>
      </c>
      <c r="G85" s="33" t="s">
        <v>10</v>
      </c>
      <c r="H85" s="189"/>
    </row>
    <row r="86">
      <c r="A86" s="379">
        <v>46185.0</v>
      </c>
      <c r="B86" s="380" t="s">
        <v>491</v>
      </c>
      <c r="C86" s="381" t="s">
        <v>492</v>
      </c>
      <c r="D86" s="381">
        <v>1.0</v>
      </c>
      <c r="E86" s="382">
        <v>25000.0</v>
      </c>
      <c r="F86" s="382">
        <f t="shared" si="4"/>
        <v>25000</v>
      </c>
      <c r="G86" s="383" t="s">
        <v>10</v>
      </c>
      <c r="H86" s="384"/>
    </row>
    <row r="87">
      <c r="A87" s="112">
        <v>46186.0</v>
      </c>
      <c r="B87" s="29" t="s">
        <v>8</v>
      </c>
      <c r="C87" s="73" t="s">
        <v>148</v>
      </c>
      <c r="D87" s="73">
        <v>2.0</v>
      </c>
      <c r="E87" s="32">
        <v>25000.0</v>
      </c>
      <c r="F87" s="32">
        <f t="shared" si="4"/>
        <v>50000</v>
      </c>
      <c r="G87" s="33" t="s">
        <v>10</v>
      </c>
      <c r="H87" s="189"/>
    </row>
    <row r="88">
      <c r="A88" s="112">
        <v>46186.0</v>
      </c>
      <c r="B88" s="29" t="s">
        <v>36</v>
      </c>
      <c r="C88" s="73" t="s">
        <v>75</v>
      </c>
      <c r="D88" s="73">
        <v>2.0</v>
      </c>
      <c r="E88" s="32">
        <v>25000.0</v>
      </c>
      <c r="F88" s="32">
        <f t="shared" si="4"/>
        <v>50000</v>
      </c>
      <c r="G88" s="33" t="s">
        <v>10</v>
      </c>
      <c r="H88" s="189"/>
    </row>
    <row r="89">
      <c r="A89" s="112">
        <v>46186.0</v>
      </c>
      <c r="B89" s="29" t="s">
        <v>36</v>
      </c>
      <c r="C89" s="73" t="s">
        <v>227</v>
      </c>
      <c r="D89" s="73">
        <v>1.0</v>
      </c>
      <c r="E89" s="32">
        <v>25000.0</v>
      </c>
      <c r="F89" s="32">
        <f t="shared" si="4"/>
        <v>25000</v>
      </c>
      <c r="G89" s="33" t="s">
        <v>10</v>
      </c>
      <c r="H89" s="189"/>
    </row>
    <row r="90">
      <c r="A90" s="112">
        <v>46186.0</v>
      </c>
      <c r="B90" s="29" t="s">
        <v>36</v>
      </c>
      <c r="C90" s="73" t="s">
        <v>29</v>
      </c>
      <c r="D90" s="73">
        <v>1.0</v>
      </c>
      <c r="E90" s="32">
        <v>25000.0</v>
      </c>
      <c r="F90" s="32">
        <f t="shared" si="4"/>
        <v>25000</v>
      </c>
      <c r="G90" s="33" t="s">
        <v>10</v>
      </c>
      <c r="H90" s="189"/>
    </row>
    <row r="91">
      <c r="A91" s="112">
        <v>46186.0</v>
      </c>
      <c r="B91" s="29" t="s">
        <v>36</v>
      </c>
      <c r="C91" s="73" t="s">
        <v>62</v>
      </c>
      <c r="D91" s="73">
        <v>1.0</v>
      </c>
      <c r="E91" s="32">
        <v>25000.0</v>
      </c>
      <c r="F91" s="32">
        <f t="shared" si="4"/>
        <v>25000</v>
      </c>
      <c r="G91" s="33" t="s">
        <v>10</v>
      </c>
      <c r="H91" s="189"/>
    </row>
    <row r="92">
      <c r="A92" s="112">
        <v>46186.0</v>
      </c>
      <c r="B92" s="29" t="s">
        <v>36</v>
      </c>
      <c r="C92" s="73" t="s">
        <v>16</v>
      </c>
      <c r="D92" s="73">
        <v>0.1</v>
      </c>
      <c r="E92" s="32">
        <v>25000.0</v>
      </c>
      <c r="F92" s="32">
        <f t="shared" si="4"/>
        <v>2500</v>
      </c>
      <c r="G92" s="33" t="s">
        <v>10</v>
      </c>
      <c r="H92" s="189"/>
      <c r="P92" s="5"/>
      <c r="Q92" s="5"/>
    </row>
    <row r="93">
      <c r="A93" s="112">
        <v>46186.0</v>
      </c>
      <c r="B93" s="29" t="s">
        <v>27</v>
      </c>
      <c r="C93" s="73" t="s">
        <v>75</v>
      </c>
      <c r="D93" s="73">
        <v>11.0</v>
      </c>
      <c r="E93" s="32">
        <v>25000.0</v>
      </c>
      <c r="F93" s="32">
        <f t="shared" si="4"/>
        <v>275000</v>
      </c>
      <c r="G93" s="33" t="s">
        <v>10</v>
      </c>
      <c r="H93" s="189"/>
    </row>
    <row r="94">
      <c r="A94" s="112">
        <v>46186.0</v>
      </c>
      <c r="B94" s="29" t="s">
        <v>27</v>
      </c>
      <c r="C94" s="73" t="s">
        <v>237</v>
      </c>
      <c r="D94" s="73">
        <v>1.0</v>
      </c>
      <c r="E94" s="32">
        <v>25000.0</v>
      </c>
      <c r="F94" s="32">
        <f t="shared" si="4"/>
        <v>25000</v>
      </c>
      <c r="G94" s="33" t="s">
        <v>10</v>
      </c>
      <c r="H94" s="189"/>
      <c r="J94" s="5"/>
    </row>
    <row r="95">
      <c r="A95" s="112">
        <v>46186.0</v>
      </c>
      <c r="B95" s="29" t="s">
        <v>27</v>
      </c>
      <c r="C95" s="73" t="s">
        <v>195</v>
      </c>
      <c r="D95" s="73">
        <v>1.0</v>
      </c>
      <c r="E95" s="32">
        <v>25000.0</v>
      </c>
      <c r="F95" s="32">
        <f t="shared" si="4"/>
        <v>25000</v>
      </c>
      <c r="G95" s="33" t="s">
        <v>10</v>
      </c>
      <c r="H95" s="189"/>
      <c r="J95" s="5"/>
    </row>
    <row r="96">
      <c r="A96" s="112">
        <v>46186.0</v>
      </c>
      <c r="B96" s="29" t="s">
        <v>27</v>
      </c>
      <c r="C96" s="73" t="s">
        <v>67</v>
      </c>
      <c r="D96" s="73">
        <v>1.0</v>
      </c>
      <c r="E96" s="32">
        <v>25000.0</v>
      </c>
      <c r="F96" s="32">
        <f t="shared" si="4"/>
        <v>25000</v>
      </c>
      <c r="G96" s="33" t="s">
        <v>10</v>
      </c>
      <c r="H96" s="189"/>
      <c r="J96" s="5"/>
    </row>
    <row r="97">
      <c r="A97" s="112">
        <v>46186.0</v>
      </c>
      <c r="B97" s="29" t="s">
        <v>27</v>
      </c>
      <c r="C97" s="73" t="s">
        <v>225</v>
      </c>
      <c r="D97" s="73">
        <v>1.0</v>
      </c>
      <c r="E97" s="32">
        <v>25000.0</v>
      </c>
      <c r="F97" s="32">
        <f t="shared" si="4"/>
        <v>25000</v>
      </c>
      <c r="G97" s="33" t="s">
        <v>10</v>
      </c>
      <c r="H97" s="189"/>
      <c r="J97" s="5"/>
      <c r="P97" s="385" t="s">
        <v>495</v>
      </c>
      <c r="Q97" s="385" t="s">
        <v>496</v>
      </c>
      <c r="R97" s="385" t="s">
        <v>497</v>
      </c>
      <c r="S97" s="386" t="s">
        <v>83</v>
      </c>
      <c r="T97" s="385" t="s">
        <v>498</v>
      </c>
      <c r="U97" s="385" t="s">
        <v>499</v>
      </c>
    </row>
    <row r="98">
      <c r="A98" s="112">
        <v>46186.0</v>
      </c>
      <c r="B98" s="29" t="s">
        <v>27</v>
      </c>
      <c r="C98" s="73" t="s">
        <v>62</v>
      </c>
      <c r="D98" s="73">
        <v>5.0</v>
      </c>
      <c r="E98" s="32">
        <v>25000.0</v>
      </c>
      <c r="F98" s="32">
        <f t="shared" si="4"/>
        <v>125000</v>
      </c>
      <c r="G98" s="33" t="s">
        <v>10</v>
      </c>
      <c r="H98" s="189"/>
      <c r="J98" s="5"/>
      <c r="P98" s="385" t="s">
        <v>106</v>
      </c>
      <c r="Q98" s="386">
        <v>26.25</v>
      </c>
      <c r="R98" s="387">
        <v>80000.0</v>
      </c>
      <c r="S98" s="386">
        <v>80.0</v>
      </c>
      <c r="T98" s="388">
        <v>6400000.0</v>
      </c>
      <c r="U98" s="386">
        <v>18.5</v>
      </c>
    </row>
    <row r="99">
      <c r="A99" s="112">
        <v>46186.0</v>
      </c>
      <c r="B99" s="29" t="s">
        <v>27</v>
      </c>
      <c r="C99" s="73" t="s">
        <v>16</v>
      </c>
      <c r="D99" s="73">
        <v>1.13</v>
      </c>
      <c r="E99" s="32">
        <v>25000.0</v>
      </c>
      <c r="F99" s="32">
        <f t="shared" si="4"/>
        <v>28250</v>
      </c>
      <c r="G99" s="33" t="s">
        <v>10</v>
      </c>
      <c r="H99" s="189"/>
      <c r="J99" s="5"/>
      <c r="P99" s="385" t="s">
        <v>500</v>
      </c>
      <c r="Q99" s="386">
        <v>9.4</v>
      </c>
      <c r="R99" s="387">
        <v>550000.0</v>
      </c>
      <c r="S99" s="386">
        <v>14.0</v>
      </c>
      <c r="T99" s="388">
        <v>7700000.0</v>
      </c>
      <c r="U99" s="386">
        <v>7.5</v>
      </c>
      <c r="W99" s="389"/>
    </row>
    <row r="100">
      <c r="A100" s="112">
        <v>46186.0</v>
      </c>
      <c r="B100" s="29" t="s">
        <v>17</v>
      </c>
      <c r="C100" s="73" t="s">
        <v>264</v>
      </c>
      <c r="D100" s="73">
        <v>65.0</v>
      </c>
      <c r="E100" s="32">
        <v>25000.0</v>
      </c>
      <c r="F100" s="32">
        <f t="shared" si="4"/>
        <v>1625000</v>
      </c>
      <c r="G100" s="33" t="s">
        <v>10</v>
      </c>
      <c r="H100" s="189"/>
      <c r="J100" s="5"/>
      <c r="P100" s="385" t="s">
        <v>501</v>
      </c>
      <c r="Q100" s="386">
        <v>13.0</v>
      </c>
      <c r="R100" s="387">
        <v>225000.0</v>
      </c>
      <c r="S100" s="386">
        <v>40.0</v>
      </c>
      <c r="T100" s="390">
        <v>9000000.0</v>
      </c>
      <c r="U100" s="386">
        <v>7.75</v>
      </c>
      <c r="W100" s="389"/>
    </row>
    <row r="101">
      <c r="A101" s="112">
        <v>46186.0</v>
      </c>
      <c r="B101" s="29" t="s">
        <v>17</v>
      </c>
      <c r="C101" s="73" t="s">
        <v>253</v>
      </c>
      <c r="D101" s="73">
        <v>29.0</v>
      </c>
      <c r="E101" s="32">
        <v>25000.0</v>
      </c>
      <c r="F101" s="32">
        <f t="shared" si="4"/>
        <v>725000</v>
      </c>
      <c r="G101" s="33" t="s">
        <v>10</v>
      </c>
      <c r="H101" s="189"/>
      <c r="J101" s="5"/>
      <c r="P101" s="386" t="s">
        <v>502</v>
      </c>
      <c r="Q101" s="386">
        <v>14.0</v>
      </c>
      <c r="R101" s="387">
        <v>228750.0</v>
      </c>
      <c r="S101" s="386">
        <v>12.0</v>
      </c>
      <c r="T101" s="391">
        <v>2745000.0</v>
      </c>
      <c r="U101" s="386">
        <v>2.8</v>
      </c>
      <c r="W101" s="389"/>
    </row>
    <row r="102">
      <c r="A102" s="112">
        <v>46186.0</v>
      </c>
      <c r="B102" s="29" t="s">
        <v>17</v>
      </c>
      <c r="C102" s="73" t="s">
        <v>25</v>
      </c>
      <c r="D102" s="73">
        <v>2.0</v>
      </c>
      <c r="E102" s="32">
        <v>25000.0</v>
      </c>
      <c r="F102" s="32">
        <f t="shared" si="4"/>
        <v>50000</v>
      </c>
      <c r="G102" s="33" t="s">
        <v>10</v>
      </c>
      <c r="H102" s="189"/>
      <c r="J102" s="5"/>
      <c r="P102" s="385" t="s">
        <v>503</v>
      </c>
      <c r="Q102" s="386">
        <v>1.7</v>
      </c>
      <c r="R102" s="392">
        <v>215000.0</v>
      </c>
      <c r="S102" s="385"/>
      <c r="T102" s="385"/>
      <c r="U102" s="386">
        <v>1.25</v>
      </c>
      <c r="W102" s="389"/>
    </row>
    <row r="103">
      <c r="A103" s="112">
        <v>46186.0</v>
      </c>
      <c r="B103" s="29" t="s">
        <v>17</v>
      </c>
      <c r="C103" s="73" t="s">
        <v>16</v>
      </c>
      <c r="D103" s="73">
        <v>3.0</v>
      </c>
      <c r="E103" s="32">
        <v>25000.0</v>
      </c>
      <c r="F103" s="32">
        <f t="shared" si="4"/>
        <v>75000</v>
      </c>
      <c r="G103" s="33" t="s">
        <v>10</v>
      </c>
      <c r="H103" s="189"/>
      <c r="J103" s="5"/>
      <c r="P103" s="393" t="s">
        <v>504</v>
      </c>
      <c r="Q103" s="394"/>
      <c r="R103" s="394"/>
      <c r="S103" s="394"/>
      <c r="T103" s="395">
        <v>6615000.0</v>
      </c>
      <c r="U103" s="385"/>
      <c r="W103" s="389"/>
    </row>
    <row r="104">
      <c r="A104" s="112"/>
      <c r="B104" s="29"/>
      <c r="C104" s="73"/>
      <c r="E104" s="32">
        <v>25000.0</v>
      </c>
      <c r="F104" s="32"/>
      <c r="G104" s="33" t="s">
        <v>10</v>
      </c>
      <c r="H104" s="189"/>
      <c r="J104" s="5"/>
      <c r="P104" s="386" t="s">
        <v>505</v>
      </c>
      <c r="Q104" s="385"/>
      <c r="R104" s="387"/>
      <c r="S104" s="385"/>
      <c r="T104" s="388">
        <v>3487900.0</v>
      </c>
      <c r="U104" s="385"/>
      <c r="W104" s="389"/>
    </row>
    <row r="105">
      <c r="A105" s="112">
        <v>46188.0</v>
      </c>
      <c r="B105" s="29" t="s">
        <v>8</v>
      </c>
      <c r="C105" s="73" t="s">
        <v>137</v>
      </c>
      <c r="D105" s="73">
        <v>5.0</v>
      </c>
      <c r="E105" s="32">
        <v>25000.0</v>
      </c>
      <c r="F105" s="32">
        <f t="shared" ref="F105:F107" si="5">D105*E105</f>
        <v>125000</v>
      </c>
      <c r="G105" s="33" t="s">
        <v>10</v>
      </c>
      <c r="H105" s="189"/>
      <c r="J105" s="5"/>
      <c r="P105" s="393" t="s">
        <v>439</v>
      </c>
      <c r="Q105" s="394"/>
      <c r="R105" s="394"/>
      <c r="S105" s="394"/>
      <c r="T105" s="395">
        <v>4927029.0</v>
      </c>
      <c r="U105" s="385"/>
      <c r="W105" s="389"/>
    </row>
    <row r="106">
      <c r="A106" s="112">
        <v>46188.0</v>
      </c>
      <c r="B106" s="29" t="s">
        <v>8</v>
      </c>
      <c r="C106" s="73" t="s">
        <v>145</v>
      </c>
      <c r="D106" s="73">
        <v>3.0</v>
      </c>
      <c r="E106" s="32">
        <v>25000.0</v>
      </c>
      <c r="F106" s="32">
        <f t="shared" si="5"/>
        <v>75000</v>
      </c>
      <c r="G106" s="33" t="s">
        <v>10</v>
      </c>
      <c r="H106" s="189"/>
      <c r="J106" s="5"/>
      <c r="P106" s="386" t="s">
        <v>506</v>
      </c>
      <c r="Q106" s="385"/>
      <c r="R106" s="385"/>
      <c r="S106" s="385"/>
      <c r="T106" s="388">
        <v>1711309.0</v>
      </c>
      <c r="U106" s="385"/>
    </row>
    <row r="107">
      <c r="A107" s="112">
        <v>46188.0</v>
      </c>
      <c r="B107" s="29" t="s">
        <v>8</v>
      </c>
      <c r="C107" s="73" t="s">
        <v>29</v>
      </c>
      <c r="D107" s="73">
        <v>1.0</v>
      </c>
      <c r="E107" s="32">
        <v>25000.0</v>
      </c>
      <c r="F107" s="32">
        <f t="shared" si="5"/>
        <v>25000</v>
      </c>
      <c r="G107" s="33" t="s">
        <v>10</v>
      </c>
      <c r="H107" s="189"/>
      <c r="J107" s="5"/>
      <c r="P107" s="385"/>
      <c r="Q107" s="385"/>
      <c r="R107" s="385"/>
      <c r="S107" s="385"/>
      <c r="T107" s="396">
        <f>SUM(T98:T106)</f>
        <v>42586238</v>
      </c>
      <c r="U107" s="385"/>
    </row>
    <row r="108">
      <c r="A108" s="112"/>
      <c r="B108" s="29"/>
      <c r="C108" s="73"/>
      <c r="D108" s="73"/>
      <c r="E108" s="32"/>
      <c r="F108" s="32"/>
      <c r="G108" s="33"/>
      <c r="H108" s="189"/>
      <c r="J108" s="5"/>
    </row>
    <row r="109">
      <c r="A109" s="112">
        <v>46188.0</v>
      </c>
      <c r="B109" s="29" t="s">
        <v>8</v>
      </c>
      <c r="C109" s="73" t="s">
        <v>55</v>
      </c>
      <c r="D109" s="73">
        <v>1.0</v>
      </c>
      <c r="E109" s="32">
        <v>25000.0</v>
      </c>
      <c r="F109" s="32">
        <f t="shared" ref="F109:F230" si="6">D109*E109</f>
        <v>25000</v>
      </c>
      <c r="G109" s="33" t="s">
        <v>10</v>
      </c>
      <c r="H109" s="189"/>
      <c r="J109" s="5"/>
    </row>
    <row r="110">
      <c r="A110" s="112">
        <v>46188.0</v>
      </c>
      <c r="B110" s="29" t="s">
        <v>8</v>
      </c>
      <c r="C110" s="73" t="s">
        <v>16</v>
      </c>
      <c r="D110" s="73">
        <v>0.18</v>
      </c>
      <c r="E110" s="32">
        <v>25000.0</v>
      </c>
      <c r="F110" s="32">
        <f t="shared" si="6"/>
        <v>4500</v>
      </c>
      <c r="G110" s="33" t="s">
        <v>10</v>
      </c>
      <c r="H110" s="189"/>
      <c r="J110" s="5"/>
    </row>
    <row r="111">
      <c r="A111" s="112">
        <v>46188.0</v>
      </c>
      <c r="B111" s="29" t="s">
        <v>36</v>
      </c>
      <c r="C111" s="73" t="s">
        <v>67</v>
      </c>
      <c r="D111" s="73">
        <v>2.0</v>
      </c>
      <c r="E111" s="32">
        <v>25000.0</v>
      </c>
      <c r="F111" s="32">
        <f t="shared" si="6"/>
        <v>50000</v>
      </c>
      <c r="G111" s="33" t="s">
        <v>10</v>
      </c>
      <c r="H111" s="189"/>
      <c r="J111" s="5"/>
    </row>
    <row r="112">
      <c r="A112" s="112">
        <v>46188.0</v>
      </c>
      <c r="B112" s="29" t="s">
        <v>36</v>
      </c>
      <c r="C112" s="73" t="s">
        <v>55</v>
      </c>
      <c r="D112" s="73">
        <v>2.0</v>
      </c>
      <c r="E112" s="32">
        <v>25000.0</v>
      </c>
      <c r="F112" s="32">
        <f t="shared" si="6"/>
        <v>50000</v>
      </c>
      <c r="G112" s="33" t="s">
        <v>10</v>
      </c>
      <c r="H112" s="189"/>
      <c r="J112" s="5"/>
      <c r="P112" s="397"/>
      <c r="Q112" s="397"/>
      <c r="R112" s="397"/>
      <c r="S112" s="397"/>
    </row>
    <row r="113">
      <c r="A113" s="112">
        <v>46188.0</v>
      </c>
      <c r="B113" s="29" t="s">
        <v>36</v>
      </c>
      <c r="C113" s="73" t="s">
        <v>29</v>
      </c>
      <c r="D113" s="73">
        <v>2.0</v>
      </c>
      <c r="E113" s="32">
        <v>25000.0</v>
      </c>
      <c r="F113" s="32">
        <f t="shared" si="6"/>
        <v>50000</v>
      </c>
      <c r="G113" s="33" t="s">
        <v>10</v>
      </c>
      <c r="H113" s="189"/>
      <c r="J113" s="5"/>
      <c r="P113" s="397"/>
      <c r="Q113" s="397"/>
      <c r="R113" s="397"/>
      <c r="S113" s="397"/>
    </row>
    <row r="114">
      <c r="A114" s="112">
        <v>46188.0</v>
      </c>
      <c r="B114" s="29" t="s">
        <v>36</v>
      </c>
      <c r="C114" s="73" t="s">
        <v>150</v>
      </c>
      <c r="D114" s="73">
        <v>1.0</v>
      </c>
      <c r="E114" s="32">
        <v>25000.0</v>
      </c>
      <c r="F114" s="32">
        <f t="shared" si="6"/>
        <v>25000</v>
      </c>
      <c r="G114" s="33" t="s">
        <v>10</v>
      </c>
      <c r="H114" s="189"/>
      <c r="P114" s="397"/>
      <c r="Q114" s="397"/>
      <c r="R114" s="397"/>
      <c r="S114" s="397"/>
      <c r="T114" s="397"/>
    </row>
    <row r="115">
      <c r="A115" s="112">
        <v>46188.0</v>
      </c>
      <c r="B115" s="29" t="s">
        <v>36</v>
      </c>
      <c r="C115" s="73" t="s">
        <v>16</v>
      </c>
      <c r="D115" s="73">
        <v>0.29</v>
      </c>
      <c r="E115" s="32">
        <v>25000.0</v>
      </c>
      <c r="F115" s="32">
        <f t="shared" si="6"/>
        <v>7250</v>
      </c>
      <c r="G115" s="33" t="s">
        <v>10</v>
      </c>
      <c r="H115" s="189"/>
      <c r="P115" s="398" t="s">
        <v>507</v>
      </c>
      <c r="Q115" s="399" t="s">
        <v>508</v>
      </c>
      <c r="R115" s="400" t="s">
        <v>509</v>
      </c>
      <c r="S115" s="398" t="s">
        <v>510</v>
      </c>
      <c r="T115" s="68" t="s">
        <v>511</v>
      </c>
      <c r="U115" s="68" t="s">
        <v>341</v>
      </c>
    </row>
    <row r="116">
      <c r="A116" s="112">
        <v>46188.0</v>
      </c>
      <c r="B116" s="29" t="s">
        <v>27</v>
      </c>
      <c r="C116" s="73" t="s">
        <v>55</v>
      </c>
      <c r="D116" s="73">
        <v>30.0</v>
      </c>
      <c r="E116" s="32">
        <v>25000.0</v>
      </c>
      <c r="F116" s="32">
        <f t="shared" si="6"/>
        <v>750000</v>
      </c>
      <c r="G116" s="33" t="s">
        <v>10</v>
      </c>
      <c r="H116" s="189"/>
      <c r="P116" s="385" t="s">
        <v>512</v>
      </c>
      <c r="Q116" s="394">
        <f>Q99+S99-U99</f>
        <v>15.9</v>
      </c>
      <c r="R116" s="401">
        <f>Q116*R99</f>
        <v>8745000</v>
      </c>
      <c r="S116" s="402">
        <f>R116/S126</f>
        <v>4351.027678</v>
      </c>
      <c r="T116" s="266">
        <v>4615.0</v>
      </c>
      <c r="U116" s="403">
        <f t="shared" ref="U116:U121" si="7">T116-S116</f>
        <v>263.9723216</v>
      </c>
    </row>
    <row r="117">
      <c r="A117" s="112">
        <v>46188.0</v>
      </c>
      <c r="B117" s="29" t="s">
        <v>27</v>
      </c>
      <c r="C117" s="73" t="s">
        <v>230</v>
      </c>
      <c r="D117" s="73">
        <v>5.0</v>
      </c>
      <c r="E117" s="32">
        <v>25000.0</v>
      </c>
      <c r="F117" s="32">
        <f t="shared" si="6"/>
        <v>125000</v>
      </c>
      <c r="G117" s="33" t="s">
        <v>10</v>
      </c>
      <c r="H117" s="189"/>
      <c r="P117" s="385" t="s">
        <v>513</v>
      </c>
      <c r="Q117" s="394">
        <f>Q98+S98-U98</f>
        <v>87.75</v>
      </c>
      <c r="R117" s="401">
        <f>Q117*R98</f>
        <v>7020000</v>
      </c>
      <c r="S117" s="402">
        <f>R117/S126</f>
        <v>3492.763214</v>
      </c>
      <c r="T117" s="266">
        <v>3118.0</v>
      </c>
      <c r="U117" s="403">
        <f t="shared" si="7"/>
        <v>-374.7632135</v>
      </c>
    </row>
    <row r="118">
      <c r="A118" s="112">
        <v>46188.0</v>
      </c>
      <c r="B118" s="29" t="s">
        <v>27</v>
      </c>
      <c r="C118" s="73" t="s">
        <v>139</v>
      </c>
      <c r="D118" s="73">
        <v>1.0</v>
      </c>
      <c r="E118" s="32">
        <v>25000.0</v>
      </c>
      <c r="F118" s="32">
        <f t="shared" si="6"/>
        <v>25000</v>
      </c>
      <c r="G118" s="33" t="s">
        <v>10</v>
      </c>
      <c r="H118" s="189"/>
      <c r="P118" s="404" t="s">
        <v>501</v>
      </c>
      <c r="Q118" s="394">
        <f t="shared" ref="Q118:Q120" si="8">Q100+S100-U100</f>
        <v>45.25</v>
      </c>
      <c r="R118" s="401">
        <f t="shared" ref="R118:R120" si="9">Q118*R100</f>
        <v>10181250</v>
      </c>
      <c r="S118" s="402">
        <f>R118/S126</f>
        <v>5065.626135</v>
      </c>
      <c r="T118" s="266">
        <v>3616.0</v>
      </c>
      <c r="U118" s="403">
        <f t="shared" si="7"/>
        <v>-1449.626135</v>
      </c>
    </row>
    <row r="119">
      <c r="A119" s="112">
        <v>46188.0</v>
      </c>
      <c r="B119" s="29" t="s">
        <v>27</v>
      </c>
      <c r="C119" s="73" t="s">
        <v>225</v>
      </c>
      <c r="D119" s="73">
        <v>1.0</v>
      </c>
      <c r="E119" s="32">
        <v>25000.0</v>
      </c>
      <c r="F119" s="32">
        <f t="shared" si="6"/>
        <v>25000</v>
      </c>
      <c r="G119" s="33" t="s">
        <v>10</v>
      </c>
      <c r="H119" s="189"/>
      <c r="P119" s="387" t="s">
        <v>502</v>
      </c>
      <c r="Q119" s="394">
        <f t="shared" si="8"/>
        <v>23.2</v>
      </c>
      <c r="R119" s="401">
        <f t="shared" si="9"/>
        <v>5307000</v>
      </c>
      <c r="S119" s="402">
        <f>R119/S126</f>
        <v>2640.469284</v>
      </c>
      <c r="T119" s="266">
        <v>1929.0</v>
      </c>
      <c r="U119" s="403">
        <f t="shared" si="7"/>
        <v>-711.4692841</v>
      </c>
    </row>
    <row r="120">
      <c r="A120" s="112">
        <v>46188.0</v>
      </c>
      <c r="B120" s="29" t="s">
        <v>27</v>
      </c>
      <c r="C120" s="73" t="s">
        <v>16</v>
      </c>
      <c r="D120" s="73">
        <v>1.41</v>
      </c>
      <c r="E120" s="32">
        <v>25000.0</v>
      </c>
      <c r="F120" s="32">
        <f t="shared" si="6"/>
        <v>35250</v>
      </c>
      <c r="G120" s="33" t="s">
        <v>10</v>
      </c>
      <c r="H120" s="189"/>
      <c r="P120" s="387" t="s">
        <v>503</v>
      </c>
      <c r="Q120" s="394">
        <f t="shared" si="8"/>
        <v>0.45</v>
      </c>
      <c r="R120" s="401">
        <f t="shared" si="9"/>
        <v>96750</v>
      </c>
      <c r="S120" s="402">
        <v>78.0</v>
      </c>
      <c r="T120" s="266">
        <v>78.0</v>
      </c>
      <c r="U120" s="403">
        <f t="shared" si="7"/>
        <v>0</v>
      </c>
      <c r="V120" s="405">
        <f>SUM(U116:U120)</f>
        <v>-2271.886311</v>
      </c>
      <c r="W120" s="406" t="s">
        <v>514</v>
      </c>
    </row>
    <row r="121">
      <c r="A121" s="112">
        <v>46188.0</v>
      </c>
      <c r="B121" s="29" t="s">
        <v>17</v>
      </c>
      <c r="C121" s="73" t="s">
        <v>140</v>
      </c>
      <c r="D121" s="73">
        <v>50.0</v>
      </c>
      <c r="E121" s="32">
        <v>25000.0</v>
      </c>
      <c r="F121" s="32">
        <f t="shared" si="6"/>
        <v>1250000</v>
      </c>
      <c r="G121" s="33" t="s">
        <v>10</v>
      </c>
      <c r="H121" s="189"/>
      <c r="P121" s="386" t="s">
        <v>504</v>
      </c>
      <c r="Q121" s="394"/>
      <c r="R121" s="395">
        <v>5810000.0</v>
      </c>
      <c r="S121" s="402">
        <f>R121/S126</f>
        <v>2890.734227</v>
      </c>
      <c r="T121" s="266">
        <v>1584.0</v>
      </c>
      <c r="U121" s="403">
        <f t="shared" si="7"/>
        <v>-1306.734227</v>
      </c>
    </row>
    <row r="122">
      <c r="A122" s="112">
        <v>46188.0</v>
      </c>
      <c r="B122" s="29" t="s">
        <v>17</v>
      </c>
      <c r="C122" s="73" t="s">
        <v>253</v>
      </c>
      <c r="D122" s="73">
        <v>30.0</v>
      </c>
      <c r="E122" s="32">
        <v>25000.0</v>
      </c>
      <c r="F122" s="32">
        <f t="shared" si="6"/>
        <v>750000</v>
      </c>
      <c r="G122" s="33" t="s">
        <v>10</v>
      </c>
      <c r="H122" s="189"/>
      <c r="P122" s="393" t="s">
        <v>439</v>
      </c>
      <c r="Q122" s="394"/>
      <c r="R122" s="395">
        <v>4927029.0</v>
      </c>
      <c r="S122" s="401">
        <f>R122/S126</f>
        <v>2451.416758</v>
      </c>
      <c r="T122" s="266">
        <v>834.0</v>
      </c>
      <c r="U122" s="403">
        <f>T122-S123</f>
        <v>-901.3858707</v>
      </c>
    </row>
    <row r="123">
      <c r="A123" s="112">
        <v>46188.0</v>
      </c>
      <c r="B123" s="29" t="s">
        <v>17</v>
      </c>
      <c r="C123" s="73" t="s">
        <v>25</v>
      </c>
      <c r="D123" s="73">
        <v>2.0</v>
      </c>
      <c r="E123" s="32">
        <v>25000.0</v>
      </c>
      <c r="F123" s="32">
        <f t="shared" si="6"/>
        <v>50000</v>
      </c>
      <c r="G123" s="33" t="s">
        <v>10</v>
      </c>
      <c r="H123" s="189"/>
      <c r="P123" s="393" t="s">
        <v>505</v>
      </c>
      <c r="Q123" s="394"/>
      <c r="R123" s="395">
        <v>3487900.0</v>
      </c>
      <c r="S123" s="401">
        <f>R123/S126</f>
        <v>1735.385871</v>
      </c>
      <c r="U123" s="403">
        <f>T123-S122</f>
        <v>-2451.416758</v>
      </c>
    </row>
    <row r="124">
      <c r="A124" s="112">
        <v>46188.0</v>
      </c>
      <c r="B124" s="29" t="s">
        <v>17</v>
      </c>
      <c r="C124" s="73" t="s">
        <v>265</v>
      </c>
      <c r="D124" s="73">
        <v>1.0</v>
      </c>
      <c r="E124" s="32">
        <v>25000.0</v>
      </c>
      <c r="F124" s="32">
        <f t="shared" si="6"/>
        <v>25000</v>
      </c>
      <c r="G124" s="33" t="s">
        <v>10</v>
      </c>
      <c r="H124" s="189"/>
      <c r="P124" s="393" t="s">
        <v>506</v>
      </c>
      <c r="Q124" s="394"/>
      <c r="R124" s="395">
        <v>1711309.0</v>
      </c>
      <c r="S124" s="401">
        <f>R124/S126</f>
        <v>851.4525815</v>
      </c>
      <c r="U124" s="403">
        <f>T124-S124</f>
        <v>-851.4525815</v>
      </c>
      <c r="V124" s="405">
        <f>SUM(U121:U124)</f>
        <v>-5510.989437</v>
      </c>
      <c r="W124" s="406" t="s">
        <v>515</v>
      </c>
    </row>
    <row r="125">
      <c r="A125" s="112">
        <v>46188.0</v>
      </c>
      <c r="B125" s="29" t="s">
        <v>17</v>
      </c>
      <c r="C125" s="73" t="s">
        <v>16</v>
      </c>
      <c r="D125" s="73">
        <v>4.44</v>
      </c>
      <c r="E125" s="32">
        <v>25000.0</v>
      </c>
      <c r="F125" s="32">
        <f t="shared" si="6"/>
        <v>111000</v>
      </c>
      <c r="G125" s="33" t="s">
        <v>10</v>
      </c>
      <c r="H125" s="189"/>
      <c r="P125" s="398" t="s">
        <v>6</v>
      </c>
      <c r="Q125" s="407"/>
      <c r="R125" s="102">
        <f t="shared" ref="R125:S125" si="10">sum(R116:R124)</f>
        <v>47286238</v>
      </c>
      <c r="S125" s="408">
        <f t="shared" si="10"/>
        <v>23556.87575</v>
      </c>
    </row>
    <row r="126">
      <c r="A126" s="112">
        <v>46188.0</v>
      </c>
      <c r="B126" s="29" t="s">
        <v>17</v>
      </c>
      <c r="C126" s="73" t="s">
        <v>67</v>
      </c>
      <c r="D126" s="73">
        <v>1.0</v>
      </c>
      <c r="E126" s="32">
        <v>25000.0</v>
      </c>
      <c r="F126" s="32">
        <f t="shared" si="6"/>
        <v>25000</v>
      </c>
      <c r="G126" s="33" t="s">
        <v>10</v>
      </c>
      <c r="H126" s="189"/>
      <c r="N126" s="150">
        <f>N115-T107</f>
        <v>-16741238</v>
      </c>
      <c r="P126" s="400" t="s">
        <v>516</v>
      </c>
      <c r="Q126" s="407"/>
      <c r="R126" s="394"/>
      <c r="S126" s="409">
        <v>2009.8700000000008</v>
      </c>
      <c r="U126" s="410">
        <f>SUM(U116:U124)</f>
        <v>-7782.875748</v>
      </c>
    </row>
    <row r="127">
      <c r="A127" s="112">
        <v>46189.0</v>
      </c>
      <c r="B127" s="29" t="s">
        <v>8</v>
      </c>
      <c r="C127" s="73" t="s">
        <v>137</v>
      </c>
      <c r="D127" s="73">
        <v>3.0</v>
      </c>
      <c r="E127" s="32">
        <v>25000.0</v>
      </c>
      <c r="F127" s="32">
        <f t="shared" si="6"/>
        <v>75000</v>
      </c>
      <c r="G127" s="33" t="s">
        <v>10</v>
      </c>
      <c r="H127" s="189"/>
      <c r="S127" s="403"/>
    </row>
    <row r="128">
      <c r="A128" s="112">
        <v>46189.0</v>
      </c>
      <c r="B128" s="29" t="s">
        <v>8</v>
      </c>
      <c r="C128" s="73" t="s">
        <v>138</v>
      </c>
      <c r="D128" s="73">
        <v>3.0</v>
      </c>
      <c r="E128" s="32">
        <v>25000.0</v>
      </c>
      <c r="F128" s="32">
        <f t="shared" si="6"/>
        <v>75000</v>
      </c>
      <c r="G128" s="33" t="s">
        <v>10</v>
      </c>
      <c r="H128" s="189"/>
    </row>
    <row r="129">
      <c r="A129" s="112">
        <v>46189.0</v>
      </c>
      <c r="B129" s="29" t="s">
        <v>8</v>
      </c>
      <c r="C129" s="73" t="s">
        <v>140</v>
      </c>
      <c r="D129" s="73">
        <v>2.0</v>
      </c>
      <c r="E129" s="32">
        <v>25000.0</v>
      </c>
      <c r="F129" s="32">
        <f t="shared" si="6"/>
        <v>50000</v>
      </c>
      <c r="G129" s="33" t="s">
        <v>10</v>
      </c>
      <c r="H129" s="189"/>
    </row>
    <row r="130">
      <c r="A130" s="112">
        <v>46189.0</v>
      </c>
      <c r="B130" s="29" t="s">
        <v>8</v>
      </c>
      <c r="C130" s="73" t="s">
        <v>149</v>
      </c>
      <c r="D130" s="73">
        <v>1.0</v>
      </c>
      <c r="E130" s="32">
        <v>25000.0</v>
      </c>
      <c r="F130" s="32">
        <f t="shared" si="6"/>
        <v>25000</v>
      </c>
      <c r="G130" s="33" t="s">
        <v>10</v>
      </c>
      <c r="H130" s="189"/>
      <c r="P130" s="407" t="s">
        <v>507</v>
      </c>
      <c r="Q130" s="400" t="s">
        <v>508</v>
      </c>
      <c r="R130" s="400" t="s">
        <v>509</v>
      </c>
      <c r="S130" s="407" t="s">
        <v>510</v>
      </c>
      <c r="T130" s="68" t="s">
        <v>511</v>
      </c>
      <c r="U130" s="68" t="s">
        <v>341</v>
      </c>
    </row>
    <row r="131">
      <c r="A131" s="112">
        <v>46189.0</v>
      </c>
      <c r="B131" s="29" t="s">
        <v>8</v>
      </c>
      <c r="C131" s="73" t="s">
        <v>16</v>
      </c>
      <c r="D131" s="73">
        <v>0.11</v>
      </c>
      <c r="E131" s="32">
        <v>25000.0</v>
      </c>
      <c r="F131" s="32">
        <f t="shared" si="6"/>
        <v>2750</v>
      </c>
      <c r="G131" s="33" t="s">
        <v>10</v>
      </c>
      <c r="H131" s="189"/>
      <c r="P131" s="394" t="s">
        <v>512</v>
      </c>
      <c r="Q131" s="394">
        <v>15.899999999999999</v>
      </c>
      <c r="R131" s="401">
        <v>8745000.0</v>
      </c>
      <c r="S131" s="411">
        <f>R131/S139</f>
        <v>4351.027678</v>
      </c>
      <c r="T131" s="266">
        <v>4615.0</v>
      </c>
      <c r="U131" s="403">
        <f t="shared" ref="U131:U137" si="11">T131-S131</f>
        <v>263.9723216</v>
      </c>
    </row>
    <row r="132">
      <c r="A132" s="112">
        <v>46189.0</v>
      </c>
      <c r="B132" s="29" t="s">
        <v>36</v>
      </c>
      <c r="C132" s="73" t="s">
        <v>62</v>
      </c>
      <c r="D132" s="73">
        <v>2.0</v>
      </c>
      <c r="E132" s="32">
        <v>25000.0</v>
      </c>
      <c r="F132" s="32">
        <f t="shared" si="6"/>
        <v>50000</v>
      </c>
      <c r="G132" s="33" t="s">
        <v>10</v>
      </c>
      <c r="H132" s="189"/>
      <c r="P132" s="394" t="s">
        <v>513</v>
      </c>
      <c r="Q132" s="394">
        <v>87.75</v>
      </c>
      <c r="R132" s="401">
        <v>7020000.0</v>
      </c>
      <c r="S132" s="411">
        <f>R132/S139</f>
        <v>3492.763214</v>
      </c>
      <c r="T132" s="266">
        <v>3118.0</v>
      </c>
      <c r="U132" s="403">
        <f t="shared" si="11"/>
        <v>-374.7632135</v>
      </c>
    </row>
    <row r="133">
      <c r="A133" s="112">
        <v>46189.0</v>
      </c>
      <c r="B133" s="29" t="s">
        <v>36</v>
      </c>
      <c r="C133" s="73" t="s">
        <v>55</v>
      </c>
      <c r="D133" s="73">
        <v>2.0</v>
      </c>
      <c r="E133" s="32">
        <v>25000.0</v>
      </c>
      <c r="F133" s="32">
        <f t="shared" si="6"/>
        <v>50000</v>
      </c>
      <c r="G133" s="33" t="s">
        <v>10</v>
      </c>
      <c r="H133" s="189"/>
      <c r="P133" s="412" t="s">
        <v>501</v>
      </c>
      <c r="Q133" s="394">
        <v>45.25</v>
      </c>
      <c r="R133" s="401">
        <v>1.018125E7</v>
      </c>
      <c r="S133" s="411">
        <f>R133/S139</f>
        <v>5065.626135</v>
      </c>
      <c r="T133" s="266">
        <v>3616.0</v>
      </c>
      <c r="U133" s="403">
        <f t="shared" si="11"/>
        <v>-1449.626135</v>
      </c>
    </row>
    <row r="134">
      <c r="A134" s="112">
        <v>46189.0</v>
      </c>
      <c r="B134" s="29" t="s">
        <v>36</v>
      </c>
      <c r="C134" s="73" t="s">
        <v>67</v>
      </c>
      <c r="D134" s="73">
        <v>2.0</v>
      </c>
      <c r="E134" s="32">
        <v>25000.0</v>
      </c>
      <c r="F134" s="32">
        <f t="shared" si="6"/>
        <v>50000</v>
      </c>
      <c r="G134" s="33" t="s">
        <v>10</v>
      </c>
      <c r="H134" s="189"/>
      <c r="P134" s="401" t="s">
        <v>502</v>
      </c>
      <c r="Q134" s="394">
        <v>23.2</v>
      </c>
      <c r="R134" s="401">
        <v>5307000.0</v>
      </c>
      <c r="S134" s="411">
        <f>R134/S139</f>
        <v>2640.469284</v>
      </c>
      <c r="T134" s="266">
        <v>1929.0</v>
      </c>
      <c r="U134" s="403">
        <f t="shared" si="11"/>
        <v>-711.4692841</v>
      </c>
    </row>
    <row r="135">
      <c r="A135" s="112">
        <v>46189.0</v>
      </c>
      <c r="B135" s="29" t="s">
        <v>36</v>
      </c>
      <c r="C135" s="73" t="s">
        <v>16</v>
      </c>
      <c r="D135" s="73">
        <v>0.2</v>
      </c>
      <c r="E135" s="32">
        <v>25000.0</v>
      </c>
      <c r="F135" s="32">
        <f t="shared" si="6"/>
        <v>5000</v>
      </c>
      <c r="G135" s="33" t="s">
        <v>10</v>
      </c>
      <c r="H135" s="189"/>
      <c r="P135" s="401" t="s">
        <v>503</v>
      </c>
      <c r="Q135" s="394">
        <v>0.44999999999999996</v>
      </c>
      <c r="R135" s="401">
        <v>96749.99999999999</v>
      </c>
      <c r="S135" s="411">
        <f>R135/S139</f>
        <v>48.13744173</v>
      </c>
      <c r="T135" s="266">
        <v>78.0</v>
      </c>
      <c r="U135" s="403">
        <f t="shared" si="11"/>
        <v>29.86255827</v>
      </c>
      <c r="V135" s="405">
        <f>SUM(U131:U135)</f>
        <v>-2242.023753</v>
      </c>
      <c r="W135" s="406" t="s">
        <v>514</v>
      </c>
    </row>
    <row r="136">
      <c r="A136" s="112">
        <v>46189.0</v>
      </c>
      <c r="B136" s="29" t="s">
        <v>27</v>
      </c>
      <c r="C136" s="73" t="s">
        <v>55</v>
      </c>
      <c r="D136" s="73">
        <v>10.0</v>
      </c>
      <c r="E136" s="32">
        <v>25000.0</v>
      </c>
      <c r="F136" s="32">
        <f t="shared" si="6"/>
        <v>250000</v>
      </c>
      <c r="G136" s="33" t="s">
        <v>10</v>
      </c>
      <c r="H136" s="189"/>
      <c r="P136" s="393" t="s">
        <v>504</v>
      </c>
      <c r="Q136" s="394"/>
      <c r="R136" s="395">
        <v>5810000.0</v>
      </c>
      <c r="S136" s="411">
        <f>R136/S139</f>
        <v>2890.734227</v>
      </c>
      <c r="T136" s="266">
        <v>1584.0</v>
      </c>
      <c r="U136" s="403">
        <f t="shared" si="11"/>
        <v>-1306.734227</v>
      </c>
    </row>
    <row r="137">
      <c r="A137" s="112">
        <v>46189.0</v>
      </c>
      <c r="B137" s="29" t="s">
        <v>27</v>
      </c>
      <c r="C137" s="73" t="s">
        <v>62</v>
      </c>
      <c r="D137" s="73">
        <v>4.0</v>
      </c>
      <c r="E137" s="32">
        <v>25000.0</v>
      </c>
      <c r="F137" s="32">
        <f t="shared" si="6"/>
        <v>100000</v>
      </c>
      <c r="G137" s="33" t="s">
        <v>10</v>
      </c>
      <c r="H137" s="189"/>
      <c r="J137" s="289" t="s">
        <v>82</v>
      </c>
      <c r="K137" s="289" t="s">
        <v>431</v>
      </c>
      <c r="L137" s="289" t="s">
        <v>432</v>
      </c>
      <c r="P137" s="393" t="s">
        <v>439</v>
      </c>
      <c r="Q137" s="394"/>
      <c r="R137" s="395">
        <v>4927029.0</v>
      </c>
      <c r="S137" s="401">
        <f>R137/S139</f>
        <v>2451.416758</v>
      </c>
      <c r="T137" s="266">
        <v>834.0</v>
      </c>
      <c r="U137" s="403">
        <f t="shared" si="11"/>
        <v>-1617.416758</v>
      </c>
    </row>
    <row r="138">
      <c r="A138" s="112">
        <v>46189.0</v>
      </c>
      <c r="B138" s="29" t="s">
        <v>27</v>
      </c>
      <c r="C138" s="73" t="s">
        <v>225</v>
      </c>
      <c r="D138" s="73">
        <v>1.0</v>
      </c>
      <c r="E138" s="32">
        <v>25000.0</v>
      </c>
      <c r="F138" s="32">
        <f t="shared" si="6"/>
        <v>25000</v>
      </c>
      <c r="G138" s="33" t="s">
        <v>10</v>
      </c>
      <c r="H138" s="189"/>
      <c r="J138" s="289" t="s">
        <v>115</v>
      </c>
      <c r="K138" s="150">
        <v>200000.0</v>
      </c>
      <c r="L138" s="289">
        <v>2.0</v>
      </c>
      <c r="P138" s="407" t="s">
        <v>6</v>
      </c>
      <c r="Q138" s="407"/>
      <c r="R138" s="102">
        <f t="shared" ref="R138:S138" si="12">sum(R131:R137)</f>
        <v>42087029</v>
      </c>
      <c r="S138" s="408">
        <f t="shared" si="12"/>
        <v>20940.17474</v>
      </c>
      <c r="U138" s="410">
        <f>sum(U131:U137)</f>
        <v>-5166.174738</v>
      </c>
      <c r="V138" s="405">
        <f>SUM(U136:U137)</f>
        <v>-2924.150985</v>
      </c>
      <c r="W138" s="406" t="s">
        <v>515</v>
      </c>
    </row>
    <row r="139">
      <c r="A139" s="112">
        <v>46189.0</v>
      </c>
      <c r="B139" s="29" t="s">
        <v>27</v>
      </c>
      <c r="C139" s="73" t="s">
        <v>16</v>
      </c>
      <c r="D139" s="73">
        <v>0.84</v>
      </c>
      <c r="E139" s="32">
        <v>25000.0</v>
      </c>
      <c r="F139" s="32">
        <f t="shared" si="6"/>
        <v>21000</v>
      </c>
      <c r="G139" s="33" t="s">
        <v>10</v>
      </c>
      <c r="H139" s="189"/>
      <c r="J139" s="289" t="s">
        <v>457</v>
      </c>
      <c r="K139" s="150">
        <v>3000000.0</v>
      </c>
      <c r="L139" s="289">
        <v>4.0</v>
      </c>
      <c r="P139" s="400" t="s">
        <v>516</v>
      </c>
      <c r="Q139" s="407"/>
      <c r="R139" s="394"/>
      <c r="S139" s="409">
        <v>2009.8700000000008</v>
      </c>
    </row>
    <row r="140">
      <c r="A140" s="112">
        <v>46189.0</v>
      </c>
      <c r="B140" s="29" t="s">
        <v>17</v>
      </c>
      <c r="C140" s="73" t="s">
        <v>140</v>
      </c>
      <c r="D140" s="73">
        <v>15.0</v>
      </c>
      <c r="E140" s="32">
        <v>25000.0</v>
      </c>
      <c r="F140" s="32">
        <f t="shared" si="6"/>
        <v>375000</v>
      </c>
      <c r="G140" s="33" t="s">
        <v>10</v>
      </c>
      <c r="H140" s="189"/>
      <c r="J140" s="289" t="s">
        <v>459</v>
      </c>
      <c r="K140" s="150">
        <v>2810000.0</v>
      </c>
      <c r="L140" s="289">
        <v>4.0</v>
      </c>
    </row>
    <row r="141">
      <c r="A141" s="112">
        <v>46189.0</v>
      </c>
      <c r="B141" s="29" t="s">
        <v>17</v>
      </c>
      <c r="C141" s="73" t="s">
        <v>253</v>
      </c>
      <c r="D141" s="73">
        <v>50.0</v>
      </c>
      <c r="E141" s="32">
        <v>25000.0</v>
      </c>
      <c r="F141" s="32">
        <f t="shared" si="6"/>
        <v>1250000</v>
      </c>
      <c r="G141" s="33" t="s">
        <v>10</v>
      </c>
      <c r="H141" s="189"/>
      <c r="J141" s="289" t="s">
        <v>452</v>
      </c>
      <c r="K141" s="150">
        <v>1053000.0</v>
      </c>
      <c r="L141" s="289">
        <v>2.0</v>
      </c>
      <c r="R141" s="413"/>
    </row>
    <row r="142">
      <c r="A142" s="112">
        <v>46189.0</v>
      </c>
      <c r="B142" s="29" t="s">
        <v>17</v>
      </c>
      <c r="C142" s="73" t="s">
        <v>250</v>
      </c>
      <c r="D142" s="73">
        <v>1.0</v>
      </c>
      <c r="E142" s="32">
        <v>25000.0</v>
      </c>
      <c r="F142" s="32">
        <f t="shared" si="6"/>
        <v>25000</v>
      </c>
      <c r="G142" s="33" t="s">
        <v>10</v>
      </c>
      <c r="H142" s="189"/>
      <c r="J142" s="289" t="s">
        <v>434</v>
      </c>
      <c r="K142" s="150">
        <v>115000.0</v>
      </c>
      <c r="L142" s="289">
        <v>1.0</v>
      </c>
    </row>
    <row r="143">
      <c r="A143" s="112">
        <v>46189.0</v>
      </c>
      <c r="B143" s="29" t="s">
        <v>17</v>
      </c>
      <c r="C143" s="73" t="s">
        <v>266</v>
      </c>
      <c r="D143" s="73">
        <v>1.0</v>
      </c>
      <c r="E143" s="32">
        <v>25000.0</v>
      </c>
      <c r="F143" s="32">
        <f t="shared" si="6"/>
        <v>25000</v>
      </c>
      <c r="G143" s="33" t="s">
        <v>10</v>
      </c>
      <c r="H143" s="189"/>
      <c r="J143" s="289" t="s">
        <v>437</v>
      </c>
      <c r="K143" s="150">
        <v>367900.0</v>
      </c>
      <c r="L143" s="289">
        <v>1.0</v>
      </c>
    </row>
    <row r="144">
      <c r="A144" s="112">
        <v>46189.0</v>
      </c>
      <c r="B144" s="29" t="s">
        <v>17</v>
      </c>
      <c r="C144" s="73" t="s">
        <v>259</v>
      </c>
      <c r="D144" s="73">
        <v>1.0</v>
      </c>
      <c r="E144" s="32">
        <v>25000.0</v>
      </c>
      <c r="F144" s="32">
        <f t="shared" si="6"/>
        <v>25000</v>
      </c>
      <c r="G144" s="33" t="s">
        <v>10</v>
      </c>
      <c r="H144" s="189"/>
      <c r="J144" s="289" t="s">
        <v>112</v>
      </c>
      <c r="K144" s="150">
        <v>3700800.0</v>
      </c>
      <c r="L144" s="289">
        <v>13.0</v>
      </c>
    </row>
    <row r="145">
      <c r="A145" s="112">
        <v>46189.0</v>
      </c>
      <c r="B145" s="29" t="s">
        <v>17</v>
      </c>
      <c r="C145" s="73" t="s">
        <v>25</v>
      </c>
      <c r="D145" s="73">
        <v>2.0</v>
      </c>
      <c r="E145" s="32">
        <v>25000.0</v>
      </c>
      <c r="F145" s="32">
        <f t="shared" si="6"/>
        <v>50000</v>
      </c>
      <c r="G145" s="33" t="s">
        <v>10</v>
      </c>
      <c r="H145" s="189"/>
      <c r="J145" s="289" t="s">
        <v>129</v>
      </c>
      <c r="K145" s="150">
        <v>99000.0</v>
      </c>
      <c r="L145" s="289">
        <v>2.0</v>
      </c>
    </row>
    <row r="146">
      <c r="A146" s="112">
        <v>46189.0</v>
      </c>
      <c r="B146" s="29" t="s">
        <v>17</v>
      </c>
      <c r="C146" s="73" t="s">
        <v>67</v>
      </c>
      <c r="D146" s="73">
        <v>1.0</v>
      </c>
      <c r="E146" s="32">
        <v>25000.0</v>
      </c>
      <c r="F146" s="32">
        <f t="shared" si="6"/>
        <v>25000</v>
      </c>
      <c r="G146" s="33" t="s">
        <v>10</v>
      </c>
      <c r="H146" s="189"/>
      <c r="J146" s="289" t="s">
        <v>441</v>
      </c>
      <c r="K146" s="150">
        <v>30000.0</v>
      </c>
      <c r="L146" s="289">
        <v>1.0</v>
      </c>
    </row>
    <row r="147">
      <c r="A147" s="112">
        <v>46189.0</v>
      </c>
      <c r="B147" s="29" t="s">
        <v>17</v>
      </c>
      <c r="C147" s="73" t="s">
        <v>267</v>
      </c>
      <c r="D147" s="73">
        <v>1.0</v>
      </c>
      <c r="E147" s="32">
        <v>25000.0</v>
      </c>
      <c r="F147" s="32">
        <f t="shared" si="6"/>
        <v>25000</v>
      </c>
      <c r="G147" s="33" t="s">
        <v>10</v>
      </c>
      <c r="H147" s="189"/>
      <c r="J147" s="289" t="s">
        <v>443</v>
      </c>
      <c r="K147" s="150">
        <v>899882.0</v>
      </c>
      <c r="L147" s="289">
        <v>1.0</v>
      </c>
    </row>
    <row r="148">
      <c r="A148" s="112">
        <v>46189.0</v>
      </c>
      <c r="B148" s="29" t="s">
        <v>17</v>
      </c>
      <c r="C148" s="73" t="s">
        <v>16</v>
      </c>
      <c r="D148" s="73">
        <v>2.1</v>
      </c>
      <c r="E148" s="32">
        <v>25000.0</v>
      </c>
      <c r="F148" s="32">
        <f t="shared" si="6"/>
        <v>52500</v>
      </c>
      <c r="G148" s="33" t="s">
        <v>10</v>
      </c>
      <c r="H148" s="189"/>
      <c r="J148" s="289" t="s">
        <v>438</v>
      </c>
      <c r="K148" s="150">
        <v>7700000.0</v>
      </c>
      <c r="L148" s="289">
        <v>14.0</v>
      </c>
    </row>
    <row r="149">
      <c r="A149" s="112">
        <v>46190.0</v>
      </c>
      <c r="B149" s="29" t="s">
        <v>8</v>
      </c>
      <c r="C149" s="73" t="s">
        <v>67</v>
      </c>
      <c r="D149" s="73">
        <v>1.0</v>
      </c>
      <c r="E149" s="32">
        <v>25000.0</v>
      </c>
      <c r="F149" s="32">
        <f t="shared" si="6"/>
        <v>25000</v>
      </c>
      <c r="G149" s="33" t="s">
        <v>10</v>
      </c>
      <c r="H149" s="189"/>
      <c r="J149" s="289" t="s">
        <v>106</v>
      </c>
      <c r="K149" s="150">
        <v>6400000.0</v>
      </c>
      <c r="L149" s="289">
        <v>80.0</v>
      </c>
    </row>
    <row r="150">
      <c r="A150" s="112">
        <v>46190.0</v>
      </c>
      <c r="B150" s="29" t="s">
        <v>8</v>
      </c>
      <c r="C150" s="73" t="s">
        <v>145</v>
      </c>
      <c r="D150" s="73">
        <v>3.0</v>
      </c>
      <c r="E150" s="32">
        <v>25000.0</v>
      </c>
      <c r="F150" s="32">
        <f t="shared" si="6"/>
        <v>75000</v>
      </c>
      <c r="G150" s="33" t="s">
        <v>10</v>
      </c>
      <c r="H150" s="189"/>
      <c r="J150" s="289" t="s">
        <v>460</v>
      </c>
      <c r="K150" s="150">
        <v>1380000.0</v>
      </c>
      <c r="L150" s="289">
        <v>46.0</v>
      </c>
    </row>
    <row r="151">
      <c r="A151" s="112">
        <v>46190.0</v>
      </c>
      <c r="B151" s="29" t="s">
        <v>8</v>
      </c>
      <c r="C151" s="73" t="s">
        <v>150</v>
      </c>
      <c r="D151" s="73">
        <v>1.0</v>
      </c>
      <c r="E151" s="32">
        <v>25000.0</v>
      </c>
      <c r="F151" s="32">
        <f t="shared" si="6"/>
        <v>25000</v>
      </c>
      <c r="G151" s="33" t="s">
        <v>10</v>
      </c>
      <c r="H151" s="189"/>
      <c r="J151" s="289" t="s">
        <v>445</v>
      </c>
      <c r="K151" s="150">
        <v>200000.0</v>
      </c>
      <c r="L151" s="289">
        <v>1.0</v>
      </c>
    </row>
    <row r="152">
      <c r="A152" s="112">
        <v>46190.0</v>
      </c>
      <c r="B152" s="29" t="s">
        <v>36</v>
      </c>
      <c r="C152" s="73" t="s">
        <v>67</v>
      </c>
      <c r="D152" s="73">
        <v>2.0</v>
      </c>
      <c r="E152" s="32">
        <v>25000.0</v>
      </c>
      <c r="F152" s="32">
        <f t="shared" si="6"/>
        <v>50000</v>
      </c>
      <c r="G152" s="33" t="s">
        <v>10</v>
      </c>
      <c r="H152" s="189"/>
      <c r="J152" s="289" t="s">
        <v>448</v>
      </c>
      <c r="K152" s="150">
        <v>43000.0</v>
      </c>
      <c r="L152" s="289">
        <v>1.0</v>
      </c>
    </row>
    <row r="153">
      <c r="A153" s="112">
        <v>46190.0</v>
      </c>
      <c r="B153" s="29" t="s">
        <v>36</v>
      </c>
      <c r="C153" s="73" t="s">
        <v>151</v>
      </c>
      <c r="D153" s="73">
        <v>1.0</v>
      </c>
      <c r="E153" s="32">
        <v>25000.0</v>
      </c>
      <c r="F153" s="32">
        <f t="shared" si="6"/>
        <v>25000</v>
      </c>
      <c r="G153" s="33" t="s">
        <v>10</v>
      </c>
      <c r="H153" s="189"/>
      <c r="J153" s="289" t="s">
        <v>450</v>
      </c>
      <c r="K153" s="150">
        <v>326347.0</v>
      </c>
      <c r="L153" s="289">
        <v>1.0</v>
      </c>
    </row>
    <row r="154">
      <c r="A154" s="112">
        <v>46190.0</v>
      </c>
      <c r="B154" s="29" t="s">
        <v>36</v>
      </c>
      <c r="C154" s="73" t="s">
        <v>16</v>
      </c>
      <c r="D154" s="73">
        <v>0.18</v>
      </c>
      <c r="E154" s="32">
        <v>25000.0</v>
      </c>
      <c r="F154" s="32">
        <f t="shared" si="6"/>
        <v>4500</v>
      </c>
      <c r="G154" s="33" t="s">
        <v>10</v>
      </c>
      <c r="H154" s="189"/>
      <c r="J154" s="289" t="s">
        <v>435</v>
      </c>
      <c r="K154" s="150">
        <v>2745000.0</v>
      </c>
      <c r="L154" s="289">
        <v>12.0</v>
      </c>
    </row>
    <row r="155">
      <c r="A155" s="112">
        <v>46190.0</v>
      </c>
      <c r="B155" s="29" t="s">
        <v>27</v>
      </c>
      <c r="C155" s="73" t="s">
        <v>55</v>
      </c>
      <c r="D155" s="73">
        <v>12.0</v>
      </c>
      <c r="E155" s="32">
        <v>25000.0</v>
      </c>
      <c r="F155" s="32">
        <f t="shared" si="6"/>
        <v>300000</v>
      </c>
      <c r="G155" s="33" t="s">
        <v>10</v>
      </c>
      <c r="H155" s="189"/>
      <c r="J155" s="289" t="s">
        <v>108</v>
      </c>
      <c r="K155" s="150">
        <v>9000000.0</v>
      </c>
      <c r="L155" s="289">
        <v>40.0</v>
      </c>
    </row>
    <row r="156">
      <c r="A156" s="112">
        <v>46190.0</v>
      </c>
      <c r="B156" s="29" t="s">
        <v>27</v>
      </c>
      <c r="C156" s="73" t="s">
        <v>57</v>
      </c>
      <c r="D156" s="73">
        <v>3.0</v>
      </c>
      <c r="E156" s="32">
        <v>25000.0</v>
      </c>
      <c r="F156" s="32">
        <f t="shared" si="6"/>
        <v>75000</v>
      </c>
      <c r="G156" s="33" t="s">
        <v>10</v>
      </c>
      <c r="H156" s="189"/>
      <c r="J156" s="289" t="s">
        <v>444</v>
      </c>
      <c r="K156" s="150">
        <v>4.0069929E7</v>
      </c>
      <c r="L156" s="289">
        <v>226.0</v>
      </c>
    </row>
    <row r="157">
      <c r="A157" s="112">
        <v>46190.0</v>
      </c>
      <c r="B157" s="29" t="s">
        <v>27</v>
      </c>
      <c r="C157" s="73" t="s">
        <v>225</v>
      </c>
      <c r="D157" s="73">
        <v>1.0</v>
      </c>
      <c r="E157" s="32">
        <v>25000.0</v>
      </c>
      <c r="F157" s="32">
        <f t="shared" si="6"/>
        <v>25000</v>
      </c>
      <c r="G157" s="33" t="s">
        <v>10</v>
      </c>
      <c r="H157" s="189"/>
    </row>
    <row r="158">
      <c r="A158" s="112">
        <v>46190.0</v>
      </c>
      <c r="B158" s="29" t="s">
        <v>27</v>
      </c>
      <c r="C158" s="73" t="s">
        <v>139</v>
      </c>
      <c r="D158" s="73">
        <v>1.0</v>
      </c>
      <c r="E158" s="32">
        <v>25000.0</v>
      </c>
      <c r="F158" s="32">
        <f t="shared" si="6"/>
        <v>25000</v>
      </c>
      <c r="G158" s="33" t="s">
        <v>10</v>
      </c>
      <c r="H158" s="189"/>
    </row>
    <row r="159">
      <c r="A159" s="112">
        <v>46190.0</v>
      </c>
      <c r="B159" s="29" t="s">
        <v>27</v>
      </c>
      <c r="C159" s="73" t="s">
        <v>70</v>
      </c>
      <c r="D159" s="73">
        <v>1.0</v>
      </c>
      <c r="E159" s="32">
        <v>25000.0</v>
      </c>
      <c r="F159" s="32">
        <f t="shared" si="6"/>
        <v>25000</v>
      </c>
      <c r="G159" s="33" t="s">
        <v>10</v>
      </c>
      <c r="H159" s="189"/>
    </row>
    <row r="160">
      <c r="A160" s="112">
        <v>46190.0</v>
      </c>
      <c r="B160" s="29" t="s">
        <v>27</v>
      </c>
      <c r="C160" s="73" t="s">
        <v>242</v>
      </c>
      <c r="D160" s="73">
        <v>1.0</v>
      </c>
      <c r="E160" s="32">
        <v>25000.0</v>
      </c>
      <c r="F160" s="32">
        <f t="shared" si="6"/>
        <v>25000</v>
      </c>
      <c r="G160" s="33" t="s">
        <v>10</v>
      </c>
      <c r="H160" s="189"/>
    </row>
    <row r="161">
      <c r="A161" s="112">
        <v>46190.0</v>
      </c>
      <c r="B161" s="29" t="s">
        <v>27</v>
      </c>
      <c r="C161" s="73" t="s">
        <v>67</v>
      </c>
      <c r="D161" s="73">
        <v>1.0</v>
      </c>
      <c r="E161" s="32">
        <v>25000.0</v>
      </c>
      <c r="F161" s="32">
        <f t="shared" si="6"/>
        <v>25000</v>
      </c>
      <c r="G161" s="33" t="s">
        <v>10</v>
      </c>
      <c r="H161" s="189"/>
    </row>
    <row r="162">
      <c r="A162" s="112">
        <v>46190.0</v>
      </c>
      <c r="B162" s="29" t="s">
        <v>27</v>
      </c>
      <c r="C162" s="73" t="s">
        <v>16</v>
      </c>
      <c r="D162" s="73">
        <v>0.98</v>
      </c>
      <c r="E162" s="32">
        <v>25000.0</v>
      </c>
      <c r="F162" s="32">
        <f t="shared" si="6"/>
        <v>24500</v>
      </c>
      <c r="G162" s="33" t="s">
        <v>10</v>
      </c>
      <c r="H162" s="189"/>
    </row>
    <row r="163">
      <c r="A163" s="112">
        <v>46190.0</v>
      </c>
      <c r="B163" s="29" t="s">
        <v>17</v>
      </c>
      <c r="C163" s="73" t="s">
        <v>140</v>
      </c>
      <c r="D163" s="73">
        <v>15.0</v>
      </c>
      <c r="E163" s="32">
        <v>25000.0</v>
      </c>
      <c r="F163" s="32">
        <f t="shared" si="6"/>
        <v>375000</v>
      </c>
      <c r="G163" s="33" t="s">
        <v>10</v>
      </c>
      <c r="H163" s="189"/>
    </row>
    <row r="164">
      <c r="A164" s="112">
        <v>46190.0</v>
      </c>
      <c r="B164" s="29" t="s">
        <v>17</v>
      </c>
      <c r="C164" s="73" t="s">
        <v>253</v>
      </c>
      <c r="D164" s="73">
        <v>20.0</v>
      </c>
      <c r="E164" s="32">
        <v>25000.0</v>
      </c>
      <c r="F164" s="32">
        <f t="shared" si="6"/>
        <v>500000</v>
      </c>
      <c r="G164" s="33" t="s">
        <v>10</v>
      </c>
      <c r="H164" s="189"/>
    </row>
    <row r="165">
      <c r="A165" s="112">
        <v>46190.0</v>
      </c>
      <c r="B165" s="29" t="s">
        <v>17</v>
      </c>
      <c r="C165" s="73" t="s">
        <v>256</v>
      </c>
      <c r="D165" s="73">
        <v>1.0</v>
      </c>
      <c r="E165" s="32">
        <v>25000.0</v>
      </c>
      <c r="F165" s="32">
        <f t="shared" si="6"/>
        <v>25000</v>
      </c>
      <c r="G165" s="33" t="s">
        <v>10</v>
      </c>
      <c r="H165" s="189"/>
    </row>
    <row r="166">
      <c r="A166" s="112">
        <v>46190.0</v>
      </c>
      <c r="B166" s="29" t="s">
        <v>17</v>
      </c>
      <c r="C166" s="73" t="s">
        <v>67</v>
      </c>
      <c r="D166" s="73">
        <v>1.0</v>
      </c>
      <c r="E166" s="32">
        <v>25000.0</v>
      </c>
      <c r="F166" s="32">
        <f t="shared" si="6"/>
        <v>25000</v>
      </c>
      <c r="G166" s="33" t="s">
        <v>10</v>
      </c>
      <c r="H166" s="189"/>
    </row>
    <row r="167">
      <c r="A167" s="112">
        <v>46190.0</v>
      </c>
      <c r="B167" s="29" t="s">
        <v>17</v>
      </c>
      <c r="C167" s="73" t="s">
        <v>25</v>
      </c>
      <c r="D167" s="73">
        <v>1.0</v>
      </c>
      <c r="E167" s="32">
        <v>25000.0</v>
      </c>
      <c r="F167" s="32">
        <f t="shared" si="6"/>
        <v>25000</v>
      </c>
      <c r="G167" s="33" t="s">
        <v>10</v>
      </c>
      <c r="H167" s="189"/>
    </row>
    <row r="168">
      <c r="A168" s="112">
        <v>46190.0</v>
      </c>
      <c r="B168" s="29" t="s">
        <v>17</v>
      </c>
      <c r="C168" s="73" t="s">
        <v>16</v>
      </c>
      <c r="D168" s="73">
        <v>2.23</v>
      </c>
      <c r="E168" s="32">
        <v>25000.0</v>
      </c>
      <c r="F168" s="32">
        <f t="shared" si="6"/>
        <v>55750</v>
      </c>
      <c r="G168" s="33" t="s">
        <v>10</v>
      </c>
      <c r="H168" s="189"/>
    </row>
    <row r="169">
      <c r="A169" s="112">
        <v>46190.0</v>
      </c>
      <c r="B169" s="29" t="s">
        <v>17</v>
      </c>
      <c r="C169" s="73" t="s">
        <v>268</v>
      </c>
      <c r="D169" s="73">
        <v>1.0</v>
      </c>
      <c r="E169" s="32">
        <v>25000.0</v>
      </c>
      <c r="F169" s="32">
        <f t="shared" si="6"/>
        <v>25000</v>
      </c>
      <c r="G169" s="33" t="s">
        <v>10</v>
      </c>
      <c r="H169" s="189"/>
    </row>
    <row r="170">
      <c r="A170" s="112">
        <v>46190.0</v>
      </c>
      <c r="B170" s="29" t="s">
        <v>17</v>
      </c>
      <c r="C170" s="73" t="s">
        <v>29</v>
      </c>
      <c r="D170" s="73">
        <v>1.0</v>
      </c>
      <c r="E170" s="32">
        <v>25000.0</v>
      </c>
      <c r="F170" s="32">
        <f t="shared" si="6"/>
        <v>25000</v>
      </c>
      <c r="G170" s="33" t="s">
        <v>10</v>
      </c>
      <c r="H170" s="189"/>
    </row>
    <row r="171">
      <c r="A171" s="112">
        <v>46191.0</v>
      </c>
      <c r="B171" s="29" t="s">
        <v>8</v>
      </c>
      <c r="C171" s="73" t="s">
        <v>151</v>
      </c>
      <c r="D171" s="73">
        <v>1.0</v>
      </c>
      <c r="E171" s="32">
        <v>25000.0</v>
      </c>
      <c r="F171" s="32">
        <f t="shared" si="6"/>
        <v>25000</v>
      </c>
      <c r="G171" s="33" t="s">
        <v>10</v>
      </c>
      <c r="H171" s="189"/>
    </row>
    <row r="172">
      <c r="A172" s="112">
        <v>46191.0</v>
      </c>
      <c r="B172" s="29" t="s">
        <v>8</v>
      </c>
      <c r="C172" s="73" t="s">
        <v>137</v>
      </c>
      <c r="D172" s="73">
        <v>3.0</v>
      </c>
      <c r="E172" s="32">
        <v>25000.0</v>
      </c>
      <c r="F172" s="32">
        <f t="shared" si="6"/>
        <v>75000</v>
      </c>
      <c r="G172" s="33" t="s">
        <v>10</v>
      </c>
      <c r="H172" s="189"/>
    </row>
    <row r="173">
      <c r="A173" s="112">
        <v>46191.0</v>
      </c>
      <c r="B173" s="29" t="s">
        <v>8</v>
      </c>
      <c r="C173" s="73" t="s">
        <v>16</v>
      </c>
      <c r="D173" s="73">
        <v>0.05</v>
      </c>
      <c r="E173" s="32">
        <v>25000.0</v>
      </c>
      <c r="F173" s="32">
        <f t="shared" si="6"/>
        <v>1250</v>
      </c>
      <c r="G173" s="33" t="s">
        <v>10</v>
      </c>
      <c r="H173" s="189"/>
    </row>
    <row r="174">
      <c r="A174" s="112">
        <v>46191.0</v>
      </c>
      <c r="B174" s="29" t="s">
        <v>36</v>
      </c>
      <c r="C174" s="73" t="s">
        <v>228</v>
      </c>
      <c r="D174" s="73">
        <v>4.0</v>
      </c>
      <c r="E174" s="32">
        <v>25000.0</v>
      </c>
      <c r="F174" s="32">
        <f t="shared" si="6"/>
        <v>100000</v>
      </c>
      <c r="G174" s="33" t="s">
        <v>10</v>
      </c>
      <c r="H174" s="189"/>
    </row>
    <row r="175">
      <c r="A175" s="112">
        <v>46191.0</v>
      </c>
      <c r="B175" s="29" t="s">
        <v>36</v>
      </c>
      <c r="C175" s="73" t="s">
        <v>29</v>
      </c>
      <c r="D175" s="73">
        <v>2.0</v>
      </c>
      <c r="E175" s="32">
        <v>25000.0</v>
      </c>
      <c r="F175" s="32">
        <f t="shared" si="6"/>
        <v>50000</v>
      </c>
      <c r="G175" s="33" t="s">
        <v>10</v>
      </c>
      <c r="H175" s="189"/>
    </row>
    <row r="176">
      <c r="A176" s="112">
        <v>46191.0</v>
      </c>
      <c r="B176" s="29" t="s">
        <v>36</v>
      </c>
      <c r="C176" s="73" t="s">
        <v>16</v>
      </c>
      <c r="D176" s="73">
        <v>0.2</v>
      </c>
      <c r="E176" s="32">
        <v>25000.0</v>
      </c>
      <c r="F176" s="32">
        <f t="shared" si="6"/>
        <v>5000</v>
      </c>
      <c r="G176" s="33" t="s">
        <v>10</v>
      </c>
      <c r="H176" s="189"/>
    </row>
    <row r="177">
      <c r="A177" s="112">
        <v>46191.0</v>
      </c>
      <c r="B177" s="29" t="s">
        <v>27</v>
      </c>
      <c r="C177" s="73" t="s">
        <v>55</v>
      </c>
      <c r="D177" s="73">
        <v>12.0</v>
      </c>
      <c r="E177" s="32">
        <v>25000.0</v>
      </c>
      <c r="F177" s="32">
        <f t="shared" si="6"/>
        <v>300000</v>
      </c>
      <c r="G177" s="33" t="s">
        <v>10</v>
      </c>
      <c r="H177" s="189"/>
    </row>
    <row r="178">
      <c r="A178" s="112">
        <v>46191.0</v>
      </c>
      <c r="B178" s="29" t="s">
        <v>27</v>
      </c>
      <c r="C178" s="73" t="s">
        <v>57</v>
      </c>
      <c r="D178" s="73">
        <v>4.0</v>
      </c>
      <c r="E178" s="32">
        <v>25000.0</v>
      </c>
      <c r="F178" s="32">
        <f t="shared" si="6"/>
        <v>100000</v>
      </c>
      <c r="G178" s="33" t="s">
        <v>10</v>
      </c>
      <c r="H178" s="189"/>
    </row>
    <row r="179">
      <c r="A179" s="112">
        <v>46191.0</v>
      </c>
      <c r="B179" s="29" t="s">
        <v>27</v>
      </c>
      <c r="C179" s="73" t="s">
        <v>228</v>
      </c>
      <c r="D179" s="73">
        <v>2.0</v>
      </c>
      <c r="E179" s="32">
        <v>25000.0</v>
      </c>
      <c r="F179" s="32">
        <f t="shared" si="6"/>
        <v>50000</v>
      </c>
      <c r="G179" s="33" t="s">
        <v>10</v>
      </c>
      <c r="H179" s="189"/>
    </row>
    <row r="180">
      <c r="A180" s="112">
        <v>46191.0</v>
      </c>
      <c r="B180" s="29" t="s">
        <v>27</v>
      </c>
      <c r="C180" s="73" t="s">
        <v>35</v>
      </c>
      <c r="D180" s="73">
        <v>1.0</v>
      </c>
      <c r="E180" s="32">
        <v>25000.0</v>
      </c>
      <c r="F180" s="32">
        <f t="shared" si="6"/>
        <v>25000</v>
      </c>
      <c r="G180" s="33" t="s">
        <v>10</v>
      </c>
      <c r="H180" s="189"/>
    </row>
    <row r="181">
      <c r="A181" s="112">
        <v>46191.0</v>
      </c>
      <c r="B181" s="29" t="s">
        <v>27</v>
      </c>
      <c r="C181" s="73" t="s">
        <v>235</v>
      </c>
      <c r="D181" s="73">
        <v>1.0</v>
      </c>
      <c r="E181" s="32">
        <v>25000.0</v>
      </c>
      <c r="F181" s="32">
        <f t="shared" si="6"/>
        <v>25000</v>
      </c>
      <c r="G181" s="33" t="s">
        <v>10</v>
      </c>
      <c r="H181" s="189"/>
    </row>
    <row r="182">
      <c r="A182" s="112">
        <v>46191.0</v>
      </c>
      <c r="B182" s="29" t="s">
        <v>27</v>
      </c>
      <c r="C182" s="73" t="s">
        <v>243</v>
      </c>
      <c r="D182" s="73">
        <v>1.0</v>
      </c>
      <c r="E182" s="32">
        <v>25000.0</v>
      </c>
      <c r="F182" s="32">
        <f t="shared" si="6"/>
        <v>25000</v>
      </c>
      <c r="G182" s="33" t="s">
        <v>10</v>
      </c>
      <c r="H182" s="189"/>
    </row>
    <row r="183">
      <c r="A183" s="112">
        <v>46191.0</v>
      </c>
      <c r="B183" s="29" t="s">
        <v>27</v>
      </c>
      <c r="C183" s="73" t="s">
        <v>225</v>
      </c>
      <c r="D183" s="73">
        <v>1.0</v>
      </c>
      <c r="E183" s="32">
        <v>25000.0</v>
      </c>
      <c r="F183" s="32">
        <f t="shared" si="6"/>
        <v>25000</v>
      </c>
      <c r="G183" s="33" t="s">
        <v>10</v>
      </c>
      <c r="H183" s="189"/>
    </row>
    <row r="184">
      <c r="A184" s="112">
        <v>46191.0</v>
      </c>
      <c r="B184" s="29" t="s">
        <v>27</v>
      </c>
      <c r="C184" s="73" t="s">
        <v>16</v>
      </c>
      <c r="D184" s="73">
        <v>0.61</v>
      </c>
      <c r="E184" s="32">
        <v>25000.0</v>
      </c>
      <c r="F184" s="32">
        <f t="shared" si="6"/>
        <v>15250</v>
      </c>
      <c r="G184" s="33" t="s">
        <v>10</v>
      </c>
      <c r="H184" s="189"/>
    </row>
    <row r="185">
      <c r="A185" s="112">
        <v>46191.0</v>
      </c>
      <c r="B185" s="29" t="s">
        <v>17</v>
      </c>
      <c r="C185" s="73" t="s">
        <v>140</v>
      </c>
      <c r="D185" s="73">
        <v>15.0</v>
      </c>
      <c r="E185" s="32">
        <v>25000.0</v>
      </c>
      <c r="F185" s="32">
        <f t="shared" si="6"/>
        <v>375000</v>
      </c>
      <c r="G185" s="33" t="s">
        <v>10</v>
      </c>
      <c r="H185" s="189"/>
    </row>
    <row r="186">
      <c r="A186" s="112">
        <v>46191.0</v>
      </c>
      <c r="B186" s="29" t="s">
        <v>17</v>
      </c>
      <c r="C186" s="73" t="s">
        <v>253</v>
      </c>
      <c r="D186" s="73">
        <v>15.0</v>
      </c>
      <c r="E186" s="32">
        <v>25000.0</v>
      </c>
      <c r="F186" s="32">
        <f t="shared" si="6"/>
        <v>375000</v>
      </c>
      <c r="G186" s="33" t="s">
        <v>10</v>
      </c>
      <c r="H186" s="189"/>
    </row>
    <row r="187">
      <c r="A187" s="112">
        <v>46191.0</v>
      </c>
      <c r="B187" s="29" t="s">
        <v>17</v>
      </c>
      <c r="C187" s="73" t="s">
        <v>265</v>
      </c>
      <c r="D187" s="73">
        <v>1.0</v>
      </c>
      <c r="E187" s="32">
        <v>25000.0</v>
      </c>
      <c r="F187" s="32">
        <f t="shared" si="6"/>
        <v>25000</v>
      </c>
      <c r="G187" s="33" t="s">
        <v>10</v>
      </c>
      <c r="H187" s="189"/>
    </row>
    <row r="188">
      <c r="A188" s="112">
        <v>46191.0</v>
      </c>
      <c r="B188" s="29" t="s">
        <v>17</v>
      </c>
      <c r="C188" s="73" t="s">
        <v>259</v>
      </c>
      <c r="D188" s="73">
        <v>1.0</v>
      </c>
      <c r="E188" s="32">
        <v>25000.0</v>
      </c>
      <c r="F188" s="32">
        <f t="shared" si="6"/>
        <v>25000</v>
      </c>
      <c r="G188" s="33" t="s">
        <v>10</v>
      </c>
      <c r="H188" s="189"/>
    </row>
    <row r="189">
      <c r="A189" s="112">
        <v>46191.0</v>
      </c>
      <c r="B189" s="29" t="s">
        <v>17</v>
      </c>
      <c r="C189" s="73" t="s">
        <v>269</v>
      </c>
      <c r="D189" s="73">
        <v>1.0</v>
      </c>
      <c r="E189" s="32">
        <v>25000.0</v>
      </c>
      <c r="F189" s="32">
        <f t="shared" si="6"/>
        <v>25000</v>
      </c>
      <c r="G189" s="33" t="s">
        <v>10</v>
      </c>
      <c r="H189" s="189"/>
    </row>
    <row r="190">
      <c r="A190" s="112">
        <v>46191.0</v>
      </c>
      <c r="B190" s="29" t="s">
        <v>17</v>
      </c>
      <c r="C190" s="73" t="s">
        <v>270</v>
      </c>
      <c r="D190" s="73">
        <v>1.0</v>
      </c>
      <c r="E190" s="32">
        <v>25000.0</v>
      </c>
      <c r="F190" s="32">
        <f t="shared" si="6"/>
        <v>25000</v>
      </c>
      <c r="G190" s="33" t="s">
        <v>10</v>
      </c>
      <c r="H190" s="189"/>
    </row>
    <row r="191">
      <c r="A191" s="112">
        <v>46191.0</v>
      </c>
      <c r="B191" s="29" t="s">
        <v>17</v>
      </c>
      <c r="C191" s="73" t="s">
        <v>271</v>
      </c>
      <c r="D191" s="73">
        <v>1.0</v>
      </c>
      <c r="E191" s="32">
        <v>25000.0</v>
      </c>
      <c r="F191" s="32">
        <f t="shared" si="6"/>
        <v>25000</v>
      </c>
      <c r="G191" s="33" t="s">
        <v>10</v>
      </c>
      <c r="H191" s="189"/>
    </row>
    <row r="192">
      <c r="A192" s="112">
        <v>46191.0</v>
      </c>
      <c r="B192" s="29" t="s">
        <v>17</v>
      </c>
      <c r="C192" s="73" t="s">
        <v>16</v>
      </c>
      <c r="D192" s="73">
        <v>2.0</v>
      </c>
      <c r="E192" s="32">
        <v>25000.0</v>
      </c>
      <c r="F192" s="32">
        <f t="shared" si="6"/>
        <v>50000</v>
      </c>
      <c r="G192" s="33" t="s">
        <v>10</v>
      </c>
      <c r="H192" s="189"/>
    </row>
    <row r="193">
      <c r="A193" s="414">
        <v>46191.0</v>
      </c>
      <c r="B193" s="415" t="s">
        <v>517</v>
      </c>
      <c r="C193" s="416" t="s">
        <v>518</v>
      </c>
      <c r="D193" s="416">
        <v>1.0</v>
      </c>
      <c r="E193" s="417">
        <v>25000.0</v>
      </c>
      <c r="F193" s="417">
        <f t="shared" si="6"/>
        <v>25000</v>
      </c>
      <c r="G193" s="418" t="s">
        <v>10</v>
      </c>
      <c r="H193" s="419"/>
    </row>
    <row r="194">
      <c r="A194" s="112">
        <v>46192.0</v>
      </c>
      <c r="B194" s="29" t="s">
        <v>8</v>
      </c>
      <c r="C194" s="73" t="s">
        <v>150</v>
      </c>
      <c r="D194" s="73">
        <v>2.0</v>
      </c>
      <c r="E194" s="32">
        <v>25000.0</v>
      </c>
      <c r="F194" s="32">
        <f t="shared" si="6"/>
        <v>50000</v>
      </c>
      <c r="G194" s="33" t="s">
        <v>10</v>
      </c>
      <c r="H194" s="189"/>
    </row>
    <row r="195">
      <c r="A195" s="112">
        <v>46192.0</v>
      </c>
      <c r="B195" s="29" t="s">
        <v>8</v>
      </c>
      <c r="C195" s="73" t="s">
        <v>138</v>
      </c>
      <c r="D195" s="73">
        <v>3.0</v>
      </c>
      <c r="E195" s="32">
        <v>25000.0</v>
      </c>
      <c r="F195" s="32">
        <f t="shared" si="6"/>
        <v>75000</v>
      </c>
      <c r="G195" s="33" t="s">
        <v>10</v>
      </c>
      <c r="H195" s="189"/>
    </row>
    <row r="196">
      <c r="A196" s="112">
        <v>46192.0</v>
      </c>
      <c r="B196" s="29" t="s">
        <v>8</v>
      </c>
      <c r="C196" s="73" t="s">
        <v>143</v>
      </c>
      <c r="D196" s="73">
        <v>2.0</v>
      </c>
      <c r="E196" s="32">
        <v>25000.0</v>
      </c>
      <c r="F196" s="32">
        <f t="shared" si="6"/>
        <v>50000</v>
      </c>
      <c r="G196" s="33" t="s">
        <v>10</v>
      </c>
      <c r="H196" s="189"/>
    </row>
    <row r="197">
      <c r="A197" s="112">
        <v>46192.0</v>
      </c>
      <c r="B197" s="29" t="s">
        <v>36</v>
      </c>
      <c r="C197" s="73" t="s">
        <v>75</v>
      </c>
      <c r="D197" s="73">
        <v>2.0</v>
      </c>
      <c r="E197" s="32">
        <v>25000.0</v>
      </c>
      <c r="F197" s="32">
        <f t="shared" si="6"/>
        <v>50000</v>
      </c>
      <c r="G197" s="33" t="s">
        <v>10</v>
      </c>
      <c r="H197" s="189"/>
    </row>
    <row r="198">
      <c r="A198" s="112">
        <v>46192.0</v>
      </c>
      <c r="B198" s="29" t="s">
        <v>36</v>
      </c>
      <c r="C198" s="73" t="s">
        <v>225</v>
      </c>
      <c r="D198" s="73">
        <v>1.0</v>
      </c>
      <c r="E198" s="32">
        <v>25000.0</v>
      </c>
      <c r="F198" s="32">
        <f t="shared" si="6"/>
        <v>25000</v>
      </c>
      <c r="G198" s="33" t="s">
        <v>10</v>
      </c>
      <c r="H198" s="189"/>
    </row>
    <row r="199">
      <c r="A199" s="112">
        <v>46192.0</v>
      </c>
      <c r="B199" s="29" t="s">
        <v>36</v>
      </c>
      <c r="C199" s="73" t="s">
        <v>67</v>
      </c>
      <c r="D199" s="73">
        <v>2.0</v>
      </c>
      <c r="E199" s="32">
        <v>25000.0</v>
      </c>
      <c r="F199" s="32">
        <f t="shared" si="6"/>
        <v>50000</v>
      </c>
      <c r="G199" s="33" t="s">
        <v>10</v>
      </c>
      <c r="H199" s="189"/>
    </row>
    <row r="200">
      <c r="A200" s="112">
        <v>46192.0</v>
      </c>
      <c r="B200" s="29" t="s">
        <v>36</v>
      </c>
      <c r="C200" s="73" t="s">
        <v>16</v>
      </c>
      <c r="D200" s="73">
        <v>0.17</v>
      </c>
      <c r="E200" s="32">
        <v>25000.0</v>
      </c>
      <c r="F200" s="32">
        <f t="shared" si="6"/>
        <v>4250</v>
      </c>
      <c r="G200" s="33" t="s">
        <v>10</v>
      </c>
      <c r="H200" s="189"/>
    </row>
    <row r="201">
      <c r="A201" s="112">
        <v>46192.0</v>
      </c>
      <c r="B201" s="29" t="s">
        <v>27</v>
      </c>
      <c r="C201" s="73" t="s">
        <v>75</v>
      </c>
      <c r="D201" s="73">
        <v>10.0</v>
      </c>
      <c r="E201" s="32">
        <v>25000.0</v>
      </c>
      <c r="F201" s="32">
        <f t="shared" si="6"/>
        <v>250000</v>
      </c>
      <c r="G201" s="33" t="s">
        <v>10</v>
      </c>
      <c r="H201" s="189"/>
    </row>
    <row r="202">
      <c r="A202" s="112">
        <v>46192.0</v>
      </c>
      <c r="B202" s="29" t="s">
        <v>27</v>
      </c>
      <c r="C202" s="73" t="s">
        <v>57</v>
      </c>
      <c r="D202" s="73">
        <v>2.0</v>
      </c>
      <c r="E202" s="32">
        <v>25000.0</v>
      </c>
      <c r="F202" s="32">
        <f t="shared" si="6"/>
        <v>50000</v>
      </c>
      <c r="G202" s="33" t="s">
        <v>10</v>
      </c>
      <c r="H202" s="189"/>
    </row>
    <row r="203">
      <c r="A203" s="112">
        <v>46192.0</v>
      </c>
      <c r="B203" s="29" t="s">
        <v>27</v>
      </c>
      <c r="C203" s="73" t="s">
        <v>16</v>
      </c>
      <c r="D203" s="73">
        <v>0.59</v>
      </c>
      <c r="E203" s="32">
        <v>25000.0</v>
      </c>
      <c r="F203" s="32">
        <f t="shared" si="6"/>
        <v>14750</v>
      </c>
      <c r="G203" s="33" t="s">
        <v>10</v>
      </c>
      <c r="H203" s="189"/>
    </row>
    <row r="204">
      <c r="A204" s="414">
        <v>46192.0</v>
      </c>
      <c r="B204" s="415" t="s">
        <v>519</v>
      </c>
      <c r="C204" s="416" t="s">
        <v>518</v>
      </c>
      <c r="D204" s="416">
        <v>1.0</v>
      </c>
      <c r="E204" s="417">
        <v>25000.0</v>
      </c>
      <c r="F204" s="417">
        <f t="shared" si="6"/>
        <v>25000</v>
      </c>
      <c r="G204" s="418" t="s">
        <v>10</v>
      </c>
      <c r="H204" s="419"/>
    </row>
    <row r="205">
      <c r="A205" s="112">
        <v>46192.0</v>
      </c>
      <c r="B205" s="29" t="s">
        <v>17</v>
      </c>
      <c r="C205" s="73" t="s">
        <v>25</v>
      </c>
      <c r="D205" s="73">
        <v>2.0</v>
      </c>
      <c r="E205" s="32">
        <v>25000.0</v>
      </c>
      <c r="F205" s="32">
        <f t="shared" si="6"/>
        <v>50000</v>
      </c>
      <c r="G205" s="33" t="s">
        <v>10</v>
      </c>
      <c r="H205" s="189"/>
    </row>
    <row r="206">
      <c r="A206" s="112">
        <v>46192.0</v>
      </c>
      <c r="B206" s="29" t="s">
        <v>17</v>
      </c>
      <c r="C206" s="73" t="s">
        <v>50</v>
      </c>
      <c r="D206" s="73">
        <v>1.0</v>
      </c>
      <c r="E206" s="32">
        <v>25000.0</v>
      </c>
      <c r="F206" s="32">
        <f t="shared" si="6"/>
        <v>25000</v>
      </c>
      <c r="G206" s="33" t="s">
        <v>10</v>
      </c>
      <c r="H206" s="189"/>
    </row>
    <row r="207">
      <c r="A207" s="112">
        <v>46192.0</v>
      </c>
      <c r="B207" s="29" t="s">
        <v>17</v>
      </c>
      <c r="C207" s="73" t="s">
        <v>253</v>
      </c>
      <c r="D207" s="73">
        <v>25.0</v>
      </c>
      <c r="E207" s="32">
        <v>25000.0</v>
      </c>
      <c r="F207" s="32">
        <f t="shared" si="6"/>
        <v>625000</v>
      </c>
      <c r="G207" s="33" t="s">
        <v>10</v>
      </c>
      <c r="H207" s="189"/>
    </row>
    <row r="208">
      <c r="A208" s="112">
        <v>46192.0</v>
      </c>
      <c r="B208" s="29" t="s">
        <v>17</v>
      </c>
      <c r="C208" s="73" t="s">
        <v>54</v>
      </c>
      <c r="D208" s="73">
        <v>1.0</v>
      </c>
      <c r="E208" s="32">
        <v>25000.0</v>
      </c>
      <c r="F208" s="32">
        <f t="shared" si="6"/>
        <v>25000</v>
      </c>
      <c r="G208" s="33" t="s">
        <v>10</v>
      </c>
      <c r="H208" s="189"/>
    </row>
    <row r="209">
      <c r="A209" s="112">
        <v>46192.0</v>
      </c>
      <c r="B209" s="29" t="s">
        <v>17</v>
      </c>
      <c r="C209" s="73" t="s">
        <v>67</v>
      </c>
      <c r="D209" s="73">
        <v>1.0</v>
      </c>
      <c r="E209" s="32">
        <v>25000.0</v>
      </c>
      <c r="F209" s="32">
        <f t="shared" si="6"/>
        <v>25000</v>
      </c>
      <c r="G209" s="33" t="s">
        <v>10</v>
      </c>
      <c r="H209" s="189"/>
    </row>
    <row r="210">
      <c r="A210" s="112">
        <v>46192.0</v>
      </c>
      <c r="B210" s="29" t="s">
        <v>17</v>
      </c>
      <c r="C210" s="73" t="s">
        <v>272</v>
      </c>
      <c r="D210" s="73">
        <v>1.0</v>
      </c>
      <c r="E210" s="32">
        <v>25000.0</v>
      </c>
      <c r="F210" s="32">
        <f t="shared" si="6"/>
        <v>25000</v>
      </c>
      <c r="G210" s="33" t="s">
        <v>10</v>
      </c>
      <c r="H210" s="189"/>
    </row>
    <row r="211">
      <c r="A211" s="112">
        <v>46192.0</v>
      </c>
      <c r="B211" s="29" t="s">
        <v>17</v>
      </c>
      <c r="C211" s="73" t="s">
        <v>16</v>
      </c>
      <c r="D211" s="73">
        <v>1.3</v>
      </c>
      <c r="E211" s="32">
        <v>25000.0</v>
      </c>
      <c r="F211" s="32">
        <f t="shared" si="6"/>
        <v>32500</v>
      </c>
      <c r="G211" s="33" t="s">
        <v>10</v>
      </c>
      <c r="H211" s="189"/>
    </row>
    <row r="212">
      <c r="A212" s="414">
        <v>46193.0</v>
      </c>
      <c r="B212" s="420" t="s">
        <v>520</v>
      </c>
      <c r="C212" s="416" t="s">
        <v>521</v>
      </c>
      <c r="D212" s="416">
        <v>1.0</v>
      </c>
      <c r="E212" s="417">
        <v>25000.0</v>
      </c>
      <c r="F212" s="417">
        <f t="shared" si="6"/>
        <v>25000</v>
      </c>
      <c r="G212" s="418" t="s">
        <v>10</v>
      </c>
      <c r="H212" s="419"/>
    </row>
    <row r="213">
      <c r="A213" s="112">
        <v>46193.0</v>
      </c>
      <c r="B213" s="29" t="s">
        <v>8</v>
      </c>
      <c r="C213" s="73" t="s">
        <v>151</v>
      </c>
      <c r="D213" s="73">
        <v>2.0</v>
      </c>
      <c r="E213" s="32">
        <v>25000.0</v>
      </c>
      <c r="F213" s="32">
        <f t="shared" si="6"/>
        <v>50000</v>
      </c>
      <c r="G213" s="33" t="s">
        <v>10</v>
      </c>
      <c r="H213" s="189"/>
    </row>
    <row r="214">
      <c r="A214" s="112">
        <v>46193.0</v>
      </c>
      <c r="B214" s="29" t="s">
        <v>36</v>
      </c>
      <c r="C214" s="73" t="s">
        <v>67</v>
      </c>
      <c r="D214" s="73">
        <v>3.0</v>
      </c>
      <c r="E214" s="32">
        <v>25000.0</v>
      </c>
      <c r="F214" s="32">
        <f t="shared" si="6"/>
        <v>75000</v>
      </c>
      <c r="G214" s="33" t="s">
        <v>10</v>
      </c>
      <c r="H214" s="189"/>
    </row>
    <row r="215">
      <c r="A215" s="112">
        <v>46193.0</v>
      </c>
      <c r="B215" s="29" t="s">
        <v>36</v>
      </c>
      <c r="C215" s="73" t="s">
        <v>150</v>
      </c>
      <c r="D215" s="73">
        <v>1.0</v>
      </c>
      <c r="E215" s="32">
        <v>25000.0</v>
      </c>
      <c r="F215" s="32">
        <f t="shared" si="6"/>
        <v>25000</v>
      </c>
      <c r="G215" s="33" t="s">
        <v>10</v>
      </c>
      <c r="H215" s="189"/>
    </row>
    <row r="216">
      <c r="A216" s="112">
        <v>46193.0</v>
      </c>
      <c r="B216" s="29" t="s">
        <v>36</v>
      </c>
      <c r="C216" s="73" t="s">
        <v>16</v>
      </c>
      <c r="D216" s="73">
        <v>0.39</v>
      </c>
      <c r="E216" s="32">
        <v>25000.0</v>
      </c>
      <c r="F216" s="32">
        <f t="shared" si="6"/>
        <v>9750</v>
      </c>
      <c r="G216" s="33" t="s">
        <v>10</v>
      </c>
      <c r="H216" s="189"/>
    </row>
    <row r="217">
      <c r="A217" s="112">
        <v>46193.0</v>
      </c>
      <c r="B217" s="29" t="s">
        <v>27</v>
      </c>
      <c r="C217" s="73" t="s">
        <v>75</v>
      </c>
      <c r="D217" s="73">
        <v>12.0</v>
      </c>
      <c r="E217" s="32">
        <v>25000.0</v>
      </c>
      <c r="F217" s="32">
        <f t="shared" si="6"/>
        <v>300000</v>
      </c>
      <c r="G217" s="33" t="s">
        <v>10</v>
      </c>
      <c r="H217" s="189"/>
    </row>
    <row r="218">
      <c r="A218" s="112">
        <v>46193.0</v>
      </c>
      <c r="B218" s="29" t="s">
        <v>27</v>
      </c>
      <c r="C218" s="73" t="s">
        <v>57</v>
      </c>
      <c r="D218" s="73">
        <v>3.0</v>
      </c>
      <c r="E218" s="32">
        <v>25000.0</v>
      </c>
      <c r="F218" s="32">
        <f t="shared" si="6"/>
        <v>75000</v>
      </c>
      <c r="G218" s="33" t="s">
        <v>10</v>
      </c>
      <c r="H218" s="189"/>
    </row>
    <row r="219">
      <c r="A219" s="112">
        <v>46193.0</v>
      </c>
      <c r="B219" s="29" t="s">
        <v>27</v>
      </c>
      <c r="C219" s="73" t="s">
        <v>243</v>
      </c>
      <c r="D219" s="73">
        <v>1.0</v>
      </c>
      <c r="E219" s="32">
        <v>25000.0</v>
      </c>
      <c r="F219" s="32">
        <f t="shared" si="6"/>
        <v>25000</v>
      </c>
      <c r="G219" s="33" t="s">
        <v>10</v>
      </c>
      <c r="H219" s="189"/>
    </row>
    <row r="220">
      <c r="A220" s="112">
        <v>46193.0</v>
      </c>
      <c r="B220" s="29" t="s">
        <v>27</v>
      </c>
      <c r="C220" s="73" t="s">
        <v>225</v>
      </c>
      <c r="D220" s="73">
        <v>1.0</v>
      </c>
      <c r="E220" s="32">
        <v>25000.0</v>
      </c>
      <c r="F220" s="32">
        <f t="shared" si="6"/>
        <v>25000</v>
      </c>
      <c r="G220" s="33" t="s">
        <v>10</v>
      </c>
      <c r="H220" s="189"/>
    </row>
    <row r="221">
      <c r="A221" s="112">
        <v>46193.0</v>
      </c>
      <c r="B221" s="29" t="s">
        <v>27</v>
      </c>
      <c r="C221" s="73" t="s">
        <v>29</v>
      </c>
      <c r="D221" s="73">
        <v>1.0</v>
      </c>
      <c r="E221" s="32">
        <v>25000.0</v>
      </c>
      <c r="F221" s="32">
        <f t="shared" si="6"/>
        <v>25000</v>
      </c>
      <c r="G221" s="33" t="s">
        <v>10</v>
      </c>
      <c r="H221" s="189"/>
    </row>
    <row r="222">
      <c r="A222" s="112">
        <v>46193.0</v>
      </c>
      <c r="B222" s="29" t="s">
        <v>27</v>
      </c>
      <c r="C222" s="73" t="s">
        <v>35</v>
      </c>
      <c r="D222" s="73">
        <v>1.0</v>
      </c>
      <c r="E222" s="32">
        <v>25000.0</v>
      </c>
      <c r="F222" s="32">
        <f t="shared" si="6"/>
        <v>25000</v>
      </c>
      <c r="G222" s="33" t="s">
        <v>10</v>
      </c>
      <c r="H222" s="189"/>
    </row>
    <row r="223">
      <c r="A223" s="112">
        <v>46193.0</v>
      </c>
      <c r="B223" s="29" t="s">
        <v>27</v>
      </c>
      <c r="C223" s="73" t="s">
        <v>16</v>
      </c>
      <c r="D223" s="73">
        <v>0.95</v>
      </c>
      <c r="E223" s="32">
        <v>25000.0</v>
      </c>
      <c r="F223" s="32">
        <f t="shared" si="6"/>
        <v>23750</v>
      </c>
      <c r="G223" s="33" t="s">
        <v>10</v>
      </c>
      <c r="H223" s="189"/>
    </row>
    <row r="224">
      <c r="A224" s="112">
        <v>46193.0</v>
      </c>
      <c r="B224" s="29" t="s">
        <v>17</v>
      </c>
      <c r="C224" s="73" t="s">
        <v>140</v>
      </c>
      <c r="D224" s="73">
        <v>10.0</v>
      </c>
      <c r="E224" s="32">
        <v>25000.0</v>
      </c>
      <c r="F224" s="32">
        <f t="shared" si="6"/>
        <v>250000</v>
      </c>
      <c r="G224" s="33" t="s">
        <v>10</v>
      </c>
      <c r="H224" s="189"/>
    </row>
    <row r="225">
      <c r="A225" s="112">
        <v>46193.0</v>
      </c>
      <c r="B225" s="29" t="s">
        <v>17</v>
      </c>
      <c r="C225" s="73" t="s">
        <v>253</v>
      </c>
      <c r="D225" s="73">
        <v>10.0</v>
      </c>
      <c r="E225" s="32">
        <v>25000.0</v>
      </c>
      <c r="F225" s="32">
        <f t="shared" si="6"/>
        <v>250000</v>
      </c>
      <c r="G225" s="33" t="s">
        <v>10</v>
      </c>
      <c r="H225" s="189"/>
    </row>
    <row r="226">
      <c r="A226" s="112">
        <v>46193.0</v>
      </c>
      <c r="B226" s="29" t="s">
        <v>17</v>
      </c>
      <c r="C226" s="73" t="s">
        <v>270</v>
      </c>
      <c r="D226" s="73">
        <v>3.0</v>
      </c>
      <c r="E226" s="32">
        <v>25000.0</v>
      </c>
      <c r="F226" s="32">
        <f t="shared" si="6"/>
        <v>75000</v>
      </c>
      <c r="G226" s="33" t="s">
        <v>10</v>
      </c>
      <c r="H226" s="189"/>
    </row>
    <row r="227">
      <c r="A227" s="112">
        <v>46193.0</v>
      </c>
      <c r="B227" s="29" t="s">
        <v>17</v>
      </c>
      <c r="C227" s="73" t="s">
        <v>79</v>
      </c>
      <c r="D227" s="73">
        <v>1.0</v>
      </c>
      <c r="E227" s="32">
        <v>25000.0</v>
      </c>
      <c r="F227" s="32">
        <f t="shared" si="6"/>
        <v>25000</v>
      </c>
      <c r="G227" s="33" t="s">
        <v>10</v>
      </c>
      <c r="H227" s="189"/>
    </row>
    <row r="228">
      <c r="A228" s="112">
        <v>46193.0</v>
      </c>
      <c r="B228" s="29" t="s">
        <v>17</v>
      </c>
      <c r="C228" s="73" t="s">
        <v>256</v>
      </c>
      <c r="D228" s="73">
        <v>1.0</v>
      </c>
      <c r="E228" s="32">
        <v>25000.0</v>
      </c>
      <c r="F228" s="32">
        <f t="shared" si="6"/>
        <v>25000</v>
      </c>
      <c r="G228" s="33" t="s">
        <v>10</v>
      </c>
      <c r="H228" s="189"/>
    </row>
    <row r="229">
      <c r="A229" s="112">
        <v>46193.0</v>
      </c>
      <c r="B229" s="29" t="s">
        <v>17</v>
      </c>
      <c r="C229" s="73" t="s">
        <v>259</v>
      </c>
      <c r="D229" s="73">
        <v>1.0</v>
      </c>
      <c r="E229" s="32">
        <v>25000.0</v>
      </c>
      <c r="F229" s="32">
        <f t="shared" si="6"/>
        <v>25000</v>
      </c>
      <c r="G229" s="33" t="s">
        <v>10</v>
      </c>
      <c r="H229" s="189"/>
    </row>
    <row r="230">
      <c r="A230" s="112">
        <v>46193.0</v>
      </c>
      <c r="B230" s="29" t="s">
        <v>17</v>
      </c>
      <c r="C230" s="73" t="s">
        <v>16</v>
      </c>
      <c r="D230" s="73">
        <v>1.0</v>
      </c>
      <c r="E230" s="32">
        <v>25000.0</v>
      </c>
      <c r="F230" s="32">
        <f t="shared" si="6"/>
        <v>25000</v>
      </c>
      <c r="G230" s="33" t="s">
        <v>10</v>
      </c>
      <c r="H230" s="189"/>
    </row>
    <row r="231">
      <c r="A231" s="112"/>
      <c r="B231" s="29"/>
      <c r="C231" s="73"/>
      <c r="E231" s="32"/>
      <c r="F231" s="32"/>
      <c r="G231" s="33"/>
      <c r="H231" s="189"/>
    </row>
    <row r="232">
      <c r="A232" s="138">
        <v>46195.0</v>
      </c>
      <c r="B232" s="29" t="s">
        <v>8</v>
      </c>
      <c r="C232" s="73" t="s">
        <v>152</v>
      </c>
      <c r="D232" s="73">
        <v>5.0</v>
      </c>
      <c r="E232" s="32">
        <v>25000.0</v>
      </c>
      <c r="F232" s="32">
        <f t="shared" ref="F232:F358" si="13">D232*E232</f>
        <v>125000</v>
      </c>
      <c r="G232" s="33" t="s">
        <v>10</v>
      </c>
      <c r="H232" s="189"/>
    </row>
    <row r="233">
      <c r="A233" s="138">
        <v>46195.0</v>
      </c>
      <c r="B233" s="29" t="s">
        <v>8</v>
      </c>
      <c r="C233" s="73" t="s">
        <v>138</v>
      </c>
      <c r="D233" s="73">
        <v>2.0</v>
      </c>
      <c r="E233" s="32">
        <v>25000.0</v>
      </c>
      <c r="F233" s="32">
        <f t="shared" si="13"/>
        <v>50000</v>
      </c>
      <c r="G233" s="33" t="s">
        <v>10</v>
      </c>
      <c r="H233" s="189"/>
    </row>
    <row r="234">
      <c r="A234" s="138">
        <v>46195.0</v>
      </c>
      <c r="B234" s="29" t="s">
        <v>8</v>
      </c>
      <c r="C234" s="73" t="s">
        <v>9</v>
      </c>
      <c r="D234" s="73">
        <v>2.0</v>
      </c>
      <c r="E234" s="32">
        <v>25000.0</v>
      </c>
      <c r="F234" s="32">
        <f t="shared" si="13"/>
        <v>50000</v>
      </c>
      <c r="G234" s="33" t="s">
        <v>10</v>
      </c>
      <c r="H234" s="189"/>
    </row>
    <row r="235">
      <c r="A235" s="138">
        <v>46195.0</v>
      </c>
      <c r="B235" s="29" t="s">
        <v>8</v>
      </c>
      <c r="C235" s="73" t="s">
        <v>153</v>
      </c>
      <c r="D235" s="73">
        <v>1.0</v>
      </c>
      <c r="E235" s="32">
        <v>25000.0</v>
      </c>
      <c r="F235" s="32">
        <f t="shared" si="13"/>
        <v>25000</v>
      </c>
      <c r="G235" s="33" t="s">
        <v>10</v>
      </c>
      <c r="H235" s="189"/>
    </row>
    <row r="236">
      <c r="A236" s="138">
        <v>46195.0</v>
      </c>
      <c r="B236" s="29" t="s">
        <v>8</v>
      </c>
      <c r="C236" s="73" t="s">
        <v>11</v>
      </c>
      <c r="D236" s="73">
        <v>1.0</v>
      </c>
      <c r="E236" s="32">
        <v>25000.0</v>
      </c>
      <c r="F236" s="32">
        <f t="shared" si="13"/>
        <v>25000</v>
      </c>
      <c r="G236" s="33" t="s">
        <v>10</v>
      </c>
      <c r="H236" s="189"/>
    </row>
    <row r="237">
      <c r="A237" s="138">
        <v>46195.0</v>
      </c>
      <c r="B237" s="29" t="s">
        <v>8</v>
      </c>
      <c r="C237" s="73" t="s">
        <v>16</v>
      </c>
      <c r="D237" s="73">
        <v>0.11</v>
      </c>
      <c r="E237" s="32">
        <v>25000.0</v>
      </c>
      <c r="F237" s="32">
        <f t="shared" si="13"/>
        <v>2750</v>
      </c>
      <c r="G237" s="33" t="s">
        <v>10</v>
      </c>
      <c r="H237" s="189"/>
    </row>
    <row r="238">
      <c r="A238" s="138">
        <v>46195.0</v>
      </c>
      <c r="B238" s="29" t="s">
        <v>36</v>
      </c>
      <c r="C238" s="73" t="s">
        <v>67</v>
      </c>
      <c r="D238" s="73">
        <v>5.0</v>
      </c>
      <c r="E238" s="32">
        <v>25000.0</v>
      </c>
      <c r="F238" s="32">
        <f t="shared" si="13"/>
        <v>125000</v>
      </c>
      <c r="G238" s="33" t="s">
        <v>10</v>
      </c>
      <c r="H238" s="189"/>
    </row>
    <row r="239">
      <c r="A239" s="138">
        <v>46195.0</v>
      </c>
      <c r="B239" s="29" t="s">
        <v>36</v>
      </c>
      <c r="C239" s="73" t="s">
        <v>55</v>
      </c>
      <c r="D239" s="73">
        <v>3.0</v>
      </c>
      <c r="E239" s="32">
        <v>25000.0</v>
      </c>
      <c r="F239" s="32">
        <f t="shared" si="13"/>
        <v>75000</v>
      </c>
      <c r="G239" s="33" t="s">
        <v>10</v>
      </c>
      <c r="H239" s="189"/>
    </row>
    <row r="240">
      <c r="A240" s="138">
        <v>46195.0</v>
      </c>
      <c r="B240" s="29" t="s">
        <v>36</v>
      </c>
      <c r="C240" s="73" t="s">
        <v>151</v>
      </c>
      <c r="D240" s="73">
        <v>2.0</v>
      </c>
      <c r="E240" s="32">
        <v>25000.0</v>
      </c>
      <c r="F240" s="32">
        <f t="shared" si="13"/>
        <v>50000</v>
      </c>
      <c r="G240" s="33" t="s">
        <v>10</v>
      </c>
      <c r="H240" s="189"/>
    </row>
    <row r="241">
      <c r="A241" s="138">
        <v>46195.0</v>
      </c>
      <c r="B241" s="29" t="s">
        <v>36</v>
      </c>
      <c r="C241" s="73" t="s">
        <v>16</v>
      </c>
      <c r="D241" s="73">
        <v>0.38</v>
      </c>
      <c r="E241" s="32">
        <v>25000.0</v>
      </c>
      <c r="F241" s="32">
        <f t="shared" si="13"/>
        <v>9500</v>
      </c>
      <c r="G241" s="33" t="s">
        <v>10</v>
      </c>
      <c r="H241" s="189"/>
    </row>
    <row r="242">
      <c r="A242" s="138">
        <v>46195.0</v>
      </c>
      <c r="B242" s="29" t="s">
        <v>27</v>
      </c>
      <c r="C242" s="73" t="s">
        <v>55</v>
      </c>
      <c r="D242" s="73">
        <v>12.0</v>
      </c>
      <c r="E242" s="32">
        <v>25000.0</v>
      </c>
      <c r="F242" s="32">
        <f t="shared" si="13"/>
        <v>300000</v>
      </c>
      <c r="G242" s="33" t="s">
        <v>10</v>
      </c>
      <c r="H242" s="189"/>
    </row>
    <row r="243">
      <c r="A243" s="138">
        <v>46195.0</v>
      </c>
      <c r="B243" s="29" t="s">
        <v>27</v>
      </c>
      <c r="C243" s="73" t="s">
        <v>57</v>
      </c>
      <c r="D243" s="73">
        <v>3.0</v>
      </c>
      <c r="E243" s="32">
        <v>25000.0</v>
      </c>
      <c r="F243" s="32">
        <f t="shared" si="13"/>
        <v>75000</v>
      </c>
      <c r="G243" s="33" t="s">
        <v>10</v>
      </c>
      <c r="H243" s="189"/>
    </row>
    <row r="244">
      <c r="A244" s="138">
        <v>46195.0</v>
      </c>
      <c r="B244" s="29" t="s">
        <v>27</v>
      </c>
      <c r="C244" s="73" t="s">
        <v>29</v>
      </c>
      <c r="D244" s="73">
        <v>2.0</v>
      </c>
      <c r="E244" s="32">
        <v>25000.0</v>
      </c>
      <c r="F244" s="32">
        <f t="shared" si="13"/>
        <v>50000</v>
      </c>
      <c r="G244" s="33" t="s">
        <v>10</v>
      </c>
      <c r="H244" s="189"/>
    </row>
    <row r="245">
      <c r="A245" s="138">
        <v>46195.0</v>
      </c>
      <c r="B245" s="29" t="s">
        <v>27</v>
      </c>
      <c r="C245" s="73" t="s">
        <v>195</v>
      </c>
      <c r="D245" s="73">
        <v>1.0</v>
      </c>
      <c r="E245" s="32">
        <v>25000.0</v>
      </c>
      <c r="F245" s="32">
        <f t="shared" si="13"/>
        <v>25000</v>
      </c>
      <c r="G245" s="33" t="s">
        <v>10</v>
      </c>
      <c r="H245" s="189"/>
    </row>
    <row r="246">
      <c r="A246" s="138">
        <v>46195.0</v>
      </c>
      <c r="B246" s="29" t="s">
        <v>27</v>
      </c>
      <c r="C246" s="73" t="s">
        <v>243</v>
      </c>
      <c r="D246" s="73">
        <v>1.0</v>
      </c>
      <c r="E246" s="32">
        <v>25000.0</v>
      </c>
      <c r="F246" s="32">
        <f t="shared" si="13"/>
        <v>25000</v>
      </c>
      <c r="G246" s="33" t="s">
        <v>10</v>
      </c>
      <c r="H246" s="189"/>
    </row>
    <row r="247">
      <c r="A247" s="138">
        <v>46195.0</v>
      </c>
      <c r="B247" s="29" t="s">
        <v>27</v>
      </c>
      <c r="C247" s="73" t="s">
        <v>16</v>
      </c>
      <c r="D247" s="73">
        <v>1.05</v>
      </c>
      <c r="E247" s="32">
        <v>25000.0</v>
      </c>
      <c r="F247" s="32">
        <f t="shared" si="13"/>
        <v>26250</v>
      </c>
      <c r="G247" s="33" t="s">
        <v>10</v>
      </c>
      <c r="H247" s="189"/>
    </row>
    <row r="248">
      <c r="A248" s="138">
        <v>46195.0</v>
      </c>
      <c r="B248" s="29" t="s">
        <v>17</v>
      </c>
      <c r="C248" s="73" t="s">
        <v>140</v>
      </c>
      <c r="D248" s="73">
        <v>20.0</v>
      </c>
      <c r="E248" s="32">
        <v>25000.0</v>
      </c>
      <c r="F248" s="32">
        <f t="shared" si="13"/>
        <v>500000</v>
      </c>
      <c r="G248" s="33" t="s">
        <v>10</v>
      </c>
      <c r="H248" s="189"/>
    </row>
    <row r="249">
      <c r="A249" s="138">
        <v>46195.0</v>
      </c>
      <c r="B249" s="29" t="s">
        <v>17</v>
      </c>
      <c r="C249" s="73" t="s">
        <v>253</v>
      </c>
      <c r="D249" s="73">
        <v>40.0</v>
      </c>
      <c r="E249" s="32">
        <v>25000.0</v>
      </c>
      <c r="F249" s="32">
        <f t="shared" si="13"/>
        <v>1000000</v>
      </c>
      <c r="G249" s="33" t="s">
        <v>10</v>
      </c>
      <c r="H249" s="189"/>
    </row>
    <row r="250">
      <c r="A250" s="138">
        <v>46195.0</v>
      </c>
      <c r="B250" s="29" t="s">
        <v>17</v>
      </c>
      <c r="C250" s="73" t="s">
        <v>67</v>
      </c>
      <c r="D250" s="73">
        <v>2.0</v>
      </c>
      <c r="E250" s="32">
        <v>25000.0</v>
      </c>
      <c r="F250" s="32">
        <f t="shared" si="13"/>
        <v>50000</v>
      </c>
      <c r="G250" s="33" t="s">
        <v>10</v>
      </c>
      <c r="H250" s="189"/>
    </row>
    <row r="251">
      <c r="A251" s="138">
        <v>46195.0</v>
      </c>
      <c r="B251" s="29" t="s">
        <v>17</v>
      </c>
      <c r="C251" s="73" t="s">
        <v>265</v>
      </c>
      <c r="D251" s="73">
        <v>2.0</v>
      </c>
      <c r="E251" s="32">
        <v>25000.0</v>
      </c>
      <c r="F251" s="32">
        <f t="shared" si="13"/>
        <v>50000</v>
      </c>
      <c r="G251" s="33" t="s">
        <v>10</v>
      </c>
      <c r="H251" s="189"/>
    </row>
    <row r="252">
      <c r="A252" s="138">
        <v>46195.0</v>
      </c>
      <c r="B252" s="29" t="s">
        <v>17</v>
      </c>
      <c r="C252" s="73" t="s">
        <v>60</v>
      </c>
      <c r="D252" s="73">
        <v>4.0</v>
      </c>
      <c r="E252" s="32">
        <v>25000.0</v>
      </c>
      <c r="F252" s="32">
        <f t="shared" si="13"/>
        <v>100000</v>
      </c>
      <c r="G252" s="33" t="s">
        <v>10</v>
      </c>
      <c r="H252" s="189"/>
    </row>
    <row r="253">
      <c r="A253" s="138">
        <v>46195.0</v>
      </c>
      <c r="B253" s="29" t="s">
        <v>17</v>
      </c>
      <c r="C253" s="73" t="s">
        <v>29</v>
      </c>
      <c r="D253" s="73">
        <v>1.0</v>
      </c>
      <c r="E253" s="32">
        <v>25000.0</v>
      </c>
      <c r="F253" s="32">
        <f t="shared" si="13"/>
        <v>25000</v>
      </c>
      <c r="G253" s="33" t="s">
        <v>10</v>
      </c>
      <c r="H253" s="189"/>
    </row>
    <row r="254">
      <c r="A254" s="138">
        <v>46195.0</v>
      </c>
      <c r="B254" s="29" t="s">
        <v>17</v>
      </c>
      <c r="C254" s="73" t="s">
        <v>273</v>
      </c>
      <c r="D254" s="73">
        <v>1.0</v>
      </c>
      <c r="E254" s="32">
        <v>25000.0</v>
      </c>
      <c r="F254" s="32">
        <f t="shared" si="13"/>
        <v>25000</v>
      </c>
      <c r="G254" s="33" t="s">
        <v>10</v>
      </c>
      <c r="H254" s="189"/>
    </row>
    <row r="255">
      <c r="A255" s="138">
        <v>46195.0</v>
      </c>
      <c r="B255" s="29" t="s">
        <v>17</v>
      </c>
      <c r="C255" s="73" t="s">
        <v>23</v>
      </c>
      <c r="D255" s="73">
        <v>1.0</v>
      </c>
      <c r="E255" s="32">
        <v>25000.0</v>
      </c>
      <c r="F255" s="32">
        <f t="shared" si="13"/>
        <v>25000</v>
      </c>
      <c r="G255" s="33" t="s">
        <v>10</v>
      </c>
      <c r="H255" s="189"/>
    </row>
    <row r="256">
      <c r="A256" s="138">
        <v>46195.0</v>
      </c>
      <c r="B256" s="29" t="s">
        <v>17</v>
      </c>
      <c r="C256" s="73" t="s">
        <v>50</v>
      </c>
      <c r="D256" s="73">
        <v>1.0</v>
      </c>
      <c r="E256" s="32">
        <v>25000.0</v>
      </c>
      <c r="F256" s="32">
        <f t="shared" si="13"/>
        <v>25000</v>
      </c>
      <c r="G256" s="33" t="s">
        <v>10</v>
      </c>
      <c r="H256" s="189"/>
    </row>
    <row r="257">
      <c r="A257" s="138">
        <v>46195.0</v>
      </c>
      <c r="B257" s="29" t="s">
        <v>17</v>
      </c>
      <c r="C257" s="73" t="s">
        <v>16</v>
      </c>
      <c r="D257" s="73">
        <v>2.6</v>
      </c>
      <c r="E257" s="32">
        <v>25000.0</v>
      </c>
      <c r="F257" s="32">
        <f t="shared" si="13"/>
        <v>65000</v>
      </c>
      <c r="G257" s="33" t="s">
        <v>10</v>
      </c>
      <c r="H257" s="189"/>
    </row>
    <row r="258">
      <c r="A258" s="138">
        <v>46196.0</v>
      </c>
      <c r="B258" s="29" t="s">
        <v>8</v>
      </c>
      <c r="C258" s="73" t="s">
        <v>150</v>
      </c>
      <c r="D258" s="73">
        <v>2.0</v>
      </c>
      <c r="E258" s="32">
        <v>25000.0</v>
      </c>
      <c r="F258" s="32">
        <f t="shared" si="13"/>
        <v>50000</v>
      </c>
      <c r="G258" s="33" t="s">
        <v>10</v>
      </c>
      <c r="H258" s="189"/>
    </row>
    <row r="259">
      <c r="A259" s="138">
        <v>46196.0</v>
      </c>
      <c r="B259" s="29" t="s">
        <v>8</v>
      </c>
      <c r="C259" s="73" t="s">
        <v>67</v>
      </c>
      <c r="D259" s="73">
        <v>1.0</v>
      </c>
      <c r="E259" s="32">
        <v>25000.0</v>
      </c>
      <c r="F259" s="32">
        <f t="shared" si="13"/>
        <v>25000</v>
      </c>
      <c r="G259" s="33" t="s">
        <v>10</v>
      </c>
      <c r="H259" s="189"/>
    </row>
    <row r="260">
      <c r="A260" s="138">
        <v>46196.0</v>
      </c>
      <c r="B260" s="29" t="s">
        <v>8</v>
      </c>
      <c r="C260" s="73" t="s">
        <v>154</v>
      </c>
      <c r="D260" s="73">
        <v>1.0</v>
      </c>
      <c r="E260" s="32">
        <v>25000.0</v>
      </c>
      <c r="F260" s="32">
        <f t="shared" si="13"/>
        <v>25000</v>
      </c>
      <c r="G260" s="33" t="s">
        <v>10</v>
      </c>
      <c r="H260" s="189"/>
    </row>
    <row r="261">
      <c r="A261" s="138">
        <v>46196.0</v>
      </c>
      <c r="B261" s="29" t="s">
        <v>8</v>
      </c>
      <c r="C261" s="73" t="s">
        <v>139</v>
      </c>
      <c r="D261" s="73">
        <v>2.0</v>
      </c>
      <c r="E261" s="32">
        <v>25000.0</v>
      </c>
      <c r="F261" s="32">
        <f t="shared" si="13"/>
        <v>50000</v>
      </c>
      <c r="G261" s="33" t="s">
        <v>10</v>
      </c>
      <c r="H261" s="189"/>
    </row>
    <row r="262">
      <c r="A262" s="138">
        <v>46196.0</v>
      </c>
      <c r="B262" s="29" t="s">
        <v>8</v>
      </c>
      <c r="C262" s="73" t="s">
        <v>16</v>
      </c>
      <c r="D262" s="73">
        <v>0.19</v>
      </c>
      <c r="E262" s="32">
        <v>25000.0</v>
      </c>
      <c r="F262" s="32">
        <f t="shared" si="13"/>
        <v>4750</v>
      </c>
      <c r="G262" s="33" t="s">
        <v>10</v>
      </c>
      <c r="H262" s="189"/>
    </row>
    <row r="263">
      <c r="A263" s="138">
        <v>46196.0</v>
      </c>
      <c r="B263" s="29" t="s">
        <v>36</v>
      </c>
      <c r="C263" s="73" t="s">
        <v>228</v>
      </c>
      <c r="D263" s="73">
        <v>3.0</v>
      </c>
      <c r="E263" s="32">
        <v>25000.0</v>
      </c>
      <c r="F263" s="32">
        <f t="shared" si="13"/>
        <v>75000</v>
      </c>
      <c r="G263" s="33" t="s">
        <v>10</v>
      </c>
      <c r="H263" s="189"/>
    </row>
    <row r="264">
      <c r="A264" s="138">
        <v>46196.0</v>
      </c>
      <c r="B264" s="29" t="s">
        <v>36</v>
      </c>
      <c r="C264" s="73" t="s">
        <v>55</v>
      </c>
      <c r="D264" s="73">
        <v>2.0</v>
      </c>
      <c r="E264" s="32">
        <v>25000.0</v>
      </c>
      <c r="F264" s="32">
        <f t="shared" si="13"/>
        <v>50000</v>
      </c>
      <c r="G264" s="33" t="s">
        <v>10</v>
      </c>
      <c r="H264" s="189"/>
    </row>
    <row r="265">
      <c r="A265" s="138">
        <v>46196.0</v>
      </c>
      <c r="B265" s="29" t="s">
        <v>36</v>
      </c>
      <c r="C265" s="73" t="s">
        <v>62</v>
      </c>
      <c r="D265" s="73">
        <v>1.0</v>
      </c>
      <c r="E265" s="32">
        <v>25000.0</v>
      </c>
      <c r="F265" s="32">
        <f t="shared" si="13"/>
        <v>25000</v>
      </c>
      <c r="G265" s="33" t="s">
        <v>10</v>
      </c>
      <c r="H265" s="189"/>
    </row>
    <row r="266">
      <c r="A266" s="138">
        <v>46196.0</v>
      </c>
      <c r="B266" s="29" t="s">
        <v>36</v>
      </c>
      <c r="C266" s="73" t="s">
        <v>16</v>
      </c>
      <c r="D266" s="73">
        <v>0.39</v>
      </c>
      <c r="E266" s="32">
        <v>25000.0</v>
      </c>
      <c r="F266" s="32">
        <f t="shared" si="13"/>
        <v>9750</v>
      </c>
      <c r="G266" s="33" t="s">
        <v>10</v>
      </c>
      <c r="H266" s="189"/>
    </row>
    <row r="267">
      <c r="A267" s="138">
        <v>46196.0</v>
      </c>
      <c r="B267" s="29" t="s">
        <v>27</v>
      </c>
      <c r="C267" s="73" t="s">
        <v>55</v>
      </c>
      <c r="D267" s="73">
        <v>6.0</v>
      </c>
      <c r="E267" s="32">
        <v>25000.0</v>
      </c>
      <c r="F267" s="32">
        <f t="shared" si="13"/>
        <v>150000</v>
      </c>
      <c r="G267" s="33" t="s">
        <v>10</v>
      </c>
      <c r="H267" s="189"/>
    </row>
    <row r="268">
      <c r="A268" s="138">
        <v>46196.0</v>
      </c>
      <c r="B268" s="29" t="s">
        <v>27</v>
      </c>
      <c r="C268" s="73" t="s">
        <v>35</v>
      </c>
      <c r="D268" s="73">
        <v>1.0</v>
      </c>
      <c r="E268" s="32">
        <v>25000.0</v>
      </c>
      <c r="F268" s="32">
        <f t="shared" si="13"/>
        <v>25000</v>
      </c>
      <c r="G268" s="33" t="s">
        <v>10</v>
      </c>
      <c r="H268" s="189"/>
    </row>
    <row r="269">
      <c r="A269" s="138">
        <v>46196.0</v>
      </c>
      <c r="B269" s="29" t="s">
        <v>27</v>
      </c>
      <c r="C269" s="73" t="s">
        <v>16</v>
      </c>
      <c r="D269" s="73">
        <v>0.38</v>
      </c>
      <c r="E269" s="32">
        <v>25000.0</v>
      </c>
      <c r="F269" s="32">
        <f t="shared" si="13"/>
        <v>9500</v>
      </c>
      <c r="G269" s="33" t="s">
        <v>10</v>
      </c>
      <c r="H269" s="189"/>
    </row>
    <row r="270">
      <c r="A270" s="138">
        <v>46196.0</v>
      </c>
      <c r="B270" s="29" t="s">
        <v>17</v>
      </c>
      <c r="C270" s="73" t="s">
        <v>140</v>
      </c>
      <c r="D270" s="73">
        <v>15.0</v>
      </c>
      <c r="E270" s="32">
        <v>25000.0</v>
      </c>
      <c r="F270" s="32">
        <f t="shared" si="13"/>
        <v>375000</v>
      </c>
      <c r="G270" s="33" t="s">
        <v>10</v>
      </c>
      <c r="H270" s="189"/>
    </row>
    <row r="271">
      <c r="A271" s="138">
        <v>46196.0</v>
      </c>
      <c r="B271" s="29" t="s">
        <v>17</v>
      </c>
      <c r="C271" s="73" t="s">
        <v>274</v>
      </c>
      <c r="D271" s="73">
        <v>20.0</v>
      </c>
      <c r="E271" s="32">
        <v>25000.0</v>
      </c>
      <c r="F271" s="32">
        <f t="shared" si="13"/>
        <v>500000</v>
      </c>
      <c r="G271" s="33" t="s">
        <v>10</v>
      </c>
      <c r="H271" s="189"/>
    </row>
    <row r="272">
      <c r="A272" s="138">
        <v>46196.0</v>
      </c>
      <c r="B272" s="29" t="s">
        <v>17</v>
      </c>
      <c r="C272" s="73" t="s">
        <v>269</v>
      </c>
      <c r="D272" s="73">
        <v>2.0</v>
      </c>
      <c r="E272" s="32">
        <v>25000.0</v>
      </c>
      <c r="F272" s="32">
        <f t="shared" si="13"/>
        <v>50000</v>
      </c>
      <c r="G272" s="33" t="s">
        <v>10</v>
      </c>
      <c r="H272" s="189"/>
    </row>
    <row r="273">
      <c r="A273" s="138">
        <v>46196.0</v>
      </c>
      <c r="B273" s="29" t="s">
        <v>17</v>
      </c>
      <c r="C273" s="73" t="s">
        <v>275</v>
      </c>
      <c r="D273" s="73">
        <v>1.0</v>
      </c>
      <c r="E273" s="32">
        <v>25000.0</v>
      </c>
      <c r="F273" s="32">
        <f t="shared" si="13"/>
        <v>25000</v>
      </c>
      <c r="G273" s="33" t="s">
        <v>10</v>
      </c>
      <c r="H273" s="189"/>
    </row>
    <row r="274">
      <c r="A274" s="138">
        <v>46196.0</v>
      </c>
      <c r="B274" s="29" t="s">
        <v>17</v>
      </c>
      <c r="C274" s="73" t="s">
        <v>23</v>
      </c>
      <c r="D274" s="73">
        <v>1.0</v>
      </c>
      <c r="E274" s="32">
        <v>25000.0</v>
      </c>
      <c r="F274" s="32">
        <f t="shared" si="13"/>
        <v>25000</v>
      </c>
      <c r="G274" s="33" t="s">
        <v>10</v>
      </c>
      <c r="H274" s="189"/>
    </row>
    <row r="275">
      <c r="A275" s="138">
        <v>46196.0</v>
      </c>
      <c r="B275" s="29" t="s">
        <v>17</v>
      </c>
      <c r="C275" s="73" t="s">
        <v>67</v>
      </c>
      <c r="D275" s="73">
        <v>1.0</v>
      </c>
      <c r="E275" s="32">
        <v>25000.0</v>
      </c>
      <c r="F275" s="32">
        <f t="shared" si="13"/>
        <v>25000</v>
      </c>
      <c r="G275" s="33" t="s">
        <v>10</v>
      </c>
      <c r="H275" s="189"/>
    </row>
    <row r="276">
      <c r="A276" s="138">
        <v>46196.0</v>
      </c>
      <c r="B276" s="29" t="s">
        <v>17</v>
      </c>
      <c r="C276" s="73" t="s">
        <v>276</v>
      </c>
      <c r="D276" s="73">
        <v>1.0</v>
      </c>
      <c r="E276" s="32">
        <v>25000.0</v>
      </c>
      <c r="F276" s="32">
        <f t="shared" si="13"/>
        <v>25000</v>
      </c>
      <c r="G276" s="33" t="s">
        <v>10</v>
      </c>
      <c r="H276" s="189"/>
    </row>
    <row r="277">
      <c r="A277" s="138">
        <v>46196.0</v>
      </c>
      <c r="B277" s="29" t="s">
        <v>17</v>
      </c>
      <c r="C277" s="73" t="s">
        <v>79</v>
      </c>
      <c r="D277" s="73">
        <v>1.0</v>
      </c>
      <c r="E277" s="32">
        <v>25000.0</v>
      </c>
      <c r="F277" s="32">
        <f t="shared" si="13"/>
        <v>25000</v>
      </c>
      <c r="G277" s="33" t="s">
        <v>10</v>
      </c>
      <c r="H277" s="189"/>
    </row>
    <row r="278">
      <c r="A278" s="138">
        <v>46196.0</v>
      </c>
      <c r="B278" s="29" t="s">
        <v>17</v>
      </c>
      <c r="C278" s="73" t="s">
        <v>60</v>
      </c>
      <c r="D278" s="73">
        <v>1.0</v>
      </c>
      <c r="E278" s="32">
        <v>25000.0</v>
      </c>
      <c r="F278" s="32">
        <f t="shared" si="13"/>
        <v>25000</v>
      </c>
      <c r="G278" s="33" t="s">
        <v>10</v>
      </c>
      <c r="H278" s="189"/>
    </row>
    <row r="279">
      <c r="A279" s="138">
        <v>46196.0</v>
      </c>
      <c r="B279" s="29" t="s">
        <v>17</v>
      </c>
      <c r="C279" s="73" t="s">
        <v>16</v>
      </c>
      <c r="D279" s="73">
        <v>1.2</v>
      </c>
      <c r="E279" s="32">
        <v>25000.0</v>
      </c>
      <c r="F279" s="32">
        <f t="shared" si="13"/>
        <v>30000</v>
      </c>
      <c r="G279" s="33" t="s">
        <v>10</v>
      </c>
      <c r="H279" s="189"/>
    </row>
    <row r="280">
      <c r="A280" s="138">
        <v>46197.0</v>
      </c>
      <c r="B280" s="29" t="s">
        <v>8</v>
      </c>
      <c r="C280" s="73" t="s">
        <v>9</v>
      </c>
      <c r="D280" s="73">
        <v>2.0</v>
      </c>
      <c r="E280" s="32">
        <v>25000.0</v>
      </c>
      <c r="F280" s="32">
        <f t="shared" si="13"/>
        <v>50000</v>
      </c>
      <c r="G280" s="33" t="s">
        <v>10</v>
      </c>
      <c r="H280" s="189"/>
    </row>
    <row r="281">
      <c r="A281" s="138">
        <v>46197.0</v>
      </c>
      <c r="B281" s="29" t="s">
        <v>8</v>
      </c>
      <c r="C281" s="73" t="s">
        <v>11</v>
      </c>
      <c r="D281" s="73">
        <v>2.0</v>
      </c>
      <c r="E281" s="32">
        <v>25000.0</v>
      </c>
      <c r="F281" s="32">
        <f t="shared" si="13"/>
        <v>50000</v>
      </c>
      <c r="G281" s="33" t="s">
        <v>10</v>
      </c>
      <c r="H281" s="189"/>
    </row>
    <row r="282">
      <c r="A282" s="138">
        <v>46197.0</v>
      </c>
      <c r="B282" s="29" t="s">
        <v>8</v>
      </c>
      <c r="C282" s="73" t="s">
        <v>152</v>
      </c>
      <c r="D282" s="73">
        <v>2.0</v>
      </c>
      <c r="E282" s="32">
        <v>25000.0</v>
      </c>
      <c r="F282" s="32">
        <f t="shared" si="13"/>
        <v>50000</v>
      </c>
      <c r="G282" s="33" t="s">
        <v>10</v>
      </c>
      <c r="H282" s="189"/>
    </row>
    <row r="283">
      <c r="A283" s="138">
        <v>46197.0</v>
      </c>
      <c r="B283" s="29" t="s">
        <v>8</v>
      </c>
      <c r="C283" s="73" t="s">
        <v>67</v>
      </c>
      <c r="D283" s="73">
        <v>1.0</v>
      </c>
      <c r="E283" s="32">
        <v>25000.0</v>
      </c>
      <c r="F283" s="32">
        <f t="shared" si="13"/>
        <v>25000</v>
      </c>
      <c r="G283" s="33" t="s">
        <v>10</v>
      </c>
      <c r="H283" s="189"/>
    </row>
    <row r="284">
      <c r="A284" s="138">
        <v>46197.0</v>
      </c>
      <c r="B284" s="29" t="s">
        <v>8</v>
      </c>
      <c r="C284" s="73" t="s">
        <v>16</v>
      </c>
      <c r="D284" s="73">
        <v>0.34</v>
      </c>
      <c r="E284" s="32">
        <v>25000.0</v>
      </c>
      <c r="F284" s="32">
        <f t="shared" si="13"/>
        <v>8500</v>
      </c>
      <c r="G284" s="33" t="s">
        <v>10</v>
      </c>
      <c r="H284" s="189"/>
    </row>
    <row r="285">
      <c r="A285" s="138">
        <v>46197.0</v>
      </c>
      <c r="B285" s="29" t="s">
        <v>36</v>
      </c>
      <c r="C285" s="73" t="s">
        <v>29</v>
      </c>
      <c r="D285" s="73">
        <v>1.0</v>
      </c>
      <c r="E285" s="32">
        <v>25000.0</v>
      </c>
      <c r="F285" s="32">
        <f t="shared" si="13"/>
        <v>25000</v>
      </c>
      <c r="G285" s="33" t="s">
        <v>10</v>
      </c>
      <c r="H285" s="189"/>
    </row>
    <row r="286">
      <c r="A286" s="138">
        <v>46197.0</v>
      </c>
      <c r="B286" s="29" t="s">
        <v>36</v>
      </c>
      <c r="C286" s="73" t="s">
        <v>16</v>
      </c>
      <c r="D286" s="73">
        <v>0.15</v>
      </c>
      <c r="E286" s="32">
        <v>25000.0</v>
      </c>
      <c r="F286" s="32">
        <f t="shared" si="13"/>
        <v>3750</v>
      </c>
      <c r="G286" s="33" t="s">
        <v>10</v>
      </c>
      <c r="H286" s="189"/>
    </row>
    <row r="287">
      <c r="A287" s="138">
        <v>46197.0</v>
      </c>
      <c r="B287" s="29" t="s">
        <v>27</v>
      </c>
      <c r="C287" s="73" t="s">
        <v>75</v>
      </c>
      <c r="D287" s="73">
        <v>5.0</v>
      </c>
      <c r="E287" s="32">
        <v>25000.0</v>
      </c>
      <c r="F287" s="32">
        <f t="shared" si="13"/>
        <v>125000</v>
      </c>
      <c r="G287" s="33" t="s">
        <v>10</v>
      </c>
      <c r="H287" s="189"/>
    </row>
    <row r="288">
      <c r="A288" s="138">
        <v>46197.0</v>
      </c>
      <c r="B288" s="29" t="s">
        <v>27</v>
      </c>
      <c r="C288" s="73" t="s">
        <v>16</v>
      </c>
      <c r="D288" s="73">
        <v>0.41</v>
      </c>
      <c r="E288" s="32">
        <v>25000.0</v>
      </c>
      <c r="F288" s="32">
        <f t="shared" si="13"/>
        <v>10250</v>
      </c>
      <c r="G288" s="33" t="s">
        <v>10</v>
      </c>
      <c r="H288" s="189"/>
    </row>
    <row r="289">
      <c r="A289" s="138">
        <v>46197.0</v>
      </c>
      <c r="B289" s="29" t="s">
        <v>17</v>
      </c>
      <c r="C289" s="73" t="s">
        <v>60</v>
      </c>
      <c r="D289" s="73">
        <v>2.0</v>
      </c>
      <c r="E289" s="32">
        <v>25000.0</v>
      </c>
      <c r="F289" s="32">
        <f t="shared" si="13"/>
        <v>50000</v>
      </c>
      <c r="G289" s="33" t="s">
        <v>10</v>
      </c>
      <c r="H289" s="189"/>
    </row>
    <row r="290">
      <c r="A290" s="138">
        <v>46197.0</v>
      </c>
      <c r="B290" s="29" t="s">
        <v>17</v>
      </c>
      <c r="C290" s="73" t="s">
        <v>29</v>
      </c>
      <c r="D290" s="73">
        <v>1.0</v>
      </c>
      <c r="E290" s="32">
        <v>25000.0</v>
      </c>
      <c r="F290" s="32">
        <f t="shared" si="13"/>
        <v>25000</v>
      </c>
      <c r="G290" s="33" t="s">
        <v>10</v>
      </c>
      <c r="H290" s="189"/>
    </row>
    <row r="291">
      <c r="A291" s="138">
        <v>46197.0</v>
      </c>
      <c r="B291" s="29" t="s">
        <v>17</v>
      </c>
      <c r="C291" s="73" t="s">
        <v>265</v>
      </c>
      <c r="D291" s="73">
        <v>1.0</v>
      </c>
      <c r="E291" s="32">
        <v>25000.0</v>
      </c>
      <c r="F291" s="32">
        <f t="shared" si="13"/>
        <v>25000</v>
      </c>
      <c r="G291" s="33" t="s">
        <v>10</v>
      </c>
      <c r="H291" s="189"/>
    </row>
    <row r="292">
      <c r="A292" s="138">
        <v>46197.0</v>
      </c>
      <c r="B292" s="29" t="s">
        <v>17</v>
      </c>
      <c r="C292" s="73" t="s">
        <v>50</v>
      </c>
      <c r="D292" s="73">
        <v>1.0</v>
      </c>
      <c r="E292" s="32">
        <v>25000.0</v>
      </c>
      <c r="F292" s="32">
        <f t="shared" si="13"/>
        <v>25000</v>
      </c>
      <c r="G292" s="33" t="s">
        <v>10</v>
      </c>
      <c r="H292" s="189"/>
    </row>
    <row r="293">
      <c r="A293" s="138">
        <v>46197.0</v>
      </c>
      <c r="B293" s="29" t="s">
        <v>17</v>
      </c>
      <c r="C293" s="73" t="s">
        <v>273</v>
      </c>
      <c r="D293" s="73">
        <v>1.0</v>
      </c>
      <c r="E293" s="32">
        <v>25000.0</v>
      </c>
      <c r="F293" s="32">
        <f t="shared" si="13"/>
        <v>25000</v>
      </c>
      <c r="G293" s="33" t="s">
        <v>10</v>
      </c>
      <c r="H293" s="189"/>
    </row>
    <row r="294">
      <c r="A294" s="138">
        <v>46197.0</v>
      </c>
      <c r="B294" s="29" t="s">
        <v>17</v>
      </c>
      <c r="C294" s="73" t="s">
        <v>67</v>
      </c>
      <c r="D294" s="73">
        <v>2.0</v>
      </c>
      <c r="E294" s="32">
        <v>25000.0</v>
      </c>
      <c r="F294" s="32">
        <f t="shared" si="13"/>
        <v>50000</v>
      </c>
      <c r="G294" s="33" t="s">
        <v>10</v>
      </c>
      <c r="H294" s="189"/>
    </row>
    <row r="295">
      <c r="A295" s="138">
        <v>46197.0</v>
      </c>
      <c r="B295" s="29" t="s">
        <v>17</v>
      </c>
      <c r="C295" s="73" t="s">
        <v>16</v>
      </c>
      <c r="D295" s="73">
        <v>1.0</v>
      </c>
      <c r="E295" s="32">
        <v>25000.0</v>
      </c>
      <c r="F295" s="32">
        <f t="shared" si="13"/>
        <v>25000</v>
      </c>
      <c r="G295" s="33" t="s">
        <v>10</v>
      </c>
      <c r="H295" s="189"/>
    </row>
    <row r="296">
      <c r="A296" s="138">
        <v>46198.0</v>
      </c>
      <c r="B296" s="29" t="s">
        <v>8</v>
      </c>
      <c r="C296" s="73" t="s">
        <v>67</v>
      </c>
      <c r="D296" s="73">
        <v>1.0</v>
      </c>
      <c r="E296" s="32">
        <v>25000.0</v>
      </c>
      <c r="F296" s="32">
        <f t="shared" si="13"/>
        <v>25000</v>
      </c>
      <c r="G296" s="33" t="s">
        <v>10</v>
      </c>
      <c r="H296" s="189"/>
    </row>
    <row r="297">
      <c r="A297" s="138">
        <v>46198.0</v>
      </c>
      <c r="B297" s="29" t="s">
        <v>8</v>
      </c>
      <c r="C297" s="73" t="s">
        <v>9</v>
      </c>
      <c r="D297" s="73">
        <v>2.0</v>
      </c>
      <c r="E297" s="32">
        <v>25000.0</v>
      </c>
      <c r="F297" s="32">
        <f t="shared" si="13"/>
        <v>50000</v>
      </c>
      <c r="G297" s="33" t="s">
        <v>10</v>
      </c>
      <c r="H297" s="189"/>
    </row>
    <row r="298">
      <c r="A298" s="138">
        <v>46198.0</v>
      </c>
      <c r="B298" s="29" t="s">
        <v>8</v>
      </c>
      <c r="C298" s="73" t="s">
        <v>37</v>
      </c>
      <c r="D298" s="73">
        <v>1.0</v>
      </c>
      <c r="E298" s="32">
        <v>25000.0</v>
      </c>
      <c r="F298" s="32">
        <f t="shared" si="13"/>
        <v>25000</v>
      </c>
      <c r="G298" s="33" t="s">
        <v>10</v>
      </c>
      <c r="H298" s="189"/>
    </row>
    <row r="299">
      <c r="A299" s="138">
        <v>46198.0</v>
      </c>
      <c r="B299" s="29" t="s">
        <v>8</v>
      </c>
      <c r="C299" s="73" t="s">
        <v>16</v>
      </c>
      <c r="D299" s="73">
        <v>0.23</v>
      </c>
      <c r="E299" s="32">
        <v>25000.0</v>
      </c>
      <c r="F299" s="32">
        <f t="shared" si="13"/>
        <v>5750</v>
      </c>
      <c r="G299" s="33" t="s">
        <v>10</v>
      </c>
      <c r="H299" s="189"/>
    </row>
    <row r="300">
      <c r="A300" s="138">
        <v>46198.0</v>
      </c>
      <c r="B300" s="29" t="s">
        <v>36</v>
      </c>
      <c r="C300" s="73" t="s">
        <v>67</v>
      </c>
      <c r="D300" s="73">
        <v>3.0</v>
      </c>
      <c r="E300" s="32">
        <v>25000.0</v>
      </c>
      <c r="F300" s="32">
        <f t="shared" si="13"/>
        <v>75000</v>
      </c>
      <c r="G300" s="33" t="s">
        <v>10</v>
      </c>
      <c r="H300" s="189"/>
    </row>
    <row r="301">
      <c r="A301" s="138">
        <v>46198.0</v>
      </c>
      <c r="B301" s="29" t="s">
        <v>36</v>
      </c>
      <c r="C301" s="73" t="s">
        <v>150</v>
      </c>
      <c r="D301" s="73">
        <v>2.0</v>
      </c>
      <c r="E301" s="32">
        <v>25000.0</v>
      </c>
      <c r="F301" s="32">
        <f t="shared" si="13"/>
        <v>50000</v>
      </c>
      <c r="G301" s="33" t="s">
        <v>10</v>
      </c>
      <c r="H301" s="189"/>
    </row>
    <row r="302">
      <c r="A302" s="138">
        <v>46198.0</v>
      </c>
      <c r="B302" s="29" t="s">
        <v>36</v>
      </c>
      <c r="C302" s="73" t="s">
        <v>55</v>
      </c>
      <c r="D302" s="73">
        <v>2.0</v>
      </c>
      <c r="E302" s="32">
        <v>25000.0</v>
      </c>
      <c r="F302" s="32">
        <f t="shared" si="13"/>
        <v>50000</v>
      </c>
      <c r="G302" s="33" t="s">
        <v>10</v>
      </c>
      <c r="H302" s="189"/>
    </row>
    <row r="303">
      <c r="A303" s="138">
        <v>46198.0</v>
      </c>
      <c r="B303" s="29" t="s">
        <v>36</v>
      </c>
      <c r="C303" s="73" t="s">
        <v>71</v>
      </c>
      <c r="D303" s="73">
        <v>1.0</v>
      </c>
      <c r="E303" s="32">
        <v>25000.0</v>
      </c>
      <c r="F303" s="32">
        <f t="shared" si="13"/>
        <v>25000</v>
      </c>
      <c r="G303" s="33" t="s">
        <v>10</v>
      </c>
      <c r="H303" s="189"/>
    </row>
    <row r="304">
      <c r="A304" s="138">
        <v>46198.0</v>
      </c>
      <c r="B304" s="29" t="s">
        <v>36</v>
      </c>
      <c r="C304" s="73" t="s">
        <v>16</v>
      </c>
      <c r="D304" s="73">
        <v>0.3</v>
      </c>
      <c r="E304" s="32">
        <v>25000.0</v>
      </c>
      <c r="F304" s="32">
        <f t="shared" si="13"/>
        <v>7500</v>
      </c>
      <c r="G304" s="33" t="s">
        <v>10</v>
      </c>
      <c r="H304" s="189"/>
    </row>
    <row r="305">
      <c r="A305" s="138">
        <v>46198.0</v>
      </c>
      <c r="B305" s="29" t="s">
        <v>27</v>
      </c>
      <c r="C305" s="73" t="s">
        <v>243</v>
      </c>
      <c r="D305" s="73">
        <v>1.0</v>
      </c>
      <c r="E305" s="32">
        <v>25000.0</v>
      </c>
      <c r="F305" s="32">
        <f t="shared" si="13"/>
        <v>25000</v>
      </c>
      <c r="G305" s="33" t="s">
        <v>10</v>
      </c>
      <c r="H305" s="189"/>
    </row>
    <row r="306">
      <c r="A306" s="138">
        <v>46198.0</v>
      </c>
      <c r="B306" s="29" t="s">
        <v>27</v>
      </c>
      <c r="C306" s="73" t="s">
        <v>55</v>
      </c>
      <c r="D306" s="73">
        <v>4.0</v>
      </c>
      <c r="E306" s="32">
        <v>25000.0</v>
      </c>
      <c r="F306" s="32">
        <f t="shared" si="13"/>
        <v>100000</v>
      </c>
      <c r="G306" s="33" t="s">
        <v>10</v>
      </c>
      <c r="H306" s="189"/>
    </row>
    <row r="307">
      <c r="A307" s="138">
        <v>46198.0</v>
      </c>
      <c r="B307" s="29" t="s">
        <v>27</v>
      </c>
      <c r="C307" s="73" t="s">
        <v>57</v>
      </c>
      <c r="D307" s="73">
        <v>2.0</v>
      </c>
      <c r="E307" s="32">
        <v>25000.0</v>
      </c>
      <c r="F307" s="32">
        <f t="shared" si="13"/>
        <v>50000</v>
      </c>
      <c r="G307" s="33" t="s">
        <v>10</v>
      </c>
      <c r="H307" s="189"/>
    </row>
    <row r="308">
      <c r="A308" s="138">
        <v>46198.0</v>
      </c>
      <c r="B308" s="29" t="s">
        <v>27</v>
      </c>
      <c r="C308" s="73" t="s">
        <v>29</v>
      </c>
      <c r="D308" s="73">
        <v>1.0</v>
      </c>
      <c r="E308" s="32">
        <v>25000.0</v>
      </c>
      <c r="F308" s="32">
        <f t="shared" si="13"/>
        <v>25000</v>
      </c>
      <c r="G308" s="33" t="s">
        <v>10</v>
      </c>
      <c r="H308" s="189"/>
    </row>
    <row r="309">
      <c r="A309" s="138">
        <v>46198.0</v>
      </c>
      <c r="B309" s="29" t="s">
        <v>27</v>
      </c>
      <c r="C309" s="73" t="s">
        <v>153</v>
      </c>
      <c r="D309" s="73">
        <v>1.0</v>
      </c>
      <c r="E309" s="32">
        <v>25000.0</v>
      </c>
      <c r="F309" s="32">
        <f t="shared" si="13"/>
        <v>25000</v>
      </c>
      <c r="G309" s="33" t="s">
        <v>10</v>
      </c>
      <c r="H309" s="189"/>
    </row>
    <row r="310">
      <c r="A310" s="138">
        <v>46198.0</v>
      </c>
      <c r="B310" s="29" t="s">
        <v>27</v>
      </c>
      <c r="C310" s="73" t="s">
        <v>67</v>
      </c>
      <c r="D310" s="73">
        <v>1.0</v>
      </c>
      <c r="E310" s="32">
        <v>25000.0</v>
      </c>
      <c r="F310" s="32">
        <f t="shared" si="13"/>
        <v>25000</v>
      </c>
      <c r="G310" s="33" t="s">
        <v>10</v>
      </c>
      <c r="H310" s="189"/>
    </row>
    <row r="311">
      <c r="A311" s="138">
        <v>46198.0</v>
      </c>
      <c r="B311" s="29" t="s">
        <v>27</v>
      </c>
      <c r="C311" s="73" t="s">
        <v>16</v>
      </c>
      <c r="D311" s="73">
        <v>0.57</v>
      </c>
      <c r="E311" s="32">
        <v>25000.0</v>
      </c>
      <c r="F311" s="32">
        <f t="shared" si="13"/>
        <v>14250</v>
      </c>
      <c r="G311" s="33" t="s">
        <v>10</v>
      </c>
      <c r="H311" s="189"/>
    </row>
    <row r="312">
      <c r="A312" s="138">
        <v>46198.0</v>
      </c>
      <c r="B312" s="29" t="s">
        <v>17</v>
      </c>
      <c r="C312" s="73" t="s">
        <v>277</v>
      </c>
      <c r="D312" s="73">
        <v>2.0</v>
      </c>
      <c r="E312" s="32">
        <v>25000.0</v>
      </c>
      <c r="F312" s="32">
        <f t="shared" si="13"/>
        <v>50000</v>
      </c>
      <c r="G312" s="33" t="s">
        <v>10</v>
      </c>
      <c r="H312" s="189"/>
    </row>
    <row r="313">
      <c r="A313" s="138">
        <v>46198.0</v>
      </c>
      <c r="B313" s="29" t="s">
        <v>17</v>
      </c>
      <c r="C313" s="73" t="s">
        <v>23</v>
      </c>
      <c r="D313" s="73">
        <v>2.0</v>
      </c>
      <c r="E313" s="32">
        <v>25000.0</v>
      </c>
      <c r="F313" s="32">
        <f t="shared" si="13"/>
        <v>50000</v>
      </c>
      <c r="G313" s="33" t="s">
        <v>10</v>
      </c>
      <c r="H313" s="189"/>
    </row>
    <row r="314">
      <c r="A314" s="138">
        <v>46198.0</v>
      </c>
      <c r="B314" s="29" t="s">
        <v>17</v>
      </c>
      <c r="C314" s="73" t="s">
        <v>273</v>
      </c>
      <c r="D314" s="73">
        <v>2.0</v>
      </c>
      <c r="E314" s="32">
        <v>25000.0</v>
      </c>
      <c r="F314" s="32">
        <f t="shared" si="13"/>
        <v>50000</v>
      </c>
      <c r="G314" s="33" t="s">
        <v>10</v>
      </c>
      <c r="H314" s="189"/>
    </row>
    <row r="315">
      <c r="A315" s="138">
        <v>46198.0</v>
      </c>
      <c r="B315" s="29" t="s">
        <v>17</v>
      </c>
      <c r="C315" s="73" t="s">
        <v>265</v>
      </c>
      <c r="D315" s="73">
        <v>1.0</v>
      </c>
      <c r="E315" s="32">
        <v>25000.0</v>
      </c>
      <c r="F315" s="32">
        <f t="shared" si="13"/>
        <v>25000</v>
      </c>
      <c r="G315" s="33" t="s">
        <v>10</v>
      </c>
      <c r="H315" s="189"/>
    </row>
    <row r="316">
      <c r="A316" s="138">
        <v>46198.0</v>
      </c>
      <c r="B316" s="29" t="s">
        <v>17</v>
      </c>
      <c r="C316" s="73" t="s">
        <v>140</v>
      </c>
      <c r="D316" s="73">
        <v>7.0</v>
      </c>
      <c r="E316" s="32">
        <v>25000.0</v>
      </c>
      <c r="F316" s="32">
        <f t="shared" si="13"/>
        <v>175000</v>
      </c>
      <c r="G316" s="33" t="s">
        <v>10</v>
      </c>
      <c r="H316" s="189"/>
    </row>
    <row r="317">
      <c r="A317" s="138">
        <v>46198.0</v>
      </c>
      <c r="B317" s="29" t="s">
        <v>17</v>
      </c>
      <c r="C317" s="73" t="s">
        <v>278</v>
      </c>
      <c r="D317" s="73">
        <v>1.0</v>
      </c>
      <c r="E317" s="32">
        <v>25000.0</v>
      </c>
      <c r="F317" s="32">
        <f t="shared" si="13"/>
        <v>25000</v>
      </c>
      <c r="G317" s="33" t="s">
        <v>10</v>
      </c>
      <c r="H317" s="189"/>
    </row>
    <row r="318">
      <c r="A318" s="138">
        <v>46198.0</v>
      </c>
      <c r="B318" s="29" t="s">
        <v>17</v>
      </c>
      <c r="C318" s="73" t="s">
        <v>16</v>
      </c>
      <c r="D318" s="73">
        <v>0.7</v>
      </c>
      <c r="E318" s="32">
        <v>25000.0</v>
      </c>
      <c r="F318" s="32">
        <f t="shared" si="13"/>
        <v>17500</v>
      </c>
      <c r="G318" s="33" t="s">
        <v>10</v>
      </c>
      <c r="H318" s="189"/>
    </row>
    <row r="319">
      <c r="A319" s="138">
        <v>46199.0</v>
      </c>
      <c r="B319" s="29" t="s">
        <v>8</v>
      </c>
      <c r="C319" s="73" t="s">
        <v>39</v>
      </c>
      <c r="D319" s="73">
        <v>3.0</v>
      </c>
      <c r="E319" s="32">
        <v>25000.0</v>
      </c>
      <c r="F319" s="32">
        <f t="shared" si="13"/>
        <v>75000</v>
      </c>
      <c r="G319" s="33" t="s">
        <v>10</v>
      </c>
      <c r="H319" s="189"/>
    </row>
    <row r="320">
      <c r="A320" s="138">
        <v>46199.0</v>
      </c>
      <c r="B320" s="29" t="s">
        <v>8</v>
      </c>
      <c r="C320" s="73" t="s">
        <v>9</v>
      </c>
      <c r="D320" s="73">
        <v>3.0</v>
      </c>
      <c r="E320" s="32">
        <v>25000.0</v>
      </c>
      <c r="F320" s="32">
        <f t="shared" si="13"/>
        <v>75000</v>
      </c>
      <c r="G320" s="33" t="s">
        <v>10</v>
      </c>
      <c r="H320" s="189"/>
    </row>
    <row r="321">
      <c r="A321" s="138">
        <v>46199.0</v>
      </c>
      <c r="B321" s="29" t="s">
        <v>8</v>
      </c>
      <c r="C321" s="73" t="s">
        <v>155</v>
      </c>
      <c r="D321" s="73">
        <v>1.0</v>
      </c>
      <c r="E321" s="32">
        <v>25000.0</v>
      </c>
      <c r="F321" s="32">
        <f t="shared" si="13"/>
        <v>25000</v>
      </c>
      <c r="G321" s="33" t="s">
        <v>10</v>
      </c>
      <c r="H321" s="189"/>
    </row>
    <row r="322">
      <c r="A322" s="138">
        <v>46199.0</v>
      </c>
      <c r="B322" s="29" t="s">
        <v>8</v>
      </c>
      <c r="C322" s="73" t="s">
        <v>34</v>
      </c>
      <c r="D322" s="73">
        <v>1.0</v>
      </c>
      <c r="E322" s="32">
        <v>25000.0</v>
      </c>
      <c r="F322" s="32">
        <f t="shared" si="13"/>
        <v>25000</v>
      </c>
      <c r="G322" s="33" t="s">
        <v>10</v>
      </c>
      <c r="H322" s="189"/>
    </row>
    <row r="323">
      <c r="A323" s="138">
        <v>46199.0</v>
      </c>
      <c r="B323" s="29" t="s">
        <v>8</v>
      </c>
      <c r="C323" s="73" t="s">
        <v>16</v>
      </c>
      <c r="D323" s="73">
        <v>0.19</v>
      </c>
      <c r="E323" s="32">
        <v>25000.0</v>
      </c>
      <c r="F323" s="32">
        <f t="shared" si="13"/>
        <v>4750</v>
      </c>
      <c r="G323" s="33" t="s">
        <v>10</v>
      </c>
      <c r="H323" s="189"/>
    </row>
    <row r="324">
      <c r="A324" s="138">
        <v>46199.0</v>
      </c>
      <c r="B324" s="29" t="s">
        <v>36</v>
      </c>
      <c r="C324" s="73" t="s">
        <v>67</v>
      </c>
      <c r="D324" s="73">
        <v>3.0</v>
      </c>
      <c r="E324" s="32">
        <v>25000.0</v>
      </c>
      <c r="F324" s="32">
        <f t="shared" si="13"/>
        <v>75000</v>
      </c>
      <c r="G324" s="33" t="s">
        <v>10</v>
      </c>
      <c r="H324" s="189"/>
    </row>
    <row r="325">
      <c r="A325" s="138">
        <v>46199.0</v>
      </c>
      <c r="B325" s="29" t="s">
        <v>36</v>
      </c>
      <c r="C325" s="73" t="s">
        <v>55</v>
      </c>
      <c r="D325" s="73">
        <v>2.0</v>
      </c>
      <c r="E325" s="32">
        <v>25000.0</v>
      </c>
      <c r="F325" s="32">
        <f t="shared" si="13"/>
        <v>50000</v>
      </c>
      <c r="G325" s="33" t="s">
        <v>10</v>
      </c>
      <c r="H325" s="189"/>
    </row>
    <row r="326">
      <c r="A326" s="138">
        <v>46199.0</v>
      </c>
      <c r="B326" s="29" t="s">
        <v>36</v>
      </c>
      <c r="C326" s="73" t="s">
        <v>29</v>
      </c>
      <c r="D326" s="73">
        <v>2.0</v>
      </c>
      <c r="E326" s="32">
        <v>25000.0</v>
      </c>
      <c r="F326" s="32">
        <f t="shared" si="13"/>
        <v>50000</v>
      </c>
      <c r="G326" s="33" t="s">
        <v>10</v>
      </c>
      <c r="H326" s="189"/>
    </row>
    <row r="327">
      <c r="A327" s="138">
        <v>46199.0</v>
      </c>
      <c r="B327" s="29" t="s">
        <v>36</v>
      </c>
      <c r="C327" s="73" t="s">
        <v>16</v>
      </c>
      <c r="D327" s="73">
        <v>0.3</v>
      </c>
      <c r="E327" s="32">
        <v>25000.0</v>
      </c>
      <c r="F327" s="32">
        <f t="shared" si="13"/>
        <v>7500</v>
      </c>
      <c r="G327" s="33" t="s">
        <v>10</v>
      </c>
      <c r="H327" s="189"/>
    </row>
    <row r="328">
      <c r="A328" s="138">
        <v>46199.0</v>
      </c>
      <c r="B328" s="29" t="s">
        <v>27</v>
      </c>
      <c r="C328" s="73" t="s">
        <v>55</v>
      </c>
      <c r="D328" s="73">
        <v>5.0</v>
      </c>
      <c r="E328" s="32">
        <v>25000.0</v>
      </c>
      <c r="F328" s="32">
        <f t="shared" si="13"/>
        <v>125000</v>
      </c>
      <c r="G328" s="33" t="s">
        <v>10</v>
      </c>
      <c r="H328" s="189"/>
    </row>
    <row r="329">
      <c r="A329" s="138">
        <v>46199.0</v>
      </c>
      <c r="B329" s="29" t="s">
        <v>27</v>
      </c>
      <c r="C329" s="73" t="s">
        <v>57</v>
      </c>
      <c r="D329" s="73">
        <v>1.0</v>
      </c>
      <c r="E329" s="32">
        <v>25000.0</v>
      </c>
      <c r="F329" s="32">
        <f t="shared" si="13"/>
        <v>25000</v>
      </c>
      <c r="G329" s="33" t="s">
        <v>10</v>
      </c>
      <c r="H329" s="189"/>
    </row>
    <row r="330">
      <c r="A330" s="138">
        <v>46199.0</v>
      </c>
      <c r="B330" s="29" t="s">
        <v>27</v>
      </c>
      <c r="C330" s="73" t="s">
        <v>16</v>
      </c>
      <c r="D330" s="73">
        <v>0.31</v>
      </c>
      <c r="E330" s="32">
        <v>25000.0</v>
      </c>
      <c r="F330" s="32">
        <f t="shared" si="13"/>
        <v>7750</v>
      </c>
      <c r="G330" s="33" t="s">
        <v>10</v>
      </c>
      <c r="H330" s="189"/>
    </row>
    <row r="331">
      <c r="A331" s="138">
        <v>46199.0</v>
      </c>
      <c r="B331" s="29" t="s">
        <v>17</v>
      </c>
      <c r="C331" s="73" t="s">
        <v>140</v>
      </c>
      <c r="D331" s="73">
        <v>20.0</v>
      </c>
      <c r="E331" s="32">
        <v>25000.0</v>
      </c>
      <c r="F331" s="32">
        <f t="shared" si="13"/>
        <v>500000</v>
      </c>
      <c r="G331" s="33" t="s">
        <v>10</v>
      </c>
      <c r="H331" s="189"/>
    </row>
    <row r="332">
      <c r="A332" s="138">
        <v>46199.0</v>
      </c>
      <c r="B332" s="29" t="s">
        <v>17</v>
      </c>
      <c r="C332" s="73" t="s">
        <v>23</v>
      </c>
      <c r="D332" s="73">
        <v>7.0</v>
      </c>
      <c r="E332" s="32">
        <v>25000.0</v>
      </c>
      <c r="F332" s="32">
        <f t="shared" si="13"/>
        <v>175000</v>
      </c>
      <c r="G332" s="33" t="s">
        <v>10</v>
      </c>
      <c r="H332" s="189"/>
    </row>
    <row r="333">
      <c r="A333" s="138">
        <v>46199.0</v>
      </c>
      <c r="B333" s="29" t="s">
        <v>17</v>
      </c>
      <c r="C333" s="73" t="s">
        <v>275</v>
      </c>
      <c r="D333" s="73">
        <v>2.0</v>
      </c>
      <c r="E333" s="32">
        <v>25000.0</v>
      </c>
      <c r="F333" s="32">
        <f t="shared" si="13"/>
        <v>50000</v>
      </c>
      <c r="G333" s="33" t="s">
        <v>10</v>
      </c>
      <c r="H333" s="189"/>
    </row>
    <row r="334">
      <c r="A334" s="138">
        <v>46199.0</v>
      </c>
      <c r="B334" s="29" t="s">
        <v>17</v>
      </c>
      <c r="C334" s="73" t="s">
        <v>60</v>
      </c>
      <c r="D334" s="73">
        <v>2.0</v>
      </c>
      <c r="E334" s="32">
        <v>25000.0</v>
      </c>
      <c r="F334" s="32">
        <f t="shared" si="13"/>
        <v>50000</v>
      </c>
      <c r="G334" s="33" t="s">
        <v>10</v>
      </c>
      <c r="H334" s="189"/>
    </row>
    <row r="335">
      <c r="A335" s="138">
        <v>46199.0</v>
      </c>
      <c r="B335" s="29" t="s">
        <v>17</v>
      </c>
      <c r="C335" s="73" t="s">
        <v>256</v>
      </c>
      <c r="D335" s="73">
        <v>1.0</v>
      </c>
      <c r="E335" s="32">
        <v>25000.0</v>
      </c>
      <c r="F335" s="32">
        <f t="shared" si="13"/>
        <v>25000</v>
      </c>
      <c r="G335" s="33" t="s">
        <v>10</v>
      </c>
      <c r="H335" s="189"/>
    </row>
    <row r="336">
      <c r="A336" s="138">
        <v>46199.0</v>
      </c>
      <c r="B336" s="29" t="s">
        <v>17</v>
      </c>
      <c r="C336" s="73" t="s">
        <v>279</v>
      </c>
      <c r="D336" s="73">
        <v>1.0</v>
      </c>
      <c r="E336" s="32">
        <v>25000.0</v>
      </c>
      <c r="F336" s="32">
        <f t="shared" si="13"/>
        <v>25000</v>
      </c>
      <c r="G336" s="33" t="s">
        <v>10</v>
      </c>
      <c r="H336" s="189"/>
    </row>
    <row r="337">
      <c r="A337" s="138">
        <v>46199.0</v>
      </c>
      <c r="B337" s="29" t="s">
        <v>17</v>
      </c>
      <c r="C337" s="73" t="s">
        <v>280</v>
      </c>
      <c r="D337" s="73">
        <v>1.0</v>
      </c>
      <c r="E337" s="32">
        <v>25000.0</v>
      </c>
      <c r="F337" s="32">
        <f t="shared" si="13"/>
        <v>25000</v>
      </c>
      <c r="G337" s="33" t="s">
        <v>10</v>
      </c>
      <c r="H337" s="189"/>
    </row>
    <row r="338">
      <c r="A338" s="138">
        <v>46199.0</v>
      </c>
      <c r="B338" s="29" t="s">
        <v>17</v>
      </c>
      <c r="C338" s="73" t="s">
        <v>281</v>
      </c>
      <c r="D338" s="73">
        <v>1.0</v>
      </c>
      <c r="E338" s="32">
        <v>25000.0</v>
      </c>
      <c r="F338" s="32">
        <f t="shared" si="13"/>
        <v>25000</v>
      </c>
      <c r="G338" s="33" t="s">
        <v>10</v>
      </c>
      <c r="H338" s="189"/>
    </row>
    <row r="339">
      <c r="A339" s="138">
        <v>46199.0</v>
      </c>
      <c r="B339" s="29" t="s">
        <v>17</v>
      </c>
      <c r="C339" s="73" t="s">
        <v>16</v>
      </c>
      <c r="D339" s="73">
        <v>1.3</v>
      </c>
      <c r="E339" s="32">
        <v>25000.0</v>
      </c>
      <c r="F339" s="32">
        <f t="shared" si="13"/>
        <v>32500</v>
      </c>
      <c r="G339" s="33" t="s">
        <v>10</v>
      </c>
      <c r="H339" s="189"/>
    </row>
    <row r="340">
      <c r="A340" s="138">
        <v>46200.0</v>
      </c>
      <c r="B340" s="29" t="s">
        <v>8</v>
      </c>
      <c r="C340" s="73" t="s">
        <v>152</v>
      </c>
      <c r="D340" s="73">
        <v>1.0</v>
      </c>
      <c r="E340" s="32">
        <v>25000.0</v>
      </c>
      <c r="F340" s="32">
        <f t="shared" si="13"/>
        <v>25000</v>
      </c>
      <c r="G340" s="33" t="s">
        <v>10</v>
      </c>
      <c r="H340" s="189"/>
    </row>
    <row r="341">
      <c r="A341" s="138">
        <v>46200.0</v>
      </c>
      <c r="B341" s="29" t="s">
        <v>8</v>
      </c>
      <c r="C341" s="73" t="s">
        <v>156</v>
      </c>
      <c r="D341" s="73">
        <v>1.0</v>
      </c>
      <c r="E341" s="32">
        <v>25000.0</v>
      </c>
      <c r="F341" s="32">
        <f t="shared" si="13"/>
        <v>25000</v>
      </c>
      <c r="G341" s="33" t="s">
        <v>10</v>
      </c>
      <c r="H341" s="189"/>
    </row>
    <row r="342">
      <c r="A342" s="138">
        <v>46200.0</v>
      </c>
      <c r="B342" s="29" t="s">
        <v>8</v>
      </c>
      <c r="C342" s="73" t="s">
        <v>12</v>
      </c>
      <c r="D342" s="73">
        <v>1.0</v>
      </c>
      <c r="E342" s="32">
        <v>25000.0</v>
      </c>
      <c r="F342" s="32">
        <f t="shared" si="13"/>
        <v>25000</v>
      </c>
      <c r="G342" s="33" t="s">
        <v>10</v>
      </c>
      <c r="H342" s="189"/>
    </row>
    <row r="343">
      <c r="A343" s="138">
        <v>46200.0</v>
      </c>
      <c r="B343" s="29" t="s">
        <v>8</v>
      </c>
      <c r="C343" s="73" t="s">
        <v>16</v>
      </c>
      <c r="D343" s="73">
        <v>0.12</v>
      </c>
      <c r="E343" s="32">
        <v>25000.0</v>
      </c>
      <c r="F343" s="32">
        <f t="shared" si="13"/>
        <v>3000</v>
      </c>
      <c r="G343" s="33" t="s">
        <v>10</v>
      </c>
      <c r="H343" s="189"/>
    </row>
    <row r="344">
      <c r="A344" s="138">
        <v>46200.0</v>
      </c>
      <c r="B344" s="29" t="s">
        <v>36</v>
      </c>
      <c r="C344" s="73" t="s">
        <v>67</v>
      </c>
      <c r="D344" s="73">
        <v>3.0</v>
      </c>
      <c r="E344" s="32">
        <v>25000.0</v>
      </c>
      <c r="F344" s="32">
        <f t="shared" si="13"/>
        <v>75000</v>
      </c>
      <c r="G344" s="33" t="s">
        <v>10</v>
      </c>
      <c r="H344" s="189"/>
    </row>
    <row r="345">
      <c r="A345" s="138">
        <v>46200.0</v>
      </c>
      <c r="B345" s="29" t="s">
        <v>36</v>
      </c>
      <c r="C345" s="73" t="s">
        <v>16</v>
      </c>
      <c r="D345" s="73">
        <v>0.16</v>
      </c>
      <c r="E345" s="32">
        <v>25000.0</v>
      </c>
      <c r="F345" s="32">
        <f t="shared" si="13"/>
        <v>4000</v>
      </c>
      <c r="G345" s="33" t="s">
        <v>10</v>
      </c>
      <c r="H345" s="189"/>
    </row>
    <row r="346">
      <c r="A346" s="138">
        <v>46200.0</v>
      </c>
      <c r="B346" s="29" t="s">
        <v>27</v>
      </c>
      <c r="C346" s="73" t="s">
        <v>55</v>
      </c>
      <c r="D346" s="73">
        <v>5.0</v>
      </c>
      <c r="E346" s="32">
        <v>25000.0</v>
      </c>
      <c r="F346" s="32">
        <f t="shared" si="13"/>
        <v>125000</v>
      </c>
      <c r="G346" s="33" t="s">
        <v>10</v>
      </c>
      <c r="H346" s="189"/>
    </row>
    <row r="347">
      <c r="A347" s="138">
        <v>46200.0</v>
      </c>
      <c r="B347" s="29" t="s">
        <v>27</v>
      </c>
      <c r="C347" s="73" t="s">
        <v>57</v>
      </c>
      <c r="D347" s="73">
        <v>1.0</v>
      </c>
      <c r="E347" s="32">
        <v>25000.0</v>
      </c>
      <c r="F347" s="32">
        <f t="shared" si="13"/>
        <v>25000</v>
      </c>
      <c r="G347" s="33" t="s">
        <v>10</v>
      </c>
      <c r="H347" s="189"/>
    </row>
    <row r="348">
      <c r="A348" s="138">
        <v>46200.0</v>
      </c>
      <c r="B348" s="29" t="s">
        <v>27</v>
      </c>
      <c r="C348" s="98" t="s">
        <v>244</v>
      </c>
      <c r="D348" s="98">
        <v>1.0</v>
      </c>
      <c r="E348" s="32">
        <v>25000.0</v>
      </c>
      <c r="F348" s="32">
        <f t="shared" si="13"/>
        <v>25000</v>
      </c>
      <c r="G348" s="33" t="s">
        <v>10</v>
      </c>
      <c r="H348" s="189"/>
    </row>
    <row r="349">
      <c r="A349" s="138">
        <v>46200.0</v>
      </c>
      <c r="B349" s="29" t="s">
        <v>27</v>
      </c>
      <c r="C349" s="98" t="s">
        <v>16</v>
      </c>
      <c r="D349" s="98">
        <v>0.75</v>
      </c>
      <c r="E349" s="32">
        <v>25000.0</v>
      </c>
      <c r="F349" s="32">
        <f t="shared" si="13"/>
        <v>18750</v>
      </c>
      <c r="G349" s="33" t="s">
        <v>10</v>
      </c>
      <c r="H349" s="189"/>
    </row>
    <row r="350">
      <c r="A350" s="138">
        <v>46200.0</v>
      </c>
      <c r="B350" s="29" t="s">
        <v>17</v>
      </c>
      <c r="C350" s="98" t="s">
        <v>140</v>
      </c>
      <c r="D350" s="98">
        <v>20.0</v>
      </c>
      <c r="E350" s="32">
        <v>25000.0</v>
      </c>
      <c r="F350" s="32">
        <f t="shared" si="13"/>
        <v>500000</v>
      </c>
      <c r="G350" s="33" t="s">
        <v>10</v>
      </c>
      <c r="H350" s="189"/>
    </row>
    <row r="351">
      <c r="A351" s="138">
        <v>46200.0</v>
      </c>
      <c r="B351" s="29" t="s">
        <v>17</v>
      </c>
      <c r="C351" s="98" t="s">
        <v>50</v>
      </c>
      <c r="D351" s="98">
        <v>1.0</v>
      </c>
      <c r="E351" s="32">
        <v>25000.0</v>
      </c>
      <c r="F351" s="32">
        <f t="shared" si="13"/>
        <v>25000</v>
      </c>
      <c r="G351" s="33" t="s">
        <v>10</v>
      </c>
      <c r="H351" s="189"/>
    </row>
    <row r="352">
      <c r="A352" s="138">
        <v>46200.0</v>
      </c>
      <c r="B352" s="29" t="s">
        <v>17</v>
      </c>
      <c r="C352" s="98" t="s">
        <v>60</v>
      </c>
      <c r="D352" s="98">
        <v>2.0</v>
      </c>
      <c r="E352" s="32">
        <v>25000.0</v>
      </c>
      <c r="F352" s="32">
        <f t="shared" si="13"/>
        <v>50000</v>
      </c>
      <c r="G352" s="33" t="s">
        <v>10</v>
      </c>
      <c r="H352" s="189"/>
    </row>
    <row r="353">
      <c r="A353" s="138">
        <v>46200.0</v>
      </c>
      <c r="B353" s="29" t="s">
        <v>17</v>
      </c>
      <c r="C353" s="98" t="s">
        <v>268</v>
      </c>
      <c r="D353" s="98">
        <v>1.0</v>
      </c>
      <c r="E353" s="32">
        <v>25000.0</v>
      </c>
      <c r="F353" s="32">
        <f t="shared" si="13"/>
        <v>25000</v>
      </c>
      <c r="G353" s="33" t="s">
        <v>10</v>
      </c>
      <c r="H353" s="189"/>
    </row>
    <row r="354">
      <c r="A354" s="138">
        <v>46200.0</v>
      </c>
      <c r="B354" s="29" t="s">
        <v>17</v>
      </c>
      <c r="C354" s="98" t="s">
        <v>282</v>
      </c>
      <c r="D354" s="98">
        <v>2.0</v>
      </c>
      <c r="E354" s="32">
        <v>25000.0</v>
      </c>
      <c r="F354" s="32">
        <f t="shared" si="13"/>
        <v>50000</v>
      </c>
      <c r="G354" s="33" t="s">
        <v>10</v>
      </c>
      <c r="H354" s="189"/>
    </row>
    <row r="355">
      <c r="A355" s="138">
        <v>46200.0</v>
      </c>
      <c r="B355" s="29" t="s">
        <v>17</v>
      </c>
      <c r="C355" s="98" t="s">
        <v>29</v>
      </c>
      <c r="D355" s="98">
        <v>2.0</v>
      </c>
      <c r="E355" s="32">
        <v>25000.0</v>
      </c>
      <c r="F355" s="32">
        <f t="shared" si="13"/>
        <v>50000</v>
      </c>
      <c r="G355" s="33" t="s">
        <v>10</v>
      </c>
      <c r="H355" s="189"/>
    </row>
    <row r="356">
      <c r="A356" s="138">
        <v>46200.0</v>
      </c>
      <c r="B356" s="29" t="s">
        <v>17</v>
      </c>
      <c r="C356" s="98" t="s">
        <v>265</v>
      </c>
      <c r="D356" s="98">
        <v>2.0</v>
      </c>
      <c r="E356" s="32">
        <v>25000.0</v>
      </c>
      <c r="F356" s="32">
        <f t="shared" si="13"/>
        <v>50000</v>
      </c>
      <c r="G356" s="33" t="s">
        <v>10</v>
      </c>
      <c r="H356" s="189"/>
    </row>
    <row r="357">
      <c r="A357" s="138">
        <v>46200.0</v>
      </c>
      <c r="B357" s="29" t="s">
        <v>17</v>
      </c>
      <c r="C357" s="98" t="s">
        <v>23</v>
      </c>
      <c r="D357" s="98">
        <v>3.0</v>
      </c>
      <c r="E357" s="32">
        <v>25000.0</v>
      </c>
      <c r="F357" s="32">
        <f t="shared" si="13"/>
        <v>75000</v>
      </c>
      <c r="G357" s="33" t="s">
        <v>10</v>
      </c>
      <c r="H357" s="189"/>
    </row>
    <row r="358">
      <c r="A358" s="138">
        <v>46200.0</v>
      </c>
      <c r="B358" s="29" t="s">
        <v>17</v>
      </c>
      <c r="C358" s="98" t="s">
        <v>16</v>
      </c>
      <c r="D358" s="98">
        <v>1.3</v>
      </c>
      <c r="E358" s="32">
        <v>25000.0</v>
      </c>
      <c r="F358" s="32">
        <f t="shared" si="13"/>
        <v>32500</v>
      </c>
      <c r="G358" s="33" t="s">
        <v>10</v>
      </c>
      <c r="H358" s="189"/>
    </row>
    <row r="359">
      <c r="A359" s="138"/>
      <c r="B359" s="31"/>
      <c r="C359" s="30"/>
      <c r="E359" s="32"/>
      <c r="F359" s="32"/>
      <c r="G359" s="33"/>
      <c r="H359" s="189"/>
    </row>
    <row r="360">
      <c r="A360" s="138">
        <v>46202.0</v>
      </c>
      <c r="B360" s="29" t="s">
        <v>17</v>
      </c>
      <c r="C360" s="98" t="s">
        <v>230</v>
      </c>
      <c r="D360" s="98">
        <v>20.0</v>
      </c>
      <c r="E360" s="32">
        <v>25000.0</v>
      </c>
      <c r="F360" s="32">
        <f t="shared" ref="F360:F525" si="14">D360*E360</f>
        <v>500000</v>
      </c>
      <c r="G360" s="33" t="s">
        <v>10</v>
      </c>
      <c r="H360" s="189"/>
    </row>
    <row r="361">
      <c r="A361" s="138">
        <v>46202.0</v>
      </c>
      <c r="B361" s="29" t="s">
        <v>17</v>
      </c>
      <c r="C361" s="98" t="s">
        <v>274</v>
      </c>
      <c r="D361" s="98">
        <v>20.0</v>
      </c>
      <c r="E361" s="32">
        <v>25000.0</v>
      </c>
      <c r="F361" s="32">
        <f t="shared" si="14"/>
        <v>500000</v>
      </c>
      <c r="G361" s="33" t="s">
        <v>10</v>
      </c>
      <c r="H361" s="189"/>
    </row>
    <row r="362">
      <c r="A362" s="138">
        <v>46202.0</v>
      </c>
      <c r="B362" s="29" t="s">
        <v>17</v>
      </c>
      <c r="C362" s="98" t="s">
        <v>67</v>
      </c>
      <c r="D362" s="98">
        <v>2.0</v>
      </c>
      <c r="E362" s="32">
        <v>25000.0</v>
      </c>
      <c r="F362" s="32">
        <f t="shared" si="14"/>
        <v>50000</v>
      </c>
      <c r="G362" s="33" t="s">
        <v>10</v>
      </c>
      <c r="H362" s="189"/>
    </row>
    <row r="363">
      <c r="A363" s="138">
        <v>46202.0</v>
      </c>
      <c r="B363" s="29" t="s">
        <v>17</v>
      </c>
      <c r="C363" s="98" t="s">
        <v>60</v>
      </c>
      <c r="D363" s="98">
        <v>2.0</v>
      </c>
      <c r="E363" s="32">
        <v>25000.0</v>
      </c>
      <c r="F363" s="32">
        <f t="shared" si="14"/>
        <v>50000</v>
      </c>
      <c r="G363" s="33" t="s">
        <v>10</v>
      </c>
      <c r="H363" s="189"/>
    </row>
    <row r="364">
      <c r="A364" s="138">
        <v>46202.0</v>
      </c>
      <c r="B364" s="29" t="s">
        <v>17</v>
      </c>
      <c r="C364" s="98" t="s">
        <v>283</v>
      </c>
      <c r="D364" s="98">
        <v>1.0</v>
      </c>
      <c r="E364" s="32">
        <v>25000.0</v>
      </c>
      <c r="F364" s="32">
        <f t="shared" si="14"/>
        <v>25000</v>
      </c>
      <c r="G364" s="33" t="s">
        <v>10</v>
      </c>
      <c r="H364" s="189"/>
    </row>
    <row r="365">
      <c r="A365" s="138">
        <v>46202.0</v>
      </c>
      <c r="B365" s="29" t="s">
        <v>17</v>
      </c>
      <c r="C365" s="98" t="s">
        <v>23</v>
      </c>
      <c r="D365" s="98">
        <v>3.0</v>
      </c>
      <c r="E365" s="32">
        <v>25000.0</v>
      </c>
      <c r="F365" s="32">
        <f t="shared" si="14"/>
        <v>75000</v>
      </c>
      <c r="G365" s="33" t="s">
        <v>10</v>
      </c>
      <c r="H365" s="189"/>
    </row>
    <row r="366">
      <c r="A366" s="138">
        <v>46202.0</v>
      </c>
      <c r="B366" s="29" t="s">
        <v>17</v>
      </c>
      <c r="C366" s="98" t="s">
        <v>284</v>
      </c>
      <c r="D366" s="98">
        <v>1.0</v>
      </c>
      <c r="E366" s="32">
        <v>25000.0</v>
      </c>
      <c r="F366" s="32">
        <f t="shared" si="14"/>
        <v>25000</v>
      </c>
      <c r="G366" s="33" t="s">
        <v>10</v>
      </c>
      <c r="H366" s="189"/>
    </row>
    <row r="367">
      <c r="A367" s="138">
        <v>46202.0</v>
      </c>
      <c r="B367" s="29" t="s">
        <v>17</v>
      </c>
      <c r="C367" s="98" t="s">
        <v>16</v>
      </c>
      <c r="D367" s="98">
        <v>2.0</v>
      </c>
      <c r="E367" s="32">
        <v>25000.0</v>
      </c>
      <c r="F367" s="32">
        <f t="shared" si="14"/>
        <v>50000</v>
      </c>
      <c r="G367" s="33" t="s">
        <v>10</v>
      </c>
      <c r="H367" s="189"/>
    </row>
    <row r="368">
      <c r="A368" s="138">
        <v>46202.0</v>
      </c>
      <c r="B368" s="29" t="s">
        <v>36</v>
      </c>
      <c r="C368" s="98" t="s">
        <v>67</v>
      </c>
      <c r="D368" s="98">
        <v>3.0</v>
      </c>
      <c r="E368" s="32">
        <v>25000.0</v>
      </c>
      <c r="F368" s="32">
        <f t="shared" si="14"/>
        <v>75000</v>
      </c>
      <c r="G368" s="33" t="s">
        <v>10</v>
      </c>
      <c r="H368" s="189"/>
    </row>
    <row r="369">
      <c r="A369" s="138">
        <v>46202.0</v>
      </c>
      <c r="B369" s="29" t="s">
        <v>36</v>
      </c>
      <c r="C369" s="98" t="s">
        <v>55</v>
      </c>
      <c r="D369" s="98">
        <v>3.0</v>
      </c>
      <c r="E369" s="32">
        <v>25000.0</v>
      </c>
      <c r="F369" s="32">
        <f t="shared" si="14"/>
        <v>75000</v>
      </c>
      <c r="G369" s="33" t="s">
        <v>10</v>
      </c>
      <c r="H369" s="189"/>
    </row>
    <row r="370">
      <c r="A370" s="138">
        <v>46202.0</v>
      </c>
      <c r="B370" s="29" t="s">
        <v>36</v>
      </c>
      <c r="C370" s="98" t="s">
        <v>29</v>
      </c>
      <c r="D370" s="98">
        <v>2.0</v>
      </c>
      <c r="E370" s="32">
        <v>25000.0</v>
      </c>
      <c r="F370" s="32">
        <f t="shared" si="14"/>
        <v>50000</v>
      </c>
      <c r="G370" s="33" t="s">
        <v>10</v>
      </c>
      <c r="H370" s="189"/>
    </row>
    <row r="371">
      <c r="A371" s="138">
        <v>46202.0</v>
      </c>
      <c r="B371" s="29" t="s">
        <v>36</v>
      </c>
      <c r="C371" s="98" t="s">
        <v>151</v>
      </c>
      <c r="D371" s="98">
        <v>2.0</v>
      </c>
      <c r="E371" s="32">
        <v>25000.0</v>
      </c>
      <c r="F371" s="32">
        <f t="shared" si="14"/>
        <v>50000</v>
      </c>
      <c r="G371" s="33" t="s">
        <v>10</v>
      </c>
      <c r="H371" s="189"/>
    </row>
    <row r="372">
      <c r="A372" s="138">
        <v>46202.0</v>
      </c>
      <c r="B372" s="29" t="s">
        <v>36</v>
      </c>
      <c r="C372" s="98" t="s">
        <v>37</v>
      </c>
      <c r="D372" s="98">
        <v>1.0</v>
      </c>
      <c r="E372" s="32">
        <v>25000.0</v>
      </c>
      <c r="F372" s="32">
        <f t="shared" si="14"/>
        <v>25000</v>
      </c>
      <c r="G372" s="33" t="s">
        <v>10</v>
      </c>
      <c r="H372" s="189"/>
    </row>
    <row r="373">
      <c r="A373" s="138">
        <v>46202.0</v>
      </c>
      <c r="B373" s="29" t="s">
        <v>36</v>
      </c>
      <c r="C373" s="98" t="s">
        <v>13</v>
      </c>
      <c r="D373" s="98">
        <v>1.0</v>
      </c>
      <c r="E373" s="32">
        <v>25000.0</v>
      </c>
      <c r="F373" s="32">
        <f t="shared" si="14"/>
        <v>25000</v>
      </c>
      <c r="G373" s="33" t="s">
        <v>10</v>
      </c>
      <c r="H373" s="189"/>
    </row>
    <row r="374">
      <c r="A374" s="138">
        <v>46202.0</v>
      </c>
      <c r="B374" s="29" t="s">
        <v>36</v>
      </c>
      <c r="C374" s="98" t="s">
        <v>229</v>
      </c>
      <c r="D374" s="98">
        <v>1.0</v>
      </c>
      <c r="E374" s="32">
        <v>25000.0</v>
      </c>
      <c r="F374" s="32">
        <f t="shared" si="14"/>
        <v>25000</v>
      </c>
      <c r="G374" s="33" t="s">
        <v>10</v>
      </c>
      <c r="H374" s="189"/>
    </row>
    <row r="375">
      <c r="A375" s="138">
        <v>46202.0</v>
      </c>
      <c r="B375" s="29" t="s">
        <v>36</v>
      </c>
      <c r="C375" s="98" t="s">
        <v>227</v>
      </c>
      <c r="D375" s="98">
        <v>1.0</v>
      </c>
      <c r="E375" s="32">
        <v>25000.0</v>
      </c>
      <c r="F375" s="32">
        <f t="shared" si="14"/>
        <v>25000</v>
      </c>
      <c r="G375" s="33" t="s">
        <v>10</v>
      </c>
      <c r="H375" s="189"/>
    </row>
    <row r="376">
      <c r="A376" s="138">
        <v>46202.0</v>
      </c>
      <c r="B376" s="29" t="s">
        <v>36</v>
      </c>
      <c r="C376" s="98" t="s">
        <v>230</v>
      </c>
      <c r="D376" s="98">
        <v>1.0</v>
      </c>
      <c r="E376" s="32">
        <v>25000.0</v>
      </c>
      <c r="F376" s="32">
        <f t="shared" si="14"/>
        <v>25000</v>
      </c>
      <c r="G376" s="33" t="s">
        <v>10</v>
      </c>
      <c r="H376" s="189"/>
    </row>
    <row r="377">
      <c r="A377" s="138">
        <v>46202.0</v>
      </c>
      <c r="B377" s="29" t="s">
        <v>36</v>
      </c>
      <c r="C377" s="98" t="s">
        <v>159</v>
      </c>
      <c r="D377" s="98">
        <v>1.0</v>
      </c>
      <c r="E377" s="32">
        <v>25000.0</v>
      </c>
      <c r="F377" s="32">
        <f t="shared" si="14"/>
        <v>25000</v>
      </c>
      <c r="G377" s="33" t="s">
        <v>10</v>
      </c>
      <c r="H377" s="189"/>
    </row>
    <row r="378">
      <c r="A378" s="138">
        <v>46202.0</v>
      </c>
      <c r="B378" s="29" t="s">
        <v>36</v>
      </c>
      <c r="C378" s="98" t="s">
        <v>14</v>
      </c>
      <c r="D378" s="98">
        <v>1.0</v>
      </c>
      <c r="E378" s="32">
        <v>25000.0</v>
      </c>
      <c r="F378" s="32">
        <f t="shared" si="14"/>
        <v>25000</v>
      </c>
      <c r="G378" s="33" t="s">
        <v>10</v>
      </c>
      <c r="H378" s="189"/>
    </row>
    <row r="379">
      <c r="A379" s="138">
        <v>46202.0</v>
      </c>
      <c r="B379" s="29" t="s">
        <v>36</v>
      </c>
      <c r="C379" s="98" t="s">
        <v>16</v>
      </c>
      <c r="D379" s="98">
        <v>0.35</v>
      </c>
      <c r="E379" s="32">
        <v>25000.0</v>
      </c>
      <c r="F379" s="32">
        <f t="shared" si="14"/>
        <v>8750</v>
      </c>
      <c r="G379" s="33" t="s">
        <v>10</v>
      </c>
      <c r="H379" s="189"/>
    </row>
    <row r="380">
      <c r="A380" s="138">
        <v>46202.0</v>
      </c>
      <c r="B380" s="29" t="s">
        <v>8</v>
      </c>
      <c r="C380" s="98" t="s">
        <v>157</v>
      </c>
      <c r="D380" s="98">
        <v>10.0</v>
      </c>
      <c r="E380" s="32">
        <v>25000.0</v>
      </c>
      <c r="F380" s="32">
        <f t="shared" si="14"/>
        <v>250000</v>
      </c>
      <c r="G380" s="33" t="s">
        <v>10</v>
      </c>
      <c r="H380" s="189"/>
    </row>
    <row r="381">
      <c r="A381" s="138">
        <v>46202.0</v>
      </c>
      <c r="B381" s="29" t="s">
        <v>8</v>
      </c>
      <c r="C381" s="98" t="s">
        <v>158</v>
      </c>
      <c r="D381" s="98">
        <v>5.0</v>
      </c>
      <c r="E381" s="32">
        <v>25000.0</v>
      </c>
      <c r="F381" s="32">
        <f t="shared" si="14"/>
        <v>125000</v>
      </c>
      <c r="G381" s="33" t="s">
        <v>10</v>
      </c>
      <c r="H381" s="189"/>
    </row>
    <row r="382">
      <c r="A382" s="138">
        <v>46202.0</v>
      </c>
      <c r="B382" s="29" t="s">
        <v>8</v>
      </c>
      <c r="C382" s="98" t="s">
        <v>67</v>
      </c>
      <c r="D382" s="98">
        <v>2.0</v>
      </c>
      <c r="E382" s="32">
        <v>25000.0</v>
      </c>
      <c r="F382" s="32">
        <f t="shared" si="14"/>
        <v>50000</v>
      </c>
      <c r="G382" s="33" t="s">
        <v>10</v>
      </c>
      <c r="H382" s="189"/>
    </row>
    <row r="383">
      <c r="A383" s="138">
        <v>46202.0</v>
      </c>
      <c r="B383" s="29" t="s">
        <v>8</v>
      </c>
      <c r="C383" s="98" t="s">
        <v>159</v>
      </c>
      <c r="D383" s="98">
        <v>3.0</v>
      </c>
      <c r="E383" s="32">
        <v>25000.0</v>
      </c>
      <c r="F383" s="32">
        <f t="shared" si="14"/>
        <v>75000</v>
      </c>
      <c r="G383" s="33" t="s">
        <v>10</v>
      </c>
      <c r="H383" s="189"/>
    </row>
    <row r="384">
      <c r="A384" s="138">
        <v>46202.0</v>
      </c>
      <c r="B384" s="29" t="s">
        <v>8</v>
      </c>
      <c r="C384" s="98" t="s">
        <v>14</v>
      </c>
      <c r="D384" s="98">
        <v>1.0</v>
      </c>
      <c r="E384" s="32">
        <v>25000.0</v>
      </c>
      <c r="F384" s="32">
        <f t="shared" si="14"/>
        <v>25000</v>
      </c>
      <c r="G384" s="33" t="s">
        <v>10</v>
      </c>
      <c r="H384" s="189"/>
    </row>
    <row r="385">
      <c r="A385" s="138">
        <v>46202.0</v>
      </c>
      <c r="B385" s="29" t="s">
        <v>8</v>
      </c>
      <c r="C385" s="98" t="s">
        <v>62</v>
      </c>
      <c r="D385" s="98">
        <v>1.0</v>
      </c>
      <c r="E385" s="32">
        <v>25000.0</v>
      </c>
      <c r="F385" s="32">
        <f t="shared" si="14"/>
        <v>25000</v>
      </c>
      <c r="G385" s="33" t="s">
        <v>10</v>
      </c>
      <c r="H385" s="189"/>
    </row>
    <row r="386">
      <c r="A386" s="138">
        <v>46202.0</v>
      </c>
      <c r="B386" s="29" t="s">
        <v>8</v>
      </c>
      <c r="C386" s="98" t="s">
        <v>160</v>
      </c>
      <c r="D386" s="98">
        <v>1.0</v>
      </c>
      <c r="E386" s="32">
        <v>25000.0</v>
      </c>
      <c r="F386" s="32">
        <f t="shared" si="14"/>
        <v>25000</v>
      </c>
      <c r="G386" s="33" t="s">
        <v>10</v>
      </c>
      <c r="H386" s="189"/>
    </row>
    <row r="387">
      <c r="A387" s="138">
        <v>46202.0</v>
      </c>
      <c r="B387" s="29" t="s">
        <v>8</v>
      </c>
      <c r="C387" s="98" t="s">
        <v>16</v>
      </c>
      <c r="D387" s="98">
        <v>0.48</v>
      </c>
      <c r="E387" s="32">
        <v>25000.0</v>
      </c>
      <c r="F387" s="32">
        <f t="shared" si="14"/>
        <v>12000</v>
      </c>
      <c r="G387" s="33" t="s">
        <v>10</v>
      </c>
    </row>
    <row r="388">
      <c r="A388" s="138">
        <v>46202.0</v>
      </c>
      <c r="B388" s="29" t="s">
        <v>27</v>
      </c>
      <c r="C388" s="98" t="s">
        <v>55</v>
      </c>
      <c r="D388" s="98">
        <v>22.0</v>
      </c>
      <c r="E388" s="32">
        <v>25000.0</v>
      </c>
      <c r="F388" s="32">
        <f t="shared" si="14"/>
        <v>550000</v>
      </c>
      <c r="G388" s="33" t="s">
        <v>10</v>
      </c>
    </row>
    <row r="389">
      <c r="A389" s="138">
        <v>46202.0</v>
      </c>
      <c r="B389" s="29" t="s">
        <v>27</v>
      </c>
      <c r="C389" s="98" t="s">
        <v>62</v>
      </c>
      <c r="D389" s="98">
        <v>3.0</v>
      </c>
      <c r="E389" s="32">
        <v>25000.0</v>
      </c>
      <c r="F389" s="32">
        <f t="shared" si="14"/>
        <v>75000</v>
      </c>
      <c r="G389" s="33" t="s">
        <v>10</v>
      </c>
    </row>
    <row r="390">
      <c r="A390" s="138">
        <v>46202.0</v>
      </c>
      <c r="B390" s="29" t="s">
        <v>27</v>
      </c>
      <c r="C390" s="98" t="s">
        <v>60</v>
      </c>
      <c r="D390" s="98">
        <v>1.0</v>
      </c>
      <c r="E390" s="32">
        <v>25000.0</v>
      </c>
      <c r="F390" s="32">
        <f t="shared" si="14"/>
        <v>25000</v>
      </c>
      <c r="G390" s="33" t="s">
        <v>10</v>
      </c>
    </row>
    <row r="391">
      <c r="A391" s="138">
        <v>46202.0</v>
      </c>
      <c r="B391" s="29" t="s">
        <v>27</v>
      </c>
      <c r="C391" s="98" t="s">
        <v>29</v>
      </c>
      <c r="D391" s="98">
        <v>2.0</v>
      </c>
      <c r="E391" s="32">
        <v>25000.0</v>
      </c>
      <c r="F391" s="32">
        <f t="shared" si="14"/>
        <v>50000</v>
      </c>
      <c r="G391" s="33" t="s">
        <v>10</v>
      </c>
    </row>
    <row r="392">
      <c r="A392" s="138">
        <v>46202.0</v>
      </c>
      <c r="B392" s="29" t="s">
        <v>27</v>
      </c>
      <c r="C392" s="98" t="s">
        <v>16</v>
      </c>
      <c r="D392" s="98">
        <v>2.22</v>
      </c>
      <c r="E392" s="32">
        <v>25000.0</v>
      </c>
      <c r="F392" s="32">
        <f t="shared" si="14"/>
        <v>55500</v>
      </c>
      <c r="G392" s="33" t="s">
        <v>10</v>
      </c>
    </row>
    <row r="393">
      <c r="A393" s="97">
        <v>46203.0</v>
      </c>
      <c r="B393" s="29" t="s">
        <v>17</v>
      </c>
      <c r="C393" s="98" t="s">
        <v>140</v>
      </c>
      <c r="D393" s="98">
        <v>10.0</v>
      </c>
      <c r="E393" s="32">
        <v>25000.0</v>
      </c>
      <c r="F393" s="32">
        <f t="shared" si="14"/>
        <v>250000</v>
      </c>
      <c r="G393" s="33" t="s">
        <v>10</v>
      </c>
    </row>
    <row r="394">
      <c r="A394" s="97">
        <v>46203.0</v>
      </c>
      <c r="B394" s="29" t="s">
        <v>17</v>
      </c>
      <c r="C394" s="98" t="s">
        <v>274</v>
      </c>
      <c r="D394" s="98">
        <v>10.0</v>
      </c>
      <c r="E394" s="32">
        <v>25000.0</v>
      </c>
      <c r="F394" s="32">
        <f t="shared" si="14"/>
        <v>250000</v>
      </c>
      <c r="G394" s="33" t="s">
        <v>10</v>
      </c>
    </row>
    <row r="395">
      <c r="A395" s="97">
        <v>46203.0</v>
      </c>
      <c r="B395" s="29" t="s">
        <v>17</v>
      </c>
      <c r="C395" s="98" t="s">
        <v>60</v>
      </c>
      <c r="D395" s="98">
        <v>2.0</v>
      </c>
      <c r="E395" s="32">
        <v>25000.0</v>
      </c>
      <c r="F395" s="32">
        <f t="shared" si="14"/>
        <v>50000</v>
      </c>
      <c r="G395" s="33" t="s">
        <v>10</v>
      </c>
    </row>
    <row r="396">
      <c r="A396" s="97">
        <v>46203.0</v>
      </c>
      <c r="B396" s="29" t="s">
        <v>17</v>
      </c>
      <c r="C396" s="98" t="s">
        <v>285</v>
      </c>
      <c r="D396" s="98">
        <v>2.0</v>
      </c>
      <c r="E396" s="32">
        <v>25000.0</v>
      </c>
      <c r="F396" s="32">
        <f t="shared" si="14"/>
        <v>50000</v>
      </c>
      <c r="G396" s="33" t="s">
        <v>10</v>
      </c>
    </row>
    <row r="397">
      <c r="A397" s="97">
        <v>46203.0</v>
      </c>
      <c r="B397" s="29" t="s">
        <v>17</v>
      </c>
      <c r="C397" s="98" t="s">
        <v>286</v>
      </c>
      <c r="D397" s="98">
        <v>1.0</v>
      </c>
      <c r="E397" s="32">
        <v>25000.0</v>
      </c>
      <c r="F397" s="32">
        <f t="shared" si="14"/>
        <v>25000</v>
      </c>
      <c r="G397" s="33" t="s">
        <v>10</v>
      </c>
    </row>
    <row r="398">
      <c r="A398" s="97">
        <v>46203.0</v>
      </c>
      <c r="B398" s="29" t="s">
        <v>17</v>
      </c>
      <c r="C398" s="98" t="s">
        <v>23</v>
      </c>
      <c r="D398" s="98">
        <v>3.0</v>
      </c>
      <c r="E398" s="32">
        <v>25000.0</v>
      </c>
      <c r="F398" s="32">
        <f t="shared" si="14"/>
        <v>75000</v>
      </c>
      <c r="G398" s="33" t="s">
        <v>10</v>
      </c>
    </row>
    <row r="399">
      <c r="A399" s="97">
        <v>46203.0</v>
      </c>
      <c r="B399" s="29" t="s">
        <v>17</v>
      </c>
      <c r="C399" s="98" t="s">
        <v>287</v>
      </c>
      <c r="D399" s="98">
        <v>1.0</v>
      </c>
      <c r="E399" s="32">
        <v>25000.0</v>
      </c>
      <c r="F399" s="32">
        <f t="shared" si="14"/>
        <v>25000</v>
      </c>
      <c r="G399" s="33" t="s">
        <v>10</v>
      </c>
    </row>
    <row r="400">
      <c r="A400" s="97">
        <v>46203.0</v>
      </c>
      <c r="B400" s="29" t="s">
        <v>17</v>
      </c>
      <c r="C400" s="98" t="s">
        <v>288</v>
      </c>
      <c r="D400" s="98">
        <v>1.0</v>
      </c>
      <c r="E400" s="32">
        <v>25000.0</v>
      </c>
      <c r="F400" s="32">
        <f t="shared" si="14"/>
        <v>25000</v>
      </c>
      <c r="G400" s="33" t="s">
        <v>10</v>
      </c>
    </row>
    <row r="401">
      <c r="A401" s="97">
        <v>46203.0</v>
      </c>
      <c r="B401" s="29" t="s">
        <v>17</v>
      </c>
      <c r="C401" s="98" t="s">
        <v>19</v>
      </c>
      <c r="D401" s="98">
        <v>1.0</v>
      </c>
      <c r="E401" s="32">
        <v>25000.0</v>
      </c>
      <c r="F401" s="32">
        <f t="shared" si="14"/>
        <v>25000</v>
      </c>
      <c r="G401" s="33" t="s">
        <v>10</v>
      </c>
    </row>
    <row r="402">
      <c r="A402" s="97">
        <v>46203.0</v>
      </c>
      <c r="B402" s="29" t="s">
        <v>17</v>
      </c>
      <c r="C402" s="98" t="s">
        <v>16</v>
      </c>
      <c r="D402" s="98">
        <v>1.0</v>
      </c>
      <c r="E402" s="32">
        <v>25000.0</v>
      </c>
      <c r="F402" s="32">
        <f t="shared" si="14"/>
        <v>25000</v>
      </c>
      <c r="G402" s="33" t="s">
        <v>10</v>
      </c>
    </row>
    <row r="403">
      <c r="A403" s="97">
        <v>46203.0</v>
      </c>
      <c r="B403" s="29" t="s">
        <v>8</v>
      </c>
      <c r="C403" s="98" t="s">
        <v>137</v>
      </c>
      <c r="D403" s="98">
        <v>1.0</v>
      </c>
      <c r="E403" s="32">
        <v>25000.0</v>
      </c>
      <c r="F403" s="32">
        <f t="shared" si="14"/>
        <v>25000</v>
      </c>
      <c r="G403" s="33" t="s">
        <v>10</v>
      </c>
    </row>
    <row r="404">
      <c r="A404" s="97">
        <v>46203.0</v>
      </c>
      <c r="B404" s="29" t="s">
        <v>8</v>
      </c>
      <c r="C404" s="98" t="s">
        <v>156</v>
      </c>
      <c r="D404" s="98">
        <v>1.0</v>
      </c>
      <c r="E404" s="32">
        <v>25000.0</v>
      </c>
      <c r="F404" s="32">
        <f t="shared" si="14"/>
        <v>25000</v>
      </c>
      <c r="G404" s="33" t="s">
        <v>10</v>
      </c>
    </row>
    <row r="405">
      <c r="A405" s="97">
        <v>46203.0</v>
      </c>
      <c r="B405" s="29" t="s">
        <v>8</v>
      </c>
      <c r="C405" s="98" t="s">
        <v>16</v>
      </c>
      <c r="D405" s="98">
        <v>0.19</v>
      </c>
      <c r="E405" s="32">
        <v>25000.0</v>
      </c>
      <c r="F405" s="32">
        <f t="shared" si="14"/>
        <v>4750</v>
      </c>
      <c r="G405" s="33" t="s">
        <v>10</v>
      </c>
    </row>
    <row r="406">
      <c r="A406" s="97">
        <v>46203.0</v>
      </c>
      <c r="B406" s="29" t="s">
        <v>36</v>
      </c>
      <c r="C406" s="98" t="s">
        <v>55</v>
      </c>
      <c r="D406" s="98">
        <v>3.0</v>
      </c>
      <c r="E406" s="32">
        <v>25000.0</v>
      </c>
      <c r="F406" s="32">
        <f t="shared" si="14"/>
        <v>75000</v>
      </c>
      <c r="G406" s="33" t="s">
        <v>10</v>
      </c>
    </row>
    <row r="407">
      <c r="A407" s="97">
        <v>46203.0</v>
      </c>
      <c r="B407" s="29" t="s">
        <v>36</v>
      </c>
      <c r="C407" s="98" t="s">
        <v>34</v>
      </c>
      <c r="D407" s="98">
        <v>1.0</v>
      </c>
      <c r="E407" s="32">
        <v>25000.0</v>
      </c>
      <c r="F407" s="32">
        <f t="shared" si="14"/>
        <v>25000</v>
      </c>
      <c r="G407" s="33" t="s">
        <v>10</v>
      </c>
    </row>
    <row r="408">
      <c r="A408" s="97">
        <v>46203.0</v>
      </c>
      <c r="B408" s="29" t="s">
        <v>36</v>
      </c>
      <c r="C408" s="98" t="s">
        <v>160</v>
      </c>
      <c r="D408" s="98">
        <v>1.0</v>
      </c>
      <c r="E408" s="32">
        <v>25000.0</v>
      </c>
      <c r="F408" s="32">
        <f t="shared" si="14"/>
        <v>25000</v>
      </c>
      <c r="G408" s="33" t="s">
        <v>10</v>
      </c>
    </row>
    <row r="409">
      <c r="A409" s="97">
        <v>46203.0</v>
      </c>
      <c r="B409" s="29" t="s">
        <v>36</v>
      </c>
      <c r="C409" s="98" t="s">
        <v>155</v>
      </c>
      <c r="D409" s="98">
        <v>1.0</v>
      </c>
      <c r="E409" s="32">
        <v>25000.0</v>
      </c>
      <c r="F409" s="32">
        <f t="shared" si="14"/>
        <v>25000</v>
      </c>
      <c r="G409" s="33" t="s">
        <v>10</v>
      </c>
    </row>
    <row r="410">
      <c r="A410" s="97">
        <v>46203.0</v>
      </c>
      <c r="B410" s="29" t="s">
        <v>36</v>
      </c>
      <c r="C410" s="98" t="s">
        <v>16</v>
      </c>
      <c r="D410" s="98">
        <v>0.2</v>
      </c>
      <c r="E410" s="32">
        <v>25000.0</v>
      </c>
      <c r="F410" s="32">
        <f t="shared" si="14"/>
        <v>5000</v>
      </c>
      <c r="G410" s="33" t="s">
        <v>10</v>
      </c>
    </row>
    <row r="411">
      <c r="A411" s="97">
        <v>46203.0</v>
      </c>
      <c r="B411" s="29" t="s">
        <v>27</v>
      </c>
      <c r="C411" s="98" t="s">
        <v>55</v>
      </c>
      <c r="D411" s="98">
        <v>11.0</v>
      </c>
      <c r="E411" s="32">
        <v>25000.0</v>
      </c>
      <c r="F411" s="32">
        <f t="shared" si="14"/>
        <v>275000</v>
      </c>
      <c r="G411" s="33" t="s">
        <v>10</v>
      </c>
    </row>
    <row r="412">
      <c r="A412" s="97">
        <v>46203.0</v>
      </c>
      <c r="B412" s="29" t="s">
        <v>27</v>
      </c>
      <c r="C412" s="98" t="s">
        <v>57</v>
      </c>
      <c r="D412" s="98">
        <v>1.0</v>
      </c>
      <c r="E412" s="32">
        <v>25000.0</v>
      </c>
      <c r="F412" s="32">
        <f t="shared" si="14"/>
        <v>25000</v>
      </c>
      <c r="G412" s="33" t="s">
        <v>10</v>
      </c>
    </row>
    <row r="413">
      <c r="A413" s="97">
        <v>46203.0</v>
      </c>
      <c r="B413" s="29" t="s">
        <v>27</v>
      </c>
      <c r="C413" s="98" t="s">
        <v>245</v>
      </c>
      <c r="D413" s="98">
        <v>1.0</v>
      </c>
      <c r="E413" s="32">
        <v>25000.0</v>
      </c>
      <c r="F413" s="32">
        <f t="shared" si="14"/>
        <v>25000</v>
      </c>
      <c r="G413" s="33" t="s">
        <v>10</v>
      </c>
    </row>
    <row r="414">
      <c r="A414" s="97">
        <v>46203.0</v>
      </c>
      <c r="B414" s="29" t="s">
        <v>27</v>
      </c>
      <c r="C414" s="98" t="s">
        <v>35</v>
      </c>
      <c r="D414" s="98">
        <v>1.0</v>
      </c>
      <c r="E414" s="32">
        <v>25000.0</v>
      </c>
      <c r="F414" s="32">
        <f t="shared" si="14"/>
        <v>25000</v>
      </c>
      <c r="G414" s="33" t="s">
        <v>10</v>
      </c>
    </row>
    <row r="415">
      <c r="A415" s="97">
        <v>46203.0</v>
      </c>
      <c r="B415" s="29" t="s">
        <v>27</v>
      </c>
      <c r="C415" s="98" t="s">
        <v>16</v>
      </c>
      <c r="D415" s="98">
        <v>1.0</v>
      </c>
      <c r="E415" s="32">
        <v>25000.0</v>
      </c>
      <c r="F415" s="32">
        <f t="shared" si="14"/>
        <v>25000</v>
      </c>
      <c r="G415" s="33" t="s">
        <v>10</v>
      </c>
    </row>
    <row r="416">
      <c r="A416" s="97">
        <v>46204.0</v>
      </c>
      <c r="B416" s="29" t="s">
        <v>17</v>
      </c>
      <c r="C416" s="98" t="s">
        <v>140</v>
      </c>
      <c r="D416" s="98">
        <v>20.0</v>
      </c>
      <c r="E416" s="32">
        <v>25000.0</v>
      </c>
      <c r="F416" s="32">
        <f t="shared" si="14"/>
        <v>500000</v>
      </c>
      <c r="G416" s="33" t="s">
        <v>10</v>
      </c>
    </row>
    <row r="417">
      <c r="A417" s="97">
        <v>46204.0</v>
      </c>
      <c r="B417" s="29" t="s">
        <v>17</v>
      </c>
      <c r="C417" s="98" t="s">
        <v>50</v>
      </c>
      <c r="D417" s="98">
        <v>1.0</v>
      </c>
      <c r="E417" s="32">
        <v>25000.0</v>
      </c>
      <c r="F417" s="32">
        <f t="shared" si="14"/>
        <v>25000</v>
      </c>
      <c r="G417" s="33" t="s">
        <v>10</v>
      </c>
    </row>
    <row r="418">
      <c r="A418" s="97">
        <v>46204.0</v>
      </c>
      <c r="B418" s="29" t="s">
        <v>17</v>
      </c>
      <c r="C418" s="98" t="s">
        <v>23</v>
      </c>
      <c r="D418" s="98">
        <v>2.0</v>
      </c>
      <c r="E418" s="32">
        <v>25000.0</v>
      </c>
      <c r="F418" s="32">
        <f t="shared" si="14"/>
        <v>50000</v>
      </c>
      <c r="G418" s="33" t="s">
        <v>10</v>
      </c>
    </row>
    <row r="419">
      <c r="A419" s="97">
        <v>46204.0</v>
      </c>
      <c r="B419" s="29" t="s">
        <v>17</v>
      </c>
      <c r="C419" s="98" t="s">
        <v>289</v>
      </c>
      <c r="D419" s="98">
        <v>1.0</v>
      </c>
      <c r="E419" s="32">
        <v>25000.0</v>
      </c>
      <c r="F419" s="32">
        <f t="shared" si="14"/>
        <v>25000</v>
      </c>
      <c r="G419" s="33" t="s">
        <v>10</v>
      </c>
    </row>
    <row r="420">
      <c r="A420" s="97">
        <v>46204.0</v>
      </c>
      <c r="B420" s="29" t="s">
        <v>17</v>
      </c>
      <c r="C420" s="98" t="s">
        <v>285</v>
      </c>
      <c r="D420" s="98">
        <v>2.0</v>
      </c>
      <c r="E420" s="32">
        <v>25000.0</v>
      </c>
      <c r="F420" s="32">
        <f t="shared" si="14"/>
        <v>50000</v>
      </c>
      <c r="G420" s="33" t="s">
        <v>10</v>
      </c>
    </row>
    <row r="421">
      <c r="A421" s="97">
        <v>46204.0</v>
      </c>
      <c r="B421" s="29" t="s">
        <v>17</v>
      </c>
      <c r="C421" s="98" t="s">
        <v>290</v>
      </c>
      <c r="D421" s="98">
        <v>1.0</v>
      </c>
      <c r="E421" s="32">
        <v>25000.0</v>
      </c>
      <c r="F421" s="32">
        <f t="shared" si="14"/>
        <v>25000</v>
      </c>
      <c r="G421" s="33" t="s">
        <v>10</v>
      </c>
    </row>
    <row r="422">
      <c r="A422" s="97">
        <v>46204.0</v>
      </c>
      <c r="B422" s="29" t="s">
        <v>17</v>
      </c>
      <c r="C422" s="98" t="s">
        <v>60</v>
      </c>
      <c r="D422" s="98">
        <v>3.0</v>
      </c>
      <c r="E422" s="32">
        <v>25000.0</v>
      </c>
      <c r="F422" s="32">
        <f t="shared" si="14"/>
        <v>75000</v>
      </c>
      <c r="G422" s="33" t="s">
        <v>10</v>
      </c>
    </row>
    <row r="423">
      <c r="A423" s="97">
        <v>46204.0</v>
      </c>
      <c r="B423" s="29" t="s">
        <v>17</v>
      </c>
      <c r="C423" s="98" t="s">
        <v>274</v>
      </c>
      <c r="D423" s="98">
        <v>5.0</v>
      </c>
      <c r="E423" s="32">
        <v>25000.0</v>
      </c>
      <c r="F423" s="32">
        <f t="shared" si="14"/>
        <v>125000</v>
      </c>
      <c r="G423" s="33" t="s">
        <v>10</v>
      </c>
    </row>
    <row r="424">
      <c r="A424" s="97">
        <v>46204.0</v>
      </c>
      <c r="B424" s="29" t="s">
        <v>17</v>
      </c>
      <c r="C424" s="98" t="s">
        <v>291</v>
      </c>
      <c r="D424" s="98">
        <v>1.0</v>
      </c>
      <c r="E424" s="32">
        <v>25000.0</v>
      </c>
      <c r="F424" s="32">
        <f t="shared" si="14"/>
        <v>25000</v>
      </c>
      <c r="G424" s="33" t="s">
        <v>10</v>
      </c>
    </row>
    <row r="425">
      <c r="A425" s="97">
        <v>46204.0</v>
      </c>
      <c r="B425" s="29" t="s">
        <v>17</v>
      </c>
      <c r="C425" s="98" t="s">
        <v>54</v>
      </c>
      <c r="D425" s="98">
        <v>1.0</v>
      </c>
      <c r="E425" s="32">
        <v>25000.0</v>
      </c>
      <c r="F425" s="32">
        <f t="shared" si="14"/>
        <v>25000</v>
      </c>
      <c r="G425" s="33" t="s">
        <v>10</v>
      </c>
    </row>
    <row r="426">
      <c r="A426" s="97">
        <v>46204.0</v>
      </c>
      <c r="B426" s="29" t="s">
        <v>17</v>
      </c>
      <c r="C426" s="98" t="s">
        <v>292</v>
      </c>
      <c r="D426" s="98">
        <v>3.0</v>
      </c>
      <c r="E426" s="32">
        <v>25000.0</v>
      </c>
      <c r="F426" s="32">
        <f t="shared" si="14"/>
        <v>75000</v>
      </c>
      <c r="G426" s="33" t="s">
        <v>10</v>
      </c>
    </row>
    <row r="427">
      <c r="A427" s="97">
        <v>46204.0</v>
      </c>
      <c r="B427" s="29" t="s">
        <v>17</v>
      </c>
      <c r="C427" s="98" t="s">
        <v>16</v>
      </c>
      <c r="D427" s="98">
        <v>1.4</v>
      </c>
      <c r="E427" s="32">
        <v>25000.0</v>
      </c>
      <c r="F427" s="32">
        <f t="shared" si="14"/>
        <v>35000</v>
      </c>
      <c r="G427" s="33" t="s">
        <v>10</v>
      </c>
    </row>
    <row r="428">
      <c r="A428" s="97">
        <v>46204.0</v>
      </c>
      <c r="B428" s="29" t="s">
        <v>8</v>
      </c>
      <c r="C428" s="98" t="s">
        <v>9</v>
      </c>
      <c r="D428" s="98">
        <v>3.0</v>
      </c>
      <c r="E428" s="32">
        <v>25000.0</v>
      </c>
      <c r="F428" s="32">
        <f t="shared" si="14"/>
        <v>75000</v>
      </c>
      <c r="G428" s="33" t="s">
        <v>10</v>
      </c>
    </row>
    <row r="429">
      <c r="A429" s="97">
        <v>46204.0</v>
      </c>
      <c r="B429" s="29" t="s">
        <v>8</v>
      </c>
      <c r="C429" s="98" t="s">
        <v>39</v>
      </c>
      <c r="D429" s="98">
        <v>2.0</v>
      </c>
      <c r="E429" s="32">
        <v>25000.0</v>
      </c>
      <c r="F429" s="32">
        <f t="shared" si="14"/>
        <v>50000</v>
      </c>
      <c r="G429" s="33" t="s">
        <v>10</v>
      </c>
    </row>
    <row r="430">
      <c r="A430" s="97">
        <v>46204.0</v>
      </c>
      <c r="B430" s="29" t="s">
        <v>8</v>
      </c>
      <c r="C430" s="98" t="s">
        <v>161</v>
      </c>
      <c r="D430" s="98">
        <v>1.0</v>
      </c>
      <c r="E430" s="32">
        <v>25000.0</v>
      </c>
      <c r="F430" s="32">
        <f t="shared" si="14"/>
        <v>25000</v>
      </c>
      <c r="G430" s="33" t="s">
        <v>10</v>
      </c>
    </row>
    <row r="431">
      <c r="A431" s="97">
        <v>46204.0</v>
      </c>
      <c r="B431" s="29" t="s">
        <v>8</v>
      </c>
      <c r="C431" s="98" t="s">
        <v>16</v>
      </c>
      <c r="D431" s="98">
        <v>0.27</v>
      </c>
      <c r="E431" s="32">
        <v>25000.0</v>
      </c>
      <c r="F431" s="32">
        <f t="shared" si="14"/>
        <v>6750</v>
      </c>
      <c r="G431" s="33" t="s">
        <v>10</v>
      </c>
    </row>
    <row r="432">
      <c r="A432" s="97">
        <v>46204.0</v>
      </c>
      <c r="B432" s="29" t="s">
        <v>36</v>
      </c>
      <c r="C432" s="98" t="s">
        <v>71</v>
      </c>
      <c r="D432" s="98">
        <v>1.0</v>
      </c>
      <c r="E432" s="32">
        <v>25000.0</v>
      </c>
      <c r="F432" s="32">
        <f t="shared" si="14"/>
        <v>25000</v>
      </c>
      <c r="G432" s="33" t="s">
        <v>10</v>
      </c>
    </row>
    <row r="433">
      <c r="A433" s="97">
        <v>46204.0</v>
      </c>
      <c r="B433" s="29" t="s">
        <v>36</v>
      </c>
      <c r="C433" s="98" t="s">
        <v>231</v>
      </c>
      <c r="D433" s="98">
        <v>1.0</v>
      </c>
      <c r="E433" s="32">
        <v>25000.0</v>
      </c>
      <c r="F433" s="32">
        <f t="shared" si="14"/>
        <v>25000</v>
      </c>
      <c r="G433" s="33" t="s">
        <v>10</v>
      </c>
    </row>
    <row r="434">
      <c r="A434" s="97">
        <v>46204.0</v>
      </c>
      <c r="B434" s="29" t="s">
        <v>36</v>
      </c>
      <c r="C434" s="98" t="s">
        <v>16</v>
      </c>
      <c r="D434" s="98">
        <v>0.16</v>
      </c>
      <c r="E434" s="32">
        <v>25000.0</v>
      </c>
      <c r="F434" s="32">
        <f t="shared" si="14"/>
        <v>4000</v>
      </c>
      <c r="G434" s="33" t="s">
        <v>10</v>
      </c>
    </row>
    <row r="435">
      <c r="A435" s="97">
        <v>46204.0</v>
      </c>
      <c r="B435" s="29" t="s">
        <v>27</v>
      </c>
      <c r="C435" s="98" t="s">
        <v>75</v>
      </c>
      <c r="D435" s="98">
        <v>14.0</v>
      </c>
      <c r="E435" s="32">
        <v>25000.0</v>
      </c>
      <c r="F435" s="32">
        <f t="shared" si="14"/>
        <v>350000</v>
      </c>
      <c r="G435" s="33" t="s">
        <v>10</v>
      </c>
    </row>
    <row r="436">
      <c r="A436" s="97">
        <v>46204.0</v>
      </c>
      <c r="B436" s="29" t="s">
        <v>27</v>
      </c>
      <c r="C436" s="98" t="s">
        <v>67</v>
      </c>
      <c r="D436" s="98">
        <v>1.0</v>
      </c>
      <c r="E436" s="32">
        <v>25000.0</v>
      </c>
      <c r="F436" s="32">
        <f t="shared" si="14"/>
        <v>25000</v>
      </c>
      <c r="G436" s="33" t="s">
        <v>10</v>
      </c>
    </row>
    <row r="437">
      <c r="A437" s="97">
        <v>46204.0</v>
      </c>
      <c r="B437" s="29" t="s">
        <v>27</v>
      </c>
      <c r="C437" s="98" t="s">
        <v>29</v>
      </c>
      <c r="D437" s="98">
        <v>1.0</v>
      </c>
      <c r="E437" s="32">
        <v>25000.0</v>
      </c>
      <c r="F437" s="32">
        <f t="shared" si="14"/>
        <v>25000</v>
      </c>
      <c r="G437" s="33" t="s">
        <v>10</v>
      </c>
    </row>
    <row r="438">
      <c r="A438" s="97">
        <v>46204.0</v>
      </c>
      <c r="B438" s="29" t="s">
        <v>27</v>
      </c>
      <c r="C438" s="98" t="s">
        <v>71</v>
      </c>
      <c r="D438" s="98">
        <v>1.0</v>
      </c>
      <c r="E438" s="32">
        <v>25000.0</v>
      </c>
      <c r="F438" s="32">
        <f t="shared" si="14"/>
        <v>25000</v>
      </c>
      <c r="G438" s="33" t="s">
        <v>10</v>
      </c>
    </row>
    <row r="439">
      <c r="A439" s="97">
        <v>46204.0</v>
      </c>
      <c r="B439" s="29" t="s">
        <v>27</v>
      </c>
      <c r="C439" s="98" t="s">
        <v>56</v>
      </c>
      <c r="D439" s="98">
        <v>1.0</v>
      </c>
      <c r="E439" s="32">
        <v>25000.0</v>
      </c>
      <c r="F439" s="32">
        <f t="shared" si="14"/>
        <v>25000</v>
      </c>
      <c r="G439" s="33" t="s">
        <v>10</v>
      </c>
    </row>
    <row r="440">
      <c r="A440" s="97">
        <v>46204.0</v>
      </c>
      <c r="B440" s="29" t="s">
        <v>27</v>
      </c>
      <c r="C440" s="98" t="s">
        <v>195</v>
      </c>
      <c r="D440" s="98">
        <v>1.0</v>
      </c>
      <c r="E440" s="32">
        <v>25000.0</v>
      </c>
      <c r="F440" s="32">
        <f t="shared" si="14"/>
        <v>25000</v>
      </c>
      <c r="G440" s="33" t="s">
        <v>10</v>
      </c>
    </row>
    <row r="441">
      <c r="A441" s="97">
        <v>46204.0</v>
      </c>
      <c r="B441" s="29" t="s">
        <v>27</v>
      </c>
      <c r="C441" s="98" t="s">
        <v>57</v>
      </c>
      <c r="D441" s="98">
        <v>2.0</v>
      </c>
      <c r="E441" s="32">
        <v>25000.0</v>
      </c>
      <c r="F441" s="32">
        <f t="shared" si="14"/>
        <v>50000</v>
      </c>
      <c r="G441" s="33" t="s">
        <v>10</v>
      </c>
    </row>
    <row r="442">
      <c r="A442" s="97">
        <v>46204.0</v>
      </c>
      <c r="B442" s="29" t="s">
        <v>27</v>
      </c>
      <c r="C442" s="98" t="s">
        <v>16</v>
      </c>
      <c r="D442" s="98">
        <v>0.94</v>
      </c>
      <c r="E442" s="32">
        <v>25000.0</v>
      </c>
      <c r="F442" s="32">
        <f t="shared" si="14"/>
        <v>23500</v>
      </c>
      <c r="G442" s="33" t="s">
        <v>10</v>
      </c>
    </row>
    <row r="443">
      <c r="A443" s="97">
        <v>46205.0</v>
      </c>
      <c r="B443" s="29" t="s">
        <v>17</v>
      </c>
      <c r="C443" s="98" t="s">
        <v>293</v>
      </c>
      <c r="D443" s="98">
        <v>15.0</v>
      </c>
      <c r="E443" s="32">
        <v>25000.0</v>
      </c>
      <c r="F443" s="32">
        <f t="shared" si="14"/>
        <v>375000</v>
      </c>
      <c r="G443" s="33" t="s">
        <v>10</v>
      </c>
    </row>
    <row r="444">
      <c r="A444" s="97">
        <v>46205.0</v>
      </c>
      <c r="B444" s="29" t="s">
        <v>17</v>
      </c>
      <c r="C444" s="98" t="s">
        <v>23</v>
      </c>
      <c r="D444" s="98">
        <v>5.0</v>
      </c>
      <c r="E444" s="32">
        <v>25000.0</v>
      </c>
      <c r="F444" s="32">
        <f t="shared" si="14"/>
        <v>125000</v>
      </c>
      <c r="G444" s="33" t="s">
        <v>10</v>
      </c>
    </row>
    <row r="445">
      <c r="A445" s="97">
        <v>46205.0</v>
      </c>
      <c r="B445" s="29" t="s">
        <v>17</v>
      </c>
      <c r="C445" s="98" t="s">
        <v>60</v>
      </c>
      <c r="D445" s="98">
        <v>2.0</v>
      </c>
      <c r="E445" s="32">
        <v>25000.0</v>
      </c>
      <c r="F445" s="32">
        <f t="shared" si="14"/>
        <v>50000</v>
      </c>
      <c r="G445" s="33" t="s">
        <v>10</v>
      </c>
    </row>
    <row r="446">
      <c r="A446" s="97">
        <v>46205.0</v>
      </c>
      <c r="B446" s="29" t="s">
        <v>17</v>
      </c>
      <c r="C446" s="98" t="s">
        <v>279</v>
      </c>
      <c r="D446" s="98">
        <v>1.0</v>
      </c>
      <c r="E446" s="32">
        <v>25000.0</v>
      </c>
      <c r="F446" s="32">
        <f t="shared" si="14"/>
        <v>25000</v>
      </c>
      <c r="G446" s="33" t="s">
        <v>10</v>
      </c>
    </row>
    <row r="447">
      <c r="A447" s="97">
        <v>46205.0</v>
      </c>
      <c r="B447" s="29" t="s">
        <v>17</v>
      </c>
      <c r="C447" s="98" t="s">
        <v>280</v>
      </c>
      <c r="D447" s="98">
        <v>1.0</v>
      </c>
      <c r="E447" s="32">
        <v>25000.0</v>
      </c>
      <c r="F447" s="32">
        <f t="shared" si="14"/>
        <v>25000</v>
      </c>
      <c r="G447" s="33" t="s">
        <v>10</v>
      </c>
    </row>
    <row r="448">
      <c r="A448" s="97">
        <v>46205.0</v>
      </c>
      <c r="B448" s="29" t="s">
        <v>17</v>
      </c>
      <c r="C448" s="98" t="s">
        <v>67</v>
      </c>
      <c r="D448" s="98">
        <v>1.0</v>
      </c>
      <c r="E448" s="32">
        <v>25000.0</v>
      </c>
      <c r="F448" s="32">
        <f t="shared" si="14"/>
        <v>25000</v>
      </c>
      <c r="G448" s="33" t="s">
        <v>10</v>
      </c>
    </row>
    <row r="449">
      <c r="A449" s="97">
        <v>46205.0</v>
      </c>
      <c r="B449" s="29" t="s">
        <v>17</v>
      </c>
      <c r="C449" s="98" t="s">
        <v>289</v>
      </c>
      <c r="D449" s="98">
        <v>1.0</v>
      </c>
      <c r="E449" s="32">
        <v>25000.0</v>
      </c>
      <c r="F449" s="32">
        <f t="shared" si="14"/>
        <v>25000</v>
      </c>
      <c r="G449" s="33" t="s">
        <v>10</v>
      </c>
    </row>
    <row r="450">
      <c r="A450" s="97">
        <v>46205.0</v>
      </c>
      <c r="B450" s="29" t="s">
        <v>17</v>
      </c>
      <c r="C450" s="98" t="s">
        <v>16</v>
      </c>
      <c r="D450" s="98">
        <v>1.2</v>
      </c>
      <c r="E450" s="32">
        <v>25000.0</v>
      </c>
      <c r="F450" s="32">
        <f t="shared" si="14"/>
        <v>30000</v>
      </c>
      <c r="G450" s="33" t="s">
        <v>10</v>
      </c>
    </row>
    <row r="451">
      <c r="A451" s="97">
        <v>46205.0</v>
      </c>
      <c r="B451" s="29" t="s">
        <v>8</v>
      </c>
      <c r="C451" s="98" t="s">
        <v>151</v>
      </c>
      <c r="D451" s="98">
        <v>3.0</v>
      </c>
      <c r="E451" s="32">
        <v>25000.0</v>
      </c>
      <c r="F451" s="32">
        <f t="shared" si="14"/>
        <v>75000</v>
      </c>
      <c r="G451" s="33" t="s">
        <v>10</v>
      </c>
    </row>
    <row r="452">
      <c r="A452" s="97">
        <v>46205.0</v>
      </c>
      <c r="B452" s="29" t="s">
        <v>8</v>
      </c>
      <c r="C452" s="98" t="s">
        <v>150</v>
      </c>
      <c r="D452" s="98">
        <v>2.0</v>
      </c>
      <c r="E452" s="32">
        <v>25000.0</v>
      </c>
      <c r="F452" s="32">
        <f t="shared" si="14"/>
        <v>50000</v>
      </c>
      <c r="G452" s="33" t="s">
        <v>10</v>
      </c>
    </row>
    <row r="453">
      <c r="A453" s="97">
        <v>46205.0</v>
      </c>
      <c r="B453" s="29" t="s">
        <v>8</v>
      </c>
      <c r="C453" s="98" t="s">
        <v>29</v>
      </c>
      <c r="D453" s="98">
        <v>1.0</v>
      </c>
      <c r="E453" s="32">
        <v>25000.0</v>
      </c>
      <c r="F453" s="32">
        <f t="shared" si="14"/>
        <v>25000</v>
      </c>
      <c r="G453" s="33" t="s">
        <v>10</v>
      </c>
    </row>
    <row r="454">
      <c r="A454" s="97">
        <v>46205.0</v>
      </c>
      <c r="B454" s="29" t="s">
        <v>8</v>
      </c>
      <c r="C454" s="98" t="s">
        <v>162</v>
      </c>
      <c r="D454" s="98">
        <v>1.0</v>
      </c>
      <c r="E454" s="32">
        <v>25000.0</v>
      </c>
      <c r="F454" s="32">
        <f t="shared" si="14"/>
        <v>25000</v>
      </c>
      <c r="G454" s="33" t="s">
        <v>10</v>
      </c>
    </row>
    <row r="455">
      <c r="A455" s="97">
        <v>46205.0</v>
      </c>
      <c r="B455" s="29" t="s">
        <v>8</v>
      </c>
      <c r="C455" s="98" t="s">
        <v>163</v>
      </c>
      <c r="D455" s="98">
        <v>1.0</v>
      </c>
      <c r="E455" s="32">
        <v>25000.0</v>
      </c>
      <c r="F455" s="32">
        <f t="shared" si="14"/>
        <v>25000</v>
      </c>
      <c r="G455" s="33" t="s">
        <v>10</v>
      </c>
    </row>
    <row r="456">
      <c r="A456" s="97">
        <v>46205.0</v>
      </c>
      <c r="B456" s="29" t="s">
        <v>8</v>
      </c>
      <c r="C456" s="98" t="s">
        <v>137</v>
      </c>
      <c r="D456" s="98">
        <v>1.0</v>
      </c>
      <c r="E456" s="32">
        <v>25000.0</v>
      </c>
      <c r="F456" s="32">
        <f t="shared" si="14"/>
        <v>25000</v>
      </c>
      <c r="G456" s="33" t="s">
        <v>10</v>
      </c>
    </row>
    <row r="457">
      <c r="A457" s="97">
        <v>46205.0</v>
      </c>
      <c r="B457" s="29" t="s">
        <v>8</v>
      </c>
      <c r="C457" s="98" t="s">
        <v>164</v>
      </c>
      <c r="D457" s="98">
        <v>2.0</v>
      </c>
      <c r="E457" s="32">
        <v>25000.0</v>
      </c>
      <c r="F457" s="32">
        <f t="shared" si="14"/>
        <v>50000</v>
      </c>
      <c r="G457" s="33" t="s">
        <v>10</v>
      </c>
    </row>
    <row r="458">
      <c r="A458" s="97">
        <v>46205.0</v>
      </c>
      <c r="B458" s="29" t="s">
        <v>8</v>
      </c>
      <c r="C458" s="98" t="s">
        <v>16</v>
      </c>
      <c r="D458" s="98">
        <v>0.42</v>
      </c>
      <c r="E458" s="32">
        <v>25000.0</v>
      </c>
      <c r="F458" s="32">
        <f t="shared" si="14"/>
        <v>10500</v>
      </c>
      <c r="G458" s="33" t="s">
        <v>10</v>
      </c>
    </row>
    <row r="459">
      <c r="A459" s="97">
        <v>46205.0</v>
      </c>
      <c r="B459" s="29" t="s">
        <v>36</v>
      </c>
      <c r="C459" s="98" t="s">
        <v>67</v>
      </c>
      <c r="D459" s="98">
        <v>2.0</v>
      </c>
      <c r="E459" s="32">
        <v>25000.0</v>
      </c>
      <c r="F459" s="32">
        <f t="shared" si="14"/>
        <v>50000</v>
      </c>
      <c r="G459" s="33" t="s">
        <v>10</v>
      </c>
    </row>
    <row r="460">
      <c r="A460" s="97">
        <v>46205.0</v>
      </c>
      <c r="B460" s="29" t="s">
        <v>36</v>
      </c>
      <c r="C460" s="98" t="s">
        <v>55</v>
      </c>
      <c r="D460" s="98">
        <v>2.0</v>
      </c>
      <c r="E460" s="32">
        <v>25000.0</v>
      </c>
      <c r="F460" s="32">
        <f t="shared" si="14"/>
        <v>50000</v>
      </c>
      <c r="G460" s="33" t="s">
        <v>10</v>
      </c>
    </row>
    <row r="461">
      <c r="A461" s="97">
        <v>46205.0</v>
      </c>
      <c r="B461" s="29" t="s">
        <v>36</v>
      </c>
      <c r="C461" s="98" t="s">
        <v>16</v>
      </c>
      <c r="D461" s="98">
        <v>0.19</v>
      </c>
      <c r="E461" s="32">
        <v>25000.0</v>
      </c>
      <c r="F461" s="32">
        <f t="shared" si="14"/>
        <v>4750</v>
      </c>
      <c r="G461" s="33" t="s">
        <v>10</v>
      </c>
    </row>
    <row r="462">
      <c r="A462" s="97">
        <v>46205.0</v>
      </c>
      <c r="B462" s="29" t="s">
        <v>27</v>
      </c>
      <c r="C462" s="98" t="s">
        <v>75</v>
      </c>
      <c r="D462" s="98">
        <v>15.0</v>
      </c>
      <c r="E462" s="32">
        <v>25000.0</v>
      </c>
      <c r="F462" s="32">
        <f t="shared" si="14"/>
        <v>375000</v>
      </c>
      <c r="G462" s="33" t="s">
        <v>10</v>
      </c>
    </row>
    <row r="463">
      <c r="A463" s="97">
        <v>46205.0</v>
      </c>
      <c r="B463" s="29" t="s">
        <v>27</v>
      </c>
      <c r="C463" s="98" t="s">
        <v>29</v>
      </c>
      <c r="D463" s="98">
        <v>1.0</v>
      </c>
      <c r="E463" s="32">
        <v>25000.0</v>
      </c>
      <c r="F463" s="32">
        <f t="shared" si="14"/>
        <v>25000</v>
      </c>
      <c r="G463" s="33" t="s">
        <v>10</v>
      </c>
    </row>
    <row r="464">
      <c r="A464" s="97">
        <v>46205.0</v>
      </c>
      <c r="B464" s="29" t="s">
        <v>27</v>
      </c>
      <c r="C464" s="98" t="s">
        <v>246</v>
      </c>
      <c r="D464" s="98">
        <v>1.0</v>
      </c>
      <c r="E464" s="32">
        <v>25000.0</v>
      </c>
      <c r="F464" s="32">
        <f t="shared" si="14"/>
        <v>25000</v>
      </c>
      <c r="G464" s="33" t="s">
        <v>10</v>
      </c>
    </row>
    <row r="465">
      <c r="A465" s="97">
        <v>46205.0</v>
      </c>
      <c r="B465" s="29" t="s">
        <v>27</v>
      </c>
      <c r="C465" s="98" t="s">
        <v>247</v>
      </c>
      <c r="D465" s="98">
        <v>1.0</v>
      </c>
      <c r="E465" s="32">
        <v>25000.0</v>
      </c>
      <c r="F465" s="32">
        <f t="shared" si="14"/>
        <v>25000</v>
      </c>
      <c r="G465" s="33" t="s">
        <v>10</v>
      </c>
    </row>
    <row r="466">
      <c r="A466" s="97">
        <v>46205.0</v>
      </c>
      <c r="B466" s="29" t="s">
        <v>27</v>
      </c>
      <c r="C466" s="98" t="s">
        <v>248</v>
      </c>
      <c r="D466" s="98">
        <v>1.0</v>
      </c>
      <c r="E466" s="32">
        <v>25000.0</v>
      </c>
      <c r="F466" s="32">
        <f t="shared" si="14"/>
        <v>25000</v>
      </c>
      <c r="G466" s="33" t="s">
        <v>10</v>
      </c>
    </row>
    <row r="467">
      <c r="A467" s="97">
        <v>46205.0</v>
      </c>
      <c r="B467" s="29" t="s">
        <v>27</v>
      </c>
      <c r="C467" s="98" t="s">
        <v>14</v>
      </c>
      <c r="D467" s="98">
        <v>1.0</v>
      </c>
      <c r="E467" s="32">
        <v>25000.0</v>
      </c>
      <c r="F467" s="32">
        <f t="shared" si="14"/>
        <v>25000</v>
      </c>
      <c r="G467" s="33" t="s">
        <v>10</v>
      </c>
    </row>
    <row r="468">
      <c r="A468" s="97">
        <v>46205.0</v>
      </c>
      <c r="B468" s="29" t="s">
        <v>27</v>
      </c>
      <c r="C468" s="98" t="s">
        <v>249</v>
      </c>
      <c r="D468" s="98">
        <v>1.0</v>
      </c>
      <c r="E468" s="32">
        <v>25000.0</v>
      </c>
      <c r="F468" s="32">
        <f t="shared" si="14"/>
        <v>25000</v>
      </c>
      <c r="G468" s="33" t="s">
        <v>10</v>
      </c>
    </row>
    <row r="469">
      <c r="A469" s="97">
        <v>46205.0</v>
      </c>
      <c r="B469" s="29" t="s">
        <v>27</v>
      </c>
      <c r="C469" s="98" t="s">
        <v>16</v>
      </c>
      <c r="D469" s="98">
        <v>1.82</v>
      </c>
      <c r="E469" s="32">
        <v>25000.0</v>
      </c>
      <c r="F469" s="32">
        <f t="shared" si="14"/>
        <v>45500</v>
      </c>
      <c r="G469" s="33" t="s">
        <v>10</v>
      </c>
    </row>
    <row r="470">
      <c r="A470" s="97">
        <v>46206.0</v>
      </c>
      <c r="B470" s="29" t="s">
        <v>17</v>
      </c>
      <c r="C470" s="98" t="s">
        <v>140</v>
      </c>
      <c r="D470" s="98">
        <v>7.0</v>
      </c>
      <c r="E470" s="32">
        <v>25000.0</v>
      </c>
      <c r="F470" s="32">
        <f t="shared" si="14"/>
        <v>175000</v>
      </c>
      <c r="G470" s="33" t="s">
        <v>10</v>
      </c>
    </row>
    <row r="471">
      <c r="A471" s="97">
        <v>46206.0</v>
      </c>
      <c r="B471" s="29" t="s">
        <v>17</v>
      </c>
      <c r="C471" s="98" t="s">
        <v>287</v>
      </c>
      <c r="D471" s="98">
        <v>2.0</v>
      </c>
      <c r="E471" s="32">
        <v>25000.0</v>
      </c>
      <c r="F471" s="32">
        <f t="shared" si="14"/>
        <v>50000</v>
      </c>
      <c r="G471" s="33" t="s">
        <v>10</v>
      </c>
    </row>
    <row r="472">
      <c r="A472" s="97">
        <v>46206.0</v>
      </c>
      <c r="B472" s="29" t="s">
        <v>17</v>
      </c>
      <c r="C472" s="98" t="s">
        <v>289</v>
      </c>
      <c r="D472" s="98">
        <v>1.0</v>
      </c>
      <c r="E472" s="32">
        <v>25000.0</v>
      </c>
      <c r="F472" s="32">
        <f t="shared" si="14"/>
        <v>25000</v>
      </c>
      <c r="G472" s="33" t="s">
        <v>10</v>
      </c>
    </row>
    <row r="473">
      <c r="A473" s="97">
        <v>46206.0</v>
      </c>
      <c r="B473" s="29" t="s">
        <v>17</v>
      </c>
      <c r="C473" s="98" t="s">
        <v>23</v>
      </c>
      <c r="D473" s="98">
        <v>4.0</v>
      </c>
      <c r="E473" s="32">
        <v>25000.0</v>
      </c>
      <c r="F473" s="32">
        <f t="shared" si="14"/>
        <v>100000</v>
      </c>
      <c r="G473" s="33" t="s">
        <v>10</v>
      </c>
    </row>
    <row r="474">
      <c r="A474" s="97">
        <v>46206.0</v>
      </c>
      <c r="B474" s="29" t="s">
        <v>17</v>
      </c>
      <c r="C474" s="98" t="s">
        <v>60</v>
      </c>
      <c r="D474" s="98">
        <v>2.0</v>
      </c>
      <c r="E474" s="32">
        <v>25000.0</v>
      </c>
      <c r="F474" s="32">
        <f t="shared" si="14"/>
        <v>50000</v>
      </c>
      <c r="G474" s="33" t="s">
        <v>10</v>
      </c>
    </row>
    <row r="475">
      <c r="A475" s="97">
        <v>46206.0</v>
      </c>
      <c r="B475" s="29" t="s">
        <v>17</v>
      </c>
      <c r="C475" s="98" t="s">
        <v>293</v>
      </c>
      <c r="D475" s="98">
        <v>7.0</v>
      </c>
      <c r="E475" s="32">
        <v>25000.0</v>
      </c>
      <c r="F475" s="32">
        <f t="shared" si="14"/>
        <v>175000</v>
      </c>
      <c r="G475" s="33" t="s">
        <v>10</v>
      </c>
    </row>
    <row r="476">
      <c r="A476" s="97">
        <v>46206.0</v>
      </c>
      <c r="B476" s="29" t="s">
        <v>17</v>
      </c>
      <c r="C476" s="98" t="s">
        <v>50</v>
      </c>
      <c r="D476" s="98">
        <v>1.0</v>
      </c>
      <c r="E476" s="32">
        <v>25000.0</v>
      </c>
      <c r="F476" s="32">
        <f t="shared" si="14"/>
        <v>25000</v>
      </c>
      <c r="G476" s="33" t="s">
        <v>10</v>
      </c>
    </row>
    <row r="477">
      <c r="A477" s="97">
        <v>46206.0</v>
      </c>
      <c r="B477" s="29" t="s">
        <v>17</v>
      </c>
      <c r="C477" s="98" t="s">
        <v>61</v>
      </c>
      <c r="D477" s="98">
        <v>2.0</v>
      </c>
      <c r="E477" s="32">
        <v>25000.0</v>
      </c>
      <c r="F477" s="32">
        <f t="shared" si="14"/>
        <v>50000</v>
      </c>
      <c r="G477" s="33" t="s">
        <v>10</v>
      </c>
    </row>
    <row r="478">
      <c r="A478" s="97">
        <v>46206.0</v>
      </c>
      <c r="B478" s="29" t="s">
        <v>17</v>
      </c>
      <c r="C478" s="98" t="s">
        <v>294</v>
      </c>
      <c r="D478" s="98">
        <v>1.0</v>
      </c>
      <c r="E478" s="32">
        <v>25000.0</v>
      </c>
      <c r="F478" s="32">
        <f t="shared" si="14"/>
        <v>25000</v>
      </c>
      <c r="G478" s="33" t="s">
        <v>10</v>
      </c>
    </row>
    <row r="479">
      <c r="A479" s="97">
        <v>46206.0</v>
      </c>
      <c r="B479" s="29" t="s">
        <v>17</v>
      </c>
      <c r="C479" s="98" t="s">
        <v>295</v>
      </c>
      <c r="D479" s="98">
        <v>1.0</v>
      </c>
      <c r="E479" s="32">
        <v>25000.0</v>
      </c>
      <c r="F479" s="32">
        <f t="shared" si="14"/>
        <v>25000</v>
      </c>
      <c r="G479" s="33" t="s">
        <v>10</v>
      </c>
    </row>
    <row r="480">
      <c r="A480" s="97">
        <v>46206.0</v>
      </c>
      <c r="B480" s="29" t="s">
        <v>17</v>
      </c>
      <c r="C480" s="98" t="s">
        <v>256</v>
      </c>
      <c r="D480" s="98">
        <v>1.0</v>
      </c>
      <c r="E480" s="32">
        <v>25000.0</v>
      </c>
      <c r="F480" s="32">
        <f t="shared" si="14"/>
        <v>25000</v>
      </c>
      <c r="G480" s="33" t="s">
        <v>10</v>
      </c>
    </row>
    <row r="481">
      <c r="A481" s="97">
        <v>46206.0</v>
      </c>
      <c r="B481" s="29" t="s">
        <v>17</v>
      </c>
      <c r="C481" s="98" t="s">
        <v>16</v>
      </c>
      <c r="D481" s="98">
        <v>0.9</v>
      </c>
      <c r="E481" s="32">
        <v>25000.0</v>
      </c>
      <c r="F481" s="32">
        <f t="shared" si="14"/>
        <v>22500</v>
      </c>
      <c r="G481" s="33" t="s">
        <v>10</v>
      </c>
    </row>
    <row r="482">
      <c r="A482" s="97">
        <v>46206.0</v>
      </c>
      <c r="B482" s="29" t="s">
        <v>8</v>
      </c>
      <c r="C482" s="98" t="s">
        <v>9</v>
      </c>
      <c r="D482" s="98">
        <v>6.0</v>
      </c>
      <c r="E482" s="32">
        <v>25000.0</v>
      </c>
      <c r="F482" s="32">
        <f t="shared" si="14"/>
        <v>150000</v>
      </c>
      <c r="G482" s="33" t="s">
        <v>10</v>
      </c>
    </row>
    <row r="483">
      <c r="A483" s="97">
        <v>46206.0</v>
      </c>
      <c r="B483" s="29" t="s">
        <v>8</v>
      </c>
      <c r="C483" s="98" t="s">
        <v>165</v>
      </c>
      <c r="D483" s="98">
        <v>1.0</v>
      </c>
      <c r="E483" s="32">
        <v>25000.0</v>
      </c>
      <c r="F483" s="32">
        <f t="shared" si="14"/>
        <v>25000</v>
      </c>
      <c r="G483" s="33" t="s">
        <v>10</v>
      </c>
    </row>
    <row r="484">
      <c r="A484" s="97">
        <v>46206.0</v>
      </c>
      <c r="B484" s="29" t="s">
        <v>8</v>
      </c>
      <c r="C484" s="98" t="s">
        <v>162</v>
      </c>
      <c r="D484" s="98">
        <v>1.0</v>
      </c>
      <c r="E484" s="32">
        <v>25000.0</v>
      </c>
      <c r="F484" s="32">
        <f t="shared" si="14"/>
        <v>25000</v>
      </c>
      <c r="G484" s="33" t="s">
        <v>10</v>
      </c>
    </row>
    <row r="485">
      <c r="A485" s="97">
        <v>46206.0</v>
      </c>
      <c r="B485" s="29" t="s">
        <v>8</v>
      </c>
      <c r="C485" s="98" t="s">
        <v>12</v>
      </c>
      <c r="D485" s="98">
        <v>2.0</v>
      </c>
      <c r="E485" s="32">
        <v>25000.0</v>
      </c>
      <c r="F485" s="32">
        <f t="shared" si="14"/>
        <v>50000</v>
      </c>
      <c r="G485" s="33" t="s">
        <v>10</v>
      </c>
    </row>
    <row r="486">
      <c r="A486" s="97">
        <v>46206.0</v>
      </c>
      <c r="B486" s="29" t="s">
        <v>8</v>
      </c>
      <c r="C486" s="98" t="s">
        <v>34</v>
      </c>
      <c r="D486" s="98">
        <v>1.0</v>
      </c>
      <c r="E486" s="32">
        <v>25000.0</v>
      </c>
      <c r="F486" s="32">
        <f t="shared" si="14"/>
        <v>25000</v>
      </c>
      <c r="G486" s="33" t="s">
        <v>10</v>
      </c>
    </row>
    <row r="487">
      <c r="A487" s="97">
        <v>46206.0</v>
      </c>
      <c r="B487" s="29" t="s">
        <v>8</v>
      </c>
      <c r="C487" s="98" t="s">
        <v>11</v>
      </c>
      <c r="D487" s="98">
        <v>2.0</v>
      </c>
      <c r="E487" s="32">
        <v>25000.0</v>
      </c>
      <c r="F487" s="32">
        <f t="shared" si="14"/>
        <v>50000</v>
      </c>
      <c r="G487" s="33" t="s">
        <v>10</v>
      </c>
    </row>
    <row r="488">
      <c r="A488" s="97">
        <v>46206.0</v>
      </c>
      <c r="B488" s="29" t="s">
        <v>8</v>
      </c>
      <c r="C488" s="98" t="s">
        <v>16</v>
      </c>
      <c r="D488" s="98">
        <v>0.46</v>
      </c>
      <c r="E488" s="32">
        <v>25000.0</v>
      </c>
      <c r="F488" s="32">
        <f t="shared" si="14"/>
        <v>11500</v>
      </c>
      <c r="G488" s="33" t="s">
        <v>10</v>
      </c>
    </row>
    <row r="489">
      <c r="A489" s="97">
        <v>46206.0</v>
      </c>
      <c r="B489" s="29" t="s">
        <v>36</v>
      </c>
      <c r="C489" s="98" t="s">
        <v>67</v>
      </c>
      <c r="D489" s="98">
        <v>3.0</v>
      </c>
      <c r="E489" s="32">
        <v>25000.0</v>
      </c>
      <c r="F489" s="32">
        <f t="shared" si="14"/>
        <v>75000</v>
      </c>
      <c r="G489" s="33" t="s">
        <v>10</v>
      </c>
    </row>
    <row r="490">
      <c r="A490" s="97">
        <v>46206.0</v>
      </c>
      <c r="B490" s="29" t="s">
        <v>36</v>
      </c>
      <c r="C490" s="98" t="s">
        <v>29</v>
      </c>
      <c r="D490" s="98">
        <v>2.0</v>
      </c>
      <c r="E490" s="32">
        <v>25000.0</v>
      </c>
      <c r="F490" s="32">
        <f t="shared" si="14"/>
        <v>50000</v>
      </c>
      <c r="G490" s="33" t="s">
        <v>10</v>
      </c>
    </row>
    <row r="491">
      <c r="A491" s="97">
        <v>46206.0</v>
      </c>
      <c r="B491" s="29" t="s">
        <v>36</v>
      </c>
      <c r="C491" s="98" t="s">
        <v>13</v>
      </c>
      <c r="D491" s="98">
        <v>1.0</v>
      </c>
      <c r="E491" s="32">
        <v>25000.0</v>
      </c>
      <c r="F491" s="32">
        <f t="shared" si="14"/>
        <v>25000</v>
      </c>
      <c r="G491" s="33" t="s">
        <v>10</v>
      </c>
    </row>
    <row r="492">
      <c r="A492" s="97">
        <v>46206.0</v>
      </c>
      <c r="B492" s="29" t="s">
        <v>36</v>
      </c>
      <c r="C492" s="98" t="s">
        <v>16</v>
      </c>
      <c r="D492" s="98">
        <v>0.16</v>
      </c>
      <c r="E492" s="32">
        <v>25000.0</v>
      </c>
      <c r="F492" s="32">
        <f t="shared" si="14"/>
        <v>4000</v>
      </c>
      <c r="G492" s="33" t="s">
        <v>10</v>
      </c>
    </row>
    <row r="493">
      <c r="A493" s="97">
        <v>46206.0</v>
      </c>
      <c r="B493" s="29" t="s">
        <v>27</v>
      </c>
      <c r="C493" s="98" t="s">
        <v>75</v>
      </c>
      <c r="D493" s="98">
        <v>25.0</v>
      </c>
      <c r="E493" s="32">
        <v>25000.0</v>
      </c>
      <c r="F493" s="32">
        <f t="shared" si="14"/>
        <v>625000</v>
      </c>
      <c r="G493" s="33" t="s">
        <v>10</v>
      </c>
    </row>
    <row r="494">
      <c r="A494" s="97">
        <v>46206.0</v>
      </c>
      <c r="B494" s="29" t="s">
        <v>27</v>
      </c>
      <c r="C494" s="98" t="s">
        <v>250</v>
      </c>
      <c r="D494" s="98">
        <v>1.0</v>
      </c>
      <c r="E494" s="32">
        <v>25000.0</v>
      </c>
      <c r="F494" s="32">
        <f t="shared" si="14"/>
        <v>25000</v>
      </c>
      <c r="G494" s="33" t="s">
        <v>10</v>
      </c>
    </row>
    <row r="495">
      <c r="A495" s="97">
        <v>46206.0</v>
      </c>
      <c r="B495" s="29" t="s">
        <v>27</v>
      </c>
      <c r="C495" s="98" t="s">
        <v>57</v>
      </c>
      <c r="D495" s="98">
        <v>2.0</v>
      </c>
      <c r="E495" s="32">
        <v>25000.0</v>
      </c>
      <c r="F495" s="32">
        <f t="shared" si="14"/>
        <v>50000</v>
      </c>
      <c r="G495" s="33" t="s">
        <v>10</v>
      </c>
    </row>
    <row r="496">
      <c r="A496" s="97">
        <v>46206.0</v>
      </c>
      <c r="B496" s="29" t="s">
        <v>27</v>
      </c>
      <c r="C496" s="98" t="s">
        <v>29</v>
      </c>
      <c r="D496" s="98">
        <v>1.0</v>
      </c>
      <c r="E496" s="32">
        <v>25000.0</v>
      </c>
      <c r="F496" s="32">
        <f t="shared" si="14"/>
        <v>25000</v>
      </c>
      <c r="G496" s="33" t="s">
        <v>10</v>
      </c>
    </row>
    <row r="497">
      <c r="A497" s="97">
        <v>46206.0</v>
      </c>
      <c r="B497" s="29" t="s">
        <v>27</v>
      </c>
      <c r="C497" s="98" t="s">
        <v>251</v>
      </c>
      <c r="D497" s="98">
        <v>1.0</v>
      </c>
      <c r="E497" s="32">
        <v>25000.0</v>
      </c>
      <c r="F497" s="32">
        <f t="shared" si="14"/>
        <v>25000</v>
      </c>
      <c r="G497" s="33" t="s">
        <v>10</v>
      </c>
    </row>
    <row r="498">
      <c r="A498" s="97">
        <v>46206.0</v>
      </c>
      <c r="B498" s="29" t="s">
        <v>27</v>
      </c>
      <c r="C498" s="98" t="s">
        <v>252</v>
      </c>
      <c r="D498" s="98">
        <v>1.0</v>
      </c>
      <c r="E498" s="32">
        <v>25000.0</v>
      </c>
      <c r="F498" s="32">
        <f t="shared" si="14"/>
        <v>25000</v>
      </c>
      <c r="G498" s="33" t="s">
        <v>10</v>
      </c>
    </row>
    <row r="499">
      <c r="A499" s="97">
        <v>46206.0</v>
      </c>
      <c r="B499" s="29" t="s">
        <v>27</v>
      </c>
      <c r="C499" s="98" t="s">
        <v>16</v>
      </c>
      <c r="D499" s="98">
        <v>2.02</v>
      </c>
      <c r="E499" s="32">
        <v>25000.0</v>
      </c>
      <c r="F499" s="32">
        <f t="shared" si="14"/>
        <v>50500</v>
      </c>
      <c r="G499" s="33" t="s">
        <v>10</v>
      </c>
    </row>
    <row r="500">
      <c r="A500" s="97">
        <v>46207.0</v>
      </c>
      <c r="B500" s="29" t="s">
        <v>17</v>
      </c>
      <c r="C500" s="98" t="s">
        <v>140</v>
      </c>
      <c r="D500" s="98">
        <v>10.0</v>
      </c>
      <c r="E500" s="32">
        <v>25000.0</v>
      </c>
      <c r="F500" s="32">
        <f t="shared" si="14"/>
        <v>250000</v>
      </c>
      <c r="G500" s="33" t="s">
        <v>10</v>
      </c>
    </row>
    <row r="501">
      <c r="A501" s="97">
        <v>46207.0</v>
      </c>
      <c r="B501" s="29" t="s">
        <v>17</v>
      </c>
      <c r="C501" s="98" t="s">
        <v>293</v>
      </c>
      <c r="D501" s="98">
        <v>10.0</v>
      </c>
      <c r="E501" s="32">
        <v>25000.0</v>
      </c>
      <c r="F501" s="32">
        <f t="shared" si="14"/>
        <v>250000</v>
      </c>
      <c r="G501" s="33" t="s">
        <v>10</v>
      </c>
    </row>
    <row r="502">
      <c r="A502" s="97">
        <v>46207.0</v>
      </c>
      <c r="B502" s="29" t="s">
        <v>17</v>
      </c>
      <c r="C502" s="98" t="s">
        <v>296</v>
      </c>
      <c r="D502" s="98">
        <v>1.0</v>
      </c>
      <c r="E502" s="32">
        <v>25000.0</v>
      </c>
      <c r="F502" s="32">
        <f t="shared" si="14"/>
        <v>25000</v>
      </c>
      <c r="G502" s="33" t="s">
        <v>10</v>
      </c>
    </row>
    <row r="503">
      <c r="A503" s="97">
        <v>46207.0</v>
      </c>
      <c r="B503" s="29" t="s">
        <v>17</v>
      </c>
      <c r="C503" s="98" t="s">
        <v>297</v>
      </c>
      <c r="D503" s="98">
        <v>1.0</v>
      </c>
      <c r="E503" s="32">
        <v>25000.0</v>
      </c>
      <c r="F503" s="32">
        <f t="shared" si="14"/>
        <v>25000</v>
      </c>
      <c r="G503" s="33" t="s">
        <v>10</v>
      </c>
    </row>
    <row r="504">
      <c r="A504" s="97">
        <v>46207.0</v>
      </c>
      <c r="B504" s="29" t="s">
        <v>17</v>
      </c>
      <c r="C504" s="98" t="s">
        <v>298</v>
      </c>
      <c r="D504" s="98">
        <v>1.0</v>
      </c>
      <c r="E504" s="32">
        <v>25000.0</v>
      </c>
      <c r="F504" s="32">
        <f t="shared" si="14"/>
        <v>25000</v>
      </c>
      <c r="G504" s="33" t="s">
        <v>10</v>
      </c>
    </row>
    <row r="505">
      <c r="A505" s="97">
        <v>46207.0</v>
      </c>
      <c r="B505" s="29" t="s">
        <v>17</v>
      </c>
      <c r="C505" s="98" t="s">
        <v>299</v>
      </c>
      <c r="D505" s="98">
        <v>1.0</v>
      </c>
      <c r="E505" s="32">
        <v>25000.0</v>
      </c>
      <c r="F505" s="32">
        <f t="shared" si="14"/>
        <v>25000</v>
      </c>
      <c r="G505" s="33" t="s">
        <v>10</v>
      </c>
    </row>
    <row r="506">
      <c r="A506" s="97">
        <v>46207.0</v>
      </c>
      <c r="B506" s="29" t="s">
        <v>17</v>
      </c>
      <c r="C506" s="98" t="s">
        <v>50</v>
      </c>
      <c r="D506" s="98">
        <v>1.0</v>
      </c>
      <c r="E506" s="32">
        <v>25000.0</v>
      </c>
      <c r="F506" s="32">
        <f t="shared" si="14"/>
        <v>25000</v>
      </c>
      <c r="G506" s="33" t="s">
        <v>10</v>
      </c>
    </row>
    <row r="507">
      <c r="A507" s="97">
        <v>46207.0</v>
      </c>
      <c r="B507" s="29" t="s">
        <v>17</v>
      </c>
      <c r="C507" s="98" t="s">
        <v>300</v>
      </c>
      <c r="D507" s="98">
        <v>1.0</v>
      </c>
      <c r="E507" s="32">
        <v>25000.0</v>
      </c>
      <c r="F507" s="32">
        <f t="shared" si="14"/>
        <v>25000</v>
      </c>
      <c r="G507" s="33" t="s">
        <v>10</v>
      </c>
    </row>
    <row r="508">
      <c r="A508" s="97">
        <v>46207.0</v>
      </c>
      <c r="B508" s="29" t="s">
        <v>17</v>
      </c>
      <c r="C508" s="98" t="s">
        <v>25</v>
      </c>
      <c r="D508" s="98">
        <v>2.0</v>
      </c>
      <c r="E508" s="32">
        <v>25000.0</v>
      </c>
      <c r="F508" s="32">
        <f t="shared" si="14"/>
        <v>50000</v>
      </c>
      <c r="G508" s="33" t="s">
        <v>10</v>
      </c>
    </row>
    <row r="509">
      <c r="A509" s="97">
        <v>46207.0</v>
      </c>
      <c r="B509" s="29" t="s">
        <v>17</v>
      </c>
      <c r="C509" s="98" t="s">
        <v>23</v>
      </c>
      <c r="D509" s="98">
        <v>3.0</v>
      </c>
      <c r="E509" s="32">
        <v>25000.0</v>
      </c>
      <c r="F509" s="32">
        <f t="shared" si="14"/>
        <v>75000</v>
      </c>
      <c r="G509" s="33" t="s">
        <v>10</v>
      </c>
    </row>
    <row r="510">
      <c r="A510" s="97">
        <v>46207.0</v>
      </c>
      <c r="B510" s="29" t="s">
        <v>17</v>
      </c>
      <c r="C510" s="98" t="s">
        <v>301</v>
      </c>
      <c r="D510" s="98">
        <v>1.0</v>
      </c>
      <c r="E510" s="32">
        <v>25000.0</v>
      </c>
      <c r="F510" s="32">
        <f t="shared" si="14"/>
        <v>25000</v>
      </c>
      <c r="G510" s="33" t="s">
        <v>10</v>
      </c>
    </row>
    <row r="511">
      <c r="A511" s="97">
        <v>46207.0</v>
      </c>
      <c r="B511" s="29" t="s">
        <v>17</v>
      </c>
      <c r="C511" s="98" t="s">
        <v>16</v>
      </c>
      <c r="D511" s="98">
        <v>0.7</v>
      </c>
      <c r="E511" s="32">
        <v>25000.0</v>
      </c>
      <c r="F511" s="32">
        <f t="shared" si="14"/>
        <v>17500</v>
      </c>
      <c r="G511" s="33" t="s">
        <v>10</v>
      </c>
    </row>
    <row r="512" ht="28.5" customHeight="1">
      <c r="A512" s="97">
        <v>46207.0</v>
      </c>
      <c r="B512" s="29" t="s">
        <v>8</v>
      </c>
      <c r="C512" s="98" t="s">
        <v>166</v>
      </c>
      <c r="D512" s="98">
        <v>10.0</v>
      </c>
      <c r="E512" s="32">
        <v>25000.0</v>
      </c>
      <c r="F512" s="32">
        <f t="shared" si="14"/>
        <v>250000</v>
      </c>
      <c r="G512" s="33" t="s">
        <v>10</v>
      </c>
    </row>
    <row r="513">
      <c r="A513" s="97">
        <v>46207.0</v>
      </c>
      <c r="B513" s="29" t="s">
        <v>8</v>
      </c>
      <c r="C513" s="98" t="s">
        <v>39</v>
      </c>
      <c r="D513" s="98">
        <v>8.0</v>
      </c>
      <c r="E513" s="32">
        <v>25000.0</v>
      </c>
      <c r="F513" s="32">
        <f t="shared" si="14"/>
        <v>200000</v>
      </c>
      <c r="G513" s="33" t="s">
        <v>10</v>
      </c>
    </row>
    <row r="514">
      <c r="A514" s="97">
        <v>46207.0</v>
      </c>
      <c r="B514" s="29" t="s">
        <v>8</v>
      </c>
      <c r="C514" s="98" t="s">
        <v>167</v>
      </c>
      <c r="D514" s="98">
        <v>3.0</v>
      </c>
      <c r="E514" s="32">
        <v>25000.0</v>
      </c>
      <c r="F514" s="32">
        <f t="shared" si="14"/>
        <v>75000</v>
      </c>
      <c r="G514" s="33" t="s">
        <v>10</v>
      </c>
    </row>
    <row r="515">
      <c r="A515" s="97">
        <v>46207.0</v>
      </c>
      <c r="B515" s="29" t="s">
        <v>8</v>
      </c>
      <c r="C515" s="98" t="s">
        <v>155</v>
      </c>
      <c r="D515" s="98">
        <v>1.0</v>
      </c>
      <c r="E515" s="32">
        <v>25000.0</v>
      </c>
      <c r="F515" s="32">
        <f t="shared" si="14"/>
        <v>25000</v>
      </c>
      <c r="G515" s="33" t="s">
        <v>10</v>
      </c>
    </row>
    <row r="516">
      <c r="A516" s="97">
        <v>46207.0</v>
      </c>
      <c r="B516" s="29" t="s">
        <v>8</v>
      </c>
      <c r="C516" s="98" t="s">
        <v>168</v>
      </c>
      <c r="D516" s="98">
        <v>1.0</v>
      </c>
      <c r="E516" s="32">
        <v>25000.0</v>
      </c>
      <c r="F516" s="32">
        <f t="shared" si="14"/>
        <v>25000</v>
      </c>
      <c r="G516" s="33" t="s">
        <v>10</v>
      </c>
    </row>
    <row r="517">
      <c r="A517" s="97">
        <v>46207.0</v>
      </c>
      <c r="B517" s="29" t="s">
        <v>8</v>
      </c>
      <c r="C517" s="98" t="s">
        <v>12</v>
      </c>
      <c r="D517" s="98">
        <v>3.0</v>
      </c>
      <c r="E517" s="32">
        <v>25000.0</v>
      </c>
      <c r="F517" s="32">
        <f t="shared" si="14"/>
        <v>75000</v>
      </c>
      <c r="G517" s="33" t="s">
        <v>10</v>
      </c>
    </row>
    <row r="518">
      <c r="A518" s="97">
        <v>46207.0</v>
      </c>
      <c r="B518" s="29" t="s">
        <v>8</v>
      </c>
      <c r="C518" s="98" t="s">
        <v>16</v>
      </c>
      <c r="D518" s="98">
        <v>1.5</v>
      </c>
      <c r="E518" s="32">
        <v>25000.0</v>
      </c>
      <c r="F518" s="32">
        <f t="shared" si="14"/>
        <v>37500</v>
      </c>
      <c r="G518" s="33" t="s">
        <v>10</v>
      </c>
    </row>
    <row r="519">
      <c r="A519" s="97">
        <v>46207.0</v>
      </c>
      <c r="B519" s="29" t="s">
        <v>36</v>
      </c>
      <c r="C519" s="98" t="s">
        <v>75</v>
      </c>
      <c r="D519" s="98">
        <v>4.0</v>
      </c>
      <c r="E519" s="32">
        <v>25000.0</v>
      </c>
      <c r="F519" s="32">
        <f t="shared" si="14"/>
        <v>100000</v>
      </c>
      <c r="G519" s="33" t="s">
        <v>10</v>
      </c>
    </row>
    <row r="520">
      <c r="A520" s="97">
        <v>46207.0</v>
      </c>
      <c r="B520" s="29" t="s">
        <v>36</v>
      </c>
      <c r="C520" s="98" t="s">
        <v>232</v>
      </c>
      <c r="D520" s="98">
        <v>1.0</v>
      </c>
      <c r="E520" s="32">
        <v>25000.0</v>
      </c>
      <c r="F520" s="32">
        <f t="shared" si="14"/>
        <v>25000</v>
      </c>
      <c r="G520" s="33" t="s">
        <v>10</v>
      </c>
    </row>
    <row r="521">
      <c r="A521" s="97">
        <v>46207.0</v>
      </c>
      <c r="B521" s="29" t="s">
        <v>36</v>
      </c>
      <c r="C521" s="98" t="s">
        <v>16</v>
      </c>
      <c r="D521" s="98">
        <v>0.27</v>
      </c>
      <c r="E521" s="32">
        <v>25000.0</v>
      </c>
      <c r="F521" s="32">
        <f t="shared" si="14"/>
        <v>6750</v>
      </c>
      <c r="G521" s="33" t="s">
        <v>10</v>
      </c>
    </row>
    <row r="522">
      <c r="A522" s="97">
        <v>46207.0</v>
      </c>
      <c r="B522" s="29" t="s">
        <v>27</v>
      </c>
      <c r="C522" s="98" t="s">
        <v>75</v>
      </c>
      <c r="D522" s="98">
        <v>15.0</v>
      </c>
      <c r="E522" s="32">
        <v>25000.0</v>
      </c>
      <c r="F522" s="32">
        <f t="shared" si="14"/>
        <v>375000</v>
      </c>
      <c r="G522" s="33" t="s">
        <v>10</v>
      </c>
    </row>
    <row r="523">
      <c r="A523" s="97">
        <v>46207.0</v>
      </c>
      <c r="B523" s="29" t="s">
        <v>27</v>
      </c>
      <c r="C523" s="98" t="s">
        <v>57</v>
      </c>
      <c r="D523" s="98">
        <v>2.0</v>
      </c>
      <c r="E523" s="32">
        <v>25000.0</v>
      </c>
      <c r="F523" s="32">
        <f t="shared" si="14"/>
        <v>50000</v>
      </c>
      <c r="G523" s="33" t="s">
        <v>10</v>
      </c>
    </row>
    <row r="524">
      <c r="A524" s="97">
        <v>46207.0</v>
      </c>
      <c r="B524" s="29" t="s">
        <v>27</v>
      </c>
      <c r="C524" s="98" t="s">
        <v>29</v>
      </c>
      <c r="D524" s="98">
        <v>2.0</v>
      </c>
      <c r="E524" s="32">
        <v>25000.0</v>
      </c>
      <c r="F524" s="32">
        <f t="shared" si="14"/>
        <v>50000</v>
      </c>
      <c r="G524" s="33" t="s">
        <v>10</v>
      </c>
    </row>
    <row r="525">
      <c r="A525" s="97">
        <v>46207.0</v>
      </c>
      <c r="B525" s="29" t="s">
        <v>27</v>
      </c>
      <c r="C525" s="98" t="s">
        <v>16</v>
      </c>
      <c r="D525" s="98">
        <v>1.46</v>
      </c>
      <c r="E525" s="32">
        <v>25000.0</v>
      </c>
      <c r="F525" s="32">
        <f t="shared" si="14"/>
        <v>36500</v>
      </c>
      <c r="G525" s="33" t="s">
        <v>10</v>
      </c>
    </row>
    <row r="526">
      <c r="A526" s="112"/>
      <c r="B526" s="29"/>
      <c r="C526" s="73"/>
      <c r="D526" s="73"/>
      <c r="E526" s="32"/>
      <c r="F526" s="32"/>
      <c r="G526" s="33"/>
    </row>
    <row r="527">
      <c r="A527" s="112"/>
      <c r="B527" s="29"/>
      <c r="C527" s="73"/>
      <c r="D527" s="73"/>
      <c r="E527" s="32"/>
      <c r="F527" s="32"/>
      <c r="G527" s="33"/>
    </row>
    <row r="528">
      <c r="A528" s="112"/>
      <c r="B528" s="29"/>
      <c r="C528" s="73"/>
      <c r="D528" s="73"/>
      <c r="E528" s="32"/>
      <c r="F528" s="32"/>
      <c r="G528" s="33"/>
    </row>
    <row r="529">
      <c r="A529" s="112"/>
      <c r="B529" s="29"/>
      <c r="C529" s="73"/>
      <c r="D529" s="73"/>
      <c r="E529" s="32"/>
      <c r="F529" s="32"/>
      <c r="G529" s="33"/>
    </row>
    <row r="530">
      <c r="A530" s="112"/>
      <c r="B530" s="29"/>
      <c r="C530" s="73"/>
      <c r="D530" s="73"/>
      <c r="E530" s="32"/>
      <c r="F530" s="32"/>
      <c r="G530" s="33"/>
    </row>
    <row r="531">
      <c r="A531" s="112"/>
      <c r="B531" s="29"/>
      <c r="C531" s="73"/>
      <c r="D531" s="73"/>
      <c r="E531" s="32"/>
      <c r="F531" s="32"/>
      <c r="G531" s="33"/>
    </row>
    <row r="532">
      <c r="A532" s="112"/>
      <c r="B532" s="29"/>
      <c r="C532" s="73"/>
      <c r="D532" s="73"/>
      <c r="E532" s="32"/>
      <c r="F532" s="32"/>
      <c r="G532" s="33"/>
    </row>
    <row r="533">
      <c r="A533" s="112"/>
      <c r="B533" s="29"/>
      <c r="C533" s="73"/>
      <c r="D533" s="73"/>
      <c r="E533" s="32"/>
      <c r="F533" s="32"/>
      <c r="G533" s="33"/>
    </row>
    <row r="534">
      <c r="A534" s="112"/>
      <c r="B534" s="29"/>
      <c r="C534" s="73"/>
      <c r="D534" s="73"/>
      <c r="E534" s="32"/>
      <c r="F534" s="32"/>
      <c r="G534" s="33"/>
    </row>
    <row r="535">
      <c r="A535" s="112"/>
      <c r="B535" s="29"/>
      <c r="C535" s="73"/>
      <c r="D535" s="73"/>
      <c r="E535" s="32"/>
      <c r="F535" s="32"/>
      <c r="G535" s="33"/>
    </row>
    <row r="536">
      <c r="A536" s="112"/>
      <c r="B536" s="29"/>
      <c r="C536" s="73"/>
      <c r="D536" s="73"/>
      <c r="E536" s="32"/>
      <c r="F536" s="32"/>
      <c r="G536" s="33"/>
    </row>
    <row r="537">
      <c r="A537" s="112"/>
      <c r="B537" s="29"/>
      <c r="C537" s="73"/>
      <c r="D537" s="73"/>
      <c r="E537" s="32"/>
      <c r="F537" s="32"/>
      <c r="G537" s="33"/>
    </row>
    <row r="538">
      <c r="A538" s="112"/>
      <c r="B538" s="29"/>
      <c r="C538" s="73"/>
      <c r="D538" s="73"/>
      <c r="E538" s="32"/>
      <c r="F538" s="32"/>
      <c r="G538" s="33"/>
    </row>
    <row r="539">
      <c r="A539" s="112"/>
      <c r="B539" s="29"/>
      <c r="C539" s="73"/>
      <c r="D539" s="73"/>
      <c r="E539" s="32"/>
      <c r="F539" s="32"/>
      <c r="G539" s="33"/>
    </row>
    <row r="540">
      <c r="A540" s="112"/>
      <c r="B540" s="29"/>
      <c r="C540" s="73"/>
      <c r="D540" s="73"/>
      <c r="E540" s="32"/>
      <c r="F540" s="32"/>
      <c r="G540" s="33"/>
    </row>
    <row r="541">
      <c r="A541" s="112"/>
      <c r="B541" s="29"/>
      <c r="C541" s="73"/>
      <c r="D541" s="73"/>
      <c r="E541" s="32"/>
      <c r="F541" s="32"/>
      <c r="G541" s="33"/>
    </row>
    <row r="542">
      <c r="A542" s="421"/>
      <c r="B542" s="422"/>
      <c r="C542" s="423"/>
      <c r="D542" s="423"/>
      <c r="E542" s="424"/>
      <c r="F542" s="424"/>
      <c r="G542" s="425"/>
    </row>
    <row r="543">
      <c r="A543" s="421"/>
      <c r="B543" s="422"/>
      <c r="C543" s="423"/>
      <c r="D543" s="423"/>
      <c r="E543" s="424"/>
      <c r="F543" s="424"/>
      <c r="G543" s="425"/>
    </row>
    <row r="544">
      <c r="A544" s="421"/>
      <c r="B544" s="422"/>
      <c r="C544" s="423"/>
      <c r="D544" s="423"/>
      <c r="E544" s="424"/>
      <c r="F544" s="424"/>
      <c r="G544" s="425"/>
    </row>
    <row r="545">
      <c r="A545" s="112"/>
      <c r="B545" s="29"/>
      <c r="C545" s="73"/>
      <c r="D545" s="73"/>
      <c r="E545" s="32"/>
      <c r="F545" s="32"/>
      <c r="G545" s="33"/>
    </row>
    <row r="546">
      <c r="A546" s="112"/>
      <c r="B546" s="29"/>
      <c r="C546" s="73"/>
      <c r="D546" s="73"/>
      <c r="E546" s="32"/>
      <c r="F546" s="32"/>
      <c r="G546" s="33"/>
    </row>
    <row r="547">
      <c r="A547" s="112"/>
      <c r="B547" s="29"/>
      <c r="C547" s="73"/>
      <c r="D547" s="73"/>
      <c r="E547" s="32"/>
      <c r="F547" s="32"/>
      <c r="G547" s="33"/>
    </row>
    <row r="548">
      <c r="A548" s="112"/>
      <c r="B548" s="29"/>
      <c r="C548" s="73"/>
      <c r="D548" s="73"/>
      <c r="E548" s="32"/>
      <c r="F548" s="32"/>
      <c r="G548" s="33"/>
    </row>
    <row r="549">
      <c r="A549" s="112"/>
      <c r="B549" s="29"/>
      <c r="C549" s="73"/>
      <c r="D549" s="73"/>
      <c r="E549" s="32"/>
      <c r="F549" s="32"/>
      <c r="G549" s="33"/>
    </row>
    <row r="550">
      <c r="A550" s="112"/>
      <c r="B550" s="29"/>
      <c r="C550" s="73"/>
      <c r="D550" s="73"/>
      <c r="E550" s="32"/>
      <c r="F550" s="32"/>
      <c r="G550" s="33"/>
    </row>
    <row r="551">
      <c r="A551" s="112"/>
      <c r="B551" s="29"/>
      <c r="C551" s="73"/>
      <c r="D551" s="73"/>
      <c r="E551" s="32"/>
      <c r="F551" s="32"/>
      <c r="G551" s="33"/>
    </row>
    <row r="552">
      <c r="A552" s="112"/>
      <c r="B552" s="29"/>
      <c r="C552" s="73"/>
      <c r="D552" s="73"/>
      <c r="E552" s="32"/>
      <c r="F552" s="32"/>
      <c r="G552" s="33"/>
    </row>
    <row r="553">
      <c r="A553" s="112"/>
      <c r="B553" s="29"/>
      <c r="C553" s="73"/>
      <c r="D553" s="73"/>
      <c r="E553" s="32"/>
      <c r="F553" s="32"/>
      <c r="G553" s="33"/>
    </row>
    <row r="554">
      <c r="A554" s="112"/>
      <c r="B554" s="29"/>
      <c r="C554" s="73"/>
      <c r="D554" s="73"/>
      <c r="E554" s="32"/>
      <c r="F554" s="32"/>
      <c r="G554" s="33"/>
    </row>
  </sheetData>
  <conditionalFormatting sqref="C1:C525">
    <cfRule type="expression" dxfId="1" priority="1">
      <formula>s</formula>
    </cfRule>
  </conditionalFormatting>
  <dataValidations>
    <dataValidation type="list" allowBlank="1" showErrorMessage="1" sqref="L3:L45 L50:L67">
      <formula1>"Bahan Baku,Operasional,Peralatan,Lain-lain"</formula1>
    </dataValidation>
    <dataValidation type="list" allowBlank="1" showErrorMessage="1" sqref="B232:B237 B248:B261 B280:B284 B289:B299 B312:B323 B337:B343 B354:B367 B511:B518 B526:B554">
      <formula1>"SS,BOS Ogi,AMR 1,AMR 2,BOS Andris"</formula1>
    </dataValidation>
    <dataValidation type="list" allowBlank="1" showErrorMessage="1" sqref="B3:B85 B87:B192 B194:B203 B205:B211 B213:B231 B238:B247 B262:B279 B285:B288 B300:B311 B324:B336 B344:B353 B368:B510 B519:B525">
      <formula1>"SS,BOS Ogi,AMR ,NIA"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"/>
  <tableParts count="4">
    <tablePart r:id="rId11"/>
    <tablePart r:id="rId12"/>
    <tablePart r:id="rId13"/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26" t="s">
        <v>1</v>
      </c>
      <c r="B1" s="427" t="s">
        <v>80</v>
      </c>
      <c r="C1" s="427" t="s">
        <v>81</v>
      </c>
      <c r="D1" s="427" t="s">
        <v>82</v>
      </c>
      <c r="E1" s="427" t="s">
        <v>83</v>
      </c>
      <c r="F1" s="428" t="s">
        <v>5</v>
      </c>
      <c r="G1" s="428" t="s">
        <v>6</v>
      </c>
      <c r="H1" s="427" t="s">
        <v>84</v>
      </c>
      <c r="I1" s="429"/>
      <c r="J1" s="430"/>
    </row>
    <row r="2">
      <c r="A2" s="431">
        <v>46188.0</v>
      </c>
      <c r="B2" s="432">
        <v>6.0</v>
      </c>
      <c r="C2" s="432" t="s">
        <v>439</v>
      </c>
      <c r="D2" s="432" t="s">
        <v>457</v>
      </c>
      <c r="E2" s="432">
        <v>1.0</v>
      </c>
      <c r="F2" s="433">
        <v>750000.0</v>
      </c>
      <c r="G2" s="433">
        <v>750000.0</v>
      </c>
      <c r="H2" s="432" t="s">
        <v>436</v>
      </c>
      <c r="I2" s="434"/>
      <c r="J2" s="435"/>
    </row>
    <row r="3">
      <c r="A3" s="431">
        <v>46195.0</v>
      </c>
      <c r="B3" s="432">
        <v>16.0</v>
      </c>
      <c r="C3" s="432" t="s">
        <v>439</v>
      </c>
      <c r="D3" s="432" t="s">
        <v>457</v>
      </c>
      <c r="E3" s="432">
        <v>1.0</v>
      </c>
      <c r="F3" s="433">
        <v>750000.0</v>
      </c>
      <c r="G3" s="433">
        <v>750000.0</v>
      </c>
      <c r="H3" s="432" t="s">
        <v>436</v>
      </c>
      <c r="I3" s="434"/>
      <c r="J3" s="435"/>
    </row>
    <row r="4">
      <c r="A4" s="431">
        <v>46202.0</v>
      </c>
      <c r="B4" s="432">
        <v>22.0</v>
      </c>
      <c r="C4" s="432" t="s">
        <v>439</v>
      </c>
      <c r="D4" s="432" t="s">
        <v>457</v>
      </c>
      <c r="E4" s="432">
        <v>1.0</v>
      </c>
      <c r="F4" s="433">
        <v>750000.0</v>
      </c>
      <c r="G4" s="433">
        <v>750000.0</v>
      </c>
      <c r="H4" s="432" t="s">
        <v>436</v>
      </c>
      <c r="I4" s="434"/>
      <c r="J4" s="435"/>
    </row>
    <row r="5">
      <c r="A5" s="431">
        <v>46208.0</v>
      </c>
      <c r="B5" s="432">
        <v>32.0</v>
      </c>
      <c r="C5" s="432" t="s">
        <v>439</v>
      </c>
      <c r="D5" s="432" t="s">
        <v>457</v>
      </c>
      <c r="E5" s="432">
        <v>1.0</v>
      </c>
      <c r="F5" s="433">
        <v>750000.0</v>
      </c>
      <c r="G5" s="433">
        <v>750000.0</v>
      </c>
      <c r="H5" s="432" t="s">
        <v>436</v>
      </c>
      <c r="I5" s="434"/>
      <c r="J5" s="43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26" t="s">
        <v>1</v>
      </c>
      <c r="B1" s="427" t="s">
        <v>80</v>
      </c>
      <c r="C1" s="427" t="s">
        <v>81</v>
      </c>
      <c r="D1" s="427" t="s">
        <v>82</v>
      </c>
      <c r="E1" s="427" t="s">
        <v>83</v>
      </c>
      <c r="F1" s="428" t="s">
        <v>5</v>
      </c>
      <c r="G1" s="428" t="s">
        <v>6</v>
      </c>
      <c r="H1" s="427" t="s">
        <v>84</v>
      </c>
      <c r="I1" s="429"/>
      <c r="J1" s="430"/>
    </row>
    <row r="2">
      <c r="A2" s="431">
        <v>46182.0</v>
      </c>
      <c r="B2" s="432">
        <v>1.0</v>
      </c>
      <c r="C2" s="432" t="s">
        <v>103</v>
      </c>
      <c r="D2" s="432" t="s">
        <v>108</v>
      </c>
      <c r="E2" s="432">
        <v>20.0</v>
      </c>
      <c r="F2" s="433">
        <v>225000.0</v>
      </c>
      <c r="G2" s="433">
        <v>4500000.0</v>
      </c>
      <c r="H2" s="432" t="s">
        <v>442</v>
      </c>
      <c r="I2" s="434"/>
      <c r="J2" s="435"/>
    </row>
    <row r="3">
      <c r="A3" s="431">
        <v>46182.0</v>
      </c>
      <c r="B3" s="434"/>
      <c r="C3" s="432" t="s">
        <v>103</v>
      </c>
      <c r="D3" s="432" t="s">
        <v>435</v>
      </c>
      <c r="E3" s="432">
        <v>7.0</v>
      </c>
      <c r="F3" s="433">
        <v>210000.0</v>
      </c>
      <c r="G3" s="433">
        <v>1470000.0</v>
      </c>
      <c r="H3" s="432" t="s">
        <v>442</v>
      </c>
      <c r="I3" s="434"/>
      <c r="J3" s="435"/>
    </row>
    <row r="4">
      <c r="A4" s="431">
        <v>46182.0</v>
      </c>
      <c r="B4" s="434"/>
      <c r="C4" s="432" t="s">
        <v>103</v>
      </c>
      <c r="D4" s="432" t="s">
        <v>438</v>
      </c>
      <c r="E4" s="432">
        <v>6.0</v>
      </c>
      <c r="F4" s="433">
        <v>550000.0</v>
      </c>
      <c r="G4" s="433">
        <v>3300000.0</v>
      </c>
      <c r="H4" s="432" t="s">
        <v>442</v>
      </c>
      <c r="I4" s="434"/>
      <c r="J4" s="435"/>
    </row>
    <row r="5">
      <c r="A5" s="431">
        <v>46182.0</v>
      </c>
      <c r="B5" s="434"/>
      <c r="C5" s="432" t="s">
        <v>103</v>
      </c>
      <c r="D5" s="432" t="s">
        <v>106</v>
      </c>
      <c r="E5" s="432">
        <v>20.0</v>
      </c>
      <c r="F5" s="433">
        <v>80000.0</v>
      </c>
      <c r="G5" s="433">
        <v>1600000.0</v>
      </c>
      <c r="H5" s="432" t="s">
        <v>442</v>
      </c>
      <c r="I5" s="434"/>
      <c r="J5" s="435"/>
    </row>
    <row r="6">
      <c r="A6" s="431">
        <v>46183.0</v>
      </c>
      <c r="B6" s="432">
        <v>2.0</v>
      </c>
      <c r="C6" s="432" t="s">
        <v>111</v>
      </c>
      <c r="D6" s="432" t="s">
        <v>112</v>
      </c>
      <c r="E6" s="432">
        <v>1.0</v>
      </c>
      <c r="F6" s="433">
        <v>201900.0</v>
      </c>
      <c r="G6" s="433">
        <v>201900.0</v>
      </c>
      <c r="H6" s="432" t="s">
        <v>111</v>
      </c>
      <c r="I6" s="434"/>
      <c r="J6" s="435"/>
    </row>
    <row r="7">
      <c r="A7" s="431">
        <v>46184.0</v>
      </c>
      <c r="B7" s="432">
        <v>3.0</v>
      </c>
      <c r="C7" s="432" t="s">
        <v>85</v>
      </c>
      <c r="D7" s="432" t="s">
        <v>460</v>
      </c>
      <c r="E7" s="432">
        <v>46.0</v>
      </c>
      <c r="F7" s="433">
        <v>30000.0</v>
      </c>
      <c r="G7" s="433">
        <v>1380000.0</v>
      </c>
      <c r="H7" s="432" t="s">
        <v>433</v>
      </c>
      <c r="I7" s="434"/>
      <c r="J7" s="435"/>
    </row>
    <row r="8">
      <c r="A8" s="431">
        <v>46184.0</v>
      </c>
      <c r="B8" s="432">
        <v>4.0</v>
      </c>
      <c r="C8" s="432" t="s">
        <v>85</v>
      </c>
      <c r="D8" s="432" t="s">
        <v>441</v>
      </c>
      <c r="E8" s="432">
        <v>1.0</v>
      </c>
      <c r="F8" s="433">
        <v>30000.0</v>
      </c>
      <c r="G8" s="433">
        <v>30000.0</v>
      </c>
      <c r="H8" s="432" t="s">
        <v>447</v>
      </c>
      <c r="I8" s="434"/>
      <c r="J8" s="435"/>
    </row>
    <row r="9">
      <c r="A9" s="431">
        <v>46184.0</v>
      </c>
      <c r="B9" s="432">
        <v>5.0</v>
      </c>
      <c r="C9" s="432" t="s">
        <v>111</v>
      </c>
      <c r="D9" s="432" t="s">
        <v>489</v>
      </c>
      <c r="E9" s="432">
        <v>1.0</v>
      </c>
      <c r="F9" s="433">
        <v>1278000.0</v>
      </c>
      <c r="G9" s="433">
        <v>1278000.0</v>
      </c>
      <c r="H9" s="436" t="s">
        <v>111</v>
      </c>
      <c r="I9" s="434"/>
      <c r="J9" s="435"/>
    </row>
    <row r="10">
      <c r="A10" s="431">
        <v>46185.0</v>
      </c>
      <c r="B10" s="432">
        <v>5.0</v>
      </c>
      <c r="C10" s="432" t="s">
        <v>111</v>
      </c>
      <c r="D10" s="432" t="s">
        <v>112</v>
      </c>
      <c r="E10" s="432">
        <v>1.0</v>
      </c>
      <c r="F10" s="433">
        <v>201900.0</v>
      </c>
      <c r="G10" s="433">
        <v>201900.0</v>
      </c>
      <c r="H10" s="432" t="s">
        <v>111</v>
      </c>
      <c r="I10" s="434"/>
      <c r="J10" s="435"/>
    </row>
    <row r="11">
      <c r="A11" s="431">
        <v>46186.0</v>
      </c>
      <c r="B11" s="432">
        <v>5.0</v>
      </c>
      <c r="C11" s="432" t="s">
        <v>111</v>
      </c>
      <c r="D11" s="432" t="s">
        <v>112</v>
      </c>
      <c r="E11" s="432">
        <v>1.0</v>
      </c>
      <c r="F11" s="433">
        <v>201900.0</v>
      </c>
      <c r="G11" s="433">
        <v>201900.0</v>
      </c>
      <c r="H11" s="432" t="s">
        <v>111</v>
      </c>
      <c r="I11" s="434"/>
      <c r="J11" s="435"/>
    </row>
    <row r="12">
      <c r="A12" s="431">
        <v>46188.0</v>
      </c>
      <c r="B12" s="432">
        <v>6.0</v>
      </c>
      <c r="C12" s="432" t="s">
        <v>439</v>
      </c>
      <c r="D12" s="432" t="s">
        <v>459</v>
      </c>
      <c r="E12" s="432">
        <v>1.0</v>
      </c>
      <c r="F12" s="433">
        <v>702500.0</v>
      </c>
      <c r="G12" s="433">
        <v>702500.0</v>
      </c>
      <c r="H12" s="432" t="s">
        <v>436</v>
      </c>
      <c r="I12" s="434"/>
      <c r="J12" s="435"/>
    </row>
    <row r="13">
      <c r="A13" s="431">
        <v>46188.0</v>
      </c>
      <c r="B13" s="432">
        <v>6.0</v>
      </c>
      <c r="C13" s="432" t="s">
        <v>439</v>
      </c>
      <c r="D13" s="432" t="s">
        <v>457</v>
      </c>
      <c r="E13" s="432">
        <v>1.0</v>
      </c>
      <c r="F13" s="433">
        <v>750000.0</v>
      </c>
      <c r="G13" s="433">
        <v>750000.0</v>
      </c>
      <c r="H13" s="432" t="s">
        <v>436</v>
      </c>
      <c r="I13" s="434"/>
      <c r="J13" s="435"/>
    </row>
    <row r="14">
      <c r="A14" s="431">
        <v>46188.0</v>
      </c>
      <c r="B14" s="432">
        <v>7.0</v>
      </c>
      <c r="C14" s="432" t="s">
        <v>85</v>
      </c>
      <c r="D14" s="432" t="s">
        <v>115</v>
      </c>
      <c r="E14" s="432">
        <v>1.0</v>
      </c>
      <c r="F14" s="433">
        <v>100000.0</v>
      </c>
      <c r="G14" s="433">
        <v>100000.0</v>
      </c>
      <c r="H14" s="432" t="s">
        <v>436</v>
      </c>
      <c r="I14" s="434"/>
      <c r="J14" s="435"/>
    </row>
    <row r="15">
      <c r="A15" s="431">
        <v>46188.0</v>
      </c>
      <c r="B15" s="432">
        <v>8.0</v>
      </c>
      <c r="C15" s="432" t="s">
        <v>85</v>
      </c>
      <c r="D15" s="432" t="s">
        <v>434</v>
      </c>
      <c r="E15" s="432">
        <v>1.0</v>
      </c>
      <c r="F15" s="433">
        <v>115000.0</v>
      </c>
      <c r="G15" s="433">
        <v>115000.0</v>
      </c>
      <c r="H15" s="432" t="s">
        <v>453</v>
      </c>
      <c r="I15" s="434"/>
      <c r="J15" s="435"/>
    </row>
    <row r="16">
      <c r="A16" s="431">
        <v>46189.0</v>
      </c>
      <c r="B16" s="432">
        <v>9.0</v>
      </c>
      <c r="C16" s="432" t="s">
        <v>111</v>
      </c>
      <c r="D16" s="432" t="s">
        <v>112</v>
      </c>
      <c r="E16" s="432">
        <v>1.0</v>
      </c>
      <c r="F16" s="433">
        <v>201900.0</v>
      </c>
      <c r="G16" s="433">
        <v>201900.0</v>
      </c>
      <c r="H16" s="432" t="s">
        <v>111</v>
      </c>
      <c r="I16" s="434"/>
      <c r="J16" s="435"/>
    </row>
    <row r="17">
      <c r="A17" s="431">
        <v>46189.0</v>
      </c>
      <c r="B17" s="432">
        <v>10.0</v>
      </c>
      <c r="C17" s="432" t="s">
        <v>85</v>
      </c>
      <c r="D17" s="432" t="s">
        <v>452</v>
      </c>
      <c r="E17" s="432">
        <v>2.0</v>
      </c>
      <c r="F17" s="433">
        <v>526500.0</v>
      </c>
      <c r="G17" s="433">
        <v>1053000.0</v>
      </c>
      <c r="H17" s="432" t="s">
        <v>456</v>
      </c>
      <c r="I17" s="434"/>
      <c r="J17" s="435"/>
    </row>
    <row r="18">
      <c r="A18" s="431">
        <v>46189.0</v>
      </c>
      <c r="B18" s="432">
        <v>11.0</v>
      </c>
      <c r="C18" s="432" t="s">
        <v>103</v>
      </c>
      <c r="D18" s="432" t="s">
        <v>106</v>
      </c>
      <c r="E18" s="432">
        <v>20.0</v>
      </c>
      <c r="F18" s="433">
        <v>80000.0</v>
      </c>
      <c r="G18" s="433">
        <v>1600000.0</v>
      </c>
      <c r="H18" s="432" t="s">
        <v>442</v>
      </c>
      <c r="I18" s="434"/>
      <c r="J18" s="435"/>
    </row>
    <row r="19">
      <c r="A19" s="431">
        <v>46189.0</v>
      </c>
      <c r="B19" s="432">
        <v>11.0</v>
      </c>
      <c r="C19" s="432" t="s">
        <v>103</v>
      </c>
      <c r="D19" s="432" t="s">
        <v>107</v>
      </c>
      <c r="E19" s="432">
        <v>5.0</v>
      </c>
      <c r="F19" s="433">
        <v>255000.0</v>
      </c>
      <c r="G19" s="433">
        <v>1275000.0</v>
      </c>
      <c r="H19" s="432" t="s">
        <v>442</v>
      </c>
      <c r="I19" s="434"/>
      <c r="J19" s="435"/>
    </row>
    <row r="20">
      <c r="A20" s="431">
        <v>46189.0</v>
      </c>
      <c r="B20" s="432">
        <v>11.0</v>
      </c>
      <c r="C20" s="432" t="s">
        <v>103</v>
      </c>
      <c r="D20" s="432" t="s">
        <v>438</v>
      </c>
      <c r="E20" s="432">
        <v>4.0</v>
      </c>
      <c r="F20" s="433">
        <v>550000.0</v>
      </c>
      <c r="G20" s="433">
        <v>2200000.0</v>
      </c>
      <c r="H20" s="432" t="s">
        <v>442</v>
      </c>
      <c r="I20" s="434"/>
      <c r="J20" s="435"/>
    </row>
    <row r="21">
      <c r="A21" s="431">
        <v>46190.0</v>
      </c>
      <c r="B21" s="432">
        <v>12.0</v>
      </c>
      <c r="C21" s="432" t="s">
        <v>111</v>
      </c>
      <c r="D21" s="432" t="s">
        <v>112</v>
      </c>
      <c r="E21" s="432">
        <v>1.0</v>
      </c>
      <c r="F21" s="433">
        <v>201900.0</v>
      </c>
      <c r="G21" s="433">
        <v>201900.0</v>
      </c>
      <c r="H21" s="432" t="s">
        <v>111</v>
      </c>
      <c r="I21" s="434"/>
      <c r="J21" s="435"/>
    </row>
    <row r="22">
      <c r="A22" s="431">
        <v>46191.0</v>
      </c>
      <c r="B22" s="432">
        <v>13.0</v>
      </c>
      <c r="C22" s="432" t="s">
        <v>85</v>
      </c>
      <c r="D22" s="432" t="s">
        <v>129</v>
      </c>
      <c r="E22" s="432">
        <v>1.0</v>
      </c>
      <c r="F22" s="433">
        <v>60000.0</v>
      </c>
      <c r="G22" s="433">
        <v>60000.0</v>
      </c>
      <c r="H22" s="432" t="s">
        <v>90</v>
      </c>
      <c r="I22" s="434"/>
      <c r="J22" s="435"/>
    </row>
    <row r="23">
      <c r="A23" s="431">
        <v>46192.0</v>
      </c>
      <c r="B23" s="432">
        <v>14.0</v>
      </c>
      <c r="C23" s="432" t="s">
        <v>111</v>
      </c>
      <c r="D23" s="432" t="s">
        <v>450</v>
      </c>
      <c r="E23" s="432">
        <v>1.0</v>
      </c>
      <c r="F23" s="433">
        <v>326347.0</v>
      </c>
      <c r="G23" s="433">
        <v>326347.0</v>
      </c>
      <c r="H23" s="432" t="s">
        <v>449</v>
      </c>
      <c r="I23" s="434"/>
      <c r="J23" s="435"/>
    </row>
    <row r="24">
      <c r="A24" s="431">
        <v>46195.0</v>
      </c>
      <c r="B24" s="432">
        <v>15.0</v>
      </c>
      <c r="C24" s="432" t="s">
        <v>111</v>
      </c>
      <c r="D24" s="432" t="s">
        <v>112</v>
      </c>
      <c r="E24" s="432">
        <v>2.0</v>
      </c>
      <c r="F24" s="433">
        <v>201900.0</v>
      </c>
      <c r="G24" s="433">
        <v>403800.0</v>
      </c>
      <c r="H24" s="432" t="s">
        <v>111</v>
      </c>
      <c r="I24" s="434"/>
      <c r="J24" s="435"/>
    </row>
    <row r="25">
      <c r="A25" s="431">
        <v>46195.0</v>
      </c>
      <c r="B25" s="432">
        <v>16.0</v>
      </c>
      <c r="C25" s="432" t="s">
        <v>439</v>
      </c>
      <c r="D25" s="432" t="s">
        <v>459</v>
      </c>
      <c r="E25" s="432">
        <v>1.0</v>
      </c>
      <c r="F25" s="433">
        <v>702500.0</v>
      </c>
      <c r="G25" s="433">
        <v>702500.0</v>
      </c>
      <c r="H25" s="432" t="s">
        <v>436</v>
      </c>
      <c r="I25" s="434"/>
      <c r="J25" s="435"/>
    </row>
    <row r="26">
      <c r="A26" s="431">
        <v>46195.0</v>
      </c>
      <c r="B26" s="432">
        <v>16.0</v>
      </c>
      <c r="C26" s="432" t="s">
        <v>439</v>
      </c>
      <c r="D26" s="432" t="s">
        <v>457</v>
      </c>
      <c r="E26" s="432">
        <v>1.0</v>
      </c>
      <c r="F26" s="433">
        <v>750000.0</v>
      </c>
      <c r="G26" s="433">
        <v>750000.0</v>
      </c>
      <c r="H26" s="432" t="s">
        <v>436</v>
      </c>
      <c r="I26" s="434"/>
      <c r="J26" s="435"/>
    </row>
    <row r="27">
      <c r="A27" s="431">
        <v>46195.0</v>
      </c>
      <c r="B27" s="432">
        <v>17.0</v>
      </c>
      <c r="C27" s="432" t="s">
        <v>103</v>
      </c>
      <c r="D27" s="432" t="s">
        <v>438</v>
      </c>
      <c r="E27" s="432">
        <v>4.0</v>
      </c>
      <c r="F27" s="433">
        <v>550000.0</v>
      </c>
      <c r="G27" s="433">
        <v>2200000.0</v>
      </c>
      <c r="H27" s="432" t="s">
        <v>442</v>
      </c>
      <c r="I27" s="434"/>
      <c r="J27" s="435"/>
    </row>
    <row r="28">
      <c r="A28" s="431">
        <v>46195.0</v>
      </c>
      <c r="B28" s="432">
        <v>17.0</v>
      </c>
      <c r="C28" s="432" t="s">
        <v>103</v>
      </c>
      <c r="D28" s="432" t="s">
        <v>108</v>
      </c>
      <c r="E28" s="432">
        <v>20.0</v>
      </c>
      <c r="F28" s="433">
        <v>225000.0</v>
      </c>
      <c r="G28" s="433">
        <v>4500000.0</v>
      </c>
      <c r="H28" s="432" t="s">
        <v>442</v>
      </c>
      <c r="I28" s="434"/>
      <c r="J28" s="435"/>
    </row>
    <row r="29">
      <c r="A29" s="431">
        <v>46196.0</v>
      </c>
      <c r="B29" s="432">
        <v>18.0</v>
      </c>
      <c r="C29" s="432" t="s">
        <v>85</v>
      </c>
      <c r="D29" s="432" t="s">
        <v>129</v>
      </c>
      <c r="E29" s="432">
        <v>1.0</v>
      </c>
      <c r="F29" s="433">
        <v>39000.0</v>
      </c>
      <c r="G29" s="433">
        <v>39000.0</v>
      </c>
      <c r="H29" s="432" t="s">
        <v>90</v>
      </c>
      <c r="I29" s="434"/>
      <c r="J29" s="435"/>
    </row>
    <row r="30">
      <c r="A30" s="431">
        <v>46196.0</v>
      </c>
      <c r="B30" s="432">
        <v>19.0</v>
      </c>
      <c r="C30" s="432" t="s">
        <v>103</v>
      </c>
      <c r="D30" s="432" t="s">
        <v>106</v>
      </c>
      <c r="E30" s="432">
        <v>20.0</v>
      </c>
      <c r="F30" s="433">
        <v>80000.0</v>
      </c>
      <c r="G30" s="433">
        <v>1600000.0</v>
      </c>
      <c r="H30" s="432" t="s">
        <v>442</v>
      </c>
      <c r="I30" s="434"/>
      <c r="J30" s="435"/>
    </row>
    <row r="31">
      <c r="A31" s="431">
        <v>46198.0</v>
      </c>
      <c r="B31" s="432">
        <v>20.0</v>
      </c>
      <c r="C31" s="432" t="s">
        <v>85</v>
      </c>
      <c r="D31" s="432" t="s">
        <v>115</v>
      </c>
      <c r="E31" s="432">
        <v>1.0</v>
      </c>
      <c r="F31" s="433">
        <v>100000.0</v>
      </c>
      <c r="G31" s="433">
        <v>100000.0</v>
      </c>
      <c r="H31" s="432" t="s">
        <v>436</v>
      </c>
      <c r="I31" s="434"/>
      <c r="J31" s="435"/>
    </row>
    <row r="32">
      <c r="A32" s="431">
        <v>46199.0</v>
      </c>
      <c r="B32" s="432">
        <v>21.0</v>
      </c>
      <c r="C32" s="432" t="s">
        <v>111</v>
      </c>
      <c r="D32" s="432" t="s">
        <v>112</v>
      </c>
      <c r="E32" s="432">
        <v>2.0</v>
      </c>
      <c r="F32" s="433">
        <v>201900.0</v>
      </c>
      <c r="G32" s="433">
        <v>403800.0</v>
      </c>
      <c r="H32" s="432" t="s">
        <v>111</v>
      </c>
      <c r="I32" s="434"/>
      <c r="J32" s="435"/>
    </row>
    <row r="33">
      <c r="A33" s="431">
        <v>46202.0</v>
      </c>
      <c r="B33" s="432">
        <v>22.0</v>
      </c>
      <c r="C33" s="432" t="s">
        <v>439</v>
      </c>
      <c r="D33" s="432" t="s">
        <v>459</v>
      </c>
      <c r="E33" s="432">
        <v>1.0</v>
      </c>
      <c r="F33" s="433">
        <v>702500.0</v>
      </c>
      <c r="G33" s="433">
        <v>702500.0</v>
      </c>
      <c r="H33" s="432" t="s">
        <v>436</v>
      </c>
      <c r="I33" s="434"/>
      <c r="J33" s="435"/>
    </row>
    <row r="34">
      <c r="A34" s="431">
        <v>46202.0</v>
      </c>
      <c r="B34" s="432">
        <v>22.0</v>
      </c>
      <c r="C34" s="432" t="s">
        <v>439</v>
      </c>
      <c r="D34" s="432" t="s">
        <v>457</v>
      </c>
      <c r="E34" s="432">
        <v>1.0</v>
      </c>
      <c r="F34" s="433">
        <v>750000.0</v>
      </c>
      <c r="G34" s="433">
        <v>750000.0</v>
      </c>
      <c r="H34" s="432" t="s">
        <v>436</v>
      </c>
      <c r="I34" s="434"/>
      <c r="J34" s="435"/>
    </row>
    <row r="35">
      <c r="A35" s="431">
        <v>46203.0</v>
      </c>
      <c r="B35" s="432">
        <v>23.0</v>
      </c>
      <c r="C35" s="432" t="s">
        <v>111</v>
      </c>
      <c r="D35" s="432" t="s">
        <v>112</v>
      </c>
      <c r="E35" s="432">
        <v>1.0</v>
      </c>
      <c r="F35" s="433">
        <v>201900.0</v>
      </c>
      <c r="G35" s="433">
        <v>201900.0</v>
      </c>
      <c r="H35" s="432" t="s">
        <v>111</v>
      </c>
      <c r="I35" s="434"/>
      <c r="J35" s="435"/>
    </row>
    <row r="36">
      <c r="A36" s="431">
        <v>46205.0</v>
      </c>
      <c r="B36" s="432">
        <v>24.0</v>
      </c>
      <c r="C36" s="432" t="s">
        <v>103</v>
      </c>
      <c r="D36" s="432" t="s">
        <v>106</v>
      </c>
      <c r="E36" s="432">
        <v>20.0</v>
      </c>
      <c r="F36" s="433">
        <v>80000.0</v>
      </c>
      <c r="G36" s="433">
        <v>1600000.0</v>
      </c>
      <c r="H36" s="432" t="s">
        <v>442</v>
      </c>
      <c r="I36" s="434"/>
      <c r="J36" s="435"/>
    </row>
    <row r="37">
      <c r="A37" s="431">
        <v>46205.0</v>
      </c>
      <c r="B37" s="432">
        <v>25.0</v>
      </c>
      <c r="C37" s="432" t="s">
        <v>111</v>
      </c>
      <c r="D37" s="432" t="s">
        <v>112</v>
      </c>
      <c r="E37" s="432">
        <v>1.0</v>
      </c>
      <c r="F37" s="433">
        <v>201900.0</v>
      </c>
      <c r="G37" s="433">
        <v>201900.0</v>
      </c>
      <c r="H37" s="432" t="s">
        <v>111</v>
      </c>
      <c r="I37" s="434"/>
      <c r="J37" s="435"/>
    </row>
    <row r="38">
      <c r="A38" s="431">
        <v>46206.0</v>
      </c>
      <c r="B38" s="432">
        <v>27.0</v>
      </c>
      <c r="C38" s="432" t="s">
        <v>111</v>
      </c>
      <c r="D38" s="432" t="s">
        <v>443</v>
      </c>
      <c r="E38" s="432">
        <v>1.0</v>
      </c>
      <c r="F38" s="433">
        <v>899882.0</v>
      </c>
      <c r="G38" s="433">
        <v>899882.0</v>
      </c>
      <c r="H38" s="432" t="s">
        <v>451</v>
      </c>
      <c r="I38" s="434"/>
      <c r="J38" s="435"/>
    </row>
    <row r="39">
      <c r="A39" s="431">
        <v>46207.0</v>
      </c>
      <c r="B39" s="432">
        <v>28.0</v>
      </c>
      <c r="C39" s="432" t="s">
        <v>85</v>
      </c>
      <c r="D39" s="432" t="s">
        <v>445</v>
      </c>
      <c r="E39" s="432">
        <v>1.0</v>
      </c>
      <c r="F39" s="433">
        <v>200000.0</v>
      </c>
      <c r="G39" s="433">
        <v>200000.0</v>
      </c>
      <c r="H39" s="432" t="s">
        <v>458</v>
      </c>
      <c r="I39" s="434"/>
      <c r="J39" s="435"/>
    </row>
    <row r="40">
      <c r="A40" s="431">
        <v>46207.0</v>
      </c>
      <c r="B40" s="432">
        <v>29.0</v>
      </c>
      <c r="C40" s="432" t="s">
        <v>85</v>
      </c>
      <c r="D40" s="432" t="s">
        <v>448</v>
      </c>
      <c r="E40" s="432">
        <v>1.0</v>
      </c>
      <c r="F40" s="433">
        <v>43000.0</v>
      </c>
      <c r="G40" s="433">
        <v>43000.0</v>
      </c>
      <c r="H40" s="432" t="s">
        <v>440</v>
      </c>
      <c r="I40" s="434"/>
      <c r="J40" s="435"/>
    </row>
    <row r="41">
      <c r="A41" s="431">
        <v>46207.0</v>
      </c>
      <c r="B41" s="432">
        <v>30.0</v>
      </c>
      <c r="C41" s="432" t="s">
        <v>85</v>
      </c>
      <c r="D41" s="432" t="s">
        <v>437</v>
      </c>
      <c r="E41" s="432">
        <v>1.0</v>
      </c>
      <c r="F41" s="433">
        <v>367900.0</v>
      </c>
      <c r="G41" s="433">
        <v>367900.0</v>
      </c>
      <c r="H41" s="432" t="s">
        <v>99</v>
      </c>
      <c r="I41" s="434"/>
      <c r="J41" s="435"/>
    </row>
    <row r="42">
      <c r="A42" s="431">
        <v>46208.0</v>
      </c>
      <c r="B42" s="432">
        <v>31.0</v>
      </c>
      <c r="C42" s="432" t="s">
        <v>111</v>
      </c>
      <c r="D42" s="432" t="s">
        <v>112</v>
      </c>
      <c r="E42" s="432">
        <v>1.0</v>
      </c>
      <c r="F42" s="433">
        <v>201900.0</v>
      </c>
      <c r="G42" s="433">
        <v>201900.0</v>
      </c>
      <c r="H42" s="432" t="s">
        <v>111</v>
      </c>
      <c r="I42" s="434"/>
      <c r="J42" s="435"/>
    </row>
    <row r="43">
      <c r="A43" s="431">
        <v>46208.0</v>
      </c>
      <c r="B43" s="432">
        <v>32.0</v>
      </c>
      <c r="C43" s="432" t="s">
        <v>439</v>
      </c>
      <c r="D43" s="432" t="s">
        <v>459</v>
      </c>
      <c r="E43" s="432">
        <v>1.0</v>
      </c>
      <c r="F43" s="433">
        <v>702500.0</v>
      </c>
      <c r="G43" s="433">
        <v>702500.0</v>
      </c>
      <c r="H43" s="432" t="s">
        <v>436</v>
      </c>
      <c r="I43" s="434"/>
      <c r="J43" s="435"/>
    </row>
    <row r="44">
      <c r="A44" s="431">
        <v>46208.0</v>
      </c>
      <c r="B44" s="432">
        <v>32.0</v>
      </c>
      <c r="C44" s="432" t="s">
        <v>439</v>
      </c>
      <c r="D44" s="432" t="s">
        <v>457</v>
      </c>
      <c r="E44" s="432">
        <v>1.0</v>
      </c>
      <c r="F44" s="433">
        <v>750000.0</v>
      </c>
      <c r="G44" s="433">
        <v>750000.0</v>
      </c>
      <c r="H44" s="432" t="s">
        <v>436</v>
      </c>
      <c r="I44" s="434"/>
      <c r="J44" s="43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26" t="s">
        <v>1</v>
      </c>
      <c r="B1" s="427" t="s">
        <v>80</v>
      </c>
      <c r="C1" s="427" t="s">
        <v>81</v>
      </c>
      <c r="D1" s="427" t="s">
        <v>82</v>
      </c>
      <c r="E1" s="427" t="s">
        <v>83</v>
      </c>
      <c r="F1" s="428" t="s">
        <v>5</v>
      </c>
      <c r="G1" s="428" t="s">
        <v>6</v>
      </c>
      <c r="H1" s="427" t="s">
        <v>84</v>
      </c>
      <c r="I1" s="429"/>
      <c r="J1" s="430"/>
    </row>
    <row r="2">
      <c r="A2" s="431">
        <v>46182.0</v>
      </c>
      <c r="B2" s="432">
        <v>1.0</v>
      </c>
      <c r="C2" s="432" t="s">
        <v>103</v>
      </c>
      <c r="D2" s="432" t="s">
        <v>108</v>
      </c>
      <c r="E2" s="432">
        <v>20.0</v>
      </c>
      <c r="F2" s="433">
        <v>225000.0</v>
      </c>
      <c r="G2" s="433">
        <v>4500000.0</v>
      </c>
      <c r="H2" s="432" t="s">
        <v>442</v>
      </c>
      <c r="I2" s="434"/>
      <c r="J2" s="435"/>
    </row>
    <row r="3">
      <c r="A3" s="431">
        <v>46182.0</v>
      </c>
      <c r="B3" s="434"/>
      <c r="C3" s="432" t="s">
        <v>103</v>
      </c>
      <c r="D3" s="432" t="s">
        <v>435</v>
      </c>
      <c r="E3" s="432">
        <v>7.0</v>
      </c>
      <c r="F3" s="433">
        <v>210000.0</v>
      </c>
      <c r="G3" s="433">
        <v>1470000.0</v>
      </c>
      <c r="H3" s="432" t="s">
        <v>442</v>
      </c>
      <c r="I3" s="434"/>
      <c r="J3" s="435"/>
    </row>
    <row r="4">
      <c r="A4" s="431">
        <v>46182.0</v>
      </c>
      <c r="B4" s="434"/>
      <c r="C4" s="432" t="s">
        <v>103</v>
      </c>
      <c r="D4" s="432" t="s">
        <v>438</v>
      </c>
      <c r="E4" s="432">
        <v>6.0</v>
      </c>
      <c r="F4" s="433">
        <v>550000.0</v>
      </c>
      <c r="G4" s="433">
        <v>3300000.0</v>
      </c>
      <c r="H4" s="432" t="s">
        <v>442</v>
      </c>
      <c r="I4" s="434"/>
      <c r="J4" s="435"/>
    </row>
    <row r="5">
      <c r="A5" s="431">
        <v>46182.0</v>
      </c>
      <c r="B5" s="434"/>
      <c r="C5" s="432" t="s">
        <v>103</v>
      </c>
      <c r="D5" s="432" t="s">
        <v>106</v>
      </c>
      <c r="E5" s="432">
        <v>20.0</v>
      </c>
      <c r="F5" s="433">
        <v>80000.0</v>
      </c>
      <c r="G5" s="433">
        <v>1600000.0</v>
      </c>
      <c r="H5" s="432" t="s">
        <v>442</v>
      </c>
      <c r="I5" s="434"/>
      <c r="J5" s="435"/>
    </row>
    <row r="6">
      <c r="A6" s="431">
        <v>46183.0</v>
      </c>
      <c r="B6" s="432">
        <v>2.0</v>
      </c>
      <c r="C6" s="432" t="s">
        <v>111</v>
      </c>
      <c r="D6" s="432" t="s">
        <v>112</v>
      </c>
      <c r="E6" s="432">
        <v>1.0</v>
      </c>
      <c r="F6" s="433">
        <v>201900.0</v>
      </c>
      <c r="G6" s="433">
        <v>201900.0</v>
      </c>
      <c r="H6" s="432" t="s">
        <v>111</v>
      </c>
      <c r="I6" s="434"/>
      <c r="J6" s="435"/>
    </row>
    <row r="7">
      <c r="A7" s="431">
        <v>46184.0</v>
      </c>
      <c r="B7" s="432">
        <v>3.0</v>
      </c>
      <c r="C7" s="432" t="s">
        <v>85</v>
      </c>
      <c r="D7" s="432" t="s">
        <v>460</v>
      </c>
      <c r="E7" s="432">
        <v>46.0</v>
      </c>
      <c r="F7" s="433">
        <v>30000.0</v>
      </c>
      <c r="G7" s="433">
        <v>1380000.0</v>
      </c>
      <c r="H7" s="432" t="s">
        <v>433</v>
      </c>
      <c r="I7" s="434"/>
      <c r="J7" s="435"/>
    </row>
    <row r="8">
      <c r="A8" s="431">
        <v>46184.0</v>
      </c>
      <c r="B8" s="432">
        <v>4.0</v>
      </c>
      <c r="C8" s="432" t="s">
        <v>85</v>
      </c>
      <c r="D8" s="432" t="s">
        <v>441</v>
      </c>
      <c r="E8" s="432">
        <v>1.0</v>
      </c>
      <c r="F8" s="433">
        <v>30000.0</v>
      </c>
      <c r="G8" s="433">
        <v>30000.0</v>
      </c>
      <c r="H8" s="432" t="s">
        <v>447</v>
      </c>
      <c r="I8" s="434"/>
      <c r="J8" s="435"/>
    </row>
    <row r="9">
      <c r="A9" s="431">
        <v>46184.0</v>
      </c>
      <c r="B9" s="432">
        <v>5.0</v>
      </c>
      <c r="C9" s="432" t="s">
        <v>111</v>
      </c>
      <c r="D9" s="432" t="s">
        <v>489</v>
      </c>
      <c r="E9" s="432">
        <v>1.0</v>
      </c>
      <c r="F9" s="433">
        <v>1278000.0</v>
      </c>
      <c r="G9" s="433">
        <v>1278000.0</v>
      </c>
      <c r="H9" s="436" t="s">
        <v>111</v>
      </c>
      <c r="I9" s="434"/>
      <c r="J9" s="435"/>
    </row>
    <row r="10">
      <c r="A10" s="431">
        <v>46185.0</v>
      </c>
      <c r="B10" s="432">
        <v>5.0</v>
      </c>
      <c r="C10" s="432" t="s">
        <v>111</v>
      </c>
      <c r="D10" s="432" t="s">
        <v>112</v>
      </c>
      <c r="E10" s="432">
        <v>1.0</v>
      </c>
      <c r="F10" s="433">
        <v>201900.0</v>
      </c>
      <c r="G10" s="433">
        <v>201900.0</v>
      </c>
      <c r="H10" s="432" t="s">
        <v>111</v>
      </c>
      <c r="I10" s="434"/>
      <c r="J10" s="435"/>
    </row>
    <row r="11">
      <c r="A11" s="431">
        <v>46186.0</v>
      </c>
      <c r="B11" s="432">
        <v>5.0</v>
      </c>
      <c r="C11" s="432" t="s">
        <v>111</v>
      </c>
      <c r="D11" s="432" t="s">
        <v>112</v>
      </c>
      <c r="E11" s="432">
        <v>1.0</v>
      </c>
      <c r="F11" s="433">
        <v>201900.0</v>
      </c>
      <c r="G11" s="433">
        <v>201900.0</v>
      </c>
      <c r="H11" s="432" t="s">
        <v>111</v>
      </c>
      <c r="I11" s="434"/>
      <c r="J11" s="435"/>
    </row>
    <row r="12">
      <c r="A12" s="431">
        <v>46188.0</v>
      </c>
      <c r="B12" s="432">
        <v>6.0</v>
      </c>
      <c r="C12" s="432" t="s">
        <v>439</v>
      </c>
      <c r="D12" s="432" t="s">
        <v>459</v>
      </c>
      <c r="E12" s="432">
        <v>1.0</v>
      </c>
      <c r="F12" s="433">
        <v>702500.0</v>
      </c>
      <c r="G12" s="433">
        <v>702500.0</v>
      </c>
      <c r="H12" s="432" t="s">
        <v>436</v>
      </c>
      <c r="I12" s="434"/>
      <c r="J12" s="435"/>
    </row>
    <row r="13">
      <c r="A13" s="431">
        <v>46188.0</v>
      </c>
      <c r="B13" s="432">
        <v>6.0</v>
      </c>
      <c r="C13" s="432" t="s">
        <v>439</v>
      </c>
      <c r="D13" s="432" t="s">
        <v>457</v>
      </c>
      <c r="E13" s="432">
        <v>1.0</v>
      </c>
      <c r="F13" s="433">
        <v>750000.0</v>
      </c>
      <c r="G13" s="433">
        <v>750000.0</v>
      </c>
      <c r="H13" s="432" t="s">
        <v>436</v>
      </c>
      <c r="I13" s="434"/>
      <c r="J13" s="435"/>
    </row>
    <row r="14">
      <c r="A14" s="431">
        <v>46188.0</v>
      </c>
      <c r="B14" s="432">
        <v>7.0</v>
      </c>
      <c r="C14" s="432" t="s">
        <v>85</v>
      </c>
      <c r="D14" s="432" t="s">
        <v>115</v>
      </c>
      <c r="E14" s="432">
        <v>1.0</v>
      </c>
      <c r="F14" s="433">
        <v>100000.0</v>
      </c>
      <c r="G14" s="433">
        <v>100000.0</v>
      </c>
      <c r="H14" s="432" t="s">
        <v>436</v>
      </c>
      <c r="I14" s="434"/>
      <c r="J14" s="435"/>
    </row>
    <row r="15">
      <c r="A15" s="431">
        <v>46188.0</v>
      </c>
      <c r="B15" s="432">
        <v>8.0</v>
      </c>
      <c r="C15" s="432" t="s">
        <v>85</v>
      </c>
      <c r="D15" s="432" t="s">
        <v>434</v>
      </c>
      <c r="E15" s="432">
        <v>1.0</v>
      </c>
      <c r="F15" s="433">
        <v>115000.0</v>
      </c>
      <c r="G15" s="433">
        <v>115000.0</v>
      </c>
      <c r="H15" s="432" t="s">
        <v>453</v>
      </c>
      <c r="I15" s="434"/>
      <c r="J15" s="435"/>
    </row>
    <row r="16">
      <c r="A16" s="431">
        <v>46189.0</v>
      </c>
      <c r="B16" s="432">
        <v>9.0</v>
      </c>
      <c r="C16" s="432" t="s">
        <v>111</v>
      </c>
      <c r="D16" s="432" t="s">
        <v>112</v>
      </c>
      <c r="E16" s="432">
        <v>1.0</v>
      </c>
      <c r="F16" s="433">
        <v>201900.0</v>
      </c>
      <c r="G16" s="433">
        <v>201900.0</v>
      </c>
      <c r="H16" s="432" t="s">
        <v>111</v>
      </c>
      <c r="I16" s="434"/>
      <c r="J16" s="435"/>
    </row>
    <row r="17">
      <c r="A17" s="431">
        <v>46189.0</v>
      </c>
      <c r="B17" s="432">
        <v>10.0</v>
      </c>
      <c r="C17" s="432" t="s">
        <v>85</v>
      </c>
      <c r="D17" s="432" t="s">
        <v>452</v>
      </c>
      <c r="E17" s="432">
        <v>2.0</v>
      </c>
      <c r="F17" s="433">
        <v>526500.0</v>
      </c>
      <c r="G17" s="433">
        <v>1053000.0</v>
      </c>
      <c r="H17" s="432" t="s">
        <v>456</v>
      </c>
      <c r="I17" s="434"/>
      <c r="J17" s="435"/>
    </row>
    <row r="18">
      <c r="A18" s="431">
        <v>46189.0</v>
      </c>
      <c r="B18" s="432">
        <v>11.0</v>
      </c>
      <c r="C18" s="432" t="s">
        <v>103</v>
      </c>
      <c r="D18" s="432" t="s">
        <v>106</v>
      </c>
      <c r="E18" s="432">
        <v>20.0</v>
      </c>
      <c r="F18" s="433">
        <v>80000.0</v>
      </c>
      <c r="G18" s="433">
        <v>1600000.0</v>
      </c>
      <c r="H18" s="432" t="s">
        <v>442</v>
      </c>
      <c r="I18" s="434"/>
      <c r="J18" s="435"/>
    </row>
    <row r="19">
      <c r="A19" s="431">
        <v>46189.0</v>
      </c>
      <c r="B19" s="432">
        <v>11.0</v>
      </c>
      <c r="C19" s="432" t="s">
        <v>103</v>
      </c>
      <c r="D19" s="432" t="s">
        <v>107</v>
      </c>
      <c r="E19" s="432">
        <v>5.0</v>
      </c>
      <c r="F19" s="433">
        <v>255000.0</v>
      </c>
      <c r="G19" s="433">
        <v>1275000.0</v>
      </c>
      <c r="H19" s="432" t="s">
        <v>442</v>
      </c>
      <c r="I19" s="434"/>
      <c r="J19" s="435"/>
    </row>
    <row r="20">
      <c r="A20" s="431">
        <v>46189.0</v>
      </c>
      <c r="B20" s="432">
        <v>11.0</v>
      </c>
      <c r="C20" s="432" t="s">
        <v>103</v>
      </c>
      <c r="D20" s="432" t="s">
        <v>438</v>
      </c>
      <c r="E20" s="432">
        <v>4.0</v>
      </c>
      <c r="F20" s="433">
        <v>550000.0</v>
      </c>
      <c r="G20" s="433">
        <v>2200000.0</v>
      </c>
      <c r="H20" s="432" t="s">
        <v>442</v>
      </c>
      <c r="I20" s="434"/>
      <c r="J20" s="435"/>
    </row>
    <row r="21">
      <c r="A21" s="431">
        <v>46190.0</v>
      </c>
      <c r="B21" s="432">
        <v>12.0</v>
      </c>
      <c r="C21" s="432" t="s">
        <v>111</v>
      </c>
      <c r="D21" s="432" t="s">
        <v>112</v>
      </c>
      <c r="E21" s="432">
        <v>1.0</v>
      </c>
      <c r="F21" s="433">
        <v>201900.0</v>
      </c>
      <c r="G21" s="433">
        <v>201900.0</v>
      </c>
      <c r="H21" s="432" t="s">
        <v>111</v>
      </c>
      <c r="I21" s="434"/>
      <c r="J21" s="435"/>
    </row>
    <row r="22">
      <c r="A22" s="431">
        <v>46191.0</v>
      </c>
      <c r="B22" s="432">
        <v>13.0</v>
      </c>
      <c r="C22" s="432" t="s">
        <v>85</v>
      </c>
      <c r="D22" s="432" t="s">
        <v>129</v>
      </c>
      <c r="E22" s="432">
        <v>1.0</v>
      </c>
      <c r="F22" s="433">
        <v>60000.0</v>
      </c>
      <c r="G22" s="433">
        <v>60000.0</v>
      </c>
      <c r="H22" s="432" t="s">
        <v>90</v>
      </c>
      <c r="I22" s="434"/>
      <c r="J22" s="435"/>
    </row>
    <row r="23">
      <c r="A23" s="431">
        <v>46192.0</v>
      </c>
      <c r="B23" s="432">
        <v>14.0</v>
      </c>
      <c r="C23" s="432" t="s">
        <v>111</v>
      </c>
      <c r="D23" s="432" t="s">
        <v>450</v>
      </c>
      <c r="E23" s="432">
        <v>1.0</v>
      </c>
      <c r="F23" s="433">
        <v>326347.0</v>
      </c>
      <c r="G23" s="433">
        <v>326347.0</v>
      </c>
      <c r="H23" s="432" t="s">
        <v>449</v>
      </c>
      <c r="I23" s="434"/>
      <c r="J23" s="435"/>
    </row>
    <row r="24">
      <c r="A24" s="431">
        <v>46195.0</v>
      </c>
      <c r="B24" s="432">
        <v>15.0</v>
      </c>
      <c r="C24" s="432" t="s">
        <v>111</v>
      </c>
      <c r="D24" s="432" t="s">
        <v>112</v>
      </c>
      <c r="E24" s="432">
        <v>2.0</v>
      </c>
      <c r="F24" s="433">
        <v>201900.0</v>
      </c>
      <c r="G24" s="433">
        <v>403800.0</v>
      </c>
      <c r="H24" s="432" t="s">
        <v>111</v>
      </c>
      <c r="I24" s="434"/>
      <c r="J24" s="435"/>
    </row>
    <row r="25">
      <c r="A25" s="431">
        <v>46195.0</v>
      </c>
      <c r="B25" s="432">
        <v>16.0</v>
      </c>
      <c r="C25" s="432" t="s">
        <v>439</v>
      </c>
      <c r="D25" s="432" t="s">
        <v>459</v>
      </c>
      <c r="E25" s="432">
        <v>1.0</v>
      </c>
      <c r="F25" s="433">
        <v>702500.0</v>
      </c>
      <c r="G25" s="433">
        <v>702500.0</v>
      </c>
      <c r="H25" s="432" t="s">
        <v>436</v>
      </c>
      <c r="I25" s="434"/>
      <c r="J25" s="435"/>
    </row>
    <row r="26">
      <c r="A26" s="431">
        <v>46195.0</v>
      </c>
      <c r="B26" s="432">
        <v>16.0</v>
      </c>
      <c r="C26" s="432" t="s">
        <v>439</v>
      </c>
      <c r="D26" s="432" t="s">
        <v>457</v>
      </c>
      <c r="E26" s="432">
        <v>1.0</v>
      </c>
      <c r="F26" s="433">
        <v>750000.0</v>
      </c>
      <c r="G26" s="433">
        <v>750000.0</v>
      </c>
      <c r="H26" s="432" t="s">
        <v>436</v>
      </c>
      <c r="I26" s="434"/>
      <c r="J26" s="435"/>
    </row>
    <row r="27">
      <c r="A27" s="431">
        <v>46195.0</v>
      </c>
      <c r="B27" s="432">
        <v>17.0</v>
      </c>
      <c r="C27" s="432" t="s">
        <v>103</v>
      </c>
      <c r="D27" s="432" t="s">
        <v>438</v>
      </c>
      <c r="E27" s="432">
        <v>4.0</v>
      </c>
      <c r="F27" s="433">
        <v>550000.0</v>
      </c>
      <c r="G27" s="433">
        <v>2200000.0</v>
      </c>
      <c r="H27" s="432" t="s">
        <v>442</v>
      </c>
      <c r="I27" s="434"/>
      <c r="J27" s="435"/>
    </row>
    <row r="28">
      <c r="A28" s="431">
        <v>46195.0</v>
      </c>
      <c r="B28" s="432">
        <v>17.0</v>
      </c>
      <c r="C28" s="432" t="s">
        <v>103</v>
      </c>
      <c r="D28" s="432" t="s">
        <v>108</v>
      </c>
      <c r="E28" s="432">
        <v>20.0</v>
      </c>
      <c r="F28" s="433">
        <v>225000.0</v>
      </c>
      <c r="G28" s="433">
        <v>4500000.0</v>
      </c>
      <c r="H28" s="432" t="s">
        <v>442</v>
      </c>
      <c r="I28" s="434"/>
      <c r="J28" s="435"/>
    </row>
    <row r="29">
      <c r="A29" s="431">
        <v>46196.0</v>
      </c>
      <c r="B29" s="432">
        <v>18.0</v>
      </c>
      <c r="C29" s="432" t="s">
        <v>85</v>
      </c>
      <c r="D29" s="432" t="s">
        <v>129</v>
      </c>
      <c r="E29" s="432">
        <v>1.0</v>
      </c>
      <c r="F29" s="433">
        <v>39000.0</v>
      </c>
      <c r="G29" s="433">
        <v>39000.0</v>
      </c>
      <c r="H29" s="432" t="s">
        <v>90</v>
      </c>
      <c r="I29" s="434"/>
      <c r="J29" s="435"/>
    </row>
    <row r="30">
      <c r="A30" s="431">
        <v>46196.0</v>
      </c>
      <c r="B30" s="432">
        <v>19.0</v>
      </c>
      <c r="C30" s="432" t="s">
        <v>103</v>
      </c>
      <c r="D30" s="432" t="s">
        <v>106</v>
      </c>
      <c r="E30" s="432">
        <v>20.0</v>
      </c>
      <c r="F30" s="433">
        <v>80000.0</v>
      </c>
      <c r="G30" s="433">
        <v>1600000.0</v>
      </c>
      <c r="H30" s="432" t="s">
        <v>442</v>
      </c>
      <c r="I30" s="434"/>
      <c r="J30" s="435"/>
    </row>
    <row r="31">
      <c r="A31" s="431">
        <v>46198.0</v>
      </c>
      <c r="B31" s="432">
        <v>20.0</v>
      </c>
      <c r="C31" s="432" t="s">
        <v>85</v>
      </c>
      <c r="D31" s="432" t="s">
        <v>115</v>
      </c>
      <c r="E31" s="432">
        <v>1.0</v>
      </c>
      <c r="F31" s="433">
        <v>100000.0</v>
      </c>
      <c r="G31" s="433">
        <v>100000.0</v>
      </c>
      <c r="H31" s="432" t="s">
        <v>436</v>
      </c>
      <c r="I31" s="434"/>
      <c r="J31" s="435"/>
    </row>
    <row r="32">
      <c r="A32" s="431">
        <v>46199.0</v>
      </c>
      <c r="B32" s="432">
        <v>21.0</v>
      </c>
      <c r="C32" s="432" t="s">
        <v>111</v>
      </c>
      <c r="D32" s="432" t="s">
        <v>112</v>
      </c>
      <c r="E32" s="432">
        <v>2.0</v>
      </c>
      <c r="F32" s="433">
        <v>201900.0</v>
      </c>
      <c r="G32" s="433">
        <v>403800.0</v>
      </c>
      <c r="H32" s="432" t="s">
        <v>111</v>
      </c>
      <c r="I32" s="434"/>
      <c r="J32" s="435"/>
    </row>
    <row r="33">
      <c r="A33" s="431">
        <v>46202.0</v>
      </c>
      <c r="B33" s="432">
        <v>22.0</v>
      </c>
      <c r="C33" s="432" t="s">
        <v>439</v>
      </c>
      <c r="D33" s="432" t="s">
        <v>459</v>
      </c>
      <c r="E33" s="432">
        <v>1.0</v>
      </c>
      <c r="F33" s="433">
        <v>702500.0</v>
      </c>
      <c r="G33" s="433">
        <v>702500.0</v>
      </c>
      <c r="H33" s="432" t="s">
        <v>436</v>
      </c>
      <c r="I33" s="434"/>
      <c r="J33" s="435"/>
    </row>
    <row r="34">
      <c r="A34" s="431">
        <v>46202.0</v>
      </c>
      <c r="B34" s="432">
        <v>22.0</v>
      </c>
      <c r="C34" s="432" t="s">
        <v>439</v>
      </c>
      <c r="D34" s="432" t="s">
        <v>457</v>
      </c>
      <c r="E34" s="432">
        <v>1.0</v>
      </c>
      <c r="F34" s="433">
        <v>750000.0</v>
      </c>
      <c r="G34" s="433">
        <v>750000.0</v>
      </c>
      <c r="H34" s="432" t="s">
        <v>436</v>
      </c>
      <c r="I34" s="434"/>
      <c r="J34" s="435"/>
    </row>
    <row r="35">
      <c r="A35" s="431">
        <v>46203.0</v>
      </c>
      <c r="B35" s="432">
        <v>23.0</v>
      </c>
      <c r="C35" s="432" t="s">
        <v>111</v>
      </c>
      <c r="D35" s="432" t="s">
        <v>112</v>
      </c>
      <c r="E35" s="432">
        <v>1.0</v>
      </c>
      <c r="F35" s="433">
        <v>201900.0</v>
      </c>
      <c r="G35" s="433">
        <v>201900.0</v>
      </c>
      <c r="H35" s="432" t="s">
        <v>111</v>
      </c>
      <c r="I35" s="434"/>
      <c r="J35" s="435"/>
    </row>
    <row r="36">
      <c r="A36" s="431">
        <v>46205.0</v>
      </c>
      <c r="B36" s="432">
        <v>24.0</v>
      </c>
      <c r="C36" s="432" t="s">
        <v>103</v>
      </c>
      <c r="D36" s="432" t="s">
        <v>106</v>
      </c>
      <c r="E36" s="432">
        <v>20.0</v>
      </c>
      <c r="F36" s="433">
        <v>80000.0</v>
      </c>
      <c r="G36" s="433">
        <v>1600000.0</v>
      </c>
      <c r="H36" s="432" t="s">
        <v>442</v>
      </c>
      <c r="I36" s="434"/>
      <c r="J36" s="435"/>
    </row>
    <row r="37">
      <c r="A37" s="431">
        <v>46205.0</v>
      </c>
      <c r="B37" s="432">
        <v>25.0</v>
      </c>
      <c r="C37" s="432" t="s">
        <v>111</v>
      </c>
      <c r="D37" s="432" t="s">
        <v>112</v>
      </c>
      <c r="E37" s="432">
        <v>1.0</v>
      </c>
      <c r="F37" s="433">
        <v>201900.0</v>
      </c>
      <c r="G37" s="433">
        <v>201900.0</v>
      </c>
      <c r="H37" s="432" t="s">
        <v>111</v>
      </c>
      <c r="I37" s="434"/>
      <c r="J37" s="435"/>
    </row>
    <row r="38">
      <c r="A38" s="431">
        <v>46206.0</v>
      </c>
      <c r="B38" s="432">
        <v>27.0</v>
      </c>
      <c r="C38" s="432" t="s">
        <v>111</v>
      </c>
      <c r="D38" s="432" t="s">
        <v>443</v>
      </c>
      <c r="E38" s="432">
        <v>1.0</v>
      </c>
      <c r="F38" s="433">
        <v>899882.0</v>
      </c>
      <c r="G38" s="433">
        <v>899882.0</v>
      </c>
      <c r="H38" s="432" t="s">
        <v>451</v>
      </c>
      <c r="I38" s="434"/>
      <c r="J38" s="435"/>
    </row>
    <row r="39">
      <c r="A39" s="431">
        <v>46207.0</v>
      </c>
      <c r="B39" s="432">
        <v>28.0</v>
      </c>
      <c r="C39" s="432" t="s">
        <v>85</v>
      </c>
      <c r="D39" s="432" t="s">
        <v>445</v>
      </c>
      <c r="E39" s="432">
        <v>1.0</v>
      </c>
      <c r="F39" s="433">
        <v>200000.0</v>
      </c>
      <c r="G39" s="433">
        <v>200000.0</v>
      </c>
      <c r="H39" s="432" t="s">
        <v>458</v>
      </c>
      <c r="I39" s="434"/>
      <c r="J39" s="435"/>
    </row>
    <row r="40">
      <c r="A40" s="431">
        <v>46207.0</v>
      </c>
      <c r="B40" s="432">
        <v>29.0</v>
      </c>
      <c r="C40" s="432" t="s">
        <v>85</v>
      </c>
      <c r="D40" s="432" t="s">
        <v>448</v>
      </c>
      <c r="E40" s="432">
        <v>1.0</v>
      </c>
      <c r="F40" s="433">
        <v>43000.0</v>
      </c>
      <c r="G40" s="433">
        <v>43000.0</v>
      </c>
      <c r="H40" s="432" t="s">
        <v>440</v>
      </c>
      <c r="I40" s="434"/>
      <c r="J40" s="435"/>
    </row>
    <row r="41">
      <c r="A41" s="431">
        <v>46207.0</v>
      </c>
      <c r="B41" s="432">
        <v>30.0</v>
      </c>
      <c r="C41" s="432" t="s">
        <v>85</v>
      </c>
      <c r="D41" s="432" t="s">
        <v>437</v>
      </c>
      <c r="E41" s="432">
        <v>1.0</v>
      </c>
      <c r="F41" s="433">
        <v>367900.0</v>
      </c>
      <c r="G41" s="433">
        <v>367900.0</v>
      </c>
      <c r="H41" s="432" t="s">
        <v>99</v>
      </c>
      <c r="I41" s="434"/>
      <c r="J41" s="435"/>
    </row>
    <row r="42">
      <c r="A42" s="431">
        <v>46208.0</v>
      </c>
      <c r="B42" s="432">
        <v>31.0</v>
      </c>
      <c r="C42" s="432" t="s">
        <v>111</v>
      </c>
      <c r="D42" s="432" t="s">
        <v>112</v>
      </c>
      <c r="E42" s="432">
        <v>1.0</v>
      </c>
      <c r="F42" s="433">
        <v>201900.0</v>
      </c>
      <c r="G42" s="433">
        <v>201900.0</v>
      </c>
      <c r="H42" s="432" t="s">
        <v>111</v>
      </c>
      <c r="I42" s="434"/>
      <c r="J42" s="435"/>
    </row>
    <row r="43">
      <c r="A43" s="431">
        <v>46208.0</v>
      </c>
      <c r="B43" s="432">
        <v>32.0</v>
      </c>
      <c r="C43" s="432" t="s">
        <v>439</v>
      </c>
      <c r="D43" s="432" t="s">
        <v>459</v>
      </c>
      <c r="E43" s="432">
        <v>1.0</v>
      </c>
      <c r="F43" s="433">
        <v>702500.0</v>
      </c>
      <c r="G43" s="433">
        <v>702500.0</v>
      </c>
      <c r="H43" s="432" t="s">
        <v>436</v>
      </c>
      <c r="I43" s="434"/>
      <c r="J43" s="435"/>
    </row>
    <row r="44">
      <c r="A44" s="431">
        <v>46208.0</v>
      </c>
      <c r="B44" s="432">
        <v>32.0</v>
      </c>
      <c r="C44" s="432" t="s">
        <v>439</v>
      </c>
      <c r="D44" s="432" t="s">
        <v>457</v>
      </c>
      <c r="E44" s="432">
        <v>1.0</v>
      </c>
      <c r="F44" s="433">
        <v>750000.0</v>
      </c>
      <c r="G44" s="433">
        <v>750000.0</v>
      </c>
      <c r="H44" s="432" t="s">
        <v>436</v>
      </c>
      <c r="I44" s="434"/>
      <c r="J44" s="435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2025-07-07T01:50:14Z</dcterms:created>
  <dc:creator>openpyxl</dc:creator>
</cp:coreProperties>
</file>